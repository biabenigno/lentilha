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76502\Posdoutorado\Samela Klein\2021\EBOOK 2021 - planilhas de trabalho e textos novos\finalizadas\últimas trabalhadas e tabelas finais\Usar esse arquivo na publicação\"/>
    </mc:Choice>
  </mc:AlternateContent>
  <xr:revisionPtr revIDLastSave="0" documentId="13_ncr:1_{39022C71-B8E9-4FFF-9282-75A86A1F5F27}" xr6:coauthVersionLast="47" xr6:coauthVersionMax="47" xr10:uidLastSave="{00000000-0000-0000-0000-000000000000}"/>
  <bookViews>
    <workbookView xWindow="-120" yWindow="-120" windowWidth="29040" windowHeight="15840" tabRatio="832" xr2:uid="{00000000-000D-0000-FFFF-FFFF00000000}"/>
  </bookViews>
  <sheets>
    <sheet name="Notas_2018" sheetId="8" r:id="rId1"/>
    <sheet name="Tab_Preparacoes_100g_2018" sheetId="6" r:id="rId2"/>
    <sheet name="Tab_PT_Ingredientes_1kg_2018" sheetId="3" r:id="rId3"/>
    <sheet name="GAS_gCO2eq_100g_2018" sheetId="14" r:id="rId4"/>
    <sheet name="Base_Pegadas_2018" sheetId="27" r:id="rId5"/>
    <sheet name="Dados_Referencias_2018" sheetId="12" r:id="rId6"/>
    <sheet name="Harmonized_System_Codes_EN" sheetId="10" r:id="rId7"/>
  </sheets>
  <externalReferences>
    <externalReference r:id="rId8"/>
    <externalReference r:id="rId9"/>
  </externalReferences>
  <definedNames>
    <definedName name="_xlnm._FilterDatabase" localSheetId="4" hidden="1">Base_Pegadas_2018!$A$1:$S$1428</definedName>
    <definedName name="_xlnm._FilterDatabase" localSheetId="3" hidden="1">GAS_gCO2eq_100g_2018!$A$2:$E$140</definedName>
    <definedName name="_xlnm._FilterDatabase" localSheetId="1" hidden="1">Tab_Preparacoes_100g_2018!#REF!</definedName>
    <definedName name="_xlnm._FilterDatabase" localSheetId="2" hidden="1">Tab_PT_Ingredientes_1kg_2018!#REF!</definedName>
    <definedName name="Italy">[1]DATABASE!$R$3:$R$8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428" i="27" l="1"/>
  <c r="C1428" i="27"/>
  <c r="D1427" i="27"/>
  <c r="C1427" i="27"/>
  <c r="I1426" i="27"/>
  <c r="D1426" i="27"/>
  <c r="C1426" i="27"/>
  <c r="I1425" i="27"/>
  <c r="D1425" i="27"/>
  <c r="C1425" i="27"/>
  <c r="D1424" i="27"/>
  <c r="C1424" i="27"/>
  <c r="D1423" i="27"/>
  <c r="C1423" i="27"/>
  <c r="D1422" i="27"/>
  <c r="C1422" i="27"/>
  <c r="D1421" i="27"/>
  <c r="C1421" i="27"/>
  <c r="D1420" i="27"/>
  <c r="C1420" i="27"/>
  <c r="C117" i="3" l="1"/>
  <c r="B117" i="3"/>
  <c r="A117" i="3" l="1"/>
  <c r="F117" i="3"/>
  <c r="D117" i="3" l="1"/>
  <c r="E117" i="3"/>
  <c r="A62" i="3"/>
  <c r="B246" i="3"/>
  <c r="B182" i="3"/>
  <c r="B503" i="3"/>
  <c r="B118" i="3"/>
  <c r="B70" i="3"/>
  <c r="B52" i="3"/>
  <c r="B455" i="3"/>
  <c r="B262" i="3"/>
  <c r="B198" i="3"/>
  <c r="B134" i="3"/>
  <c r="B85" i="3"/>
  <c r="B20" i="3"/>
  <c r="B435" i="3"/>
  <c r="B519" i="3"/>
  <c r="B439" i="3"/>
  <c r="B555" i="3"/>
  <c r="B390" i="3"/>
  <c r="B374" i="3"/>
  <c r="B326" i="3"/>
  <c r="B310" i="3"/>
  <c r="B992" i="3"/>
  <c r="B984" i="3"/>
  <c r="B980" i="3"/>
  <c r="B976" i="3"/>
  <c r="B968" i="3"/>
  <c r="B960" i="3"/>
  <c r="B952" i="3"/>
  <c r="B948" i="3"/>
  <c r="B944" i="3"/>
  <c r="B936" i="3"/>
  <c r="B928" i="3"/>
  <c r="B924" i="3"/>
  <c r="B920" i="3"/>
  <c r="B912" i="3"/>
  <c r="B904" i="3"/>
  <c r="B896" i="3"/>
  <c r="B892" i="3"/>
  <c r="B888" i="3"/>
  <c r="B880" i="3"/>
  <c r="B876" i="3"/>
  <c r="B872" i="3"/>
  <c r="B864" i="3"/>
  <c r="B860" i="3"/>
  <c r="B856" i="3"/>
  <c r="B840" i="3"/>
  <c r="B832" i="3"/>
  <c r="B828" i="3"/>
  <c r="B824" i="3"/>
  <c r="B812" i="3"/>
  <c r="B808" i="3"/>
  <c r="B800" i="3"/>
  <c r="B796" i="3"/>
  <c r="B792" i="3"/>
  <c r="B781" i="3"/>
  <c r="B777" i="3"/>
  <c r="B766" i="3"/>
  <c r="B762" i="3"/>
  <c r="B750" i="3"/>
  <c r="B746" i="3"/>
  <c r="B738" i="3"/>
  <c r="B734" i="3"/>
  <c r="B730" i="3"/>
  <c r="B718" i="3"/>
  <c r="B714" i="3"/>
  <c r="B702" i="3"/>
  <c r="B698" i="3"/>
  <c r="B686" i="3"/>
  <c r="B682" i="3"/>
  <c r="B674" i="3"/>
  <c r="B670" i="3"/>
  <c r="B666" i="3"/>
  <c r="B654" i="3"/>
  <c r="B650" i="3"/>
  <c r="B638" i="3"/>
  <c r="B634" i="3"/>
  <c r="B622" i="3"/>
  <c r="B618" i="3"/>
  <c r="B610" i="3"/>
  <c r="B606" i="3"/>
  <c r="B602" i="3"/>
  <c r="B590" i="3"/>
  <c r="B586" i="3"/>
  <c r="B574" i="3"/>
  <c r="B570" i="3"/>
  <c r="B535" i="3"/>
  <c r="B471" i="3"/>
  <c r="B406" i="3"/>
  <c r="B342" i="3"/>
  <c r="B278" i="3"/>
  <c r="B214" i="3"/>
  <c r="B150" i="3"/>
  <c r="B552" i="3"/>
  <c r="B544" i="3"/>
  <c r="B551" i="3"/>
  <c r="B543" i="3"/>
  <c r="B527" i="3"/>
  <c r="B515" i="3"/>
  <c r="B511" i="3"/>
  <c r="B495" i="3"/>
  <c r="B483" i="3"/>
  <c r="B479" i="3"/>
  <c r="B463" i="3"/>
  <c r="B451" i="3"/>
  <c r="B447" i="3"/>
  <c r="B430" i="3"/>
  <c r="B418" i="3"/>
  <c r="B414" i="3"/>
  <c r="B402" i="3"/>
  <c r="B398" i="3"/>
  <c r="B386" i="3"/>
  <c r="B370" i="3"/>
  <c r="B366" i="3"/>
  <c r="B354" i="3"/>
  <c r="B350" i="3"/>
  <c r="B338" i="3"/>
  <c r="B334" i="3"/>
  <c r="B322" i="3"/>
  <c r="B318" i="3"/>
  <c r="B306" i="3"/>
  <c r="B302" i="3"/>
  <c r="B290" i="3"/>
  <c r="B286" i="3"/>
  <c r="B274" i="3"/>
  <c r="B270" i="3"/>
  <c r="B258" i="3"/>
  <c r="B254" i="3"/>
  <c r="B242" i="3"/>
  <c r="B238" i="3"/>
  <c r="B226" i="3"/>
  <c r="B222" i="3"/>
  <c r="B210" i="3"/>
  <c r="B206" i="3"/>
  <c r="B194" i="3"/>
  <c r="B190" i="3"/>
  <c r="B178" i="3"/>
  <c r="B174" i="3"/>
  <c r="B162" i="3"/>
  <c r="B158" i="3"/>
  <c r="B146" i="3"/>
  <c r="B142" i="3"/>
  <c r="B130" i="3"/>
  <c r="B126" i="3"/>
  <c r="B113" i="3"/>
  <c r="B109" i="3"/>
  <c r="B97" i="3"/>
  <c r="B93" i="3"/>
  <c r="B81" i="3"/>
  <c r="B66" i="3"/>
  <c r="B60" i="3"/>
  <c r="B48" i="3"/>
  <c r="B44" i="3"/>
  <c r="B32" i="3"/>
  <c r="B28" i="3"/>
  <c r="B16" i="3"/>
  <c r="B12" i="3"/>
  <c r="B547" i="3"/>
  <c r="B487" i="3"/>
  <c r="B422" i="3"/>
  <c r="B358" i="3"/>
  <c r="B294" i="3"/>
  <c r="B230" i="3"/>
  <c r="B166" i="3"/>
  <c r="B101" i="3"/>
  <c r="B36" i="3"/>
  <c r="B848" i="3"/>
  <c r="B816" i="3"/>
  <c r="B785" i="3"/>
  <c r="B770" i="3"/>
  <c r="B754" i="3"/>
  <c r="B722" i="3"/>
  <c r="B706" i="3"/>
  <c r="B690" i="3"/>
  <c r="B658" i="3"/>
  <c r="B642" i="3"/>
  <c r="B626" i="3"/>
  <c r="B594" i="3"/>
  <c r="B578" i="3"/>
  <c r="B562" i="3"/>
  <c r="B964" i="3"/>
  <c r="B940" i="3"/>
  <c r="B908" i="3"/>
  <c r="B844" i="3"/>
  <c r="C992" i="3"/>
  <c r="C988" i="3"/>
  <c r="C984" i="3"/>
  <c r="C980" i="3"/>
  <c r="C976" i="3"/>
  <c r="C972" i="3"/>
  <c r="C968" i="3"/>
  <c r="C964" i="3"/>
  <c r="C960" i="3"/>
  <c r="C956" i="3"/>
  <c r="C952" i="3"/>
  <c r="C948" i="3"/>
  <c r="C944" i="3"/>
  <c r="C940" i="3"/>
  <c r="C936" i="3"/>
  <c r="C932" i="3"/>
  <c r="C928" i="3"/>
  <c r="C924" i="3"/>
  <c r="C920" i="3"/>
  <c r="C916" i="3"/>
  <c r="C912" i="3"/>
  <c r="C908" i="3"/>
  <c r="C904" i="3"/>
  <c r="C900" i="3"/>
  <c r="C896" i="3"/>
  <c r="C892" i="3"/>
  <c r="C888" i="3"/>
  <c r="C884" i="3"/>
  <c r="C880" i="3"/>
  <c r="C876" i="3"/>
  <c r="C872" i="3"/>
  <c r="C868" i="3"/>
  <c r="C864" i="3"/>
  <c r="C860" i="3"/>
  <c r="C856" i="3"/>
  <c r="C852" i="3"/>
  <c r="C848" i="3"/>
  <c r="C844" i="3"/>
  <c r="C840" i="3"/>
  <c r="C836" i="3"/>
  <c r="C832" i="3"/>
  <c r="C828" i="3"/>
  <c r="C824" i="3"/>
  <c r="C820" i="3"/>
  <c r="C816" i="3"/>
  <c r="C812" i="3"/>
  <c r="C808" i="3"/>
  <c r="C804" i="3"/>
  <c r="C800" i="3"/>
  <c r="C796" i="3"/>
  <c r="C792" i="3"/>
  <c r="C785" i="3"/>
  <c r="C781" i="3"/>
  <c r="C777" i="3"/>
  <c r="C773" i="3"/>
  <c r="C770" i="3"/>
  <c r="C766" i="3"/>
  <c r="C762" i="3"/>
  <c r="C758" i="3"/>
  <c r="C754" i="3"/>
  <c r="C750" i="3"/>
  <c r="C746" i="3"/>
  <c r="C742" i="3"/>
  <c r="C738" i="3"/>
  <c r="C734" i="3"/>
  <c r="C730" i="3"/>
  <c r="C726" i="3"/>
  <c r="C722" i="3"/>
  <c r="C718" i="3"/>
  <c r="C714" i="3"/>
  <c r="C710" i="3"/>
  <c r="C706" i="3"/>
  <c r="C702" i="3"/>
  <c r="C698" i="3"/>
  <c r="C694" i="3"/>
  <c r="C690" i="3"/>
  <c r="C686" i="3"/>
  <c r="C682" i="3"/>
  <c r="C678" i="3"/>
  <c r="C674" i="3"/>
  <c r="C670" i="3"/>
  <c r="C666" i="3"/>
  <c r="C662" i="3"/>
  <c r="C658" i="3"/>
  <c r="C654" i="3"/>
  <c r="C650" i="3"/>
  <c r="C646" i="3"/>
  <c r="C642" i="3"/>
  <c r="C638" i="3"/>
  <c r="C634" i="3"/>
  <c r="C630" i="3"/>
  <c r="C626" i="3"/>
  <c r="C622" i="3"/>
  <c r="C618" i="3"/>
  <c r="C614" i="3"/>
  <c r="C610" i="3"/>
  <c r="C606" i="3"/>
  <c r="C602" i="3"/>
  <c r="C598" i="3"/>
  <c r="C594" i="3"/>
  <c r="C590" i="3"/>
  <c r="C586" i="3"/>
  <c r="C582" i="3"/>
  <c r="C578" i="3"/>
  <c r="C574" i="3"/>
  <c r="C570" i="3"/>
  <c r="C566" i="3"/>
  <c r="C562" i="3"/>
  <c r="C558" i="3"/>
  <c r="B558" i="3"/>
  <c r="C554" i="3"/>
  <c r="B554" i="3"/>
  <c r="C550" i="3"/>
  <c r="B550" i="3"/>
  <c r="C546" i="3"/>
  <c r="B546" i="3"/>
  <c r="C542" i="3"/>
  <c r="B542" i="3"/>
  <c r="C538" i="3"/>
  <c r="B538" i="3"/>
  <c r="C534" i="3"/>
  <c r="B534" i="3"/>
  <c r="C530" i="3"/>
  <c r="B530" i="3"/>
  <c r="C526" i="3"/>
  <c r="B526" i="3"/>
  <c r="C522" i="3"/>
  <c r="B522" i="3"/>
  <c r="C518" i="3"/>
  <c r="B518" i="3"/>
  <c r="C514" i="3"/>
  <c r="B514" i="3"/>
  <c r="C510" i="3"/>
  <c r="B510" i="3"/>
  <c r="C506" i="3"/>
  <c r="B506" i="3"/>
  <c r="C502" i="3"/>
  <c r="B502" i="3"/>
  <c r="C498" i="3"/>
  <c r="B498" i="3"/>
  <c r="C494" i="3"/>
  <c r="B494" i="3"/>
  <c r="C490" i="3"/>
  <c r="B490" i="3"/>
  <c r="C486" i="3"/>
  <c r="B486" i="3"/>
  <c r="C482" i="3"/>
  <c r="B482" i="3"/>
  <c r="C478" i="3"/>
  <c r="B478" i="3"/>
  <c r="C474" i="3"/>
  <c r="B474" i="3"/>
  <c r="C470" i="3"/>
  <c r="B470" i="3"/>
  <c r="C466" i="3"/>
  <c r="B466" i="3"/>
  <c r="C462" i="3"/>
  <c r="B462" i="3"/>
  <c r="C458" i="3"/>
  <c r="B458" i="3"/>
  <c r="C454" i="3"/>
  <c r="B454" i="3"/>
  <c r="C450" i="3"/>
  <c r="B450" i="3"/>
  <c r="C446" i="3"/>
  <c r="B446" i="3"/>
  <c r="C442" i="3"/>
  <c r="B442" i="3"/>
  <c r="C438" i="3"/>
  <c r="B438" i="3"/>
  <c r="C433" i="3"/>
  <c r="B433" i="3"/>
  <c r="C429" i="3"/>
  <c r="B429" i="3"/>
  <c r="C425" i="3"/>
  <c r="B425" i="3"/>
  <c r="C421" i="3"/>
  <c r="B421" i="3"/>
  <c r="C417" i="3"/>
  <c r="B417" i="3"/>
  <c r="C413" i="3"/>
  <c r="B413" i="3"/>
  <c r="C409" i="3"/>
  <c r="B409" i="3"/>
  <c r="C405" i="3"/>
  <c r="B405" i="3"/>
  <c r="C401" i="3"/>
  <c r="B401" i="3"/>
  <c r="C397" i="3"/>
  <c r="B397" i="3"/>
  <c r="C393" i="3"/>
  <c r="B393" i="3"/>
  <c r="C389" i="3"/>
  <c r="B389" i="3"/>
  <c r="C385" i="3"/>
  <c r="B385" i="3"/>
  <c r="C381" i="3"/>
  <c r="B381" i="3"/>
  <c r="C377" i="3"/>
  <c r="B377" i="3"/>
  <c r="C373" i="3"/>
  <c r="B373" i="3"/>
  <c r="C369" i="3"/>
  <c r="B369" i="3"/>
  <c r="C365" i="3"/>
  <c r="B365" i="3"/>
  <c r="C361" i="3"/>
  <c r="B361" i="3"/>
  <c r="C357" i="3"/>
  <c r="B357" i="3"/>
  <c r="C353" i="3"/>
  <c r="B353" i="3"/>
  <c r="C349" i="3"/>
  <c r="B349" i="3"/>
  <c r="C345" i="3"/>
  <c r="B345" i="3"/>
  <c r="C341" i="3"/>
  <c r="B341" i="3"/>
  <c r="C337" i="3"/>
  <c r="B337" i="3"/>
  <c r="C333" i="3"/>
  <c r="B333" i="3"/>
  <c r="C329" i="3"/>
  <c r="B329" i="3"/>
  <c r="C325" i="3"/>
  <c r="B325" i="3"/>
  <c r="C321" i="3"/>
  <c r="B321" i="3"/>
  <c r="C317" i="3"/>
  <c r="B317" i="3"/>
  <c r="C313" i="3"/>
  <c r="B313" i="3"/>
  <c r="C309" i="3"/>
  <c r="B309" i="3"/>
  <c r="C305" i="3"/>
  <c r="B305" i="3"/>
  <c r="C301" i="3"/>
  <c r="B301" i="3"/>
  <c r="C297" i="3"/>
  <c r="B297" i="3"/>
  <c r="C293" i="3"/>
  <c r="B293" i="3"/>
  <c r="C289" i="3"/>
  <c r="B289" i="3"/>
  <c r="C285" i="3"/>
  <c r="B285" i="3"/>
  <c r="C281" i="3"/>
  <c r="B281" i="3"/>
  <c r="C277" i="3"/>
  <c r="B277" i="3"/>
  <c r="C273" i="3"/>
  <c r="B273" i="3"/>
  <c r="C269" i="3"/>
  <c r="B269" i="3"/>
  <c r="C265" i="3"/>
  <c r="B265" i="3"/>
  <c r="C261" i="3"/>
  <c r="B261" i="3"/>
  <c r="C257" i="3"/>
  <c r="B257" i="3"/>
  <c r="C253" i="3"/>
  <c r="B253" i="3"/>
  <c r="C249" i="3"/>
  <c r="B249" i="3"/>
  <c r="C245" i="3"/>
  <c r="B245" i="3"/>
  <c r="C241" i="3"/>
  <c r="B241" i="3"/>
  <c r="C237" i="3"/>
  <c r="B237" i="3"/>
  <c r="C233" i="3"/>
  <c r="B233" i="3"/>
  <c r="C229" i="3"/>
  <c r="B229" i="3"/>
  <c r="C225" i="3"/>
  <c r="B225" i="3"/>
  <c r="C221" i="3"/>
  <c r="B221" i="3"/>
  <c r="C217" i="3"/>
  <c r="B217" i="3"/>
  <c r="C213" i="3"/>
  <c r="B213" i="3"/>
  <c r="C209" i="3"/>
  <c r="B209" i="3"/>
  <c r="C205" i="3"/>
  <c r="B205" i="3"/>
  <c r="C201" i="3"/>
  <c r="B201" i="3"/>
  <c r="C197" i="3"/>
  <c r="B197" i="3"/>
  <c r="C193" i="3"/>
  <c r="B193" i="3"/>
  <c r="C189" i="3"/>
  <c r="B189" i="3"/>
  <c r="C185" i="3"/>
  <c r="B185" i="3"/>
  <c r="C181" i="3"/>
  <c r="B181" i="3"/>
  <c r="C177" i="3"/>
  <c r="B177" i="3"/>
  <c r="C173" i="3"/>
  <c r="B173" i="3"/>
  <c r="C169" i="3"/>
  <c r="B169" i="3"/>
  <c r="C165" i="3"/>
  <c r="B165" i="3"/>
  <c r="C161" i="3"/>
  <c r="B161" i="3"/>
  <c r="C157" i="3"/>
  <c r="B157" i="3"/>
  <c r="C153" i="3"/>
  <c r="B153" i="3"/>
  <c r="C149" i="3"/>
  <c r="B149" i="3"/>
  <c r="C145" i="3"/>
  <c r="B145" i="3"/>
  <c r="C141" i="3"/>
  <c r="B141" i="3"/>
  <c r="C137" i="3"/>
  <c r="B137" i="3"/>
  <c r="C133" i="3"/>
  <c r="B133" i="3"/>
  <c r="C129" i="3"/>
  <c r="B129" i="3"/>
  <c r="C125" i="3"/>
  <c r="B125" i="3"/>
  <c r="C121" i="3"/>
  <c r="B121" i="3"/>
  <c r="C116" i="3"/>
  <c r="B116" i="3"/>
  <c r="C112" i="3"/>
  <c r="B112" i="3"/>
  <c r="C108" i="3"/>
  <c r="B108" i="3"/>
  <c r="C104" i="3"/>
  <c r="B104" i="3"/>
  <c r="C100" i="3"/>
  <c r="B100" i="3"/>
  <c r="C96" i="3"/>
  <c r="B96" i="3"/>
  <c r="C92" i="3"/>
  <c r="B92" i="3"/>
  <c r="C88" i="3"/>
  <c r="B88" i="3"/>
  <c r="C84" i="3"/>
  <c r="B84" i="3"/>
  <c r="C80" i="3"/>
  <c r="B80" i="3"/>
  <c r="C77" i="3"/>
  <c r="B77" i="3"/>
  <c r="C73" i="3"/>
  <c r="B73" i="3"/>
  <c r="C69" i="3"/>
  <c r="B69" i="3"/>
  <c r="C65" i="3"/>
  <c r="B65" i="3"/>
  <c r="C59" i="3"/>
  <c r="B59" i="3"/>
  <c r="C55" i="3"/>
  <c r="B55" i="3"/>
  <c r="C51" i="3"/>
  <c r="B51" i="3"/>
  <c r="C47" i="3"/>
  <c r="B47" i="3"/>
  <c r="C43" i="3"/>
  <c r="B43" i="3"/>
  <c r="C39" i="3"/>
  <c r="B39" i="3"/>
  <c r="C35" i="3"/>
  <c r="B35" i="3"/>
  <c r="C31" i="3"/>
  <c r="B31" i="3"/>
  <c r="C27" i="3"/>
  <c r="B27" i="3"/>
  <c r="C23" i="3"/>
  <c r="B23" i="3"/>
  <c r="C19" i="3"/>
  <c r="B19" i="3"/>
  <c r="C15" i="3"/>
  <c r="B15" i="3"/>
  <c r="C11" i="3"/>
  <c r="B11" i="3"/>
  <c r="C7" i="3"/>
  <c r="B7" i="3"/>
  <c r="C63" i="3"/>
  <c r="B63" i="3"/>
  <c r="B998" i="3"/>
  <c r="C998" i="3"/>
  <c r="B988" i="3"/>
  <c r="B972" i="3"/>
  <c r="B956" i="3"/>
  <c r="B932" i="3"/>
  <c r="B916" i="3"/>
  <c r="B900" i="3"/>
  <c r="B884" i="3"/>
  <c r="B868" i="3"/>
  <c r="B852" i="3"/>
  <c r="B836" i="3"/>
  <c r="B820" i="3"/>
  <c r="B804" i="3"/>
  <c r="B773" i="3"/>
  <c r="B758" i="3"/>
  <c r="B742" i="3"/>
  <c r="B726" i="3"/>
  <c r="B710" i="3"/>
  <c r="B694" i="3"/>
  <c r="B678" i="3"/>
  <c r="B662" i="3"/>
  <c r="B646" i="3"/>
  <c r="B630" i="3"/>
  <c r="B614" i="3"/>
  <c r="B598" i="3"/>
  <c r="B582" i="3"/>
  <c r="B566" i="3"/>
  <c r="C991" i="3"/>
  <c r="C987" i="3"/>
  <c r="C983" i="3"/>
  <c r="C979" i="3"/>
  <c r="C975" i="3"/>
  <c r="C971" i="3"/>
  <c r="C967" i="3"/>
  <c r="C963" i="3"/>
  <c r="C959" i="3"/>
  <c r="C955" i="3"/>
  <c r="C951" i="3"/>
  <c r="C947" i="3"/>
  <c r="C943" i="3"/>
  <c r="C939" i="3"/>
  <c r="C935" i="3"/>
  <c r="C931" i="3"/>
  <c r="C927" i="3"/>
  <c r="C923" i="3"/>
  <c r="C919" i="3"/>
  <c r="C915" i="3"/>
  <c r="C911" i="3"/>
  <c r="C907" i="3"/>
  <c r="C903" i="3"/>
  <c r="C899" i="3"/>
  <c r="C895" i="3"/>
  <c r="C891" i="3"/>
  <c r="C887" i="3"/>
  <c r="C883" i="3"/>
  <c r="C879" i="3"/>
  <c r="C875" i="3"/>
  <c r="C871" i="3"/>
  <c r="C867" i="3"/>
  <c r="C863" i="3"/>
  <c r="C859" i="3"/>
  <c r="C855" i="3"/>
  <c r="C851" i="3"/>
  <c r="C847" i="3"/>
  <c r="C843" i="3"/>
  <c r="C839" i="3"/>
  <c r="C835" i="3"/>
  <c r="C831" i="3"/>
  <c r="C827" i="3"/>
  <c r="C823" i="3"/>
  <c r="C819" i="3"/>
  <c r="C815" i="3"/>
  <c r="C811" i="3"/>
  <c r="C807" i="3"/>
  <c r="C803" i="3"/>
  <c r="C799" i="3"/>
  <c r="C795" i="3"/>
  <c r="C791" i="3"/>
  <c r="C788" i="3"/>
  <c r="C784" i="3"/>
  <c r="C780" i="3"/>
  <c r="C776" i="3"/>
  <c r="C772" i="3"/>
  <c r="C769" i="3"/>
  <c r="C765" i="3"/>
  <c r="C761" i="3"/>
  <c r="C757" i="3"/>
  <c r="C753" i="3"/>
  <c r="C749" i="3"/>
  <c r="C745" i="3"/>
  <c r="C741" i="3"/>
  <c r="C737" i="3"/>
  <c r="C733" i="3"/>
  <c r="C729" i="3"/>
  <c r="C725" i="3"/>
  <c r="C721" i="3"/>
  <c r="C717" i="3"/>
  <c r="C713" i="3"/>
  <c r="C709" i="3"/>
  <c r="C705" i="3"/>
  <c r="C701" i="3"/>
  <c r="C697" i="3"/>
  <c r="C693" i="3"/>
  <c r="C689" i="3"/>
  <c r="C685" i="3"/>
  <c r="C681" i="3"/>
  <c r="C677" i="3"/>
  <c r="C673" i="3"/>
  <c r="C669" i="3"/>
  <c r="C665" i="3"/>
  <c r="C661" i="3"/>
  <c r="C657" i="3"/>
  <c r="C653" i="3"/>
  <c r="C649" i="3"/>
  <c r="C645" i="3"/>
  <c r="C641" i="3"/>
  <c r="C637" i="3"/>
  <c r="C633" i="3"/>
  <c r="C629" i="3"/>
  <c r="C625" i="3"/>
  <c r="C621" i="3"/>
  <c r="C617" i="3"/>
  <c r="C613" i="3"/>
  <c r="C609" i="3"/>
  <c r="C605" i="3"/>
  <c r="C601" i="3"/>
  <c r="C597" i="3"/>
  <c r="C593" i="3"/>
  <c r="C589" i="3"/>
  <c r="C585" i="3"/>
  <c r="C581" i="3"/>
  <c r="C577" i="3"/>
  <c r="C573" i="3"/>
  <c r="C569" i="3"/>
  <c r="C565" i="3"/>
  <c r="C561" i="3"/>
  <c r="B561" i="3"/>
  <c r="C557" i="3"/>
  <c r="B557" i="3"/>
  <c r="C553" i="3"/>
  <c r="B553" i="3"/>
  <c r="C549" i="3"/>
  <c r="B549" i="3"/>
  <c r="C545" i="3"/>
  <c r="B545" i="3"/>
  <c r="C541" i="3"/>
  <c r="C537" i="3"/>
  <c r="B537" i="3"/>
  <c r="C533" i="3"/>
  <c r="B533" i="3"/>
  <c r="C529" i="3"/>
  <c r="B529" i="3"/>
  <c r="C525" i="3"/>
  <c r="B525" i="3"/>
  <c r="C521" i="3"/>
  <c r="B521" i="3"/>
  <c r="C517" i="3"/>
  <c r="B517" i="3"/>
  <c r="C513" i="3"/>
  <c r="B513" i="3"/>
  <c r="C509" i="3"/>
  <c r="B509" i="3"/>
  <c r="C505" i="3"/>
  <c r="B505" i="3"/>
  <c r="C501" i="3"/>
  <c r="B501" i="3"/>
  <c r="C497" i="3"/>
  <c r="B497" i="3"/>
  <c r="C493" i="3"/>
  <c r="B493" i="3"/>
  <c r="C489" i="3"/>
  <c r="B489" i="3"/>
  <c r="C485" i="3"/>
  <c r="B485" i="3"/>
  <c r="C481" i="3"/>
  <c r="B481" i="3"/>
  <c r="C477" i="3"/>
  <c r="B477" i="3"/>
  <c r="C473" i="3"/>
  <c r="B473" i="3"/>
  <c r="C469" i="3"/>
  <c r="B469" i="3"/>
  <c r="C465" i="3"/>
  <c r="B465" i="3"/>
  <c r="C461" i="3"/>
  <c r="B461" i="3"/>
  <c r="C457" i="3"/>
  <c r="B457" i="3"/>
  <c r="C453" i="3"/>
  <c r="B453" i="3"/>
  <c r="C449" i="3"/>
  <c r="B449" i="3"/>
  <c r="C445" i="3"/>
  <c r="B445" i="3"/>
  <c r="C441" i="3"/>
  <c r="B441" i="3"/>
  <c r="C437" i="3"/>
  <c r="B437" i="3"/>
  <c r="C432" i="3"/>
  <c r="B432" i="3"/>
  <c r="C428" i="3"/>
  <c r="B428" i="3"/>
  <c r="C424" i="3"/>
  <c r="B424" i="3"/>
  <c r="C420" i="3"/>
  <c r="B420" i="3"/>
  <c r="C416" i="3"/>
  <c r="B416" i="3"/>
  <c r="C412" i="3"/>
  <c r="B412" i="3"/>
  <c r="C408" i="3"/>
  <c r="B408" i="3"/>
  <c r="C404" i="3"/>
  <c r="B404" i="3"/>
  <c r="C400" i="3"/>
  <c r="B400" i="3"/>
  <c r="C396" i="3"/>
  <c r="B396" i="3"/>
  <c r="C392" i="3"/>
  <c r="B392" i="3"/>
  <c r="C388" i="3"/>
  <c r="B388" i="3"/>
  <c r="C384" i="3"/>
  <c r="B384" i="3"/>
  <c r="C380" i="3"/>
  <c r="B380" i="3"/>
  <c r="C376" i="3"/>
  <c r="B376" i="3"/>
  <c r="C372" i="3"/>
  <c r="B372" i="3"/>
  <c r="C368" i="3"/>
  <c r="B368" i="3"/>
  <c r="C364" i="3"/>
  <c r="B364" i="3"/>
  <c r="C360" i="3"/>
  <c r="B360" i="3"/>
  <c r="C356" i="3"/>
  <c r="B356" i="3"/>
  <c r="C352" i="3"/>
  <c r="B352" i="3"/>
  <c r="C348" i="3"/>
  <c r="B348" i="3"/>
  <c r="C344" i="3"/>
  <c r="B344" i="3"/>
  <c r="C340" i="3"/>
  <c r="B340" i="3"/>
  <c r="C336" i="3"/>
  <c r="B336" i="3"/>
  <c r="C332" i="3"/>
  <c r="B332" i="3"/>
  <c r="C328" i="3"/>
  <c r="B328" i="3"/>
  <c r="C324" i="3"/>
  <c r="B324" i="3"/>
  <c r="C320" i="3"/>
  <c r="B320" i="3"/>
  <c r="C316" i="3"/>
  <c r="B316" i="3"/>
  <c r="C312" i="3"/>
  <c r="B312" i="3"/>
  <c r="C308" i="3"/>
  <c r="B308" i="3"/>
  <c r="C304" i="3"/>
  <c r="B304" i="3"/>
  <c r="C300" i="3"/>
  <c r="B300" i="3"/>
  <c r="C296" i="3"/>
  <c r="B296" i="3"/>
  <c r="C292" i="3"/>
  <c r="B292" i="3"/>
  <c r="C288" i="3"/>
  <c r="B288" i="3"/>
  <c r="C284" i="3"/>
  <c r="B284" i="3"/>
  <c r="C280" i="3"/>
  <c r="B280" i="3"/>
  <c r="C276" i="3"/>
  <c r="B276" i="3"/>
  <c r="C272" i="3"/>
  <c r="B272" i="3"/>
  <c r="C268" i="3"/>
  <c r="B268" i="3"/>
  <c r="C264" i="3"/>
  <c r="B264" i="3"/>
  <c r="C260" i="3"/>
  <c r="B260" i="3"/>
  <c r="C256" i="3"/>
  <c r="B256" i="3"/>
  <c r="C252" i="3"/>
  <c r="B252" i="3"/>
  <c r="C248" i="3"/>
  <c r="B248" i="3"/>
  <c r="C244" i="3"/>
  <c r="B244" i="3"/>
  <c r="C240" i="3"/>
  <c r="B240" i="3"/>
  <c r="C236" i="3"/>
  <c r="B236" i="3"/>
  <c r="C232" i="3"/>
  <c r="B232" i="3"/>
  <c r="C228" i="3"/>
  <c r="B228" i="3"/>
  <c r="C224" i="3"/>
  <c r="B224" i="3"/>
  <c r="C220" i="3"/>
  <c r="B220" i="3"/>
  <c r="C216" i="3"/>
  <c r="B216" i="3"/>
  <c r="C212" i="3"/>
  <c r="B212" i="3"/>
  <c r="C208" i="3"/>
  <c r="B208" i="3"/>
  <c r="C204" i="3"/>
  <c r="B204" i="3"/>
  <c r="C200" i="3"/>
  <c r="B200" i="3"/>
  <c r="C196" i="3"/>
  <c r="B196" i="3"/>
  <c r="C192" i="3"/>
  <c r="B192" i="3"/>
  <c r="C188" i="3"/>
  <c r="B188" i="3"/>
  <c r="C184" i="3"/>
  <c r="B184" i="3"/>
  <c r="C180" i="3"/>
  <c r="B180" i="3"/>
  <c r="C176" i="3"/>
  <c r="B176" i="3"/>
  <c r="C172" i="3"/>
  <c r="B172" i="3"/>
  <c r="C168" i="3"/>
  <c r="B168" i="3"/>
  <c r="C164" i="3"/>
  <c r="B164" i="3"/>
  <c r="C160" i="3"/>
  <c r="B160" i="3"/>
  <c r="C156" i="3"/>
  <c r="B156" i="3"/>
  <c r="C152" i="3"/>
  <c r="B152" i="3"/>
  <c r="C148" i="3"/>
  <c r="B148" i="3"/>
  <c r="C144" i="3"/>
  <c r="B144" i="3"/>
  <c r="C140" i="3"/>
  <c r="B140" i="3"/>
  <c r="C136" i="3"/>
  <c r="B136" i="3"/>
  <c r="C132" i="3"/>
  <c r="B132" i="3"/>
  <c r="C128" i="3"/>
  <c r="B128" i="3"/>
  <c r="C124" i="3"/>
  <c r="B124" i="3"/>
  <c r="C120" i="3"/>
  <c r="B120" i="3"/>
  <c r="C115" i="3"/>
  <c r="B115" i="3"/>
  <c r="C111" i="3"/>
  <c r="B111" i="3"/>
  <c r="C107" i="3"/>
  <c r="B107" i="3"/>
  <c r="C103" i="3"/>
  <c r="B103" i="3"/>
  <c r="C99" i="3"/>
  <c r="B99" i="3"/>
  <c r="C95" i="3"/>
  <c r="B95" i="3"/>
  <c r="C91" i="3"/>
  <c r="B91" i="3"/>
  <c r="C87" i="3"/>
  <c r="B87" i="3"/>
  <c r="C83" i="3"/>
  <c r="B83" i="3"/>
  <c r="C79" i="3"/>
  <c r="B79" i="3"/>
  <c r="C76" i="3"/>
  <c r="B76" i="3"/>
  <c r="C72" i="3"/>
  <c r="B72" i="3"/>
  <c r="C68" i="3"/>
  <c r="B68" i="3"/>
  <c r="C64" i="3"/>
  <c r="B64" i="3"/>
  <c r="C58" i="3"/>
  <c r="B58" i="3"/>
  <c r="C54" i="3"/>
  <c r="B54" i="3"/>
  <c r="C50" i="3"/>
  <c r="B50" i="3"/>
  <c r="C46" i="3"/>
  <c r="B46" i="3"/>
  <c r="C42" i="3"/>
  <c r="B42" i="3"/>
  <c r="C38" i="3"/>
  <c r="B38" i="3"/>
  <c r="C34" i="3"/>
  <c r="B34" i="3"/>
  <c r="C30" i="3"/>
  <c r="B30" i="3"/>
  <c r="C26" i="3"/>
  <c r="B26" i="3"/>
  <c r="C22" i="3"/>
  <c r="B22" i="3"/>
  <c r="C18" i="3"/>
  <c r="B18" i="3"/>
  <c r="C14" i="3"/>
  <c r="B14" i="3"/>
  <c r="C10" i="3"/>
  <c r="B10" i="3"/>
  <c r="C6" i="3"/>
  <c r="B6" i="3"/>
  <c r="C1001" i="3"/>
  <c r="B1001" i="3"/>
  <c r="B997" i="3"/>
  <c r="C997" i="3"/>
  <c r="B991" i="3"/>
  <c r="B987" i="3"/>
  <c r="B983" i="3"/>
  <c r="B979" i="3"/>
  <c r="B975" i="3"/>
  <c r="B971" i="3"/>
  <c r="B967" i="3"/>
  <c r="B963" i="3"/>
  <c r="B959" i="3"/>
  <c r="B955" i="3"/>
  <c r="B951" i="3"/>
  <c r="B947" i="3"/>
  <c r="B943" i="3"/>
  <c r="B939" i="3"/>
  <c r="B935" i="3"/>
  <c r="B931" i="3"/>
  <c r="B927" i="3"/>
  <c r="B923" i="3"/>
  <c r="B919" i="3"/>
  <c r="B915" i="3"/>
  <c r="B911" i="3"/>
  <c r="B907" i="3"/>
  <c r="B903" i="3"/>
  <c r="B899" i="3"/>
  <c r="B895" i="3"/>
  <c r="B891" i="3"/>
  <c r="B887" i="3"/>
  <c r="B883" i="3"/>
  <c r="B879" i="3"/>
  <c r="B875" i="3"/>
  <c r="B871" i="3"/>
  <c r="B867" i="3"/>
  <c r="B863" i="3"/>
  <c r="B859" i="3"/>
  <c r="B855" i="3"/>
  <c r="B851" i="3"/>
  <c r="B847" i="3"/>
  <c r="B843" i="3"/>
  <c r="B839" i="3"/>
  <c r="B835" i="3"/>
  <c r="B831" i="3"/>
  <c r="B827" i="3"/>
  <c r="B823" i="3"/>
  <c r="B819" i="3"/>
  <c r="B815" i="3"/>
  <c r="B811" i="3"/>
  <c r="B807" i="3"/>
  <c r="B803" i="3"/>
  <c r="B799" i="3"/>
  <c r="B795" i="3"/>
  <c r="B791" i="3"/>
  <c r="B788" i="3"/>
  <c r="B784" i="3"/>
  <c r="B780" i="3"/>
  <c r="B776" i="3"/>
  <c r="B772" i="3"/>
  <c r="B769" i="3"/>
  <c r="B765" i="3"/>
  <c r="B761" i="3"/>
  <c r="B757" i="3"/>
  <c r="B753" i="3"/>
  <c r="B749" i="3"/>
  <c r="B745" i="3"/>
  <c r="B741" i="3"/>
  <c r="B737" i="3"/>
  <c r="B733" i="3"/>
  <c r="B729" i="3"/>
  <c r="B725" i="3"/>
  <c r="B721" i="3"/>
  <c r="B717" i="3"/>
  <c r="B713" i="3"/>
  <c r="B709" i="3"/>
  <c r="B705" i="3"/>
  <c r="B701" i="3"/>
  <c r="B697" i="3"/>
  <c r="B693" i="3"/>
  <c r="B689" i="3"/>
  <c r="B685" i="3"/>
  <c r="B681" i="3"/>
  <c r="B677" i="3"/>
  <c r="B673" i="3"/>
  <c r="B669" i="3"/>
  <c r="B665" i="3"/>
  <c r="B661" i="3"/>
  <c r="B657" i="3"/>
  <c r="B653" i="3"/>
  <c r="B649" i="3"/>
  <c r="B645" i="3"/>
  <c r="B641" i="3"/>
  <c r="B637" i="3"/>
  <c r="B633" i="3"/>
  <c r="B629" i="3"/>
  <c r="B625" i="3"/>
  <c r="B621" i="3"/>
  <c r="B617" i="3"/>
  <c r="B613" i="3"/>
  <c r="B609" i="3"/>
  <c r="B605" i="3"/>
  <c r="B601" i="3"/>
  <c r="B597" i="3"/>
  <c r="B593" i="3"/>
  <c r="B589" i="3"/>
  <c r="B585" i="3"/>
  <c r="B581" i="3"/>
  <c r="B577" i="3"/>
  <c r="B573" i="3"/>
  <c r="B569" i="3"/>
  <c r="B565" i="3"/>
  <c r="B560" i="3"/>
  <c r="B531" i="3"/>
  <c r="B499" i="3"/>
  <c r="B467" i="3"/>
  <c r="B434" i="3"/>
  <c r="C62" i="3"/>
  <c r="B62" i="3"/>
  <c r="C994" i="3"/>
  <c r="C990" i="3"/>
  <c r="C986" i="3"/>
  <c r="C982" i="3"/>
  <c r="C978" i="3"/>
  <c r="C974" i="3"/>
  <c r="C970" i="3"/>
  <c r="C966" i="3"/>
  <c r="C962" i="3"/>
  <c r="C958" i="3"/>
  <c r="C954" i="3"/>
  <c r="C950" i="3"/>
  <c r="C946" i="3"/>
  <c r="C942" i="3"/>
  <c r="C938" i="3"/>
  <c r="C934" i="3"/>
  <c r="C930" i="3"/>
  <c r="C926" i="3"/>
  <c r="C922" i="3"/>
  <c r="C918" i="3"/>
  <c r="C914" i="3"/>
  <c r="C910" i="3"/>
  <c r="C906" i="3"/>
  <c r="C902" i="3"/>
  <c r="C898" i="3"/>
  <c r="C894" i="3"/>
  <c r="C890" i="3"/>
  <c r="C886" i="3"/>
  <c r="C882" i="3"/>
  <c r="C878" i="3"/>
  <c r="C874" i="3"/>
  <c r="C870" i="3"/>
  <c r="C866" i="3"/>
  <c r="C862" i="3"/>
  <c r="C858" i="3"/>
  <c r="C854" i="3"/>
  <c r="C850" i="3"/>
  <c r="C846" i="3"/>
  <c r="C842" i="3"/>
  <c r="C838" i="3"/>
  <c r="C834" i="3"/>
  <c r="C830" i="3"/>
  <c r="C826" i="3"/>
  <c r="C822" i="3"/>
  <c r="C818" i="3"/>
  <c r="C814" i="3"/>
  <c r="C810" i="3"/>
  <c r="C806" i="3"/>
  <c r="C802" i="3"/>
  <c r="C798" i="3"/>
  <c r="C794" i="3"/>
  <c r="C790" i="3"/>
  <c r="C787" i="3"/>
  <c r="C783" i="3"/>
  <c r="C779" i="3"/>
  <c r="C775" i="3"/>
  <c r="C771" i="3"/>
  <c r="C768" i="3"/>
  <c r="C764" i="3"/>
  <c r="C760" i="3"/>
  <c r="C756" i="3"/>
  <c r="C752" i="3"/>
  <c r="C748" i="3"/>
  <c r="C744" i="3"/>
  <c r="C740" i="3"/>
  <c r="C736" i="3"/>
  <c r="C732" i="3"/>
  <c r="C728" i="3"/>
  <c r="C724" i="3"/>
  <c r="C720" i="3"/>
  <c r="C716" i="3"/>
  <c r="C712" i="3"/>
  <c r="C708" i="3"/>
  <c r="C704" i="3"/>
  <c r="C700" i="3"/>
  <c r="C696" i="3"/>
  <c r="C692" i="3"/>
  <c r="C688" i="3"/>
  <c r="C684" i="3"/>
  <c r="C680" i="3"/>
  <c r="C676" i="3"/>
  <c r="C672" i="3"/>
  <c r="C668" i="3"/>
  <c r="C664" i="3"/>
  <c r="C660" i="3"/>
  <c r="C656" i="3"/>
  <c r="C652" i="3"/>
  <c r="C648" i="3"/>
  <c r="C644" i="3"/>
  <c r="C640" i="3"/>
  <c r="C636" i="3"/>
  <c r="C632" i="3"/>
  <c r="C628" i="3"/>
  <c r="C624" i="3"/>
  <c r="C620" i="3"/>
  <c r="C616" i="3"/>
  <c r="C612" i="3"/>
  <c r="C608" i="3"/>
  <c r="C604" i="3"/>
  <c r="C600" i="3"/>
  <c r="C596" i="3"/>
  <c r="C592" i="3"/>
  <c r="C588" i="3"/>
  <c r="C584" i="3"/>
  <c r="C580" i="3"/>
  <c r="C576" i="3"/>
  <c r="C572" i="3"/>
  <c r="C568" i="3"/>
  <c r="C564" i="3"/>
  <c r="C560" i="3"/>
  <c r="C556" i="3"/>
  <c r="C552" i="3"/>
  <c r="C548" i="3"/>
  <c r="C544" i="3"/>
  <c r="C540" i="3"/>
  <c r="B540" i="3"/>
  <c r="C536" i="3"/>
  <c r="B536" i="3"/>
  <c r="C532" i="3"/>
  <c r="B532" i="3"/>
  <c r="C528" i="3"/>
  <c r="B528" i="3"/>
  <c r="C524" i="3"/>
  <c r="B524" i="3"/>
  <c r="C520" i="3"/>
  <c r="B520" i="3"/>
  <c r="C516" i="3"/>
  <c r="B516" i="3"/>
  <c r="C512" i="3"/>
  <c r="B512" i="3"/>
  <c r="C508" i="3"/>
  <c r="B508" i="3"/>
  <c r="C504" i="3"/>
  <c r="B504" i="3"/>
  <c r="C500" i="3"/>
  <c r="B500" i="3"/>
  <c r="C496" i="3"/>
  <c r="B496" i="3"/>
  <c r="C492" i="3"/>
  <c r="B492" i="3"/>
  <c r="C488" i="3"/>
  <c r="B488" i="3"/>
  <c r="C484" i="3"/>
  <c r="B484" i="3"/>
  <c r="C480" i="3"/>
  <c r="B480" i="3"/>
  <c r="C476" i="3"/>
  <c r="B476" i="3"/>
  <c r="C472" i="3"/>
  <c r="B472" i="3"/>
  <c r="C468" i="3"/>
  <c r="B468" i="3"/>
  <c r="C464" i="3"/>
  <c r="B464" i="3"/>
  <c r="C460" i="3"/>
  <c r="B460" i="3"/>
  <c r="C456" i="3"/>
  <c r="B456" i="3"/>
  <c r="C452" i="3"/>
  <c r="B452" i="3"/>
  <c r="C448" i="3"/>
  <c r="B448" i="3"/>
  <c r="C444" i="3"/>
  <c r="B444" i="3"/>
  <c r="C440" i="3"/>
  <c r="B440" i="3"/>
  <c r="C436" i="3"/>
  <c r="B436" i="3"/>
  <c r="C431" i="3"/>
  <c r="B431" i="3"/>
  <c r="C427" i="3"/>
  <c r="B427" i="3"/>
  <c r="C423" i="3"/>
  <c r="B423" i="3"/>
  <c r="C419" i="3"/>
  <c r="B419" i="3"/>
  <c r="C415" i="3"/>
  <c r="B415" i="3"/>
  <c r="C411" i="3"/>
  <c r="B411" i="3"/>
  <c r="C407" i="3"/>
  <c r="B407" i="3"/>
  <c r="C403" i="3"/>
  <c r="B403" i="3"/>
  <c r="C399" i="3"/>
  <c r="B399" i="3"/>
  <c r="C395" i="3"/>
  <c r="B395" i="3"/>
  <c r="C391" i="3"/>
  <c r="B391" i="3"/>
  <c r="C387" i="3"/>
  <c r="B387" i="3"/>
  <c r="C383" i="3"/>
  <c r="B383" i="3"/>
  <c r="C379" i="3"/>
  <c r="B379" i="3"/>
  <c r="C375" i="3"/>
  <c r="B375" i="3"/>
  <c r="C371" i="3"/>
  <c r="B371" i="3"/>
  <c r="C367" i="3"/>
  <c r="B367" i="3"/>
  <c r="C363" i="3"/>
  <c r="B363" i="3"/>
  <c r="C359" i="3"/>
  <c r="B359" i="3"/>
  <c r="C355" i="3"/>
  <c r="B355" i="3"/>
  <c r="C351" i="3"/>
  <c r="B351" i="3"/>
  <c r="C347" i="3"/>
  <c r="B347" i="3"/>
  <c r="C343" i="3"/>
  <c r="B343" i="3"/>
  <c r="C339" i="3"/>
  <c r="B339" i="3"/>
  <c r="C335" i="3"/>
  <c r="B335" i="3"/>
  <c r="C331" i="3"/>
  <c r="B331" i="3"/>
  <c r="C327" i="3"/>
  <c r="B327" i="3"/>
  <c r="C323" i="3"/>
  <c r="B323" i="3"/>
  <c r="C319" i="3"/>
  <c r="B319" i="3"/>
  <c r="C315" i="3"/>
  <c r="B315" i="3"/>
  <c r="C311" i="3"/>
  <c r="B311" i="3"/>
  <c r="C307" i="3"/>
  <c r="B307" i="3"/>
  <c r="C303" i="3"/>
  <c r="B303" i="3"/>
  <c r="C299" i="3"/>
  <c r="B299" i="3"/>
  <c r="C295" i="3"/>
  <c r="B295" i="3"/>
  <c r="C291" i="3"/>
  <c r="B291" i="3"/>
  <c r="C287" i="3"/>
  <c r="B287" i="3"/>
  <c r="C283" i="3"/>
  <c r="B283" i="3"/>
  <c r="C279" i="3"/>
  <c r="B279" i="3"/>
  <c r="C275" i="3"/>
  <c r="B275" i="3"/>
  <c r="C271" i="3"/>
  <c r="B271" i="3"/>
  <c r="C267" i="3"/>
  <c r="B267" i="3"/>
  <c r="C263" i="3"/>
  <c r="B263" i="3"/>
  <c r="C259" i="3"/>
  <c r="B259" i="3"/>
  <c r="C255" i="3"/>
  <c r="B255" i="3"/>
  <c r="C251" i="3"/>
  <c r="B251" i="3"/>
  <c r="C247" i="3"/>
  <c r="B247" i="3"/>
  <c r="C243" i="3"/>
  <c r="B243" i="3"/>
  <c r="C239" i="3"/>
  <c r="B239" i="3"/>
  <c r="C235" i="3"/>
  <c r="B235" i="3"/>
  <c r="C231" i="3"/>
  <c r="B231" i="3"/>
  <c r="C227" i="3"/>
  <c r="B227" i="3"/>
  <c r="C223" i="3"/>
  <c r="B223" i="3"/>
  <c r="C219" i="3"/>
  <c r="B219" i="3"/>
  <c r="C215" i="3"/>
  <c r="B215" i="3"/>
  <c r="C211" i="3"/>
  <c r="B211" i="3"/>
  <c r="C207" i="3"/>
  <c r="B207" i="3"/>
  <c r="C203" i="3"/>
  <c r="B203" i="3"/>
  <c r="C199" i="3"/>
  <c r="B199" i="3"/>
  <c r="C195" i="3"/>
  <c r="B195" i="3"/>
  <c r="C191" i="3"/>
  <c r="B191" i="3"/>
  <c r="C187" i="3"/>
  <c r="B187" i="3"/>
  <c r="C183" i="3"/>
  <c r="B183" i="3"/>
  <c r="C179" i="3"/>
  <c r="B179" i="3"/>
  <c r="C175" i="3"/>
  <c r="B175" i="3"/>
  <c r="C171" i="3"/>
  <c r="B171" i="3"/>
  <c r="C167" i="3"/>
  <c r="B167" i="3"/>
  <c r="C163" i="3"/>
  <c r="B163" i="3"/>
  <c r="C159" i="3"/>
  <c r="B159" i="3"/>
  <c r="C155" i="3"/>
  <c r="B155" i="3"/>
  <c r="C151" i="3"/>
  <c r="B151" i="3"/>
  <c r="C147" i="3"/>
  <c r="B147" i="3"/>
  <c r="C143" i="3"/>
  <c r="B143" i="3"/>
  <c r="C139" i="3"/>
  <c r="B139" i="3"/>
  <c r="C135" i="3"/>
  <c r="B135" i="3"/>
  <c r="C131" i="3"/>
  <c r="B131" i="3"/>
  <c r="C127" i="3"/>
  <c r="B127" i="3"/>
  <c r="C123" i="3"/>
  <c r="B123" i="3"/>
  <c r="C119" i="3"/>
  <c r="B119" i="3"/>
  <c r="C114" i="3"/>
  <c r="B114" i="3"/>
  <c r="C110" i="3"/>
  <c r="B110" i="3"/>
  <c r="C106" i="3"/>
  <c r="B106" i="3"/>
  <c r="C102" i="3"/>
  <c r="B102" i="3"/>
  <c r="C98" i="3"/>
  <c r="B98" i="3"/>
  <c r="C94" i="3"/>
  <c r="B94" i="3"/>
  <c r="C90" i="3"/>
  <c r="B90" i="3"/>
  <c r="C86" i="3"/>
  <c r="B86" i="3"/>
  <c r="C82" i="3"/>
  <c r="B82" i="3"/>
  <c r="C78" i="3"/>
  <c r="B78" i="3"/>
  <c r="C75" i="3"/>
  <c r="B75" i="3"/>
  <c r="C71" i="3"/>
  <c r="B71" i="3"/>
  <c r="C67" i="3"/>
  <c r="B67" i="3"/>
  <c r="C61" i="3"/>
  <c r="B61" i="3"/>
  <c r="C57" i="3"/>
  <c r="B57" i="3"/>
  <c r="C53" i="3"/>
  <c r="B53" i="3"/>
  <c r="C49" i="3"/>
  <c r="B49" i="3"/>
  <c r="C45" i="3"/>
  <c r="B45" i="3"/>
  <c r="C41" i="3"/>
  <c r="B41" i="3"/>
  <c r="C37" i="3"/>
  <c r="B37" i="3"/>
  <c r="C33" i="3"/>
  <c r="B33" i="3"/>
  <c r="C29" i="3"/>
  <c r="B29" i="3"/>
  <c r="C25" i="3"/>
  <c r="B25" i="3"/>
  <c r="C21" i="3"/>
  <c r="B21" i="3"/>
  <c r="C17" i="3"/>
  <c r="B17" i="3"/>
  <c r="C13" i="3"/>
  <c r="B13" i="3"/>
  <c r="C9" i="3"/>
  <c r="B9" i="3"/>
  <c r="C5" i="3"/>
  <c r="B5" i="3"/>
  <c r="C1000" i="3"/>
  <c r="B1000" i="3"/>
  <c r="B996" i="3"/>
  <c r="C996" i="3"/>
  <c r="B994" i="3"/>
  <c r="B990" i="3"/>
  <c r="B986" i="3"/>
  <c r="B982" i="3"/>
  <c r="B978" i="3"/>
  <c r="B974" i="3"/>
  <c r="B970" i="3"/>
  <c r="B966" i="3"/>
  <c r="B962" i="3"/>
  <c r="B958" i="3"/>
  <c r="B954" i="3"/>
  <c r="B950" i="3"/>
  <c r="B946" i="3"/>
  <c r="B942" i="3"/>
  <c r="B938" i="3"/>
  <c r="B934" i="3"/>
  <c r="B930" i="3"/>
  <c r="B926" i="3"/>
  <c r="B922" i="3"/>
  <c r="B918" i="3"/>
  <c r="B914" i="3"/>
  <c r="B910" i="3"/>
  <c r="B906" i="3"/>
  <c r="B902" i="3"/>
  <c r="B898" i="3"/>
  <c r="B894" i="3"/>
  <c r="B890" i="3"/>
  <c r="B886" i="3"/>
  <c r="B882" i="3"/>
  <c r="B878" i="3"/>
  <c r="B874" i="3"/>
  <c r="B870" i="3"/>
  <c r="B866" i="3"/>
  <c r="B862" i="3"/>
  <c r="B858" i="3"/>
  <c r="B854" i="3"/>
  <c r="B850" i="3"/>
  <c r="B846" i="3"/>
  <c r="B842" i="3"/>
  <c r="B838" i="3"/>
  <c r="B834" i="3"/>
  <c r="B830" i="3"/>
  <c r="B826" i="3"/>
  <c r="B822" i="3"/>
  <c r="B818" i="3"/>
  <c r="B814" i="3"/>
  <c r="B810" i="3"/>
  <c r="B806" i="3"/>
  <c r="B802" i="3"/>
  <c r="B798" i="3"/>
  <c r="B794" i="3"/>
  <c r="B790" i="3"/>
  <c r="B787" i="3"/>
  <c r="B783" i="3"/>
  <c r="B779" i="3"/>
  <c r="B775" i="3"/>
  <c r="B771" i="3"/>
  <c r="B768" i="3"/>
  <c r="B764" i="3"/>
  <c r="B760" i="3"/>
  <c r="B756" i="3"/>
  <c r="B752" i="3"/>
  <c r="B748" i="3"/>
  <c r="B744" i="3"/>
  <c r="B740" i="3"/>
  <c r="B736" i="3"/>
  <c r="B732" i="3"/>
  <c r="B728" i="3"/>
  <c r="B724" i="3"/>
  <c r="B720" i="3"/>
  <c r="B716" i="3"/>
  <c r="B712" i="3"/>
  <c r="B708" i="3"/>
  <c r="B704" i="3"/>
  <c r="B700" i="3"/>
  <c r="B696" i="3"/>
  <c r="B692" i="3"/>
  <c r="B688" i="3"/>
  <c r="B684" i="3"/>
  <c r="B680" i="3"/>
  <c r="B676" i="3"/>
  <c r="B672" i="3"/>
  <c r="B668" i="3"/>
  <c r="B664" i="3"/>
  <c r="B660" i="3"/>
  <c r="B656" i="3"/>
  <c r="B652" i="3"/>
  <c r="B648" i="3"/>
  <c r="B644" i="3"/>
  <c r="B640" i="3"/>
  <c r="B636" i="3"/>
  <c r="B632" i="3"/>
  <c r="B628" i="3"/>
  <c r="B624" i="3"/>
  <c r="B620" i="3"/>
  <c r="B616" i="3"/>
  <c r="B612" i="3"/>
  <c r="B608" i="3"/>
  <c r="B604" i="3"/>
  <c r="B600" i="3"/>
  <c r="B596" i="3"/>
  <c r="B592" i="3"/>
  <c r="B588" i="3"/>
  <c r="B584" i="3"/>
  <c r="B580" i="3"/>
  <c r="B576" i="3"/>
  <c r="B572" i="3"/>
  <c r="B568" i="3"/>
  <c r="B564" i="3"/>
  <c r="B559" i="3"/>
  <c r="B382" i="3"/>
  <c r="C995" i="3"/>
  <c r="C993" i="3"/>
  <c r="C989" i="3"/>
  <c r="C985" i="3"/>
  <c r="C981" i="3"/>
  <c r="C977" i="3"/>
  <c r="C973" i="3"/>
  <c r="C969" i="3"/>
  <c r="C965" i="3"/>
  <c r="C961" i="3"/>
  <c r="C957" i="3"/>
  <c r="C953" i="3"/>
  <c r="C949" i="3"/>
  <c r="C945" i="3"/>
  <c r="C941" i="3"/>
  <c r="C937" i="3"/>
  <c r="C933" i="3"/>
  <c r="C929" i="3"/>
  <c r="C925" i="3"/>
  <c r="C921" i="3"/>
  <c r="C917" i="3"/>
  <c r="C913" i="3"/>
  <c r="C909" i="3"/>
  <c r="C905" i="3"/>
  <c r="C901" i="3"/>
  <c r="C897" i="3"/>
  <c r="C893" i="3"/>
  <c r="C889" i="3"/>
  <c r="C885" i="3"/>
  <c r="C881" i="3"/>
  <c r="C877" i="3"/>
  <c r="C873" i="3"/>
  <c r="C869" i="3"/>
  <c r="C865" i="3"/>
  <c r="C861" i="3"/>
  <c r="C857" i="3"/>
  <c r="C853" i="3"/>
  <c r="C849" i="3"/>
  <c r="C845" i="3"/>
  <c r="C841" i="3"/>
  <c r="C837" i="3"/>
  <c r="C833" i="3"/>
  <c r="C829" i="3"/>
  <c r="C825" i="3"/>
  <c r="C821" i="3"/>
  <c r="C817" i="3"/>
  <c r="C813" i="3"/>
  <c r="C809" i="3"/>
  <c r="C805" i="3"/>
  <c r="C801" i="3"/>
  <c r="C797" i="3"/>
  <c r="C793" i="3"/>
  <c r="C789" i="3"/>
  <c r="C786" i="3"/>
  <c r="C782" i="3"/>
  <c r="C778" i="3"/>
  <c r="C774" i="3"/>
  <c r="C767" i="3"/>
  <c r="C763" i="3"/>
  <c r="C759" i="3"/>
  <c r="C755" i="3"/>
  <c r="C751" i="3"/>
  <c r="C747" i="3"/>
  <c r="C743" i="3"/>
  <c r="C739" i="3"/>
  <c r="C735" i="3"/>
  <c r="C731" i="3"/>
  <c r="C727" i="3"/>
  <c r="C723" i="3"/>
  <c r="C719" i="3"/>
  <c r="C715" i="3"/>
  <c r="C711" i="3"/>
  <c r="C707" i="3"/>
  <c r="C703" i="3"/>
  <c r="C699" i="3"/>
  <c r="C695" i="3"/>
  <c r="C691" i="3"/>
  <c r="C687" i="3"/>
  <c r="C683" i="3"/>
  <c r="C679" i="3"/>
  <c r="C675" i="3"/>
  <c r="C671" i="3"/>
  <c r="C667" i="3"/>
  <c r="C663" i="3"/>
  <c r="C659" i="3"/>
  <c r="C655" i="3"/>
  <c r="C651" i="3"/>
  <c r="C647" i="3"/>
  <c r="C643" i="3"/>
  <c r="C639" i="3"/>
  <c r="C635" i="3"/>
  <c r="C631" i="3"/>
  <c r="C627" i="3"/>
  <c r="C623" i="3"/>
  <c r="C619" i="3"/>
  <c r="C615" i="3"/>
  <c r="C611" i="3"/>
  <c r="C607" i="3"/>
  <c r="C603" i="3"/>
  <c r="C599" i="3"/>
  <c r="C595" i="3"/>
  <c r="C591" i="3"/>
  <c r="C587" i="3"/>
  <c r="C583" i="3"/>
  <c r="C579" i="3"/>
  <c r="C575" i="3"/>
  <c r="C571" i="3"/>
  <c r="C567" i="3"/>
  <c r="C563" i="3"/>
  <c r="C559" i="3"/>
  <c r="C555" i="3"/>
  <c r="C551" i="3"/>
  <c r="C547" i="3"/>
  <c r="C543" i="3"/>
  <c r="C539" i="3"/>
  <c r="C535" i="3"/>
  <c r="C531" i="3"/>
  <c r="C527" i="3"/>
  <c r="C523" i="3"/>
  <c r="C519" i="3"/>
  <c r="C515" i="3"/>
  <c r="C511" i="3"/>
  <c r="C507" i="3"/>
  <c r="C503" i="3"/>
  <c r="C499" i="3"/>
  <c r="C495" i="3"/>
  <c r="C491" i="3"/>
  <c r="C487" i="3"/>
  <c r="C483" i="3"/>
  <c r="C479" i="3"/>
  <c r="C475" i="3"/>
  <c r="C471" i="3"/>
  <c r="C467" i="3"/>
  <c r="C463" i="3"/>
  <c r="C459" i="3"/>
  <c r="C455" i="3"/>
  <c r="C451" i="3"/>
  <c r="C447" i="3"/>
  <c r="C443" i="3"/>
  <c r="C439" i="3"/>
  <c r="C434" i="3"/>
  <c r="C430" i="3"/>
  <c r="C426" i="3"/>
  <c r="C422" i="3"/>
  <c r="C418" i="3"/>
  <c r="C414" i="3"/>
  <c r="C410" i="3"/>
  <c r="C406" i="3"/>
  <c r="C402" i="3"/>
  <c r="C398" i="3"/>
  <c r="C394" i="3"/>
  <c r="C390" i="3"/>
  <c r="C386" i="3"/>
  <c r="C382" i="3"/>
  <c r="C378" i="3"/>
  <c r="C374" i="3"/>
  <c r="C370" i="3"/>
  <c r="C366" i="3"/>
  <c r="C362" i="3"/>
  <c r="C358" i="3"/>
  <c r="C354" i="3"/>
  <c r="C350" i="3"/>
  <c r="C346" i="3"/>
  <c r="C342" i="3"/>
  <c r="C338" i="3"/>
  <c r="C334" i="3"/>
  <c r="C330" i="3"/>
  <c r="C326" i="3"/>
  <c r="C322" i="3"/>
  <c r="C318" i="3"/>
  <c r="C314" i="3"/>
  <c r="C310" i="3"/>
  <c r="C306" i="3"/>
  <c r="C302" i="3"/>
  <c r="C298" i="3"/>
  <c r="C294" i="3"/>
  <c r="C290" i="3"/>
  <c r="C286" i="3"/>
  <c r="C282" i="3"/>
  <c r="C278" i="3"/>
  <c r="C274" i="3"/>
  <c r="C270" i="3"/>
  <c r="C266" i="3"/>
  <c r="C262" i="3"/>
  <c r="C258" i="3"/>
  <c r="C254" i="3"/>
  <c r="C250" i="3"/>
  <c r="C246" i="3"/>
  <c r="C242" i="3"/>
  <c r="C238" i="3"/>
  <c r="C234" i="3"/>
  <c r="C230" i="3"/>
  <c r="C226" i="3"/>
  <c r="C222" i="3"/>
  <c r="C218" i="3"/>
  <c r="C214" i="3"/>
  <c r="C210" i="3"/>
  <c r="C206" i="3"/>
  <c r="C202" i="3"/>
  <c r="C198" i="3"/>
  <c r="C194" i="3"/>
  <c r="C190" i="3"/>
  <c r="C186" i="3"/>
  <c r="C182" i="3"/>
  <c r="C178" i="3"/>
  <c r="C174" i="3"/>
  <c r="C170" i="3"/>
  <c r="C166" i="3"/>
  <c r="C162" i="3"/>
  <c r="C158" i="3"/>
  <c r="C154" i="3"/>
  <c r="C150" i="3"/>
  <c r="C146" i="3"/>
  <c r="C142" i="3"/>
  <c r="C138" i="3"/>
  <c r="C134" i="3"/>
  <c r="C130" i="3"/>
  <c r="C126" i="3"/>
  <c r="C122" i="3"/>
  <c r="C118" i="3"/>
  <c r="C113" i="3"/>
  <c r="C109" i="3"/>
  <c r="C105" i="3"/>
  <c r="C101" i="3"/>
  <c r="C97" i="3"/>
  <c r="C93" i="3"/>
  <c r="C89" i="3"/>
  <c r="C85" i="3"/>
  <c r="C81" i="3"/>
  <c r="C74" i="3"/>
  <c r="C70" i="3"/>
  <c r="C66" i="3"/>
  <c r="C60" i="3"/>
  <c r="C56" i="3"/>
  <c r="C52" i="3"/>
  <c r="C48" i="3"/>
  <c r="C44" i="3"/>
  <c r="C40" i="3"/>
  <c r="C36" i="3"/>
  <c r="C32" i="3"/>
  <c r="C28" i="3"/>
  <c r="C24" i="3"/>
  <c r="C20" i="3"/>
  <c r="C16" i="3"/>
  <c r="C12" i="3"/>
  <c r="C8" i="3"/>
  <c r="C435" i="3"/>
  <c r="C999" i="3"/>
  <c r="B999" i="3"/>
  <c r="B995" i="3"/>
  <c r="B993" i="3"/>
  <c r="B989" i="3"/>
  <c r="B985" i="3"/>
  <c r="B981" i="3"/>
  <c r="B977" i="3"/>
  <c r="B973" i="3"/>
  <c r="B969" i="3"/>
  <c r="B965" i="3"/>
  <c r="B961" i="3"/>
  <c r="B957" i="3"/>
  <c r="B953" i="3"/>
  <c r="B949" i="3"/>
  <c r="B945" i="3"/>
  <c r="B941" i="3"/>
  <c r="B937" i="3"/>
  <c r="B933" i="3"/>
  <c r="B929" i="3"/>
  <c r="B925" i="3"/>
  <c r="B921" i="3"/>
  <c r="B917" i="3"/>
  <c r="B913" i="3"/>
  <c r="B909" i="3"/>
  <c r="B905" i="3"/>
  <c r="B901" i="3"/>
  <c r="B897" i="3"/>
  <c r="B893" i="3"/>
  <c r="B889" i="3"/>
  <c r="B885" i="3"/>
  <c r="B881" i="3"/>
  <c r="B877" i="3"/>
  <c r="B873" i="3"/>
  <c r="B869" i="3"/>
  <c r="B865" i="3"/>
  <c r="B861" i="3"/>
  <c r="B857" i="3"/>
  <c r="B853" i="3"/>
  <c r="B849" i="3"/>
  <c r="B845" i="3"/>
  <c r="B841" i="3"/>
  <c r="B837" i="3"/>
  <c r="B833" i="3"/>
  <c r="B829" i="3"/>
  <c r="B825" i="3"/>
  <c r="B821" i="3"/>
  <c r="B817" i="3"/>
  <c r="B813" i="3"/>
  <c r="B809" i="3"/>
  <c r="B805" i="3"/>
  <c r="B801" i="3"/>
  <c r="B797" i="3"/>
  <c r="B793" i="3"/>
  <c r="B789" i="3"/>
  <c r="B786" i="3"/>
  <c r="B782" i="3"/>
  <c r="B778" i="3"/>
  <c r="B774" i="3"/>
  <c r="B767" i="3"/>
  <c r="B763" i="3"/>
  <c r="B759" i="3"/>
  <c r="B755" i="3"/>
  <c r="B751" i="3"/>
  <c r="B747" i="3"/>
  <c r="B743" i="3"/>
  <c r="B739" i="3"/>
  <c r="B735" i="3"/>
  <c r="B731" i="3"/>
  <c r="B727" i="3"/>
  <c r="B723" i="3"/>
  <c r="B719" i="3"/>
  <c r="B715" i="3"/>
  <c r="B711" i="3"/>
  <c r="B707" i="3"/>
  <c r="B703" i="3"/>
  <c r="B699" i="3"/>
  <c r="B695" i="3"/>
  <c r="B691" i="3"/>
  <c r="B687" i="3"/>
  <c r="B683" i="3"/>
  <c r="B679" i="3"/>
  <c r="B675" i="3"/>
  <c r="B671" i="3"/>
  <c r="B667" i="3"/>
  <c r="B663" i="3"/>
  <c r="B659" i="3"/>
  <c r="B655" i="3"/>
  <c r="B651" i="3"/>
  <c r="B647" i="3"/>
  <c r="B643" i="3"/>
  <c r="B639" i="3"/>
  <c r="B635" i="3"/>
  <c r="B631" i="3"/>
  <c r="B627" i="3"/>
  <c r="B623" i="3"/>
  <c r="B619" i="3"/>
  <c r="B615" i="3"/>
  <c r="B611" i="3"/>
  <c r="B607" i="3"/>
  <c r="B603" i="3"/>
  <c r="B599" i="3"/>
  <c r="B595" i="3"/>
  <c r="B591" i="3"/>
  <c r="B587" i="3"/>
  <c r="B583" i="3"/>
  <c r="B579" i="3"/>
  <c r="B575" i="3"/>
  <c r="B571" i="3"/>
  <c r="B567" i="3"/>
  <c r="B563" i="3"/>
  <c r="B556" i="3"/>
  <c r="B548" i="3"/>
  <c r="B539" i="3"/>
  <c r="B523" i="3"/>
  <c r="B507" i="3"/>
  <c r="B491" i="3"/>
  <c r="B475" i="3"/>
  <c r="B459" i="3"/>
  <c r="B443" i="3"/>
  <c r="B426" i="3"/>
  <c r="B410" i="3"/>
  <c r="B394" i="3"/>
  <c r="B378" i="3"/>
  <c r="B362" i="3"/>
  <c r="B346" i="3"/>
  <c r="B330" i="3"/>
  <c r="B314" i="3"/>
  <c r="B298" i="3"/>
  <c r="B282" i="3"/>
  <c r="B266" i="3"/>
  <c r="B250" i="3"/>
  <c r="B234" i="3"/>
  <c r="B218" i="3"/>
  <c r="B202" i="3"/>
  <c r="B186" i="3"/>
  <c r="B170" i="3"/>
  <c r="B154" i="3"/>
  <c r="B138" i="3"/>
  <c r="B122" i="3"/>
  <c r="B105" i="3"/>
  <c r="B89" i="3"/>
  <c r="B74" i="3"/>
  <c r="B56" i="3"/>
  <c r="B40" i="3"/>
  <c r="B24" i="3"/>
  <c r="B8" i="3"/>
  <c r="A610" i="3" l="1"/>
  <c r="A216" i="3"/>
  <c r="A83" i="3"/>
  <c r="A168" i="3"/>
  <c r="A324" i="3"/>
  <c r="A396" i="3"/>
  <c r="A453" i="3"/>
  <c r="A541" i="3"/>
  <c r="A609" i="3"/>
  <c r="A689" i="3"/>
  <c r="A761" i="3"/>
  <c r="A831" i="3"/>
  <c r="A855" i="3"/>
  <c r="A879" i="3"/>
  <c r="A935" i="3"/>
  <c r="A87" i="3"/>
  <c r="A160" i="3"/>
  <c r="A296" i="3"/>
  <c r="A364" i="3"/>
  <c r="A441" i="3"/>
  <c r="A481" i="3"/>
  <c r="A697" i="3"/>
  <c r="A765" i="3"/>
  <c r="A827" i="3"/>
  <c r="A891" i="3"/>
  <c r="A939" i="3"/>
  <c r="A224" i="3"/>
  <c r="A79" i="3"/>
  <c r="A356" i="3"/>
  <c r="A424" i="3"/>
  <c r="A465" i="3"/>
  <c r="A537" i="3"/>
  <c r="A617" i="3"/>
  <c r="A681" i="3"/>
  <c r="A757" i="3"/>
  <c r="A835" i="3"/>
  <c r="A931" i="3"/>
  <c r="A466" i="3"/>
  <c r="A478" i="3"/>
  <c r="A522" i="3"/>
  <c r="A542" i="3"/>
  <c r="A550" i="3"/>
  <c r="A554" i="3"/>
  <c r="A590" i="3"/>
  <c r="A650" i="3"/>
  <c r="A658" i="3"/>
  <c r="A670" i="3"/>
  <c r="A678" i="3"/>
  <c r="A754" i="3"/>
  <c r="A646" i="3"/>
  <c r="A633" i="3"/>
  <c r="A58" i="3"/>
  <c r="A140" i="3"/>
  <c r="A300" i="3"/>
  <c r="A372" i="3"/>
  <c r="A420" i="3"/>
  <c r="A517" i="3"/>
  <c r="A585" i="3"/>
  <c r="A657" i="3"/>
  <c r="A737" i="3"/>
  <c r="A788" i="3"/>
  <c r="A64" i="3"/>
  <c r="A132" i="3"/>
  <c r="A276" i="3"/>
  <c r="A344" i="3"/>
  <c r="A416" i="3"/>
  <c r="A461" i="3"/>
  <c r="A645" i="3"/>
  <c r="A721" i="3"/>
  <c r="A784" i="3"/>
  <c r="A851" i="3"/>
  <c r="A111" i="3"/>
  <c r="A380" i="3"/>
  <c r="A565" i="3"/>
  <c r="A637" i="3"/>
  <c r="A705" i="3"/>
  <c r="A780" i="3"/>
  <c r="A859" i="3"/>
  <c r="A999" i="3"/>
  <c r="A1000" i="3"/>
  <c r="A14" i="3"/>
  <c r="A429" i="3"/>
  <c r="A582" i="3"/>
  <c r="A766" i="3"/>
  <c r="A773" i="3"/>
  <c r="A824" i="3"/>
  <c r="A872" i="3"/>
  <c r="A900" i="3"/>
  <c r="A908" i="3"/>
  <c r="A490" i="3"/>
  <c r="A115" i="3"/>
  <c r="A272" i="3"/>
  <c r="A348" i="3"/>
  <c r="A561" i="3"/>
  <c r="A641" i="3"/>
  <c r="A713" i="3"/>
  <c r="A811" i="3"/>
  <c r="A107" i="3"/>
  <c r="A180" i="3"/>
  <c r="A320" i="3"/>
  <c r="A388" i="3"/>
  <c r="A673" i="3"/>
  <c r="A741" i="3"/>
  <c r="A807" i="3"/>
  <c r="A875" i="3"/>
  <c r="A915" i="3"/>
  <c r="A991" i="3"/>
  <c r="A54" i="3"/>
  <c r="A148" i="3"/>
  <c r="A400" i="3"/>
  <c r="A449" i="3"/>
  <c r="A513" i="3"/>
  <c r="A593" i="3"/>
  <c r="A661" i="3"/>
  <c r="A733" i="3"/>
  <c r="A803" i="3"/>
  <c r="A947" i="3"/>
  <c r="A987" i="3"/>
  <c r="A248" i="3"/>
  <c r="A454" i="3"/>
  <c r="A510" i="3"/>
  <c r="A746" i="3"/>
  <c r="A816" i="3"/>
  <c r="A828" i="3"/>
  <c r="A800" i="3"/>
  <c r="A812" i="3"/>
  <c r="A618" i="3"/>
  <c r="A734" i="3"/>
  <c r="A366" i="3"/>
  <c r="A414" i="3"/>
  <c r="A555" i="3"/>
  <c r="A715" i="3"/>
  <c r="A913" i="3"/>
  <c r="A70" i="3"/>
  <c r="A826" i="3"/>
  <c r="A778" i="3"/>
  <c r="A543" i="3"/>
  <c r="A362" i="3"/>
  <c r="A298" i="3"/>
  <c r="A233" i="3"/>
  <c r="A104" i="3"/>
  <c r="A801" i="3"/>
  <c r="A310" i="3"/>
  <c r="A591" i="3"/>
  <c r="A635" i="3"/>
  <c r="A782" i="3"/>
  <c r="A253" i="3"/>
  <c r="A587" i="3"/>
  <c r="A337" i="3"/>
  <c r="A369" i="3"/>
  <c r="A921" i="3"/>
  <c r="A861" i="3"/>
  <c r="A430" i="3"/>
  <c r="A85" i="3"/>
  <c r="A178" i="3"/>
  <c r="A398" i="3"/>
  <c r="A711" i="3"/>
  <c r="A278" i="3"/>
  <c r="A386" i="3"/>
  <c r="A703" i="3"/>
  <c r="A748" i="3"/>
  <c r="A680" i="3"/>
  <c r="A906" i="3"/>
  <c r="A966" i="3"/>
  <c r="A994" i="3"/>
  <c r="A254" i="3"/>
  <c r="A122" i="3"/>
  <c r="A611" i="3"/>
  <c r="A17" i="3"/>
  <c r="A580" i="3"/>
  <c r="A640" i="3"/>
  <c r="A986" i="3"/>
  <c r="A495" i="3"/>
  <c r="A195" i="3"/>
  <c r="A44" i="3"/>
  <c r="A93" i="3"/>
  <c r="A390" i="3"/>
  <c r="A774" i="3"/>
  <c r="A849" i="3"/>
  <c r="A193" i="3"/>
  <c r="A482" i="3"/>
  <c r="A287" i="3"/>
  <c r="A311" i="3"/>
  <c r="A395" i="3"/>
  <c r="A822" i="3"/>
  <c r="A962" i="3"/>
  <c r="A43" i="3"/>
  <c r="A51" i="3"/>
  <c r="A181" i="3"/>
  <c r="A341" i="3"/>
  <c r="A55" i="3"/>
  <c r="A90" i="3"/>
  <c r="A423" i="3"/>
  <c r="A200" i="3"/>
  <c r="A360" i="3"/>
  <c r="A573" i="3"/>
  <c r="A819" i="3"/>
  <c r="A220" i="3"/>
  <c r="A473" i="3"/>
  <c r="A509" i="3"/>
  <c r="A577" i="3"/>
  <c r="A625" i="3"/>
  <c r="A176" i="3"/>
  <c r="A280" i="3"/>
  <c r="A581" i="3"/>
  <c r="A955" i="3"/>
  <c r="A996" i="3"/>
  <c r="A1001" i="3"/>
  <c r="A38" i="3"/>
  <c r="A252" i="3"/>
  <c r="A502" i="3"/>
  <c r="A514" i="3"/>
  <c r="A534" i="3"/>
  <c r="A546" i="3"/>
  <c r="A598" i="3"/>
  <c r="A606" i="3"/>
  <c r="A666" i="3"/>
  <c r="A674" i="3"/>
  <c r="A686" i="3"/>
  <c r="A694" i="3"/>
  <c r="A698" i="3"/>
  <c r="A714" i="3"/>
  <c r="A762" i="3"/>
  <c r="A770" i="3"/>
  <c r="A781" i="3"/>
  <c r="A836" i="3"/>
  <c r="A856" i="3"/>
  <c r="A916" i="3"/>
  <c r="A932" i="3"/>
  <c r="A956" i="3"/>
  <c r="A972" i="3"/>
  <c r="A988" i="3"/>
  <c r="A876" i="3"/>
  <c r="A586" i="3"/>
  <c r="A498" i="3"/>
  <c r="A860" i="3"/>
  <c r="A578" i="3"/>
  <c r="A957" i="3"/>
  <c r="A941" i="3"/>
  <c r="A825" i="3"/>
  <c r="A763" i="3"/>
  <c r="A354" i="3"/>
  <c r="A322" i="3"/>
  <c r="A290" i="3"/>
  <c r="A186" i="3"/>
  <c r="A158" i="3"/>
  <c r="A265" i="3"/>
  <c r="A281" i="3"/>
  <c r="A297" i="3"/>
  <c r="A313" i="3"/>
  <c r="A358" i="3"/>
  <c r="A382" i="3"/>
  <c r="A402" i="3"/>
  <c r="A623" i="3"/>
  <c r="A699" i="3"/>
  <c r="A985" i="3"/>
  <c r="A829" i="3"/>
  <c r="A767" i="3"/>
  <c r="A627" i="3"/>
  <c r="A381" i="3"/>
  <c r="A246" i="3"/>
  <c r="A226" i="3"/>
  <c r="A109" i="3"/>
  <c r="A439" i="3"/>
  <c r="A463" i="3"/>
  <c r="A603" i="3"/>
  <c r="A675" i="3"/>
  <c r="A755" i="3"/>
  <c r="A989" i="3"/>
  <c r="A421" i="3"/>
  <c r="A873" i="3"/>
  <c r="A857" i="3"/>
  <c r="A426" i="3"/>
  <c r="A182" i="3"/>
  <c r="A294" i="3"/>
  <c r="A523" i="3"/>
  <c r="A567" i="3"/>
  <c r="A695" i="3"/>
  <c r="A893" i="3"/>
  <c r="A917" i="3"/>
  <c r="A270" i="3"/>
  <c r="A447" i="3"/>
  <c r="A599" i="3"/>
  <c r="A687" i="3"/>
  <c r="A704" i="3"/>
  <c r="A672" i="3"/>
  <c r="A604" i="3"/>
  <c r="A858" i="3"/>
  <c r="A874" i="3"/>
  <c r="A890" i="3"/>
  <c r="A926" i="3"/>
  <c r="A950" i="3"/>
  <c r="A487" i="3"/>
  <c r="A930" i="3"/>
  <c r="A862" i="3"/>
  <c r="A74" i="3"/>
  <c r="A47" i="3"/>
  <c r="A80" i="3"/>
  <c r="A173" i="3"/>
  <c r="A205" i="3"/>
  <c r="A491" i="3"/>
  <c r="A8" i="3"/>
  <c r="A75" i="3"/>
  <c r="A94" i="3"/>
  <c r="A123" i="3"/>
  <c r="A163" i="3"/>
  <c r="A271" i="3"/>
  <c r="A295" i="3"/>
  <c r="A315" i="3"/>
  <c r="A335" i="3"/>
  <c r="A359" i="3"/>
  <c r="A379" i="3"/>
  <c r="A419" i="3"/>
  <c r="A456" i="3"/>
  <c r="A480" i="3"/>
  <c r="A516" i="3"/>
  <c r="A548" i="3"/>
  <c r="A624" i="3"/>
  <c r="A636" i="3"/>
  <c r="A652" i="3"/>
  <c r="A708" i="3"/>
  <c r="A728" i="3"/>
  <c r="A736" i="3"/>
  <c r="A744" i="3"/>
  <c r="A779" i="3"/>
  <c r="A970" i="3"/>
  <c r="A990" i="3"/>
  <c r="A576" i="3"/>
  <c r="A452" i="3"/>
  <c r="A40" i="3"/>
  <c r="A632" i="3"/>
  <c r="A179" i="3"/>
  <c r="A102" i="3"/>
  <c r="A425" i="3"/>
  <c r="A12" i="3"/>
  <c r="A48" i="3"/>
  <c r="A97" i="3"/>
  <c r="A113" i="3"/>
  <c r="A134" i="3"/>
  <c r="A422" i="3"/>
  <c r="A527" i="3"/>
  <c r="A595" i="3"/>
  <c r="A723" i="3"/>
  <c r="A786" i="3"/>
  <c r="A821" i="3"/>
  <c r="A397" i="3"/>
  <c r="A145" i="3"/>
  <c r="A209" i="3"/>
  <c r="A385" i="3"/>
  <c r="A45" i="3"/>
  <c r="A78" i="3"/>
  <c r="A167" i="3"/>
  <c r="A183" i="3"/>
  <c r="A203" i="3"/>
  <c r="A223" i="3"/>
  <c r="A267" i="3"/>
  <c r="A291" i="3"/>
  <c r="A319" i="3"/>
  <c r="A343" i="3"/>
  <c r="A375" i="3"/>
  <c r="A403" i="3"/>
  <c r="A484" i="3"/>
  <c r="A834" i="3"/>
  <c r="A886" i="3"/>
  <c r="A103" i="3"/>
  <c r="A228" i="3"/>
  <c r="A7" i="3"/>
  <c r="A141" i="3"/>
  <c r="A237" i="3"/>
  <c r="A301" i="3"/>
  <c r="A365" i="3"/>
  <c r="A920" i="3"/>
  <c r="A69" i="3"/>
  <c r="A133" i="3"/>
  <c r="A293" i="3"/>
  <c r="A357" i="3"/>
  <c r="A852" i="3"/>
  <c r="A73" i="3"/>
  <c r="A98" i="3"/>
  <c r="A127" i="3"/>
  <c r="A155" i="3"/>
  <c r="A211" i="3"/>
  <c r="A299" i="3"/>
  <c r="A460" i="3"/>
  <c r="A552" i="3"/>
  <c r="A616" i="3"/>
  <c r="A700" i="3"/>
  <c r="A771" i="3"/>
  <c r="A842" i="3"/>
  <c r="A945" i="3"/>
  <c r="A459" i="3"/>
  <c r="A507" i="3"/>
  <c r="A877" i="3"/>
  <c r="A435" i="3"/>
  <c r="A302" i="3"/>
  <c r="A455" i="3"/>
  <c r="A535" i="3"/>
  <c r="A571" i="3"/>
  <c r="A162" i="3"/>
  <c r="A210" i="3"/>
  <c r="A981" i="3"/>
  <c r="A648" i="3"/>
  <c r="A810" i="3"/>
  <c r="A838" i="3"/>
  <c r="A503" i="3"/>
  <c r="A24" i="3"/>
  <c r="A219" i="3"/>
  <c r="A399" i="3"/>
  <c r="A556" i="3"/>
  <c r="A612" i="3"/>
  <c r="A371" i="3"/>
  <c r="A59" i="3"/>
  <c r="A137" i="3"/>
  <c r="A28" i="3"/>
  <c r="A66" i="3"/>
  <c r="A257" i="3"/>
  <c r="A884" i="3"/>
  <c r="A29" i="3"/>
  <c r="A239" i="3"/>
  <c r="A125" i="3"/>
  <c r="A285" i="3"/>
  <c r="A185" i="3"/>
  <c r="A506" i="3"/>
  <c r="A752" i="3"/>
  <c r="A469" i="3"/>
  <c r="A10" i="3"/>
  <c r="A557" i="3"/>
  <c r="A839" i="3"/>
  <c r="A156" i="3"/>
  <c r="A22" i="3"/>
  <c r="A368" i="3"/>
  <c r="A501" i="3"/>
  <c r="A244" i="3"/>
  <c r="A46" i="3"/>
  <c r="A72" i="3"/>
  <c r="A99" i="3"/>
  <c r="A128" i="3"/>
  <c r="A152" i="3"/>
  <c r="A260" i="3"/>
  <c r="A284" i="3"/>
  <c r="A308" i="3"/>
  <c r="A336" i="3"/>
  <c r="A384" i="3"/>
  <c r="A408" i="3"/>
  <c r="A432" i="3"/>
  <c r="A497" i="3"/>
  <c r="A529" i="3"/>
  <c r="A553" i="3"/>
  <c r="A597" i="3"/>
  <c r="A621" i="3"/>
  <c r="A653" i="3"/>
  <c r="A677" i="3"/>
  <c r="A701" i="3"/>
  <c r="A725" i="3"/>
  <c r="A749" i="3"/>
  <c r="A772" i="3"/>
  <c r="A799" i="3"/>
  <c r="A843" i="3"/>
  <c r="A867" i="3"/>
  <c r="A895" i="3"/>
  <c r="A919" i="3"/>
  <c r="A951" i="3"/>
  <c r="A983" i="3"/>
  <c r="A192" i="3"/>
  <c r="A50" i="3"/>
  <c r="A76" i="3"/>
  <c r="A95" i="3"/>
  <c r="A120" i="3"/>
  <c r="A144" i="3"/>
  <c r="A172" i="3"/>
  <c r="A264" i="3"/>
  <c r="A288" i="3"/>
  <c r="A312" i="3"/>
  <c r="A332" i="3"/>
  <c r="A352" i="3"/>
  <c r="A376" i="3"/>
  <c r="A404" i="3"/>
  <c r="A428" i="3"/>
  <c r="A445" i="3"/>
  <c r="A569" i="3"/>
  <c r="A665" i="3"/>
  <c r="A685" i="3"/>
  <c r="A709" i="3"/>
  <c r="A729" i="3"/>
  <c r="A753" i="3"/>
  <c r="A776" i="3"/>
  <c r="A795" i="3"/>
  <c r="A815" i="3"/>
  <c r="A863" i="3"/>
  <c r="A887" i="3"/>
  <c r="A903" i="3"/>
  <c r="A927" i="3"/>
  <c r="A959" i="3"/>
  <c r="A979" i="3"/>
  <c r="A42" i="3"/>
  <c r="A68" i="3"/>
  <c r="A91" i="3"/>
  <c r="A124" i="3"/>
  <c r="A340" i="3"/>
  <c r="A392" i="3"/>
  <c r="A412" i="3"/>
  <c r="A437" i="3"/>
  <c r="A457" i="3"/>
  <c r="A477" i="3"/>
  <c r="A525" i="3"/>
  <c r="A549" i="3"/>
  <c r="A605" i="3"/>
  <c r="A629" i="3"/>
  <c r="A649" i="3"/>
  <c r="A669" i="3"/>
  <c r="A693" i="3"/>
  <c r="A717" i="3"/>
  <c r="A745" i="3"/>
  <c r="A769" i="3"/>
  <c r="A791" i="3"/>
  <c r="A823" i="3"/>
  <c r="A847" i="3"/>
  <c r="A871" i="3"/>
  <c r="A899" i="3"/>
  <c r="A923" i="3"/>
  <c r="A943" i="3"/>
  <c r="A975" i="3"/>
  <c r="A997" i="3"/>
  <c r="A998" i="3"/>
  <c r="A438" i="3"/>
  <c r="A450" i="3"/>
  <c r="A494" i="3"/>
  <c r="A526" i="3"/>
  <c r="A538" i="3"/>
  <c r="A566" i="3"/>
  <c r="A614" i="3"/>
  <c r="A622" i="3"/>
  <c r="A626" i="3"/>
  <c r="A634" i="3"/>
  <c r="A638" i="3"/>
  <c r="A642" i="3"/>
  <c r="A682" i="3"/>
  <c r="A690" i="3"/>
  <c r="A718" i="3"/>
  <c r="A722" i="3"/>
  <c r="A730" i="3"/>
  <c r="A742" i="3"/>
  <c r="A777" i="3"/>
  <c r="A785" i="3"/>
  <c r="A796" i="3"/>
  <c r="A808" i="3"/>
  <c r="A832" i="3"/>
  <c r="A848" i="3"/>
  <c r="A864" i="3"/>
  <c r="A888" i="3"/>
  <c r="A892" i="3"/>
  <c r="A896" i="3"/>
  <c r="A904" i="3"/>
  <c r="A844" i="3"/>
  <c r="A594" i="3"/>
  <c r="A976" i="3"/>
  <c r="A868" i="3"/>
  <c r="A470" i="3"/>
  <c r="A558" i="3"/>
  <c r="A953" i="3"/>
  <c r="A937" i="3"/>
  <c r="A809" i="3"/>
  <c r="A378" i="3"/>
  <c r="A346" i="3"/>
  <c r="A314" i="3"/>
  <c r="A282" i="3"/>
  <c r="A206" i="3"/>
  <c r="A405" i="3"/>
  <c r="A326" i="3"/>
  <c r="A575" i="3"/>
  <c r="A607" i="3"/>
  <c r="A667" i="3"/>
  <c r="A683" i="3"/>
  <c r="A929" i="3"/>
  <c r="A813" i="3"/>
  <c r="A743" i="3"/>
  <c r="A413" i="3"/>
  <c r="A194" i="3"/>
  <c r="A126" i="3"/>
  <c r="A32" i="3"/>
  <c r="A511" i="3"/>
  <c r="A329" i="3"/>
  <c r="A345" i="3"/>
  <c r="A361" i="3"/>
  <c r="A377" i="3"/>
  <c r="A869" i="3"/>
  <c r="A853" i="3"/>
  <c r="A475" i="3"/>
  <c r="A234" i="3"/>
  <c r="A202" i="3"/>
  <c r="A166" i="3"/>
  <c r="A20" i="3"/>
  <c r="A154" i="3"/>
  <c r="A198" i="3"/>
  <c r="A262" i="3"/>
  <c r="A350" i="3"/>
  <c r="A443" i="3"/>
  <c r="A467" i="3"/>
  <c r="A679" i="3"/>
  <c r="A727" i="3"/>
  <c r="A885" i="3"/>
  <c r="A977" i="3"/>
  <c r="A52" i="3"/>
  <c r="A170" i="3"/>
  <c r="A190" i="3"/>
  <c r="A222" i="3"/>
  <c r="A242" i="3"/>
  <c r="A334" i="3"/>
  <c r="A434" i="3"/>
  <c r="A583" i="3"/>
  <c r="A655" i="3"/>
  <c r="A671" i="3"/>
  <c r="A735" i="3"/>
  <c r="A897" i="3"/>
  <c r="A961" i="3"/>
  <c r="A969" i="3"/>
  <c r="A995" i="3"/>
  <c r="A696" i="3"/>
  <c r="A664" i="3"/>
  <c r="A596" i="3"/>
  <c r="A756" i="3"/>
  <c r="A783" i="3"/>
  <c r="A818" i="3"/>
  <c r="A846" i="3"/>
  <c r="A914" i="3"/>
  <c r="A934" i="3"/>
  <c r="A958" i="3"/>
  <c r="A56" i="3"/>
  <c r="A902" i="3"/>
  <c r="A245" i="3"/>
  <c r="A531" i="3"/>
  <c r="A110" i="3"/>
  <c r="A139" i="3"/>
  <c r="A407" i="3"/>
  <c r="A496" i="3"/>
  <c r="A572" i="3"/>
  <c r="A584" i="3"/>
  <c r="A592" i="3"/>
  <c r="A608" i="3"/>
  <c r="A644" i="3"/>
  <c r="A676" i="3"/>
  <c r="A692" i="3"/>
  <c r="A768" i="3"/>
  <c r="A866" i="3"/>
  <c r="A910" i="3"/>
  <c r="A938" i="3"/>
  <c r="A431" i="3"/>
  <c r="A159" i="3"/>
  <c r="A620" i="3"/>
  <c r="A444" i="3"/>
  <c r="A218" i="3"/>
  <c r="A492" i="3"/>
  <c r="A339" i="3"/>
  <c r="A92" i="3"/>
  <c r="A9" i="3"/>
  <c r="A221" i="3"/>
  <c r="A16" i="3"/>
  <c r="A36" i="3"/>
  <c r="A81" i="3"/>
  <c r="A101" i="3"/>
  <c r="A118" i="3"/>
  <c r="A138" i="3"/>
  <c r="A471" i="3"/>
  <c r="A547" i="3"/>
  <c r="A747" i="3"/>
  <c r="A789" i="3"/>
  <c r="A833" i="3"/>
  <c r="A925" i="3"/>
  <c r="A77" i="3"/>
  <c r="A23" i="3"/>
  <c r="A161" i="3"/>
  <c r="A225" i="3"/>
  <c r="A401" i="3"/>
  <c r="A53" i="3"/>
  <c r="A86" i="3"/>
  <c r="A151" i="3"/>
  <c r="A187" i="3"/>
  <c r="A251" i="3"/>
  <c r="A323" i="3"/>
  <c r="A351" i="3"/>
  <c r="A383" i="3"/>
  <c r="A464" i="3"/>
  <c r="A520" i="3"/>
  <c r="A684" i="3"/>
  <c r="A764" i="3"/>
  <c r="A790" i="3"/>
  <c r="A870" i="3"/>
  <c r="A946" i="3"/>
  <c r="A974" i="3"/>
  <c r="A184" i="3"/>
  <c r="A157" i="3"/>
  <c r="A317" i="3"/>
  <c r="A446" i="3"/>
  <c r="A960" i="3"/>
  <c r="A240" i="3"/>
  <c r="A15" i="3"/>
  <c r="A84" i="3"/>
  <c r="A149" i="3"/>
  <c r="A229" i="3"/>
  <c r="A309" i="3"/>
  <c r="A373" i="3"/>
  <c r="A19" i="3"/>
  <c r="A88" i="3"/>
  <c r="A153" i="3"/>
  <c r="A217" i="3"/>
  <c r="A570" i="3"/>
  <c r="A67" i="3"/>
  <c r="A131" i="3"/>
  <c r="A215" i="3"/>
  <c r="A540" i="3"/>
  <c r="A560" i="3"/>
  <c r="A716" i="3"/>
  <c r="A878" i="3"/>
  <c r="A841" i="3"/>
  <c r="A615" i="3"/>
  <c r="A406" i="3"/>
  <c r="A330" i="3"/>
  <c r="A266" i="3"/>
  <c r="A845" i="3"/>
  <c r="A659" i="3"/>
  <c r="A519" i="3"/>
  <c r="A691" i="3"/>
  <c r="A321" i="3"/>
  <c r="A353" i="3"/>
  <c r="A146" i="3"/>
  <c r="A993" i="3"/>
  <c r="A751" i="3"/>
  <c r="A905" i="3"/>
  <c r="A965" i="3"/>
  <c r="A712" i="3"/>
  <c r="A775" i="3"/>
  <c r="A942" i="3"/>
  <c r="A954" i="3"/>
  <c r="A393" i="3"/>
  <c r="A41" i="3"/>
  <c r="A61" i="3"/>
  <c r="A82" i="3"/>
  <c r="A247" i="3"/>
  <c r="A436" i="3"/>
  <c r="A814" i="3"/>
  <c r="A830" i="3"/>
  <c r="A850" i="3"/>
  <c r="A169" i="3"/>
  <c r="A415" i="3"/>
  <c r="A112" i="3"/>
  <c r="A11" i="3"/>
  <c r="A129" i="3"/>
  <c r="A130" i="3"/>
  <c r="A230" i="3"/>
  <c r="A515" i="3"/>
  <c r="A563" i="3"/>
  <c r="A643" i="3"/>
  <c r="A817" i="3"/>
  <c r="A63" i="3"/>
  <c r="A143" i="3"/>
  <c r="A259" i="3"/>
  <c r="A476" i="3"/>
  <c r="A504" i="3"/>
  <c r="A532" i="3"/>
  <c r="A798" i="3"/>
  <c r="A854" i="3"/>
  <c r="A982" i="3"/>
  <c r="A212" i="3"/>
  <c r="A349" i="3"/>
  <c r="A116" i="3"/>
  <c r="A277" i="3"/>
  <c r="A249" i="3"/>
  <c r="A363" i="3"/>
  <c r="A13" i="3"/>
  <c r="A207" i="3"/>
  <c r="A243" i="3"/>
  <c r="A433" i="3"/>
  <c r="A204" i="3"/>
  <c r="A533" i="3"/>
  <c r="A601" i="3"/>
  <c r="A328" i="3"/>
  <c r="A30" i="3"/>
  <c r="A232" i="3"/>
  <c r="A304" i="3"/>
  <c r="A188" i="3"/>
  <c r="A485" i="3"/>
  <c r="A907" i="3"/>
  <c r="A971" i="3"/>
  <c r="A493" i="3"/>
  <c r="A34" i="3"/>
  <c r="A6" i="3"/>
  <c r="A505" i="3"/>
  <c r="A521" i="3"/>
  <c r="A545" i="3"/>
  <c r="A589" i="3"/>
  <c r="A613" i="3"/>
  <c r="A967" i="3"/>
  <c r="A236" i="3"/>
  <c r="A196" i="3"/>
  <c r="A26" i="3"/>
  <c r="A18" i="3"/>
  <c r="A164" i="3"/>
  <c r="A208" i="3"/>
  <c r="A268" i="3"/>
  <c r="A292" i="3"/>
  <c r="A316" i="3"/>
  <c r="A489" i="3"/>
  <c r="A883" i="3"/>
  <c r="A911" i="3"/>
  <c r="A963" i="3"/>
  <c r="B541" i="3"/>
  <c r="A442" i="3"/>
  <c r="A462" i="3"/>
  <c r="A474" i="3"/>
  <c r="A486" i="3"/>
  <c r="A518" i="3"/>
  <c r="A530" i="3"/>
  <c r="A562" i="3"/>
  <c r="A574" i="3"/>
  <c r="A630" i="3"/>
  <c r="A654" i="3"/>
  <c r="A662" i="3"/>
  <c r="A702" i="3"/>
  <c r="A706" i="3"/>
  <c r="A710" i="3"/>
  <c r="A738" i="3"/>
  <c r="A750" i="3"/>
  <c r="A758" i="3"/>
  <c r="A792" i="3"/>
  <c r="A804" i="3"/>
  <c r="A840" i="3"/>
  <c r="A880" i="3"/>
  <c r="A912" i="3"/>
  <c r="A924" i="3"/>
  <c r="A928" i="3"/>
  <c r="A940" i="3"/>
  <c r="A944" i="3"/>
  <c r="A948" i="3"/>
  <c r="A952" i="3"/>
  <c r="A964" i="3"/>
  <c r="A968" i="3"/>
  <c r="A980" i="3"/>
  <c r="A984" i="3"/>
  <c r="A992" i="3"/>
  <c r="A936" i="3"/>
  <c r="A820" i="3"/>
  <c r="A949" i="3"/>
  <c r="A793" i="3"/>
  <c r="A647" i="3"/>
  <c r="A551" i="3"/>
  <c r="A410" i="3"/>
  <c r="A370" i="3"/>
  <c r="A338" i="3"/>
  <c r="A306" i="3"/>
  <c r="A274" i="3"/>
  <c r="A250" i="3"/>
  <c r="A201" i="3"/>
  <c r="A174" i="3"/>
  <c r="A121" i="3"/>
  <c r="A273" i="3"/>
  <c r="A289" i="3"/>
  <c r="A305" i="3"/>
  <c r="A318" i="3"/>
  <c r="A374" i="3"/>
  <c r="A651" i="3"/>
  <c r="A731" i="3"/>
  <c r="A797" i="3"/>
  <c r="A409" i="3"/>
  <c r="A258" i="3"/>
  <c r="A238" i="3"/>
  <c r="A214" i="3"/>
  <c r="A451" i="3"/>
  <c r="A619" i="3"/>
  <c r="A707" i="3"/>
  <c r="A739" i="3"/>
  <c r="A909" i="3"/>
  <c r="A973" i="3"/>
  <c r="A389" i="3"/>
  <c r="A881" i="3"/>
  <c r="A865" i="3"/>
  <c r="A663" i="3"/>
  <c r="A394" i="3"/>
  <c r="A150" i="3"/>
  <c r="A342" i="3"/>
  <c r="A559" i="3"/>
  <c r="A901" i="3"/>
  <c r="A933" i="3"/>
  <c r="A286" i="3"/>
  <c r="A418" i="3"/>
  <c r="A539" i="3"/>
  <c r="A639" i="3"/>
  <c r="A719" i="3"/>
  <c r="A889" i="3"/>
  <c r="A720" i="3"/>
  <c r="A688" i="3"/>
  <c r="A656" i="3"/>
  <c r="A898" i="3"/>
  <c r="A499" i="3"/>
  <c r="A31" i="3"/>
  <c r="A65" i="3"/>
  <c r="A96" i="3"/>
  <c r="A197" i="3"/>
  <c r="A89" i="3"/>
  <c r="A37" i="3"/>
  <c r="A49" i="3"/>
  <c r="A106" i="3"/>
  <c r="A114" i="3"/>
  <c r="A199" i="3"/>
  <c r="A235" i="3"/>
  <c r="A263" i="3"/>
  <c r="A283" i="3"/>
  <c r="A303" i="3"/>
  <c r="A327" i="3"/>
  <c r="A347" i="3"/>
  <c r="A367" i="3"/>
  <c r="A391" i="3"/>
  <c r="A427" i="3"/>
  <c r="A448" i="3"/>
  <c r="A468" i="3"/>
  <c r="A488" i="3"/>
  <c r="A512" i="3"/>
  <c r="A524" i="3"/>
  <c r="A536" i="3"/>
  <c r="A544" i="3"/>
  <c r="A568" i="3"/>
  <c r="A628" i="3"/>
  <c r="A668" i="3"/>
  <c r="A732" i="3"/>
  <c r="A760" i="3"/>
  <c r="A787" i="3"/>
  <c r="A802" i="3"/>
  <c r="A882" i="3"/>
  <c r="A918" i="3"/>
  <c r="A508" i="3"/>
  <c r="A411" i="3"/>
  <c r="A307" i="3"/>
  <c r="A189" i="3"/>
  <c r="A27" i="3"/>
  <c r="A440" i="3"/>
  <c r="A213" i="3"/>
  <c r="A71" i="3"/>
  <c r="A483" i="3"/>
  <c r="A60" i="3"/>
  <c r="A105" i="3"/>
  <c r="A142" i="3"/>
  <c r="A479" i="3"/>
  <c r="A579" i="3"/>
  <c r="A631" i="3"/>
  <c r="A759" i="3"/>
  <c r="A805" i="3"/>
  <c r="A837" i="3"/>
  <c r="A177" i="3"/>
  <c r="A241" i="3"/>
  <c r="A417" i="3"/>
  <c r="A5" i="3"/>
  <c r="A25" i="3"/>
  <c r="A135" i="3"/>
  <c r="A175" i="3"/>
  <c r="A191" i="3"/>
  <c r="A231" i="3"/>
  <c r="A255" i="3"/>
  <c r="A279" i="3"/>
  <c r="A331" i="3"/>
  <c r="A355" i="3"/>
  <c r="A387" i="3"/>
  <c r="A472" i="3"/>
  <c r="A500" i="3"/>
  <c r="A528" i="3"/>
  <c r="A564" i="3"/>
  <c r="A600" i="3"/>
  <c r="A740" i="3"/>
  <c r="A794" i="3"/>
  <c r="A922" i="3"/>
  <c r="A978" i="3"/>
  <c r="A256" i="3"/>
  <c r="A108" i="3"/>
  <c r="A269" i="3"/>
  <c r="A333" i="3"/>
  <c r="A35" i="3"/>
  <c r="A100" i="3"/>
  <c r="A165" i="3"/>
  <c r="A261" i="3"/>
  <c r="A325" i="3"/>
  <c r="A726" i="3"/>
  <c r="A39" i="3"/>
  <c r="A458" i="3"/>
  <c r="A602" i="3"/>
  <c r="A21" i="3"/>
  <c r="A33" i="3"/>
  <c r="A57" i="3"/>
  <c r="A119" i="3"/>
  <c r="A147" i="3"/>
  <c r="A171" i="3"/>
  <c r="A227" i="3"/>
  <c r="A275" i="3"/>
  <c r="A136" i="3"/>
  <c r="A588" i="3"/>
  <c r="A660" i="3"/>
  <c r="A724" i="3"/>
  <c r="A806" i="3"/>
  <c r="A894" i="3"/>
  <c r="F28" i="3"/>
  <c r="F60" i="3"/>
  <c r="F110" i="3"/>
  <c r="F143" i="3"/>
  <c r="F191" i="3"/>
  <c r="F223" i="3"/>
  <c r="F271" i="3"/>
  <c r="F303" i="3"/>
  <c r="F335" i="3"/>
  <c r="F367" i="3"/>
  <c r="F399" i="3"/>
  <c r="F431" i="3"/>
  <c r="F464" i="3"/>
  <c r="F512" i="3"/>
  <c r="F545" i="3"/>
  <c r="F577" i="3"/>
  <c r="F609" i="3"/>
  <c r="F641" i="3"/>
  <c r="F673" i="3"/>
  <c r="F705" i="3"/>
  <c r="F737" i="3"/>
  <c r="F769" i="3"/>
  <c r="F801" i="3"/>
  <c r="F849" i="3"/>
  <c r="F881" i="3"/>
  <c r="F913" i="3"/>
  <c r="F945" i="3"/>
  <c r="F140" i="3"/>
  <c r="F204" i="3"/>
  <c r="F300" i="3"/>
  <c r="F332" i="3"/>
  <c r="F364" i="3"/>
  <c r="F396" i="3"/>
  <c r="F428" i="3"/>
  <c r="F461" i="3"/>
  <c r="F493" i="3"/>
  <c r="F542" i="3"/>
  <c r="F574" i="3"/>
  <c r="F606" i="3"/>
  <c r="F654" i="3"/>
  <c r="F702" i="3"/>
  <c r="F734" i="3"/>
  <c r="F798" i="3"/>
  <c r="F830" i="3"/>
  <c r="F862" i="3"/>
  <c r="F894" i="3"/>
  <c r="F926" i="3"/>
  <c r="F958" i="3"/>
  <c r="F990" i="3"/>
  <c r="F88" i="3"/>
  <c r="F153" i="3"/>
  <c r="F185" i="3"/>
  <c r="F249" i="3"/>
  <c r="F345" i="3"/>
  <c r="F377" i="3"/>
  <c r="F409" i="3"/>
  <c r="F442" i="3"/>
  <c r="F474" i="3"/>
  <c r="F506" i="3"/>
  <c r="F538" i="3"/>
  <c r="F571" i="3"/>
  <c r="F603" i="3"/>
  <c r="F635" i="3"/>
  <c r="F667" i="3"/>
  <c r="F699" i="3"/>
  <c r="F731" i="3"/>
  <c r="F763" i="3"/>
  <c r="F811" i="3"/>
  <c r="F843" i="3"/>
  <c r="F875" i="3"/>
  <c r="F907" i="3"/>
  <c r="F971" i="3"/>
  <c r="F63" i="3"/>
  <c r="F35" i="3"/>
  <c r="F65" i="3"/>
  <c r="F97" i="3"/>
  <c r="F130" i="3"/>
  <c r="F162" i="3"/>
  <c r="F210" i="3"/>
  <c r="F242" i="3"/>
  <c r="F274" i="3"/>
  <c r="F306" i="3"/>
  <c r="F338" i="3"/>
  <c r="F370" i="3"/>
  <c r="F402" i="3"/>
  <c r="F434" i="3"/>
  <c r="F467" i="3"/>
  <c r="F499" i="3"/>
  <c r="F531" i="3"/>
  <c r="F580" i="3"/>
  <c r="F612" i="3"/>
  <c r="F644" i="3"/>
  <c r="F676" i="3"/>
  <c r="F708" i="3"/>
  <c r="F756" i="3"/>
  <c r="F788" i="3"/>
  <c r="F820" i="3"/>
  <c r="F852" i="3"/>
  <c r="F884" i="3"/>
  <c r="F916" i="3"/>
  <c r="F948" i="3"/>
  <c r="F8" i="3"/>
  <c r="F40" i="3"/>
  <c r="F90" i="3"/>
  <c r="F123" i="3"/>
  <c r="F155" i="3"/>
  <c r="F171" i="3"/>
  <c r="F187" i="3"/>
  <c r="F235" i="3"/>
  <c r="F251" i="3"/>
  <c r="F267" i="3"/>
  <c r="F299" i="3"/>
  <c r="F331" i="3"/>
  <c r="F347" i="3"/>
  <c r="F363" i="3"/>
  <c r="F395" i="3"/>
  <c r="F411" i="3"/>
  <c r="F427" i="3"/>
  <c r="F444" i="3"/>
  <c r="F460" i="3"/>
  <c r="F492" i="3"/>
  <c r="F508" i="3"/>
  <c r="F524" i="3"/>
  <c r="F557" i="3"/>
  <c r="F605" i="3"/>
  <c r="F621" i="3"/>
  <c r="F637" i="3"/>
  <c r="F653" i="3"/>
  <c r="F669" i="3"/>
  <c r="F685" i="3"/>
  <c r="F701" i="3"/>
  <c r="F733" i="3"/>
  <c r="F765" i="3"/>
  <c r="F781" i="3"/>
  <c r="F797" i="3"/>
  <c r="F829" i="3"/>
  <c r="F845" i="3"/>
  <c r="F861" i="3"/>
  <c r="F877" i="3"/>
  <c r="F893" i="3"/>
  <c r="F989" i="3"/>
  <c r="F33" i="3"/>
  <c r="F49" i="3"/>
  <c r="F71" i="3"/>
  <c r="F87" i="3"/>
  <c r="F103" i="3"/>
  <c r="F152" i="3"/>
  <c r="F184" i="3"/>
  <c r="F216" i="3"/>
  <c r="F244" i="3"/>
  <c r="F260" i="3"/>
  <c r="F292" i="3"/>
  <c r="F308" i="3"/>
  <c r="F324" i="3"/>
  <c r="F340" i="3"/>
  <c r="F360" i="3"/>
  <c r="F392" i="3"/>
  <c r="F424" i="3"/>
  <c r="F537" i="3"/>
  <c r="F570" i="3"/>
  <c r="F602" i="3"/>
  <c r="F666" i="3"/>
  <c r="F698" i="3"/>
  <c r="F730" i="3"/>
  <c r="F762" i="3"/>
  <c r="F810" i="3"/>
  <c r="F842" i="3"/>
  <c r="F874" i="3"/>
  <c r="F906" i="3"/>
  <c r="F938" i="3"/>
  <c r="F970" i="3"/>
  <c r="F1001" i="3"/>
  <c r="F34" i="3"/>
  <c r="F68" i="3"/>
  <c r="F100" i="3"/>
  <c r="F133" i="3"/>
  <c r="F181" i="3"/>
  <c r="F261" i="3"/>
  <c r="F309" i="3"/>
  <c r="F341" i="3"/>
  <c r="F373" i="3"/>
  <c r="F405" i="3"/>
  <c r="F438" i="3"/>
  <c r="F470" i="3"/>
  <c r="F502" i="3"/>
  <c r="F534" i="3"/>
  <c r="F583" i="3"/>
  <c r="F647" i="3"/>
  <c r="F679" i="3"/>
  <c r="F711" i="3"/>
  <c r="F775" i="3"/>
  <c r="F807" i="3"/>
  <c r="F839" i="3"/>
  <c r="F935" i="3"/>
  <c r="F967" i="3"/>
  <c r="F998" i="3"/>
  <c r="F31" i="3"/>
  <c r="F77" i="3"/>
  <c r="F109" i="3"/>
  <c r="F158" i="3"/>
  <c r="F222" i="3"/>
  <c r="F254" i="3"/>
  <c r="F286" i="3"/>
  <c r="F318" i="3"/>
  <c r="F350" i="3"/>
  <c r="F382" i="3"/>
  <c r="F414" i="3"/>
  <c r="F447" i="3"/>
  <c r="F511" i="3"/>
  <c r="F544" i="3"/>
  <c r="F576" i="3"/>
  <c r="F640" i="3"/>
  <c r="F672" i="3"/>
  <c r="F704" i="3"/>
  <c r="F736" i="3"/>
  <c r="F768" i="3"/>
  <c r="F800" i="3"/>
  <c r="F832" i="3"/>
  <c r="F864" i="3"/>
  <c r="F944" i="3"/>
  <c r="F435" i="3"/>
  <c r="F20" i="3"/>
  <c r="F36" i="3"/>
  <c r="F52" i="3"/>
  <c r="F102" i="3"/>
  <c r="F119" i="3"/>
  <c r="F135" i="3"/>
  <c r="F167" i="3"/>
  <c r="F199" i="3"/>
  <c r="F215" i="3"/>
  <c r="F247" i="3"/>
  <c r="F263" i="3"/>
  <c r="F279" i="3"/>
  <c r="F311" i="3"/>
  <c r="F327" i="3"/>
  <c r="F343" i="3"/>
  <c r="F359" i="3"/>
  <c r="F375" i="3"/>
  <c r="F407" i="3"/>
  <c r="F423" i="3"/>
  <c r="F456" i="3"/>
  <c r="F472" i="3"/>
  <c r="F504" i="3"/>
  <c r="F536" i="3"/>
  <c r="F553" i="3"/>
  <c r="F569" i="3"/>
  <c r="F585" i="3"/>
  <c r="F601" i="3"/>
  <c r="F649" i="3"/>
  <c r="F665" i="3"/>
  <c r="F681" i="3"/>
  <c r="F713" i="3"/>
  <c r="F745" i="3"/>
  <c r="F777" i="3"/>
  <c r="F809" i="3"/>
  <c r="F841" i="3"/>
  <c r="F905" i="3"/>
  <c r="F937" i="3"/>
  <c r="F969" i="3"/>
  <c r="F1000" i="3"/>
  <c r="F132" i="3"/>
  <c r="F180" i="3"/>
  <c r="F212" i="3"/>
  <c r="F372" i="3"/>
  <c r="F404" i="3"/>
  <c r="F437" i="3"/>
  <c r="F469" i="3"/>
  <c r="F501" i="3"/>
  <c r="F533" i="3"/>
  <c r="F566" i="3"/>
  <c r="F598" i="3"/>
  <c r="F678" i="3"/>
  <c r="F742" i="3"/>
  <c r="F806" i="3"/>
  <c r="F838" i="3"/>
  <c r="F870" i="3"/>
  <c r="F902" i="3"/>
  <c r="F934" i="3"/>
  <c r="F966" i="3"/>
  <c r="F997" i="3"/>
  <c r="F14" i="3"/>
  <c r="F30" i="3"/>
  <c r="F64" i="3"/>
  <c r="F96" i="3"/>
  <c r="F129" i="3"/>
  <c r="F161" i="3"/>
  <c r="F193" i="3"/>
  <c r="F209" i="3"/>
  <c r="F225" i="3"/>
  <c r="F241" i="3"/>
  <c r="F257" i="3"/>
  <c r="F289" i="3"/>
  <c r="F305" i="3"/>
  <c r="F321" i="3"/>
  <c r="F337" i="3"/>
  <c r="F353" i="3"/>
  <c r="F385" i="3"/>
  <c r="F401" i="3"/>
  <c r="F417" i="3"/>
  <c r="F433" i="3"/>
  <c r="F450" i="3"/>
  <c r="F466" i="3"/>
  <c r="F482" i="3"/>
  <c r="F514" i="3"/>
  <c r="F547" i="3"/>
  <c r="F563" i="3"/>
  <c r="F595" i="3"/>
  <c r="F627" i="3"/>
  <c r="F659" i="3"/>
  <c r="F675" i="3"/>
  <c r="F691" i="3"/>
  <c r="F707" i="3"/>
  <c r="F723" i="3"/>
  <c r="F755" i="3"/>
  <c r="F771" i="3"/>
  <c r="F803" i="3"/>
  <c r="F835" i="3"/>
  <c r="F867" i="3"/>
  <c r="F883" i="3"/>
  <c r="F899" i="3"/>
  <c r="F915" i="3"/>
  <c r="F931" i="3"/>
  <c r="F963" i="3"/>
  <c r="F27" i="3"/>
  <c r="F73" i="3"/>
  <c r="F89" i="3"/>
  <c r="F105" i="3"/>
  <c r="F138" i="3"/>
  <c r="F154" i="3"/>
  <c r="F170" i="3"/>
  <c r="F202" i="3"/>
  <c r="F218" i="3"/>
  <c r="F266" i="3"/>
  <c r="F282" i="3"/>
  <c r="F298" i="3"/>
  <c r="F330" i="3"/>
  <c r="F346" i="3"/>
  <c r="F362" i="3"/>
  <c r="F394" i="3"/>
  <c r="F426" i="3"/>
  <c r="F443" i="3"/>
  <c r="F459" i="3"/>
  <c r="F491" i="3"/>
  <c r="F507" i="3"/>
  <c r="F523" i="3"/>
  <c r="F572" i="3"/>
  <c r="F604" i="3"/>
  <c r="F620" i="3"/>
  <c r="F636" i="3"/>
  <c r="F668" i="3"/>
  <c r="F684" i="3"/>
  <c r="F700" i="3"/>
  <c r="F716" i="3"/>
  <c r="F796" i="3"/>
  <c r="F812" i="3"/>
  <c r="F828" i="3"/>
  <c r="F860" i="3"/>
  <c r="F876" i="3"/>
  <c r="F892" i="3"/>
  <c r="F988" i="3"/>
  <c r="F183" i="3"/>
  <c r="F164" i="3"/>
  <c r="F646" i="3"/>
  <c r="F758" i="3"/>
  <c r="F530" i="3"/>
  <c r="F995" i="3"/>
  <c r="F43" i="3"/>
  <c r="F250" i="3"/>
  <c r="F652" i="3"/>
  <c r="F764" i="3"/>
  <c r="F940" i="3"/>
  <c r="F131" i="3"/>
  <c r="F532" i="3"/>
  <c r="F773" i="3"/>
  <c r="F9" i="3"/>
  <c r="F188" i="3"/>
  <c r="F706" i="3"/>
  <c r="F221" i="3"/>
  <c r="F639" i="3"/>
  <c r="F879" i="3"/>
  <c r="F390" i="3"/>
  <c r="F648" i="3"/>
  <c r="F776" i="3"/>
  <c r="F936" i="3"/>
  <c r="F78" i="3"/>
  <c r="F239" i="3"/>
  <c r="F833" i="3"/>
  <c r="F638" i="3"/>
  <c r="F766" i="3"/>
  <c r="F104" i="3"/>
  <c r="F779" i="3"/>
  <c r="F564" i="3"/>
  <c r="F980" i="3"/>
  <c r="F56" i="3"/>
  <c r="F589" i="3"/>
  <c r="F21" i="3"/>
  <c r="F136" i="3"/>
  <c r="F276" i="3"/>
  <c r="F521" i="3"/>
  <c r="F149" i="3"/>
  <c r="F293" i="3"/>
  <c r="F903" i="3"/>
  <c r="F142" i="3"/>
  <c r="F912" i="3"/>
  <c r="E203" i="3"/>
  <c r="E617" i="3"/>
  <c r="E937" i="3"/>
  <c r="E630" i="3"/>
  <c r="E741" i="3"/>
  <c r="E208" i="3"/>
  <c r="E136" i="3"/>
  <c r="E250" i="3"/>
  <c r="E446" i="3"/>
  <c r="E7" i="3"/>
  <c r="E55" i="3"/>
  <c r="E34" i="3"/>
  <c r="E903" i="3"/>
  <c r="E912" i="3"/>
  <c r="F541" i="3"/>
  <c r="F86" i="3"/>
  <c r="F151" i="3"/>
  <c r="F231" i="3"/>
  <c r="F295" i="3"/>
  <c r="F391" i="3"/>
  <c r="F488" i="3"/>
  <c r="F520" i="3"/>
  <c r="F633" i="3"/>
  <c r="F697" i="3"/>
  <c r="F729" i="3"/>
  <c r="F761" i="3"/>
  <c r="F793" i="3"/>
  <c r="F825" i="3"/>
  <c r="F857" i="3"/>
  <c r="F889" i="3"/>
  <c r="F921" i="3"/>
  <c r="F999" i="3"/>
  <c r="F16" i="3"/>
  <c r="F32" i="3"/>
  <c r="F48" i="3"/>
  <c r="F66" i="3"/>
  <c r="F82" i="3"/>
  <c r="F98" i="3"/>
  <c r="F114" i="3"/>
  <c r="F147" i="3"/>
  <c r="F163" i="3"/>
  <c r="F179" i="3"/>
  <c r="F195" i="3"/>
  <c r="F211" i="3"/>
  <c r="F227" i="3"/>
  <c r="F243" i="3"/>
  <c r="F259" i="3"/>
  <c r="F275" i="3"/>
  <c r="F291" i="3"/>
  <c r="F307" i="3"/>
  <c r="F323" i="3"/>
  <c r="F355" i="3"/>
  <c r="F371" i="3"/>
  <c r="F387" i="3"/>
  <c r="F403" i="3"/>
  <c r="F419" i="3"/>
  <c r="F436" i="3"/>
  <c r="F452" i="3"/>
  <c r="F468" i="3"/>
  <c r="F484" i="3"/>
  <c r="F500" i="3"/>
  <c r="F516" i="3"/>
  <c r="F549" i="3"/>
  <c r="F581" i="3"/>
  <c r="F597" i="3"/>
  <c r="F613" i="3"/>
  <c r="F629" i="3"/>
  <c r="F645" i="3"/>
  <c r="F661" i="3"/>
  <c r="F677" i="3"/>
  <c r="F693" i="3"/>
  <c r="F709" i="3"/>
  <c r="F725" i="3"/>
  <c r="F757" i="3"/>
  <c r="F789" i="3"/>
  <c r="F805" i="3"/>
  <c r="F837" i="3"/>
  <c r="F853" i="3"/>
  <c r="F869" i="3"/>
  <c r="F885" i="3"/>
  <c r="F901" i="3"/>
  <c r="F12" i="3"/>
  <c r="F44" i="3"/>
  <c r="F94" i="3"/>
  <c r="F127" i="3"/>
  <c r="F175" i="3"/>
  <c r="F207" i="3"/>
  <c r="F255" i="3"/>
  <c r="F287" i="3"/>
  <c r="F319" i="3"/>
  <c r="F351" i="3"/>
  <c r="F383" i="3"/>
  <c r="F415" i="3"/>
  <c r="F448" i="3"/>
  <c r="F480" i="3"/>
  <c r="F528" i="3"/>
  <c r="F561" i="3"/>
  <c r="F593" i="3"/>
  <c r="F625" i="3"/>
  <c r="F657" i="3"/>
  <c r="F689" i="3"/>
  <c r="F721" i="3"/>
  <c r="F753" i="3"/>
  <c r="F785" i="3"/>
  <c r="F817" i="3"/>
  <c r="F865" i="3"/>
  <c r="F897" i="3"/>
  <c r="F929" i="3"/>
  <c r="F961" i="3"/>
  <c r="F993" i="3"/>
  <c r="F24" i="3"/>
  <c r="F74" i="3"/>
  <c r="F106" i="3"/>
  <c r="F203" i="3"/>
  <c r="F219" i="3"/>
  <c r="F283" i="3"/>
  <c r="F315" i="3"/>
  <c r="F379" i="3"/>
  <c r="F476" i="3"/>
  <c r="F540" i="3"/>
  <c r="F573" i="3"/>
  <c r="F717" i="3"/>
  <c r="F749" i="3"/>
  <c r="F813" i="3"/>
  <c r="F996" i="3"/>
  <c r="F13" i="3"/>
  <c r="F41" i="3"/>
  <c r="F45" i="3"/>
  <c r="F57" i="3"/>
  <c r="F61" i="3"/>
  <c r="F75" i="3"/>
  <c r="F79" i="3"/>
  <c r="F91" i="3"/>
  <c r="F95" i="3"/>
  <c r="F107" i="3"/>
  <c r="F111" i="3"/>
  <c r="F124" i="3"/>
  <c r="F128" i="3"/>
  <c r="F144" i="3"/>
  <c r="F156" i="3"/>
  <c r="F160" i="3"/>
  <c r="F176" i="3"/>
  <c r="F192" i="3"/>
  <c r="F208" i="3"/>
  <c r="F220" i="3"/>
  <c r="F224" i="3"/>
  <c r="F236" i="3"/>
  <c r="F240" i="3"/>
  <c r="F252" i="3"/>
  <c r="F256" i="3"/>
  <c r="F268" i="3"/>
  <c r="F272" i="3"/>
  <c r="F288" i="3"/>
  <c r="F304" i="3"/>
  <c r="F320" i="3"/>
  <c r="F336" i="3"/>
  <c r="F352" i="3"/>
  <c r="F368" i="3"/>
  <c r="F384" i="3"/>
  <c r="F400" i="3"/>
  <c r="F416" i="3"/>
  <c r="F432" i="3"/>
  <c r="F449" i="3"/>
  <c r="F465" i="3"/>
  <c r="F481" i="3"/>
  <c r="F497" i="3"/>
  <c r="F513" i="3"/>
  <c r="F529" i="3"/>
  <c r="F546" i="3"/>
  <c r="F562" i="3"/>
  <c r="F578" i="3"/>
  <c r="F594" i="3"/>
  <c r="F610" i="3"/>
  <c r="F626" i="3"/>
  <c r="F642" i="3"/>
  <c r="F658" i="3"/>
  <c r="F690" i="3"/>
  <c r="F722" i="3"/>
  <c r="F738" i="3"/>
  <c r="F754" i="3"/>
  <c r="F770" i="3"/>
  <c r="F786" i="3"/>
  <c r="F802" i="3"/>
  <c r="F818" i="3"/>
  <c r="F834" i="3"/>
  <c r="F850" i="3"/>
  <c r="F866" i="3"/>
  <c r="F882" i="3"/>
  <c r="F898" i="3"/>
  <c r="F914" i="3"/>
  <c r="F930" i="3"/>
  <c r="F946" i="3"/>
  <c r="F962" i="3"/>
  <c r="F978" i="3"/>
  <c r="F112" i="3"/>
  <c r="F145" i="3"/>
  <c r="F177" i="3"/>
  <c r="F273" i="3"/>
  <c r="F369" i="3"/>
  <c r="F498" i="3"/>
  <c r="F579" i="3"/>
  <c r="F611" i="3"/>
  <c r="F643" i="3"/>
  <c r="F787" i="3"/>
  <c r="F819" i="3"/>
  <c r="F851" i="3"/>
  <c r="F979" i="3"/>
  <c r="F59" i="3"/>
  <c r="F122" i="3"/>
  <c r="F234" i="3"/>
  <c r="F314" i="3"/>
  <c r="F378" i="3"/>
  <c r="F410" i="3"/>
  <c r="F475" i="3"/>
  <c r="F539" i="3"/>
  <c r="F588" i="3"/>
  <c r="F732" i="3"/>
  <c r="F844" i="3"/>
  <c r="F908" i="3"/>
  <c r="F972" i="3"/>
  <c r="F909" i="3"/>
  <c r="F925" i="3"/>
  <c r="F941" i="3"/>
  <c r="F973" i="3"/>
  <c r="F172" i="3"/>
  <c r="F284" i="3"/>
  <c r="F316" i="3"/>
  <c r="F348" i="3"/>
  <c r="F380" i="3"/>
  <c r="F412" i="3"/>
  <c r="F477" i="3"/>
  <c r="F525" i="3"/>
  <c r="F558" i="3"/>
  <c r="F590" i="3"/>
  <c r="F622" i="3"/>
  <c r="F686" i="3"/>
  <c r="F718" i="3"/>
  <c r="F750" i="3"/>
  <c r="F814" i="3"/>
  <c r="F846" i="3"/>
  <c r="F878" i="3"/>
  <c r="F910" i="3"/>
  <c r="F942" i="3"/>
  <c r="F974" i="3"/>
  <c r="F10" i="3"/>
  <c r="F26" i="3"/>
  <c r="F58" i="3"/>
  <c r="F92" i="3"/>
  <c r="F108" i="3"/>
  <c r="F125" i="3"/>
  <c r="F141" i="3"/>
  <c r="F173" i="3"/>
  <c r="F189" i="3"/>
  <c r="F205" i="3"/>
  <c r="F237" i="3"/>
  <c r="F253" i="3"/>
  <c r="F269" i="3"/>
  <c r="F281" i="3"/>
  <c r="F285" i="3"/>
  <c r="F297" i="3"/>
  <c r="F301" i="3"/>
  <c r="F313" i="3"/>
  <c r="F317" i="3"/>
  <c r="F329" i="3"/>
  <c r="F333" i="3"/>
  <c r="F349" i="3"/>
  <c r="F365" i="3"/>
  <c r="F381" i="3"/>
  <c r="F397" i="3"/>
  <c r="F413" i="3"/>
  <c r="F429" i="3"/>
  <c r="F462" i="3"/>
  <c r="F478" i="3"/>
  <c r="F510" i="3"/>
  <c r="F526" i="3"/>
  <c r="F543" i="3"/>
  <c r="F559" i="3"/>
  <c r="F575" i="3"/>
  <c r="F591" i="3"/>
  <c r="F607" i="3"/>
  <c r="F623" i="3"/>
  <c r="F655" i="3"/>
  <c r="F671" i="3"/>
  <c r="F687" i="3"/>
  <c r="F703" i="3"/>
  <c r="F719" i="3"/>
  <c r="F735" i="3"/>
  <c r="F767" i="3"/>
  <c r="F783" i="3"/>
  <c r="F799" i="3"/>
  <c r="F815" i="3"/>
  <c r="F831" i="3"/>
  <c r="F847" i="3"/>
  <c r="F863" i="3"/>
  <c r="F895" i="3"/>
  <c r="F911" i="3"/>
  <c r="F927" i="3"/>
  <c r="F943" i="3"/>
  <c r="F959" i="3"/>
  <c r="F991" i="3"/>
  <c r="F39" i="3"/>
  <c r="F55" i="3"/>
  <c r="F69" i="3"/>
  <c r="F85" i="3"/>
  <c r="F101" i="3"/>
  <c r="F118" i="3"/>
  <c r="F134" i="3"/>
  <c r="F150" i="3"/>
  <c r="F166" i="3"/>
  <c r="F182" i="3"/>
  <c r="F198" i="3"/>
  <c r="F214" i="3"/>
  <c r="F230" i="3"/>
  <c r="F246" i="3"/>
  <c r="F262" i="3"/>
  <c r="F278" i="3"/>
  <c r="F294" i="3"/>
  <c r="F310" i="3"/>
  <c r="F326" i="3"/>
  <c r="F342" i="3"/>
  <c r="F358" i="3"/>
  <c r="F374" i="3"/>
  <c r="F406" i="3"/>
  <c r="F422" i="3"/>
  <c r="F455" i="3"/>
  <c r="F471" i="3"/>
  <c r="F487" i="3"/>
  <c r="F503" i="3"/>
  <c r="F519" i="3"/>
  <c r="F535" i="3"/>
  <c r="F552" i="3"/>
  <c r="F584" i="3"/>
  <c r="F600" i="3"/>
  <c r="F616" i="3"/>
  <c r="F632" i="3"/>
  <c r="F664" i="3"/>
  <c r="F680" i="3"/>
  <c r="F696" i="3"/>
  <c r="F712" i="3"/>
  <c r="F728" i="3"/>
  <c r="F760" i="3"/>
  <c r="F792" i="3"/>
  <c r="F808" i="3"/>
  <c r="F824" i="3"/>
  <c r="F840" i="3"/>
  <c r="F856" i="3"/>
  <c r="F872" i="3"/>
  <c r="F904" i="3"/>
  <c r="F920" i="3"/>
  <c r="F952" i="3"/>
  <c r="F968" i="3"/>
  <c r="F984" i="3"/>
  <c r="F953" i="3"/>
  <c r="F985" i="3"/>
  <c r="F17" i="3"/>
  <c r="F37" i="3"/>
  <c r="F67" i="3"/>
  <c r="F99" i="3"/>
  <c r="F120" i="3"/>
  <c r="F168" i="3"/>
  <c r="F200" i="3"/>
  <c r="F232" i="3"/>
  <c r="F248" i="3"/>
  <c r="F264" i="3"/>
  <c r="F296" i="3"/>
  <c r="F312" i="3"/>
  <c r="F328" i="3"/>
  <c r="F344" i="3"/>
  <c r="F376" i="3"/>
  <c r="F408" i="3"/>
  <c r="F441" i="3"/>
  <c r="F473" i="3"/>
  <c r="F489" i="3"/>
  <c r="F505" i="3"/>
  <c r="F554" i="3"/>
  <c r="F586" i="3"/>
  <c r="F618" i="3"/>
  <c r="F634" i="3"/>
  <c r="F650" i="3"/>
  <c r="F682" i="3"/>
  <c r="F714" i="3"/>
  <c r="F746" i="3"/>
  <c r="F778" i="3"/>
  <c r="F826" i="3"/>
  <c r="F858" i="3"/>
  <c r="F890" i="3"/>
  <c r="F922" i="3"/>
  <c r="F954" i="3"/>
  <c r="F986" i="3"/>
  <c r="F6" i="3"/>
  <c r="F22" i="3"/>
  <c r="F38" i="3"/>
  <c r="F72" i="3"/>
  <c r="F121" i="3"/>
  <c r="F169" i="3"/>
  <c r="F201" i="3"/>
  <c r="F233" i="3"/>
  <c r="F265" i="3"/>
  <c r="F361" i="3"/>
  <c r="F393" i="3"/>
  <c r="F425" i="3"/>
  <c r="F458" i="3"/>
  <c r="F490" i="3"/>
  <c r="F522" i="3"/>
  <c r="F555" i="3"/>
  <c r="F587" i="3"/>
  <c r="F619" i="3"/>
  <c r="F651" i="3"/>
  <c r="F683" i="3"/>
  <c r="F715" i="3"/>
  <c r="F747" i="3"/>
  <c r="F795" i="3"/>
  <c r="F827" i="3"/>
  <c r="F859" i="3"/>
  <c r="F891" i="3"/>
  <c r="F923" i="3"/>
  <c r="F955" i="3"/>
  <c r="F987" i="3"/>
  <c r="F19" i="3"/>
  <c r="F51" i="3"/>
  <c r="F81" i="3"/>
  <c r="F113" i="3"/>
  <c r="F146" i="3"/>
  <c r="F194" i="3"/>
  <c r="F226" i="3"/>
  <c r="F258" i="3"/>
  <c r="F290" i="3"/>
  <c r="F322" i="3"/>
  <c r="F354" i="3"/>
  <c r="F386" i="3"/>
  <c r="F418" i="3"/>
  <c r="F451" i="3"/>
  <c r="F483" i="3"/>
  <c r="F515" i="3"/>
  <c r="F548" i="3"/>
  <c r="F596" i="3"/>
  <c r="F628" i="3"/>
  <c r="F660" i="3"/>
  <c r="F692" i="3"/>
  <c r="F740" i="3"/>
  <c r="F772" i="3"/>
  <c r="F804" i="3"/>
  <c r="F836" i="3"/>
  <c r="F868" i="3"/>
  <c r="F900" i="3"/>
  <c r="F932" i="3"/>
  <c r="F964" i="3"/>
  <c r="F917" i="3"/>
  <c r="F933" i="3"/>
  <c r="F949" i="3"/>
  <c r="F965" i="3"/>
  <c r="F981" i="3"/>
  <c r="F115" i="3"/>
  <c r="F148" i="3"/>
  <c r="F196" i="3"/>
  <c r="F356" i="3"/>
  <c r="F388" i="3"/>
  <c r="F420" i="3"/>
  <c r="F453" i="3"/>
  <c r="F485" i="3"/>
  <c r="F517" i="3"/>
  <c r="F550" i="3"/>
  <c r="F582" i="3"/>
  <c r="F614" i="3"/>
  <c r="F694" i="3"/>
  <c r="F710" i="3"/>
  <c r="F726" i="3"/>
  <c r="F774" i="3"/>
  <c r="F822" i="3"/>
  <c r="F854" i="3"/>
  <c r="F886" i="3"/>
  <c r="F918" i="3"/>
  <c r="F950" i="3"/>
  <c r="F982" i="3"/>
  <c r="F18" i="3"/>
  <c r="F50" i="3"/>
  <c r="F84" i="3"/>
  <c r="F116" i="3"/>
  <c r="F165" i="3"/>
  <c r="F197" i="3"/>
  <c r="F213" i="3"/>
  <c r="F245" i="3"/>
  <c r="F277" i="3"/>
  <c r="F325" i="3"/>
  <c r="F357" i="3"/>
  <c r="F389" i="3"/>
  <c r="F421" i="3"/>
  <c r="F454" i="3"/>
  <c r="F486" i="3"/>
  <c r="F518" i="3"/>
  <c r="F567" i="3"/>
  <c r="F599" i="3"/>
  <c r="F631" i="3"/>
  <c r="F663" i="3"/>
  <c r="F695" i="3"/>
  <c r="F727" i="3"/>
  <c r="F743" i="3"/>
  <c r="F759" i="3"/>
  <c r="F791" i="3"/>
  <c r="F823" i="3"/>
  <c r="F855" i="3"/>
  <c r="F871" i="3"/>
  <c r="F887" i="3"/>
  <c r="F951" i="3"/>
  <c r="F983" i="3"/>
  <c r="F15" i="3"/>
  <c r="F47" i="3"/>
  <c r="F126" i="3"/>
  <c r="F174" i="3"/>
  <c r="F206" i="3"/>
  <c r="F238" i="3"/>
  <c r="F270" i="3"/>
  <c r="F302" i="3"/>
  <c r="F334" i="3"/>
  <c r="F366" i="3"/>
  <c r="F398" i="3"/>
  <c r="F430" i="3"/>
  <c r="F463" i="3"/>
  <c r="F479" i="3"/>
  <c r="F495" i="3"/>
  <c r="F527" i="3"/>
  <c r="F560" i="3"/>
  <c r="F592" i="3"/>
  <c r="F608" i="3"/>
  <c r="F624" i="3"/>
  <c r="F656" i="3"/>
  <c r="F688" i="3"/>
  <c r="F720" i="3"/>
  <c r="F752" i="3"/>
  <c r="F784" i="3"/>
  <c r="F816" i="3"/>
  <c r="F848" i="3"/>
  <c r="F896" i="3"/>
  <c r="F960" i="3"/>
  <c r="F992" i="3"/>
  <c r="E9" i="3"/>
  <c r="F821" i="3"/>
  <c r="F744" i="3"/>
  <c r="F748" i="3"/>
  <c r="F178" i="3"/>
  <c r="F186" i="3"/>
  <c r="F780" i="3"/>
  <c r="F7" i="3"/>
  <c r="F280" i="3"/>
  <c r="F741" i="3"/>
  <c r="F229" i="3"/>
  <c r="E390" i="3"/>
  <c r="F439" i="3"/>
  <c r="F551" i="3"/>
  <c r="F739" i="3"/>
  <c r="F339" i="3"/>
  <c r="F496" i="3"/>
  <c r="E680" i="3"/>
  <c r="F782" i="3"/>
  <c r="F919" i="3"/>
  <c r="F11" i="3"/>
  <c r="F674" i="3"/>
  <c r="F956" i="3"/>
  <c r="F29" i="3"/>
  <c r="F53" i="3"/>
  <c r="F159" i="3"/>
  <c r="F556" i="3"/>
  <c r="F790" i="3"/>
  <c r="F794" i="3"/>
  <c r="F751" i="3"/>
  <c r="F5" i="3"/>
  <c r="F139" i="3"/>
  <c r="F724" i="3"/>
  <c r="F509" i="3"/>
  <c r="D541" i="3"/>
  <c r="F617" i="3"/>
  <c r="F888" i="3"/>
  <c r="E633" i="3"/>
  <c r="F446" i="3"/>
  <c r="F670" i="3"/>
  <c r="F630" i="3"/>
  <c r="F662" i="3"/>
  <c r="E220" i="3"/>
  <c r="F228" i="3"/>
  <c r="F42" i="3"/>
  <c r="F880" i="3"/>
  <c r="F928" i="3"/>
  <c r="F137" i="3"/>
  <c r="E233" i="3"/>
  <c r="D295" i="3" l="1"/>
  <c r="D144" i="3"/>
  <c r="D200" i="3"/>
  <c r="D618" i="3"/>
  <c r="D810" i="3"/>
  <c r="D493" i="3"/>
  <c r="D252" i="3"/>
  <c r="D729" i="3"/>
  <c r="D993" i="3"/>
  <c r="D363" i="3"/>
  <c r="D283" i="3"/>
  <c r="D87" i="3"/>
  <c r="D267" i="3"/>
  <c r="D992" i="3"/>
  <c r="D353" i="3"/>
  <c r="D864" i="3"/>
  <c r="D672" i="3"/>
  <c r="D151" i="3"/>
  <c r="D52" i="3"/>
  <c r="D106" i="3"/>
  <c r="D395" i="3"/>
  <c r="D27" i="3"/>
  <c r="D832" i="3"/>
  <c r="D640" i="3"/>
  <c r="D222" i="3"/>
  <c r="D285" i="3"/>
  <c r="D256" i="3"/>
  <c r="D45" i="3"/>
  <c r="D375" i="3"/>
  <c r="D407" i="3"/>
  <c r="D279" i="3"/>
  <c r="D119" i="3"/>
  <c r="D870" i="3"/>
  <c r="D414" i="3"/>
  <c r="D350" i="3"/>
  <c r="D331" i="3"/>
  <c r="D318" i="3"/>
  <c r="D235" i="3"/>
  <c r="D158" i="3"/>
  <c r="D8" i="3"/>
  <c r="D417" i="3"/>
  <c r="D450" i="3"/>
  <c r="D343" i="3"/>
  <c r="D247" i="3"/>
  <c r="D86" i="3"/>
  <c r="D17" i="3"/>
  <c r="D64" i="3"/>
  <c r="D934" i="3"/>
  <c r="D264" i="3"/>
  <c r="D328" i="3"/>
  <c r="D299" i="3"/>
  <c r="D171" i="3"/>
  <c r="D40" i="3"/>
  <c r="D236" i="3"/>
  <c r="D311" i="3"/>
  <c r="D215" i="3"/>
  <c r="D219" i="3"/>
  <c r="D296" i="3"/>
  <c r="D135" i="3"/>
  <c r="D231" i="3"/>
  <c r="E173" i="3"/>
  <c r="E586" i="3"/>
  <c r="E200" i="3"/>
  <c r="E893" i="3"/>
  <c r="E637" i="3"/>
  <c r="E428" i="3"/>
  <c r="E396" i="3"/>
  <c r="E300" i="3"/>
  <c r="E709" i="3"/>
  <c r="E613" i="3"/>
  <c r="E74" i="3"/>
  <c r="E40" i="3"/>
  <c r="E618" i="3"/>
  <c r="E344" i="3"/>
  <c r="E42" i="3"/>
  <c r="E435" i="3"/>
  <c r="E524" i="3"/>
  <c r="E299" i="3"/>
  <c r="E853" i="3"/>
  <c r="E693" i="3"/>
  <c r="E339" i="3"/>
  <c r="E114" i="3"/>
  <c r="E928" i="3"/>
  <c r="E980" i="3"/>
  <c r="E756" i="3"/>
  <c r="E724" i="3"/>
  <c r="E628" i="3"/>
  <c r="E596" i="3"/>
  <c r="E499" i="3"/>
  <c r="E338" i="3"/>
  <c r="E823" i="3"/>
  <c r="E341" i="3"/>
  <c r="E986" i="3"/>
  <c r="E954" i="3"/>
  <c r="E922" i="3"/>
  <c r="E890" i="3"/>
  <c r="E826" i="3"/>
  <c r="E794" i="3"/>
  <c r="E210" i="3"/>
  <c r="E178" i="3"/>
  <c r="E879" i="3"/>
  <c r="E751" i="3"/>
  <c r="E719" i="3"/>
  <c r="E687" i="3"/>
  <c r="E655" i="3"/>
  <c r="E494" i="3"/>
  <c r="E429" i="3"/>
  <c r="E397" i="3"/>
  <c r="E365" i="3"/>
  <c r="E333" i="3"/>
  <c r="E301" i="3"/>
  <c r="E237" i="3"/>
  <c r="E141" i="3"/>
  <c r="E108" i="3"/>
  <c r="E10" i="3"/>
  <c r="E218" i="3"/>
  <c r="E739" i="3"/>
  <c r="E643" i="3"/>
  <c r="E289" i="3"/>
  <c r="E778" i="3"/>
  <c r="E521" i="3"/>
  <c r="E248" i="3"/>
  <c r="E103" i="3"/>
  <c r="E57" i="3"/>
  <c r="E989" i="3"/>
  <c r="E957" i="3"/>
  <c r="E925" i="3"/>
  <c r="E829" i="3"/>
  <c r="E797" i="3"/>
  <c r="E765" i="3"/>
  <c r="E733" i="3"/>
  <c r="E701" i="3"/>
  <c r="E669" i="3"/>
  <c r="E573" i="3"/>
  <c r="E508" i="3"/>
  <c r="E686" i="3"/>
  <c r="E622" i="3"/>
  <c r="E590" i="3"/>
  <c r="E558" i="3"/>
  <c r="E204" i="3"/>
  <c r="E833" i="3"/>
  <c r="E801" i="3"/>
  <c r="E705" i="3"/>
  <c r="E641" i="3"/>
  <c r="E609" i="3"/>
  <c r="E577" i="3"/>
  <c r="E512" i="3"/>
  <c r="E448" i="3"/>
  <c r="E67" i="3"/>
  <c r="E965" i="3"/>
  <c r="E933" i="3"/>
  <c r="E901" i="3"/>
  <c r="E869" i="3"/>
  <c r="E837" i="3"/>
  <c r="E805" i="3"/>
  <c r="E773" i="3"/>
  <c r="E677" i="3"/>
  <c r="E581" i="3"/>
  <c r="E758" i="3"/>
  <c r="E662" i="3"/>
  <c r="E566" i="3"/>
  <c r="E115" i="3"/>
  <c r="E1000" i="3"/>
  <c r="E841" i="3"/>
  <c r="E809" i="3"/>
  <c r="E777" i="3"/>
  <c r="E745" i="3"/>
  <c r="E713" i="3"/>
  <c r="E681" i="3"/>
  <c r="E585" i="3"/>
  <c r="E520" i="3"/>
  <c r="E488" i="3"/>
  <c r="E456" i="3"/>
  <c r="E407" i="3"/>
  <c r="E375" i="3"/>
  <c r="E343" i="3"/>
  <c r="E311" i="3"/>
  <c r="E279" i="3"/>
  <c r="E247" i="3"/>
  <c r="E215" i="3"/>
  <c r="E183" i="3"/>
  <c r="E20" i="3"/>
  <c r="E519" i="3"/>
  <c r="E331" i="3"/>
  <c r="E267" i="3"/>
  <c r="E812" i="3"/>
  <c r="E780" i="3"/>
  <c r="E748" i="3"/>
  <c r="E652" i="3"/>
  <c r="E564" i="3"/>
  <c r="E531" i="3"/>
  <c r="E467" i="3"/>
  <c r="E15" i="3"/>
  <c r="E858" i="3"/>
  <c r="E473" i="3"/>
  <c r="E376" i="3"/>
  <c r="E71" i="3"/>
  <c r="E422" i="3"/>
  <c r="E863" i="3"/>
  <c r="E702" i="3"/>
  <c r="E348" i="3"/>
  <c r="E316" i="3"/>
  <c r="E504" i="3"/>
  <c r="E119" i="3"/>
  <c r="E86" i="3"/>
  <c r="E36" i="3"/>
  <c r="E460" i="3"/>
  <c r="E219" i="3"/>
  <c r="D359" i="3"/>
  <c r="E351" i="3"/>
  <c r="E159" i="3"/>
  <c r="E757" i="3"/>
  <c r="E597" i="3"/>
  <c r="E371" i="3"/>
  <c r="E243" i="3"/>
  <c r="D302" i="3"/>
  <c r="D232" i="3"/>
  <c r="D187" i="3"/>
  <c r="D90" i="3"/>
  <c r="D435" i="3"/>
  <c r="D36" i="3"/>
  <c r="D268" i="3"/>
  <c r="D332" i="3"/>
  <c r="D391" i="3"/>
  <c r="D30" i="3"/>
  <c r="E936" i="3"/>
  <c r="E776" i="3"/>
  <c r="E744" i="3"/>
  <c r="E648" i="3"/>
  <c r="E206" i="3"/>
  <c r="E939" i="3"/>
  <c r="E843" i="3"/>
  <c r="E779" i="3"/>
  <c r="E53" i="3"/>
  <c r="E228" i="3"/>
  <c r="E83" i="3"/>
  <c r="E223" i="3"/>
  <c r="E60" i="3"/>
  <c r="E82" i="3"/>
  <c r="E137" i="3"/>
  <c r="E510" i="3"/>
  <c r="E140" i="3"/>
  <c r="E167" i="3"/>
  <c r="E427" i="3"/>
  <c r="E363" i="3"/>
  <c r="E106" i="3"/>
  <c r="E48" i="3"/>
  <c r="E420" i="3"/>
  <c r="E388" i="3"/>
  <c r="E356" i="3"/>
  <c r="E132" i="3"/>
  <c r="E708" i="3"/>
  <c r="E169" i="3"/>
  <c r="E72" i="3"/>
  <c r="E505" i="3"/>
  <c r="E408" i="3"/>
  <c r="E168" i="3"/>
  <c r="E455" i="3"/>
  <c r="E26" i="3"/>
  <c r="E492" i="3"/>
  <c r="E383" i="3"/>
  <c r="E191" i="3"/>
  <c r="E94" i="3"/>
  <c r="E436" i="3"/>
  <c r="E403" i="3"/>
  <c r="E275" i="3"/>
  <c r="E179" i="3"/>
  <c r="D142" i="3"/>
  <c r="D752" i="3"/>
  <c r="D315" i="3"/>
  <c r="D251" i="3"/>
  <c r="D366" i="3"/>
  <c r="D118" i="3"/>
  <c r="D327" i="3"/>
  <c r="D263" i="3"/>
  <c r="D199" i="3"/>
  <c r="D102" i="3"/>
  <c r="E956" i="3"/>
  <c r="E924" i="3"/>
  <c r="E764" i="3"/>
  <c r="E346" i="3"/>
  <c r="E976" i="3"/>
  <c r="E676" i="3"/>
  <c r="E679" i="3"/>
  <c r="E454" i="3"/>
  <c r="E229" i="3"/>
  <c r="E226" i="3"/>
  <c r="E959" i="3"/>
  <c r="E831" i="3"/>
  <c r="E639" i="3"/>
  <c r="E317" i="3"/>
  <c r="E221" i="3"/>
  <c r="E125" i="3"/>
  <c r="E11" i="3"/>
  <c r="E819" i="3"/>
  <c r="E530" i="3"/>
  <c r="E80" i="3"/>
  <c r="E790" i="3"/>
  <c r="E634" i="3"/>
  <c r="E216" i="3"/>
  <c r="E5" i="3"/>
  <c r="E941" i="3"/>
  <c r="E653" i="3"/>
  <c r="E621" i="3"/>
  <c r="E766" i="3"/>
  <c r="E670" i="3"/>
  <c r="E638" i="3"/>
  <c r="E606" i="3"/>
  <c r="E509" i="3"/>
  <c r="E445" i="3"/>
  <c r="E881" i="3"/>
  <c r="E849" i="3"/>
  <c r="E721" i="3"/>
  <c r="E689" i="3"/>
  <c r="E657" i="3"/>
  <c r="E496" i="3"/>
  <c r="E706" i="3"/>
  <c r="E449" i="3"/>
  <c r="E33" i="3"/>
  <c r="E565" i="3"/>
  <c r="E678" i="3"/>
  <c r="E646" i="3"/>
  <c r="E453" i="3"/>
  <c r="E921" i="3"/>
  <c r="E665" i="3"/>
  <c r="E440" i="3"/>
  <c r="E187" i="3"/>
  <c r="E70" i="3"/>
  <c r="E63" i="3"/>
  <c r="E395" i="3"/>
  <c r="E139" i="3"/>
  <c r="E725" i="3"/>
  <c r="E940" i="3"/>
  <c r="E447" i="3"/>
  <c r="E932" i="3"/>
  <c r="E900" i="3"/>
  <c r="E386" i="3"/>
  <c r="E354" i="3"/>
  <c r="E971" i="3"/>
  <c r="E811" i="3"/>
  <c r="E201" i="3"/>
  <c r="E104" i="3"/>
  <c r="E666" i="3"/>
  <c r="E441" i="3"/>
  <c r="E312" i="3"/>
  <c r="E487" i="3"/>
  <c r="E69" i="3"/>
  <c r="E799" i="3"/>
  <c r="E767" i="3"/>
  <c r="E734" i="3"/>
  <c r="E477" i="3"/>
  <c r="E263" i="3"/>
  <c r="E717" i="3"/>
  <c r="E464" i="3"/>
  <c r="E415" i="3"/>
  <c r="E127" i="3"/>
  <c r="E821" i="3"/>
  <c r="E500" i="3"/>
  <c r="E468" i="3"/>
  <c r="E307" i="3"/>
  <c r="D109" i="3"/>
  <c r="D155" i="3"/>
  <c r="D24" i="3"/>
  <c r="D423" i="3"/>
  <c r="E952" i="3"/>
  <c r="E920" i="3"/>
  <c r="E888" i="3"/>
  <c r="E856" i="3"/>
  <c r="E824" i="3"/>
  <c r="E792" i="3"/>
  <c r="E664" i="3"/>
  <c r="E246" i="3"/>
  <c r="E859" i="3"/>
  <c r="E731" i="3"/>
  <c r="E699" i="3"/>
  <c r="E667" i="3"/>
  <c r="E442" i="3"/>
  <c r="E345" i="3"/>
  <c r="E249" i="3"/>
  <c r="E54" i="3"/>
  <c r="E22" i="3"/>
  <c r="E926" i="3"/>
  <c r="E894" i="3"/>
  <c r="E862" i="3"/>
  <c r="E214" i="3"/>
  <c r="E21" i="3"/>
  <c r="E260" i="3"/>
  <c r="E240" i="3"/>
  <c r="E29" i="3"/>
  <c r="E431" i="3"/>
  <c r="E367" i="3"/>
  <c r="E335" i="3"/>
  <c r="E303" i="3"/>
  <c r="E271" i="3"/>
  <c r="E239" i="3"/>
  <c r="E207" i="3"/>
  <c r="E143" i="3"/>
  <c r="E78" i="3"/>
  <c r="E44" i="3"/>
  <c r="E12" i="3"/>
  <c r="E291" i="3"/>
  <c r="E227" i="3"/>
  <c r="E163" i="3"/>
  <c r="E131" i="3"/>
  <c r="E98" i="3"/>
  <c r="E66" i="3"/>
  <c r="E32" i="3"/>
  <c r="D874" i="3"/>
  <c r="D127" i="3"/>
  <c r="D786" i="3"/>
  <c r="D474" i="3"/>
  <c r="D449" i="3"/>
  <c r="D100" i="3"/>
  <c r="D935" i="3"/>
  <c r="D334" i="3"/>
  <c r="D182" i="3"/>
  <c r="D214" i="3"/>
  <c r="D242" i="3"/>
  <c r="D352" i="3"/>
  <c r="D838" i="3"/>
  <c r="D49" i="3"/>
  <c r="D421" i="3"/>
  <c r="D491" i="3"/>
  <c r="D894" i="3"/>
  <c r="D571" i="3"/>
  <c r="D762" i="3"/>
  <c r="D261" i="3"/>
  <c r="D785" i="3"/>
  <c r="D68" i="3"/>
  <c r="D244" i="3"/>
  <c r="D987" i="3"/>
  <c r="D442" i="3"/>
  <c r="D165" i="3"/>
  <c r="D389" i="3"/>
  <c r="D518" i="3"/>
  <c r="D743" i="3"/>
  <c r="D818" i="3"/>
  <c r="D789" i="3"/>
  <c r="D674" i="3"/>
  <c r="D429" i="3"/>
  <c r="D468" i="3"/>
  <c r="D146" i="3"/>
  <c r="D693" i="3"/>
  <c r="D196" i="3"/>
  <c r="D761" i="3"/>
  <c r="D614" i="3"/>
  <c r="D420" i="3"/>
  <c r="D582" i="3"/>
  <c r="D22" i="3"/>
  <c r="D836" i="3"/>
  <c r="D938" i="3"/>
  <c r="D141" i="3"/>
  <c r="D917" i="3"/>
  <c r="D384" i="3"/>
  <c r="D377" i="3"/>
  <c r="D278" i="3"/>
  <c r="D597" i="3"/>
  <c r="D687" i="3"/>
  <c r="D953" i="3"/>
  <c r="D830" i="3"/>
  <c r="D177" i="3"/>
  <c r="D982" i="3"/>
  <c r="D209" i="3"/>
  <c r="D105" i="3"/>
  <c r="D647" i="3"/>
  <c r="D310" i="3"/>
  <c r="D269" i="3"/>
  <c r="D978" i="3"/>
  <c r="D623" i="3"/>
  <c r="D504" i="3"/>
  <c r="D806" i="3"/>
  <c r="D825" i="3"/>
  <c r="D569" i="3"/>
  <c r="D633" i="3"/>
  <c r="D321" i="3"/>
  <c r="D388" i="3"/>
  <c r="D997" i="3"/>
  <c r="D865" i="3"/>
  <c r="D827" i="3"/>
  <c r="D185" i="3"/>
  <c r="D259" i="3"/>
  <c r="D459" i="3"/>
  <c r="D775" i="3"/>
  <c r="D342" i="3"/>
  <c r="D205" i="3"/>
  <c r="D882" i="3"/>
  <c r="D397" i="3"/>
  <c r="D333" i="3"/>
  <c r="D523" i="3"/>
  <c r="D472" i="3"/>
  <c r="D985" i="3"/>
  <c r="D793" i="3"/>
  <c r="D742" i="3"/>
  <c r="D601" i="3"/>
  <c r="D453" i="3"/>
  <c r="D547" i="3"/>
  <c r="D356" i="3"/>
  <c r="D41" i="3"/>
  <c r="D801" i="3"/>
  <c r="D958" i="3"/>
  <c r="D121" i="3"/>
  <c r="D195" i="3"/>
  <c r="D439" i="3"/>
  <c r="D923" i="3"/>
  <c r="D506" i="3"/>
  <c r="D514" i="3"/>
  <c r="D964" i="3"/>
  <c r="D932" i="3"/>
  <c r="D900" i="3"/>
  <c r="D868" i="3"/>
  <c r="D804" i="3"/>
  <c r="D772" i="3"/>
  <c r="D740" i="3"/>
  <c r="D708" i="3"/>
  <c r="D676" i="3"/>
  <c r="D644" i="3"/>
  <c r="D612" i="3"/>
  <c r="D580" i="3"/>
  <c r="D548" i="3"/>
  <c r="D515" i="3"/>
  <c r="D483" i="3"/>
  <c r="D451" i="3"/>
  <c r="D418" i="3"/>
  <c r="D386" i="3"/>
  <c r="D354" i="3"/>
  <c r="D322" i="3"/>
  <c r="D290" i="3"/>
  <c r="D984" i="3"/>
  <c r="D952" i="3"/>
  <c r="D920" i="3"/>
  <c r="D888" i="3"/>
  <c r="D856" i="3"/>
  <c r="D824" i="3"/>
  <c r="D792" i="3"/>
  <c r="D760" i="3"/>
  <c r="D728" i="3"/>
  <c r="D696" i="3"/>
  <c r="D664" i="3"/>
  <c r="D632" i="3"/>
  <c r="D600" i="3"/>
  <c r="D568" i="3"/>
  <c r="D535" i="3"/>
  <c r="D503" i="3"/>
  <c r="D471" i="3"/>
  <c r="D406" i="3"/>
  <c r="D374" i="3"/>
  <c r="D972" i="3"/>
  <c r="D940" i="3"/>
  <c r="D908" i="3"/>
  <c r="D876" i="3"/>
  <c r="D844" i="3"/>
  <c r="D812" i="3"/>
  <c r="D780" i="3"/>
  <c r="D748" i="3"/>
  <c r="D716" i="3"/>
  <c r="D684" i="3"/>
  <c r="D652" i="3"/>
  <c r="D620" i="3"/>
  <c r="D588" i="3"/>
  <c r="D556" i="3"/>
  <c r="D426" i="3"/>
  <c r="D394" i="3"/>
  <c r="D362" i="3"/>
  <c r="D330" i="3"/>
  <c r="D298" i="3"/>
  <c r="D266" i="3"/>
  <c r="D234" i="3"/>
  <c r="D39" i="3"/>
  <c r="D7" i="3"/>
  <c r="D975" i="3"/>
  <c r="D943" i="3"/>
  <c r="D911" i="3"/>
  <c r="D879" i="3"/>
  <c r="D847" i="3"/>
  <c r="D815" i="3"/>
  <c r="D783" i="3"/>
  <c r="D751" i="3"/>
  <c r="D719" i="3"/>
  <c r="D655" i="3"/>
  <c r="D591" i="3"/>
  <c r="D559" i="3"/>
  <c r="D526" i="3"/>
  <c r="D462" i="3"/>
  <c r="D365" i="3"/>
  <c r="D237" i="3"/>
  <c r="D173" i="3"/>
  <c r="D108" i="3"/>
  <c r="D76" i="3"/>
  <c r="D42" i="3"/>
  <c r="D10" i="3"/>
  <c r="D946" i="3"/>
  <c r="D914" i="3"/>
  <c r="D850" i="3"/>
  <c r="D202" i="3"/>
  <c r="D170" i="3"/>
  <c r="D138" i="3"/>
  <c r="D73" i="3"/>
  <c r="D31" i="3"/>
  <c r="D998" i="3"/>
  <c r="D967" i="3"/>
  <c r="D903" i="3"/>
  <c r="D871" i="3"/>
  <c r="D839" i="3"/>
  <c r="D807" i="3"/>
  <c r="D711" i="3"/>
  <c r="D679" i="3"/>
  <c r="D615" i="3"/>
  <c r="D583" i="3"/>
  <c r="D551" i="3"/>
  <c r="D486" i="3"/>
  <c r="D454" i="3"/>
  <c r="D357" i="3"/>
  <c r="D325" i="3"/>
  <c r="D293" i="3"/>
  <c r="D229" i="3"/>
  <c r="D197" i="3"/>
  <c r="D133" i="3"/>
  <c r="D34" i="3"/>
  <c r="D1001" i="3"/>
  <c r="D970" i="3"/>
  <c r="D906" i="3"/>
  <c r="D842" i="3"/>
  <c r="D210" i="3"/>
  <c r="D178" i="3"/>
  <c r="D113" i="3"/>
  <c r="D81" i="3"/>
  <c r="D51" i="3"/>
  <c r="D19" i="3"/>
  <c r="D955" i="3"/>
  <c r="D891" i="3"/>
  <c r="D859" i="3"/>
  <c r="D795" i="3"/>
  <c r="D763" i="3"/>
  <c r="D731" i="3"/>
  <c r="D699" i="3"/>
  <c r="D667" i="3"/>
  <c r="D635" i="3"/>
  <c r="D603" i="3"/>
  <c r="D538" i="3"/>
  <c r="D409" i="3"/>
  <c r="D345" i="3"/>
  <c r="D313" i="3"/>
  <c r="D281" i="3"/>
  <c r="D249" i="3"/>
  <c r="D217" i="3"/>
  <c r="D153" i="3"/>
  <c r="D88" i="3"/>
  <c r="D990" i="3"/>
  <c r="D862" i="3"/>
  <c r="D798" i="3"/>
  <c r="D770" i="3"/>
  <c r="D706" i="3"/>
  <c r="D546" i="3"/>
  <c r="D513" i="3"/>
  <c r="D481" i="3"/>
  <c r="D416" i="3"/>
  <c r="D320" i="3"/>
  <c r="D288" i="3"/>
  <c r="D240" i="3"/>
  <c r="D95" i="3"/>
  <c r="D29" i="3"/>
  <c r="D981" i="3"/>
  <c r="D853" i="3"/>
  <c r="D821" i="3"/>
  <c r="D757" i="3"/>
  <c r="D629" i="3"/>
  <c r="D565" i="3"/>
  <c r="D532" i="3"/>
  <c r="D500" i="3"/>
  <c r="D774" i="3"/>
  <c r="D678" i="3"/>
  <c r="D646" i="3"/>
  <c r="D324" i="3"/>
  <c r="D921" i="3"/>
  <c r="D857" i="3"/>
  <c r="D536" i="3"/>
  <c r="D440" i="3"/>
  <c r="D521" i="3"/>
  <c r="D457" i="3"/>
  <c r="D136" i="3"/>
  <c r="D103" i="3"/>
  <c r="D925" i="3"/>
  <c r="D558" i="3"/>
  <c r="D204" i="3"/>
  <c r="D833" i="3"/>
  <c r="D641" i="3"/>
  <c r="D545" i="3"/>
  <c r="D512" i="3"/>
  <c r="D323" i="3"/>
  <c r="D227" i="3"/>
  <c r="D163" i="3"/>
  <c r="D131" i="3"/>
  <c r="D303" i="3"/>
  <c r="D78" i="3"/>
  <c r="D960" i="3"/>
  <c r="D928" i="3"/>
  <c r="D896" i="3"/>
  <c r="D800" i="3"/>
  <c r="D768" i="3"/>
  <c r="D736" i="3"/>
  <c r="D704" i="3"/>
  <c r="D608" i="3"/>
  <c r="D576" i="3"/>
  <c r="D544" i="3"/>
  <c r="D511" i="3"/>
  <c r="D479" i="3"/>
  <c r="D447" i="3"/>
  <c r="D382" i="3"/>
  <c r="D286" i="3"/>
  <c r="D254" i="3"/>
  <c r="D262" i="3"/>
  <c r="D230" i="3"/>
  <c r="D198" i="3"/>
  <c r="D166" i="3"/>
  <c r="D134" i="3"/>
  <c r="D101" i="3"/>
  <c r="D69" i="3"/>
  <c r="D995" i="3"/>
  <c r="D963" i="3"/>
  <c r="D931" i="3"/>
  <c r="D899" i="3"/>
  <c r="D867" i="3"/>
  <c r="D835" i="3"/>
  <c r="D803" i="3"/>
  <c r="D771" i="3"/>
  <c r="D739" i="3"/>
  <c r="D707" i="3"/>
  <c r="D675" i="3"/>
  <c r="D643" i="3"/>
  <c r="D611" i="3"/>
  <c r="D579" i="3"/>
  <c r="D482" i="3"/>
  <c r="D385" i="3"/>
  <c r="D305" i="3"/>
  <c r="D257" i="3"/>
  <c r="D225" i="3"/>
  <c r="D193" i="3"/>
  <c r="D161" i="3"/>
  <c r="D129" i="3"/>
  <c r="D96" i="3"/>
  <c r="D966" i="3"/>
  <c r="D902" i="3"/>
  <c r="D190" i="3"/>
  <c r="D126" i="3"/>
  <c r="D93" i="3"/>
  <c r="D160" i="3"/>
  <c r="D111" i="3"/>
  <c r="D228" i="3"/>
  <c r="D180" i="3"/>
  <c r="D83" i="3"/>
  <c r="D53" i="3"/>
  <c r="D91" i="3"/>
  <c r="D25" i="3"/>
  <c r="D183" i="3"/>
  <c r="D20" i="3"/>
  <c r="D203" i="3"/>
  <c r="D139" i="3"/>
  <c r="F62" i="3"/>
  <c r="D980" i="3"/>
  <c r="D948" i="3"/>
  <c r="D916" i="3"/>
  <c r="D884" i="3"/>
  <c r="D852" i="3"/>
  <c r="D820" i="3"/>
  <c r="D788" i="3"/>
  <c r="D756" i="3"/>
  <c r="D724" i="3"/>
  <c r="D692" i="3"/>
  <c r="D660" i="3"/>
  <c r="D628" i="3"/>
  <c r="D596" i="3"/>
  <c r="D564" i="3"/>
  <c r="D531" i="3"/>
  <c r="D499" i="3"/>
  <c r="D467" i="3"/>
  <c r="D434" i="3"/>
  <c r="D402" i="3"/>
  <c r="D370" i="3"/>
  <c r="D338" i="3"/>
  <c r="D306" i="3"/>
  <c r="D274" i="3"/>
  <c r="D968" i="3"/>
  <c r="D936" i="3"/>
  <c r="D904" i="3"/>
  <c r="D872" i="3"/>
  <c r="D840" i="3"/>
  <c r="D808" i="3"/>
  <c r="D776" i="3"/>
  <c r="D744" i="3"/>
  <c r="D712" i="3"/>
  <c r="D680" i="3"/>
  <c r="D648" i="3"/>
  <c r="D616" i="3"/>
  <c r="D584" i="3"/>
  <c r="D552" i="3"/>
  <c r="D519" i="3"/>
  <c r="D487" i="3"/>
  <c r="D455" i="3"/>
  <c r="D422" i="3"/>
  <c r="D390" i="3"/>
  <c r="D358" i="3"/>
  <c r="D326" i="3"/>
  <c r="D294" i="3"/>
  <c r="D988" i="3"/>
  <c r="D956" i="3"/>
  <c r="D892" i="3"/>
  <c r="D860" i="3"/>
  <c r="D828" i="3"/>
  <c r="D796" i="3"/>
  <c r="D764" i="3"/>
  <c r="D732" i="3"/>
  <c r="D700" i="3"/>
  <c r="D668" i="3"/>
  <c r="D636" i="3"/>
  <c r="D604" i="3"/>
  <c r="D572" i="3"/>
  <c r="D539" i="3"/>
  <c r="D507" i="3"/>
  <c r="D475" i="3"/>
  <c r="D443" i="3"/>
  <c r="D410" i="3"/>
  <c r="D378" i="3"/>
  <c r="D346" i="3"/>
  <c r="D314" i="3"/>
  <c r="D282" i="3"/>
  <c r="D250" i="3"/>
  <c r="D55" i="3"/>
  <c r="D23" i="3"/>
  <c r="D991" i="3"/>
  <c r="D959" i="3"/>
  <c r="D927" i="3"/>
  <c r="D895" i="3"/>
  <c r="D863" i="3"/>
  <c r="D831" i="3"/>
  <c r="D799" i="3"/>
  <c r="D767" i="3"/>
  <c r="D735" i="3"/>
  <c r="D703" i="3"/>
  <c r="D671" i="3"/>
  <c r="D639" i="3"/>
  <c r="D607" i="3"/>
  <c r="D575" i="3"/>
  <c r="D543" i="3"/>
  <c r="D510" i="3"/>
  <c r="D478" i="3"/>
  <c r="D446" i="3"/>
  <c r="D413" i="3"/>
  <c r="D381" i="3"/>
  <c r="D349" i="3"/>
  <c r="D301" i="3"/>
  <c r="D253" i="3"/>
  <c r="D221" i="3"/>
  <c r="D189" i="3"/>
  <c r="D157" i="3"/>
  <c r="D125" i="3"/>
  <c r="D92" i="3"/>
  <c r="D58" i="3"/>
  <c r="D26" i="3"/>
  <c r="D994" i="3"/>
  <c r="D962" i="3"/>
  <c r="D930" i="3"/>
  <c r="D898" i="3"/>
  <c r="D866" i="3"/>
  <c r="D834" i="3"/>
  <c r="D802" i="3"/>
  <c r="D218" i="3"/>
  <c r="D186" i="3"/>
  <c r="D154" i="3"/>
  <c r="D122" i="3"/>
  <c r="D89" i="3"/>
  <c r="D289" i="3"/>
  <c r="D47" i="3"/>
  <c r="D15" i="3"/>
  <c r="D983" i="3"/>
  <c r="D951" i="3"/>
  <c r="D919" i="3"/>
  <c r="D887" i="3"/>
  <c r="D855" i="3"/>
  <c r="D823" i="3"/>
  <c r="D791" i="3"/>
  <c r="D759" i="3"/>
  <c r="D727" i="3"/>
  <c r="D695" i="3"/>
  <c r="D663" i="3"/>
  <c r="D631" i="3"/>
  <c r="D599" i="3"/>
  <c r="D567" i="3"/>
  <c r="D534" i="3"/>
  <c r="D502" i="3"/>
  <c r="D470" i="3"/>
  <c r="D438" i="3"/>
  <c r="D405" i="3"/>
  <c r="D373" i="3"/>
  <c r="D341" i="3"/>
  <c r="D309" i="3"/>
  <c r="D277" i="3"/>
  <c r="D245" i="3"/>
  <c r="D213" i="3"/>
  <c r="D181" i="3"/>
  <c r="D149" i="3"/>
  <c r="D116" i="3"/>
  <c r="D84" i="3"/>
  <c r="D50" i="3"/>
  <c r="D18" i="3"/>
  <c r="D986" i="3"/>
  <c r="D954" i="3"/>
  <c r="D922" i="3"/>
  <c r="D890" i="3"/>
  <c r="D858" i="3"/>
  <c r="D258" i="3"/>
  <c r="D226" i="3"/>
  <c r="D194" i="3"/>
  <c r="D162" i="3"/>
  <c r="D130" i="3"/>
  <c r="D97" i="3"/>
  <c r="D65" i="3"/>
  <c r="D35" i="3"/>
  <c r="D63" i="3"/>
  <c r="D971" i="3"/>
  <c r="D907" i="3"/>
  <c r="D875" i="3"/>
  <c r="D843" i="3"/>
  <c r="D811" i="3"/>
  <c r="D779" i="3"/>
  <c r="D747" i="3"/>
  <c r="D715" i="3"/>
  <c r="D683" i="3"/>
  <c r="D651" i="3"/>
  <c r="D619" i="3"/>
  <c r="D587" i="3"/>
  <c r="D555" i="3"/>
  <c r="D522" i="3"/>
  <c r="D490" i="3"/>
  <c r="D458" i="3"/>
  <c r="D425" i="3"/>
  <c r="D393" i="3"/>
  <c r="D361" i="3"/>
  <c r="D329" i="3"/>
  <c r="D297" i="3"/>
  <c r="D265" i="3"/>
  <c r="D233" i="3"/>
  <c r="D201" i="3"/>
  <c r="D169" i="3"/>
  <c r="D137" i="3"/>
  <c r="D104" i="3"/>
  <c r="D72" i="3"/>
  <c r="D38" i="3"/>
  <c r="D6" i="3"/>
  <c r="D974" i="3"/>
  <c r="D942" i="3"/>
  <c r="D910" i="3"/>
  <c r="D878" i="3"/>
  <c r="D846" i="3"/>
  <c r="D814" i="3"/>
  <c r="D782" i="3"/>
  <c r="D754" i="3"/>
  <c r="D722" i="3"/>
  <c r="D690" i="3"/>
  <c r="D658" i="3"/>
  <c r="D626" i="3"/>
  <c r="D594" i="3"/>
  <c r="D562" i="3"/>
  <c r="D529" i="3"/>
  <c r="D497" i="3"/>
  <c r="D465" i="3"/>
  <c r="D432" i="3"/>
  <c r="D400" i="3"/>
  <c r="D368" i="3"/>
  <c r="D336" i="3"/>
  <c r="D304" i="3"/>
  <c r="D272" i="3"/>
  <c r="D208" i="3"/>
  <c r="D128" i="3"/>
  <c r="D61" i="3"/>
  <c r="D996" i="3"/>
  <c r="D965" i="3"/>
  <c r="D933" i="3"/>
  <c r="D901" i="3"/>
  <c r="D869" i="3"/>
  <c r="D837" i="3"/>
  <c r="D805" i="3"/>
  <c r="D773" i="3"/>
  <c r="D741" i="3"/>
  <c r="D709" i="3"/>
  <c r="D677" i="3"/>
  <c r="D645" i="3"/>
  <c r="D613" i="3"/>
  <c r="D581" i="3"/>
  <c r="D549" i="3"/>
  <c r="D516" i="3"/>
  <c r="D484" i="3"/>
  <c r="D452" i="3"/>
  <c r="D419" i="3"/>
  <c r="D822" i="3"/>
  <c r="D790" i="3"/>
  <c r="D758" i="3"/>
  <c r="D726" i="3"/>
  <c r="D694" i="3"/>
  <c r="D662" i="3"/>
  <c r="D630" i="3"/>
  <c r="D598" i="3"/>
  <c r="D566" i="3"/>
  <c r="D533" i="3"/>
  <c r="D501" i="3"/>
  <c r="D469" i="3"/>
  <c r="D437" i="3"/>
  <c r="D404" i="3"/>
  <c r="D372" i="3"/>
  <c r="D340" i="3"/>
  <c r="D308" i="3"/>
  <c r="D276" i="3"/>
  <c r="D212" i="3"/>
  <c r="D132" i="3"/>
  <c r="D67" i="3"/>
  <c r="D1000" i="3"/>
  <c r="D969" i="3"/>
  <c r="D937" i="3"/>
  <c r="D905" i="3"/>
  <c r="D873" i="3"/>
  <c r="D841" i="3"/>
  <c r="D809" i="3"/>
  <c r="D777" i="3"/>
  <c r="D745" i="3"/>
  <c r="D713" i="3"/>
  <c r="D681" i="3"/>
  <c r="D649" i="3"/>
  <c r="D617" i="3"/>
  <c r="D585" i="3"/>
  <c r="D553" i="3"/>
  <c r="D520" i="3"/>
  <c r="D488" i="3"/>
  <c r="D456" i="3"/>
  <c r="D826" i="3"/>
  <c r="D794" i="3"/>
  <c r="D730" i="3"/>
  <c r="D698" i="3"/>
  <c r="D666" i="3"/>
  <c r="D634" i="3"/>
  <c r="D602" i="3"/>
  <c r="D570" i="3"/>
  <c r="D537" i="3"/>
  <c r="D505" i="3"/>
  <c r="D473" i="3"/>
  <c r="D441" i="3"/>
  <c r="D408" i="3"/>
  <c r="D376" i="3"/>
  <c r="D344" i="3"/>
  <c r="D280" i="3"/>
  <c r="D216" i="3"/>
  <c r="D184" i="3"/>
  <c r="D152" i="3"/>
  <c r="D120" i="3"/>
  <c r="D71" i="3"/>
  <c r="D5" i="3"/>
  <c r="D973" i="3"/>
  <c r="D941" i="3"/>
  <c r="D909" i="3"/>
  <c r="D877" i="3"/>
  <c r="D845" i="3"/>
  <c r="D813" i="3"/>
  <c r="D781" i="3"/>
  <c r="D749" i="3"/>
  <c r="D717" i="3"/>
  <c r="D685" i="3"/>
  <c r="D653" i="3"/>
  <c r="D621" i="3"/>
  <c r="D589" i="3"/>
  <c r="D557" i="3"/>
  <c r="D524" i="3"/>
  <c r="D492" i="3"/>
  <c r="D460" i="3"/>
  <c r="D427" i="3"/>
  <c r="D766" i="3"/>
  <c r="D734" i="3"/>
  <c r="D702" i="3"/>
  <c r="D670" i="3"/>
  <c r="D638" i="3"/>
  <c r="D606" i="3"/>
  <c r="D574" i="3"/>
  <c r="D542" i="3"/>
  <c r="D509" i="3"/>
  <c r="D477" i="3"/>
  <c r="D445" i="3"/>
  <c r="D412" i="3"/>
  <c r="D380" i="3"/>
  <c r="D348" i="3"/>
  <c r="D284" i="3"/>
  <c r="D220" i="3"/>
  <c r="D188" i="3"/>
  <c r="D156" i="3"/>
  <c r="D124" i="3"/>
  <c r="D75" i="3"/>
  <c r="D9" i="3"/>
  <c r="D977" i="3"/>
  <c r="D945" i="3"/>
  <c r="D913" i="3"/>
  <c r="D881" i="3"/>
  <c r="D849" i="3"/>
  <c r="D817" i="3"/>
  <c r="D753" i="3"/>
  <c r="D721" i="3"/>
  <c r="D689" i="3"/>
  <c r="D657" i="3"/>
  <c r="D625" i="3"/>
  <c r="D593" i="3"/>
  <c r="D561" i="3"/>
  <c r="D528" i="3"/>
  <c r="D496" i="3"/>
  <c r="D464" i="3"/>
  <c r="D431" i="3"/>
  <c r="D403" i="3"/>
  <c r="D371" i="3"/>
  <c r="D339" i="3"/>
  <c r="D307" i="3"/>
  <c r="D275" i="3"/>
  <c r="D243" i="3"/>
  <c r="D211" i="3"/>
  <c r="D179" i="3"/>
  <c r="D147" i="3"/>
  <c r="D114" i="3"/>
  <c r="D82" i="3"/>
  <c r="D48" i="3"/>
  <c r="D16" i="3"/>
  <c r="D383" i="3"/>
  <c r="D351" i="3"/>
  <c r="D287" i="3"/>
  <c r="D255" i="3"/>
  <c r="D223" i="3"/>
  <c r="D191" i="3"/>
  <c r="D159" i="3"/>
  <c r="D94" i="3"/>
  <c r="D60" i="3"/>
  <c r="D28" i="3"/>
  <c r="D976" i="3"/>
  <c r="D944" i="3"/>
  <c r="D912" i="3"/>
  <c r="D880" i="3"/>
  <c r="D848" i="3"/>
  <c r="D816" i="3"/>
  <c r="D784" i="3"/>
  <c r="D720" i="3"/>
  <c r="D688" i="3"/>
  <c r="D656" i="3"/>
  <c r="D624" i="3"/>
  <c r="D592" i="3"/>
  <c r="D560" i="3"/>
  <c r="D527" i="3"/>
  <c r="D495" i="3"/>
  <c r="D463" i="3"/>
  <c r="D430" i="3"/>
  <c r="D398" i="3"/>
  <c r="D270" i="3"/>
  <c r="D238" i="3"/>
  <c r="D246" i="3"/>
  <c r="D150" i="3"/>
  <c r="D85" i="3"/>
  <c r="D317" i="3"/>
  <c r="D43" i="3"/>
  <c r="D11" i="3"/>
  <c r="D979" i="3"/>
  <c r="D947" i="3"/>
  <c r="D915" i="3"/>
  <c r="D883" i="3"/>
  <c r="D851" i="3"/>
  <c r="D819" i="3"/>
  <c r="D787" i="3"/>
  <c r="D755" i="3"/>
  <c r="D723" i="3"/>
  <c r="D691" i="3"/>
  <c r="D659" i="3"/>
  <c r="D627" i="3"/>
  <c r="D595" i="3"/>
  <c r="D563" i="3"/>
  <c r="D530" i="3"/>
  <c r="D498" i="3"/>
  <c r="D466" i="3"/>
  <c r="D433" i="3"/>
  <c r="D401" i="3"/>
  <c r="D369" i="3"/>
  <c r="D337" i="3"/>
  <c r="D273" i="3"/>
  <c r="D241" i="3"/>
  <c r="D145" i="3"/>
  <c r="D112" i="3"/>
  <c r="D46" i="3"/>
  <c r="D14" i="3"/>
  <c r="D950" i="3"/>
  <c r="D918" i="3"/>
  <c r="D886" i="3"/>
  <c r="D854" i="3"/>
  <c r="D206" i="3"/>
  <c r="D174" i="3"/>
  <c r="D77" i="3"/>
  <c r="D224" i="3"/>
  <c r="D176" i="3"/>
  <c r="D79" i="3"/>
  <c r="D13" i="3"/>
  <c r="D260" i="3"/>
  <c r="D164" i="3"/>
  <c r="D115" i="3"/>
  <c r="D21" i="3"/>
  <c r="D57" i="3"/>
  <c r="D167" i="3"/>
  <c r="D379" i="3"/>
  <c r="D347" i="3"/>
  <c r="D123" i="3"/>
  <c r="D56" i="3"/>
  <c r="E892" i="3"/>
  <c r="E523" i="3"/>
  <c r="E426" i="3"/>
  <c r="E138" i="3"/>
  <c r="E105" i="3"/>
  <c r="E995" i="3"/>
  <c r="E963" i="3"/>
  <c r="E883" i="3"/>
  <c r="E707" i="3"/>
  <c r="E675" i="3"/>
  <c r="E30" i="3"/>
  <c r="E997" i="3"/>
  <c r="E770" i="3"/>
  <c r="E642" i="3"/>
  <c r="E432" i="3"/>
  <c r="E336" i="3"/>
  <c r="E272" i="3"/>
  <c r="E945" i="3"/>
  <c r="E704" i="3"/>
  <c r="E640" i="3"/>
  <c r="E366" i="3"/>
  <c r="E270" i="3"/>
  <c r="E919" i="3"/>
  <c r="E325" i="3"/>
  <c r="E261" i="3"/>
  <c r="E966" i="3"/>
  <c r="E902" i="3"/>
  <c r="E838" i="3"/>
  <c r="E806" i="3"/>
  <c r="E196" i="3"/>
  <c r="E964" i="3"/>
  <c r="E820" i="3"/>
  <c r="E740" i="3"/>
  <c r="E418" i="3"/>
  <c r="E306" i="3"/>
  <c r="E162" i="3"/>
  <c r="E65" i="3"/>
  <c r="E35" i="3"/>
  <c r="E619" i="3"/>
  <c r="E587" i="3"/>
  <c r="E458" i="3"/>
  <c r="E865" i="3"/>
  <c r="E785" i="3"/>
  <c r="E737" i="3"/>
  <c r="E673" i="3"/>
  <c r="E528" i="3"/>
  <c r="E314" i="3"/>
  <c r="E202" i="3"/>
  <c r="E59" i="3"/>
  <c r="E563" i="3"/>
  <c r="E482" i="3"/>
  <c r="E417" i="3"/>
  <c r="E241" i="3"/>
  <c r="E930" i="3"/>
  <c r="E834" i="3"/>
  <c r="E722" i="3"/>
  <c r="E594" i="3"/>
  <c r="E529" i="3"/>
  <c r="E497" i="3"/>
  <c r="E465" i="3"/>
  <c r="E324" i="3"/>
  <c r="E160" i="3"/>
  <c r="E45" i="3"/>
  <c r="E996" i="3"/>
  <c r="E992" i="3"/>
  <c r="E832" i="3"/>
  <c r="E736" i="3"/>
  <c r="E560" i="3"/>
  <c r="E871" i="3"/>
  <c r="E759" i="3"/>
  <c r="E695" i="3"/>
  <c r="E389" i="3"/>
  <c r="E313" i="3"/>
  <c r="E281" i="3"/>
  <c r="E213" i="3"/>
  <c r="E149" i="3"/>
  <c r="E100" i="3"/>
  <c r="E68" i="3"/>
  <c r="E742" i="3"/>
  <c r="E614" i="3"/>
  <c r="E437" i="3"/>
  <c r="E404" i="3"/>
  <c r="E372" i="3"/>
  <c r="E981" i="3"/>
  <c r="E949" i="3"/>
  <c r="E916" i="3"/>
  <c r="E772" i="3"/>
  <c r="E692" i="3"/>
  <c r="E644" i="3"/>
  <c r="E612" i="3"/>
  <c r="E580" i="3"/>
  <c r="E515" i="3"/>
  <c r="E483" i="3"/>
  <c r="E370" i="3"/>
  <c r="E194" i="3"/>
  <c r="E987" i="3"/>
  <c r="E955" i="3"/>
  <c r="E875" i="3"/>
  <c r="E827" i="3"/>
  <c r="E795" i="3"/>
  <c r="E747" i="3"/>
  <c r="E715" i="3"/>
  <c r="E683" i="3"/>
  <c r="E651" i="3"/>
  <c r="E265" i="3"/>
  <c r="E185" i="3"/>
  <c r="E153" i="3"/>
  <c r="E121" i="3"/>
  <c r="E88" i="3"/>
  <c r="E38" i="3"/>
  <c r="E6" i="3"/>
  <c r="E970" i="3"/>
  <c r="E938" i="3"/>
  <c r="E906" i="3"/>
  <c r="E874" i="3"/>
  <c r="E842" i="3"/>
  <c r="E810" i="3"/>
  <c r="E650" i="3"/>
  <c r="E602" i="3"/>
  <c r="E570" i="3"/>
  <c r="E489" i="3"/>
  <c r="E424" i="3"/>
  <c r="E392" i="3"/>
  <c r="E360" i="3"/>
  <c r="E328" i="3"/>
  <c r="E296" i="3"/>
  <c r="E264" i="3"/>
  <c r="E232" i="3"/>
  <c r="E184" i="3"/>
  <c r="E152" i="3"/>
  <c r="E120" i="3"/>
  <c r="E87" i="3"/>
  <c r="E37" i="3"/>
  <c r="E872" i="3"/>
  <c r="E840" i="3"/>
  <c r="E808" i="3"/>
  <c r="E503" i="3"/>
  <c r="E471" i="3"/>
  <c r="E439" i="3"/>
  <c r="E406" i="3"/>
  <c r="E230" i="3"/>
  <c r="E198" i="3"/>
  <c r="E991" i="3"/>
  <c r="E815" i="3"/>
  <c r="E783" i="3"/>
  <c r="E735" i="3"/>
  <c r="E703" i="3"/>
  <c r="E671" i="3"/>
  <c r="E526" i="3"/>
  <c r="E413" i="3"/>
  <c r="E381" i="3"/>
  <c r="E349" i="3"/>
  <c r="E750" i="3"/>
  <c r="E718" i="3"/>
  <c r="E574" i="3"/>
  <c r="E493" i="3"/>
  <c r="E461" i="3"/>
  <c r="E857" i="3"/>
  <c r="E825" i="3"/>
  <c r="E793" i="3"/>
  <c r="E761" i="3"/>
  <c r="E729" i="3"/>
  <c r="E697" i="3"/>
  <c r="E569" i="3"/>
  <c r="E536" i="3"/>
  <c r="E472" i="3"/>
  <c r="E423" i="3"/>
  <c r="E391" i="3"/>
  <c r="E359" i="3"/>
  <c r="E327" i="3"/>
  <c r="E295" i="3"/>
  <c r="E231" i="3"/>
  <c r="E151" i="3"/>
  <c r="E620" i="3"/>
  <c r="E588" i="3"/>
  <c r="E491" i="3"/>
  <c r="E459" i="3"/>
  <c r="E362" i="3"/>
  <c r="E177" i="3"/>
  <c r="E690" i="3"/>
  <c r="E368" i="3"/>
  <c r="E672" i="3"/>
  <c r="E608" i="3"/>
  <c r="E398" i="3"/>
  <c r="E334" i="3"/>
  <c r="E158" i="3"/>
  <c r="E126" i="3"/>
  <c r="E951" i="3"/>
  <c r="E663" i="3"/>
  <c r="E567" i="3"/>
  <c r="E502" i="3"/>
  <c r="E470" i="3"/>
  <c r="E293" i="3"/>
  <c r="E116" i="3"/>
  <c r="E1001" i="3"/>
  <c r="E934" i="3"/>
  <c r="E870" i="3"/>
  <c r="E517" i="3"/>
  <c r="E852" i="3"/>
  <c r="E660" i="3"/>
  <c r="E923" i="3"/>
  <c r="E409" i="3"/>
  <c r="E817" i="3"/>
  <c r="E319" i="3"/>
  <c r="E287" i="3"/>
  <c r="E255" i="3"/>
  <c r="E988" i="3"/>
  <c r="E876" i="3"/>
  <c r="E716" i="3"/>
  <c r="E684" i="3"/>
  <c r="E170" i="3"/>
  <c r="E915" i="3"/>
  <c r="E803" i="3"/>
  <c r="E771" i="3"/>
  <c r="E595" i="3"/>
  <c r="E450" i="3"/>
  <c r="E385" i="3"/>
  <c r="E273" i="3"/>
  <c r="E129" i="3"/>
  <c r="E96" i="3"/>
  <c r="E962" i="3"/>
  <c r="E866" i="3"/>
  <c r="E754" i="3"/>
  <c r="E562" i="3"/>
  <c r="E896" i="3"/>
  <c r="E800" i="3"/>
  <c r="E527" i="3"/>
  <c r="E463" i="3"/>
  <c r="E839" i="3"/>
  <c r="E727" i="3"/>
  <c r="E421" i="3"/>
  <c r="E357" i="3"/>
  <c r="E181" i="3"/>
  <c r="E710" i="3"/>
  <c r="E582" i="3"/>
  <c r="E550" i="3"/>
  <c r="E451" i="3"/>
  <c r="E604" i="3"/>
  <c r="E572" i="3"/>
  <c r="E507" i="3"/>
  <c r="E475" i="3"/>
  <c r="E443" i="3"/>
  <c r="E410" i="3"/>
  <c r="E378" i="3"/>
  <c r="E234" i="3"/>
  <c r="E89" i="3"/>
  <c r="E899" i="3"/>
  <c r="E867" i="3"/>
  <c r="E723" i="3"/>
  <c r="E691" i="3"/>
  <c r="E225" i="3"/>
  <c r="E193" i="3"/>
  <c r="E161" i="3"/>
  <c r="E14" i="3"/>
  <c r="E786" i="3"/>
  <c r="E674" i="3"/>
  <c r="E416" i="3"/>
  <c r="E384" i="3"/>
  <c r="E352" i="3"/>
  <c r="E320" i="3"/>
  <c r="E288" i="3"/>
  <c r="E244" i="3"/>
  <c r="E192" i="3"/>
  <c r="E79" i="3"/>
  <c r="E17" i="3"/>
  <c r="E993" i="3"/>
  <c r="E961" i="3"/>
  <c r="E929" i="3"/>
  <c r="E720" i="3"/>
  <c r="E688" i="3"/>
  <c r="E624" i="3"/>
  <c r="E592" i="3"/>
  <c r="E414" i="3"/>
  <c r="E350" i="3"/>
  <c r="E318" i="3"/>
  <c r="E174" i="3"/>
  <c r="E109" i="3"/>
  <c r="E77" i="3"/>
  <c r="E967" i="3"/>
  <c r="E935" i="3"/>
  <c r="E791" i="3"/>
  <c r="E195" i="3"/>
  <c r="E394" i="3"/>
  <c r="E73" i="3"/>
  <c r="E931" i="3"/>
  <c r="E851" i="3"/>
  <c r="E209" i="3"/>
  <c r="E64" i="3"/>
  <c r="E400" i="3"/>
  <c r="E304" i="3"/>
  <c r="E176" i="3"/>
  <c r="E99" i="3"/>
  <c r="E49" i="3"/>
  <c r="E913" i="3"/>
  <c r="E576" i="3"/>
  <c r="E430" i="3"/>
  <c r="E302" i="3"/>
  <c r="E238" i="3"/>
  <c r="E983" i="3"/>
  <c r="E807" i="3"/>
  <c r="E631" i="3"/>
  <c r="E599" i="3"/>
  <c r="E485" i="3"/>
  <c r="E164" i="3"/>
  <c r="E884" i="3"/>
  <c r="E788" i="3"/>
  <c r="E274" i="3"/>
  <c r="E242" i="3"/>
  <c r="E130" i="3"/>
  <c r="E97" i="3"/>
  <c r="E891" i="3"/>
  <c r="E763" i="3"/>
  <c r="E522" i="3"/>
  <c r="E490" i="3"/>
  <c r="E377" i="3"/>
  <c r="E897" i="3"/>
  <c r="E175" i="3"/>
  <c r="E844" i="3"/>
  <c r="E282" i="3"/>
  <c r="E27" i="3"/>
  <c r="E627" i="3"/>
  <c r="E514" i="3"/>
  <c r="E353" i="3"/>
  <c r="E321" i="3"/>
  <c r="E898" i="3"/>
  <c r="E802" i="3"/>
  <c r="E626" i="3"/>
  <c r="E292" i="3"/>
  <c r="E256" i="3"/>
  <c r="E128" i="3"/>
  <c r="E95" i="3"/>
  <c r="E944" i="3"/>
  <c r="E864" i="3"/>
  <c r="E768" i="3"/>
  <c r="E495" i="3"/>
  <c r="E47" i="3"/>
  <c r="E908" i="3"/>
  <c r="E796" i="3"/>
  <c r="E636" i="3"/>
  <c r="E122" i="3"/>
  <c r="E979" i="3"/>
  <c r="E835" i="3"/>
  <c r="E659" i="3"/>
  <c r="E656" i="3"/>
  <c r="E382" i="3"/>
  <c r="E286" i="3"/>
  <c r="E254" i="3"/>
  <c r="E222" i="3"/>
  <c r="E142" i="3"/>
  <c r="E998" i="3"/>
  <c r="E647" i="3"/>
  <c r="E583" i="3"/>
  <c r="E645" i="3"/>
  <c r="E999" i="3"/>
  <c r="E518" i="3"/>
  <c r="E277" i="3"/>
  <c r="E245" i="3"/>
  <c r="E18" i="3"/>
  <c r="E982" i="3"/>
  <c r="E918" i="3"/>
  <c r="E854" i="3"/>
  <c r="E774" i="3"/>
  <c r="E212" i="3"/>
  <c r="E180" i="3"/>
  <c r="E948" i="3"/>
  <c r="E836" i="3"/>
  <c r="E434" i="3"/>
  <c r="E402" i="3"/>
  <c r="E322" i="3"/>
  <c r="E290" i="3"/>
  <c r="E258" i="3"/>
  <c r="E146" i="3"/>
  <c r="E393" i="3"/>
  <c r="E972" i="3"/>
  <c r="E860" i="3"/>
  <c r="E828" i="3"/>
  <c r="E732" i="3"/>
  <c r="E700" i="3"/>
  <c r="E668" i="3"/>
  <c r="E330" i="3"/>
  <c r="E298" i="3"/>
  <c r="E266" i="3"/>
  <c r="E186" i="3"/>
  <c r="E154" i="3"/>
  <c r="E43" i="3"/>
  <c r="E787" i="3"/>
  <c r="E755" i="3"/>
  <c r="E611" i="3"/>
  <c r="E579" i="3"/>
  <c r="E498" i="3"/>
  <c r="E466" i="3"/>
  <c r="E433" i="3"/>
  <c r="E401" i="3"/>
  <c r="E369" i="3"/>
  <c r="E337" i="3"/>
  <c r="E305" i="3"/>
  <c r="E257" i="3"/>
  <c r="E145" i="3"/>
  <c r="E112" i="3"/>
  <c r="E978" i="3"/>
  <c r="E946" i="3"/>
  <c r="E914" i="3"/>
  <c r="E882" i="3"/>
  <c r="E850" i="3"/>
  <c r="E818" i="3"/>
  <c r="E738" i="3"/>
  <c r="E658" i="3"/>
  <c r="E610" i="3"/>
  <c r="E578" i="3"/>
  <c r="E513" i="3"/>
  <c r="E481" i="3"/>
  <c r="E340" i="3"/>
  <c r="E308" i="3"/>
  <c r="E276" i="3"/>
  <c r="E224" i="3"/>
  <c r="E144" i="3"/>
  <c r="E111" i="3"/>
  <c r="E61" i="3"/>
  <c r="E13" i="3"/>
  <c r="E960" i="3"/>
  <c r="E880" i="3"/>
  <c r="E848" i="3"/>
  <c r="E816" i="3"/>
  <c r="E784" i="3"/>
  <c r="E752" i="3"/>
  <c r="E544" i="3"/>
  <c r="E511" i="3"/>
  <c r="E479" i="3"/>
  <c r="E31" i="3"/>
  <c r="E887" i="3"/>
  <c r="E855" i="3"/>
  <c r="E775" i="3"/>
  <c r="E743" i="3"/>
  <c r="E711" i="3"/>
  <c r="E438" i="3"/>
  <c r="E405" i="3"/>
  <c r="E373" i="3"/>
  <c r="E329" i="3"/>
  <c r="E297" i="3"/>
  <c r="E197" i="3"/>
  <c r="E165" i="3"/>
  <c r="E84" i="3"/>
  <c r="E50" i="3"/>
  <c r="E726" i="3"/>
  <c r="E694" i="3"/>
  <c r="E598" i="3"/>
  <c r="E533" i="3"/>
  <c r="E973" i="3"/>
  <c r="E813" i="3"/>
  <c r="E781" i="3"/>
  <c r="E749" i="3"/>
  <c r="E685" i="3"/>
  <c r="E476" i="3"/>
  <c r="E444" i="3"/>
  <c r="E411" i="3"/>
  <c r="E379" i="3"/>
  <c r="E347" i="3"/>
  <c r="E315" i="3"/>
  <c r="E283" i="3"/>
  <c r="E251" i="3"/>
  <c r="E155" i="3"/>
  <c r="E123" i="3"/>
  <c r="E90" i="3"/>
  <c r="E661" i="3"/>
  <c r="E629" i="3"/>
  <c r="E211" i="3"/>
  <c r="E16" i="3"/>
  <c r="E762" i="3"/>
  <c r="E730" i="3"/>
  <c r="E698" i="3"/>
  <c r="E268" i="3"/>
  <c r="E236" i="3"/>
  <c r="E188" i="3"/>
  <c r="E156" i="3"/>
  <c r="E124" i="3"/>
  <c r="E91" i="3"/>
  <c r="E41" i="3"/>
  <c r="E985" i="3"/>
  <c r="E953" i="3"/>
  <c r="E905" i="3"/>
  <c r="E984" i="3"/>
  <c r="E760" i="3"/>
  <c r="E712" i="3"/>
  <c r="E616" i="3"/>
  <c r="E584" i="3"/>
  <c r="E374" i="3"/>
  <c r="E342" i="3"/>
  <c r="E310" i="3"/>
  <c r="E278" i="3"/>
  <c r="E166" i="3"/>
  <c r="E134" i="3"/>
  <c r="E101" i="3"/>
  <c r="E927" i="3"/>
  <c r="E895" i="3"/>
  <c r="E607" i="3"/>
  <c r="E575" i="3"/>
  <c r="E462" i="3"/>
  <c r="E285" i="3"/>
  <c r="E253" i="3"/>
  <c r="E205" i="3"/>
  <c r="E92" i="3"/>
  <c r="E58" i="3"/>
  <c r="E990" i="3"/>
  <c r="E958" i="3"/>
  <c r="E830" i="3"/>
  <c r="E798" i="3"/>
  <c r="E364" i="3"/>
  <c r="E332" i="3"/>
  <c r="E199" i="3"/>
  <c r="E909" i="3"/>
  <c r="E877" i="3"/>
  <c r="E845" i="3"/>
  <c r="E605" i="3"/>
  <c r="E235" i="3"/>
  <c r="E8" i="3"/>
  <c r="E753" i="3"/>
  <c r="E399" i="3"/>
  <c r="E110" i="3"/>
  <c r="E28" i="3"/>
  <c r="E486" i="3"/>
  <c r="E309" i="3"/>
  <c r="E133" i="3"/>
  <c r="E950" i="3"/>
  <c r="E886" i="3"/>
  <c r="E822" i="3"/>
  <c r="E501" i="3"/>
  <c r="E469" i="3"/>
  <c r="E148" i="3"/>
  <c r="E868" i="3"/>
  <c r="E804" i="3"/>
  <c r="E113" i="3"/>
  <c r="E81" i="3"/>
  <c r="E51" i="3"/>
  <c r="E19" i="3"/>
  <c r="E907" i="3"/>
  <c r="E635" i="3"/>
  <c r="E603" i="3"/>
  <c r="E571" i="3"/>
  <c r="E506" i="3"/>
  <c r="E474" i="3"/>
  <c r="E425" i="3"/>
  <c r="E361" i="3"/>
  <c r="E746" i="3"/>
  <c r="E714" i="3"/>
  <c r="E682" i="3"/>
  <c r="E252" i="3"/>
  <c r="E107" i="3"/>
  <c r="E75" i="3"/>
  <c r="E969" i="3"/>
  <c r="E889" i="3"/>
  <c r="E968" i="3"/>
  <c r="E904" i="3"/>
  <c r="E728" i="3"/>
  <c r="E696" i="3"/>
  <c r="E632" i="3"/>
  <c r="E600" i="3"/>
  <c r="E358" i="3"/>
  <c r="E326" i="3"/>
  <c r="E294" i="3"/>
  <c r="E262" i="3"/>
  <c r="E182" i="3"/>
  <c r="E150" i="3"/>
  <c r="E118" i="3"/>
  <c r="E85" i="3"/>
  <c r="E39" i="3"/>
  <c r="E943" i="3"/>
  <c r="E911" i="3"/>
  <c r="E847" i="3"/>
  <c r="E623" i="3"/>
  <c r="E591" i="3"/>
  <c r="E559" i="3"/>
  <c r="E478" i="3"/>
  <c r="E269" i="3"/>
  <c r="E189" i="3"/>
  <c r="E974" i="3"/>
  <c r="E942" i="3"/>
  <c r="E910" i="3"/>
  <c r="E878" i="3"/>
  <c r="E846" i="3"/>
  <c r="E814" i="3"/>
  <c r="E782" i="3"/>
  <c r="E654" i="3"/>
  <c r="E525" i="3"/>
  <c r="E412" i="3"/>
  <c r="E380" i="3"/>
  <c r="E284" i="3"/>
  <c r="E172" i="3"/>
  <c r="E649" i="3"/>
  <c r="E601" i="3"/>
  <c r="E135" i="3"/>
  <c r="E102" i="3"/>
  <c r="E52" i="3"/>
  <c r="E861" i="3"/>
  <c r="E171" i="3"/>
  <c r="E24" i="3"/>
  <c r="E769" i="3"/>
  <c r="E625" i="3"/>
  <c r="E593" i="3"/>
  <c r="E561" i="3"/>
  <c r="E480" i="3"/>
  <c r="E917" i="3"/>
  <c r="E885" i="3"/>
  <c r="E789" i="3"/>
  <c r="E516" i="3"/>
  <c r="E484" i="3"/>
  <c r="E452" i="3"/>
  <c r="E419" i="3"/>
  <c r="E387" i="3"/>
  <c r="E355" i="3"/>
  <c r="E323" i="3"/>
  <c r="E259" i="3"/>
  <c r="E147" i="3"/>
  <c r="D714" i="3"/>
  <c r="D578" i="3"/>
  <c r="D44" i="3"/>
  <c r="D701" i="3"/>
  <c r="D143" i="3"/>
  <c r="D718" i="3"/>
  <c r="D885" i="3"/>
  <c r="D949" i="3"/>
  <c r="D355" i="3"/>
  <c r="D107" i="3"/>
  <c r="D765" i="3"/>
  <c r="D750" i="3"/>
  <c r="D669" i="3"/>
  <c r="D335" i="3"/>
  <c r="D207" i="3"/>
  <c r="D396" i="3"/>
  <c r="D300" i="3"/>
  <c r="D897" i="3"/>
  <c r="D461" i="3"/>
  <c r="D399" i="3"/>
  <c r="D893" i="3"/>
  <c r="D271" i="3"/>
  <c r="D33" i="3"/>
  <c r="D861" i="3"/>
  <c r="D428" i="3"/>
  <c r="D168" i="3"/>
  <c r="D654" i="3"/>
  <c r="D248" i="3"/>
  <c r="D665" i="3"/>
  <c r="D586" i="3"/>
  <c r="D32" i="3"/>
  <c r="D59" i="3"/>
  <c r="D642" i="3"/>
  <c r="D733" i="3"/>
  <c r="D778" i="3"/>
  <c r="D392" i="3"/>
  <c r="D172" i="3"/>
  <c r="D148" i="3"/>
  <c r="D489" i="3"/>
  <c r="D292" i="3"/>
  <c r="D926" i="3"/>
  <c r="D650" i="3"/>
  <c r="D610" i="3"/>
  <c r="D590" i="3"/>
  <c r="D889" i="3"/>
  <c r="D989" i="3"/>
  <c r="D525" i="3"/>
  <c r="D387" i="3"/>
  <c r="D829" i="3"/>
  <c r="D686" i="3"/>
  <c r="D737" i="3"/>
  <c r="D673" i="3"/>
  <c r="D319" i="3"/>
  <c r="D746" i="3"/>
  <c r="D738" i="3"/>
  <c r="D312" i="3"/>
  <c r="D140" i="3"/>
  <c r="D697" i="3"/>
  <c r="D622" i="3"/>
  <c r="D12" i="3"/>
  <c r="D485" i="3"/>
  <c r="D291" i="3"/>
  <c r="D175" i="3"/>
  <c r="D37" i="3"/>
  <c r="D682" i="3"/>
  <c r="D364" i="3"/>
  <c r="D573" i="3"/>
  <c r="D961" i="3"/>
  <c r="D192" i="3"/>
  <c r="D66" i="3"/>
  <c r="D725" i="3"/>
  <c r="D661" i="3"/>
  <c r="D360" i="3"/>
  <c r="D239" i="3"/>
  <c r="D110" i="3"/>
  <c r="D550" i="3"/>
  <c r="D605" i="3"/>
  <c r="D424" i="3"/>
  <c r="F457" i="3"/>
  <c r="E546" i="3"/>
  <c r="E557" i="3"/>
  <c r="E549" i="3"/>
  <c r="E535" i="3"/>
  <c r="E552" i="3"/>
  <c r="E547" i="3"/>
  <c r="E545" i="3"/>
  <c r="E541" i="3"/>
  <c r="E548" i="3"/>
  <c r="E554" i="3"/>
  <c r="E534" i="3"/>
  <c r="E551" i="3"/>
  <c r="E537" i="3"/>
  <c r="E540" i="3"/>
  <c r="E555" i="3"/>
  <c r="E543" i="3"/>
  <c r="E538" i="3"/>
  <c r="E532" i="3"/>
  <c r="E556" i="3"/>
  <c r="E553" i="3"/>
  <c r="E542" i="3"/>
  <c r="E539" i="3"/>
  <c r="E457" i="3"/>
  <c r="D517" i="3"/>
  <c r="D98" i="3"/>
  <c r="D705" i="3"/>
  <c r="D411" i="3"/>
  <c r="D929" i="3"/>
  <c r="D609" i="3"/>
  <c r="D999" i="3"/>
  <c r="D577" i="3"/>
  <c r="D769" i="3"/>
  <c r="D710" i="3"/>
  <c r="D99" i="3"/>
  <c r="D797" i="3"/>
  <c r="D444" i="3"/>
  <c r="D540" i="3"/>
  <c r="D480" i="3"/>
  <c r="D415" i="3"/>
  <c r="D316" i="3"/>
  <c r="D74" i="3"/>
  <c r="D436" i="3"/>
  <c r="D637" i="3"/>
  <c r="D508" i="3"/>
  <c r="D476" i="3"/>
  <c r="D448" i="3"/>
  <c r="D367" i="3"/>
  <c r="D554" i="3"/>
  <c r="D62" i="3" l="1"/>
  <c r="E62" i="3"/>
  <c r="F46" i="3" l="1"/>
  <c r="E280" i="3"/>
  <c r="E56" i="3" l="1"/>
  <c r="F976" i="3"/>
  <c r="F93" i="3"/>
  <c r="E93" i="3"/>
  <c r="F217" i="3"/>
  <c r="E217" i="3"/>
  <c r="F977" i="3"/>
  <c r="E977" i="3"/>
  <c r="F76" i="3"/>
  <c r="E76" i="3"/>
  <c r="F190" i="3"/>
  <c r="E190" i="3"/>
  <c r="F23" i="3"/>
  <c r="E23" i="3"/>
  <c r="F70" i="3"/>
  <c r="D70" i="3"/>
  <c r="F975" i="3"/>
  <c r="E975" i="3"/>
  <c r="F25" i="3"/>
  <c r="E25" i="3"/>
  <c r="F494" i="3"/>
  <c r="D494" i="3"/>
  <c r="E46" i="3"/>
  <c r="F440" i="3"/>
  <c r="F565" i="3"/>
  <c r="F54" i="3"/>
  <c r="F615" i="3"/>
  <c r="F957" i="3"/>
  <c r="D80" i="3"/>
  <c r="F80" i="3"/>
  <c r="F157" i="3"/>
  <c r="F873" i="3"/>
  <c r="F924" i="3"/>
  <c r="F568" i="3"/>
  <c r="F947" i="3"/>
  <c r="F939" i="3"/>
  <c r="F445" i="3"/>
  <c r="F994" i="3"/>
  <c r="F83" i="3"/>
  <c r="E589" i="3"/>
  <c r="E568" i="3" l="1"/>
  <c r="E873" i="3"/>
  <c r="E615" i="3"/>
  <c r="E947" i="3"/>
  <c r="E157" i="3"/>
  <c r="E994" i="3"/>
  <c r="D939" i="3"/>
  <c r="D924" i="3"/>
  <c r="D54" i="3"/>
  <c r="D957" i="3"/>
</calcChain>
</file>

<file path=xl/sharedStrings.xml><?xml version="1.0" encoding="utf-8"?>
<sst xmlns="http://schemas.openxmlformats.org/spreadsheetml/2006/main" count="21259" uniqueCount="4584">
  <si>
    <t>Farinha de trigo</t>
  </si>
  <si>
    <t>Rapadura</t>
  </si>
  <si>
    <t>Marmelada</t>
  </si>
  <si>
    <t>Caldo de peixe</t>
  </si>
  <si>
    <t>Iogurte natural</t>
  </si>
  <si>
    <t>Sequilho</t>
  </si>
  <si>
    <t>Mortadela</t>
  </si>
  <si>
    <t>Sushi</t>
  </si>
  <si>
    <t>ensopado</t>
  </si>
  <si>
    <t>cozido</t>
  </si>
  <si>
    <t>CF</t>
  </si>
  <si>
    <t>WF</t>
  </si>
  <si>
    <t>Bebida energética</t>
  </si>
  <si>
    <t>frutas</t>
  </si>
  <si>
    <t>cereais e leguminosas</t>
  </si>
  <si>
    <t>hortaliças tuberosas</t>
  </si>
  <si>
    <t>farinhas, féculas e massas</t>
  </si>
  <si>
    <t>cocos, castanhas e nozes</t>
  </si>
  <si>
    <t>hortaliças folhosas, frutosas e outras</t>
  </si>
  <si>
    <t>açúcares e produtos de confeitaria</t>
  </si>
  <si>
    <t>sais e condimentos</t>
  </si>
  <si>
    <t>carnes e vísceras</t>
  </si>
  <si>
    <t>pescados e frutos do mar</t>
  </si>
  <si>
    <t>aves e ovos</t>
  </si>
  <si>
    <t>laticínios</t>
  </si>
  <si>
    <t>panificados</t>
  </si>
  <si>
    <t>carnes industrializadas</t>
  </si>
  <si>
    <t>bebidas não alcoólicas e infusões</t>
  </si>
  <si>
    <t>bebidas alcoólicas</t>
  </si>
  <si>
    <t>óleos e gorduras</t>
  </si>
  <si>
    <t>miscelâneas</t>
  </si>
  <si>
    <t>MEAT AND EDIBLE MEAT OFFAL</t>
  </si>
  <si>
    <t>Meat of bovine animals; fresh or chilled</t>
  </si>
  <si>
    <t>Meat of bovine animals; frozen</t>
  </si>
  <si>
    <t>Meat of swine; fresh, chilled or frozen</t>
  </si>
  <si>
    <t>Meat of sheep or goats; fresh, chilled or frozen</t>
  </si>
  <si>
    <t>Meat; of horses, asses, mules or hinnies, fresh, chilled or frozen</t>
  </si>
  <si>
    <t>Edible offal of bovine animals, swine, sheep, goats, horses, asses, mules or hinnies; fresh, chilled or frozen</t>
  </si>
  <si>
    <t>Meat and edible offal of poultry; of the poultry of heading no. 0105, (i.e. fowls of the species Gallus domesticus), fresh, chilled or frozen</t>
  </si>
  <si>
    <t>Meat and edible meat offal, n.e.c. in chapter 2;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</si>
  <si>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</si>
  <si>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</si>
  <si>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FISH AND CRUSTACEANS, MOLLUSCS AND OTHER AQUATIC INVERTEBRATES</t>
  </si>
  <si>
    <t>Fish; live</t>
  </si>
  <si>
    <t>Fish; fresh or chilled, excluding fish fillets and other fish meat of heading 0304</t>
  </si>
  <si>
    <t>Fish; frozen, excluding fish fillets and other fish meat of heading 0304</t>
  </si>
  <si>
    <t>Fish fillets and other fish meat (whether or not minced); fresh, chilled or frozen</t>
  </si>
  <si>
    <t>Fish, dried, salted or in brine; smoked fish, whether or not cooked before or during the smoking process; flours, meals and pellets of fish, fit for human consumption</t>
  </si>
  <si>
    <t>Crustaceans; in shell or not, live, fresh, chilled, frozen, dried, salted or in brine; smoked, cooked or not before or during smoking; in shell, steamed or boiled, whether or not chilled, frozen, dried, salted or in brine; edible flours, meals, pellets</t>
  </si>
  <si>
    <t>Molluscs; whether in shell or not, live, fresh, chilled, frozen, dried, salted or in brine; smoked molluscs, whether in shell or not, cooked or not before or during the smoking process; flours, meals and pellets of molluscs, fit for human consumption</t>
  </si>
  <si>
    <t>Aquatic invertebrates, other than crustaceans and molluscs; live, fresh, chilled, frozen, dried, salted or in brine, smoked, whether or not cooked before or during the smoking process; flours, meals, and pellets, fit for human consumption</t>
  </si>
  <si>
    <t>DAIRY PRODUCE; BIRDS' EGGS; NATURAL HONEY; EDIBLE PRODUCTS OF ANIMAL ORIGIN, NOT ELSEWHERE SPECIFIED OR INCLUDED</t>
  </si>
  <si>
    <t>Milk and cream; not concentrated, not containing added sugar or other sweetening matter</t>
  </si>
  <si>
    <t>Milk and cream; concentrated or containing added sugar or other sweetening matter</t>
  </si>
  <si>
    <t>Buttermilk, curdled milk and cream, yoghurt, kephir, fermented or acidified milk or cream, whether or not concentrated, containing added sugar, sweetening matter, flavoured or added fruit or cocoa</t>
  </si>
  <si>
    <t>Whey and products consisting of natural milk constituents; whether or not containing added sugar or other sweetening matter, not elsewhere specified or included</t>
  </si>
  <si>
    <t>Butter and other fats and oils derived from milk; dairy spreads</t>
  </si>
  <si>
    <t>Cheese and curd</t>
  </si>
  <si>
    <t>Birds' eggs, in shell; fresh, preserved or cooked</t>
  </si>
  <si>
    <t>Birds' eggs, not in shell; egg yolks, fresh, dried, cooked by steaming or boiling in water, moulded, frozen or otherwise preserved, whether or not containing added sugar or other sweetening matter</t>
  </si>
  <si>
    <t>Honey; natural</t>
  </si>
  <si>
    <t>Edible products of animal origin; not elsewhere specified or included</t>
  </si>
  <si>
    <t>ANIMAL ORIGINATED PRODUCTS; NOT ELSEWHERE SPECIFIED OR INCLUDED</t>
  </si>
  <si>
    <t>Human hair; unworked, whether or not washed or scoured; waste of human hair</t>
  </si>
  <si>
    <t>Pigs', hogs' or boars' bristles and hair; and waste thereof</t>
  </si>
  <si>
    <t>Guts, bladders and stomachs of animals (other than fish); whole and pieces thereof, fresh, chilled, frozen, salted, in brine, dried or smoked</t>
  </si>
  <si>
    <t>Skins and other parts of birds with feathers, down; feathers, down and parts thereof; not further worked than cleaned, disinfected, treated for preservation; powder, waste and parts of feathers</t>
  </si>
  <si>
    <t>Bones and horn-cores, unworked, defatted, simply prepared (but not cut to shape), treated with acid or degelatinised; powder and waste of these products</t>
  </si>
  <si>
    <t>Ivory, tortoise-shell, whalebone and whalebone hair, horns, antlers, hooves, nails, claws and beaks unworked or simply prepared, not cut to shape; waste and powder of these products</t>
  </si>
  <si>
    <t>Coral and similar materials, unworked or simply prepared, shells of molluscs, crustaceans or echinoderms and cuttle-bone, not cut to shape powder and waste thereof</t>
  </si>
  <si>
    <t>Ambergris, castoreum, civet and musk; cantharides; bile, dried or not glands, other animal products used in preparation of pharmaceutical products, fresh chilled, frozen or otherwise provisionally preserved</t>
  </si>
  <si>
    <t>Animal products not elsewhere specified or included; dead animals of chapter 1 or 3, unfit for human consumption</t>
  </si>
  <si>
    <t>TREES AND OTHER PLANTS, LIVE; BULBS, ROOTS AND THE LIKE; CUT FLOWERS AND ORNAMENTAL FOLIAGE</t>
  </si>
  <si>
    <t>Bulbs, tubers, tuberous roots, corms, crowns and rhizomes; dormant, in growth or in flower; chicory plants and roots other than roots of heading no. 1212</t>
  </si>
  <si>
    <t>Plants, live; n.e.c. in heading no. 0601, (including their roots) cuttings and slips; mushroom spawn</t>
  </si>
  <si>
    <t>Flowers; cut flowers and flower buds of a kind suitable for bouquets or for ornamental purposes, fresh, dried, dyed, bleached, impregnated or otherwise prepared</t>
  </si>
  <si>
    <t>Foliage, branches and other parts of plants, without flowers or flower buds, and grasses, mosses and lichens; suitable for bouquets or for ornamental purposes, fresh, dried, dyed, bleached, impregnated etc.</t>
  </si>
  <si>
    <t>VEGETABLES AND CERTAIN ROOTS AND TUBERS; EDIBLE</t>
  </si>
  <si>
    <t>Potatoes; fresh or chilled</t>
  </si>
  <si>
    <t>Tomatoes; fresh or chilled</t>
  </si>
  <si>
    <t>Onions, shallots, garlic, leeks and other alliaceous vegetables; fresh or chilled</t>
  </si>
  <si>
    <t>Cabbages, cauliflowers, kohlrabi, kale and similar edible brassicas; fresh or chilled</t>
  </si>
  <si>
    <t>Lettuce (lactuca sativa) and chicory (cichorium spp.) fresh or chilled</t>
  </si>
  <si>
    <t>Carrots, turnips, salad beetroot, salsify, celeriac, radishes and similar edible roots; fresh or chilled</t>
  </si>
  <si>
    <t>Cucumbers and gherkins; fresh or chilled</t>
  </si>
  <si>
    <t>Leguminous vegetables; shelled or unshelled, fresh or chilled</t>
  </si>
  <si>
    <t>Vegetables; n.e.c. in chapter 07, fresh or chilled</t>
  </si>
  <si>
    <t>Vegetables (uncooked or cooked by steaming or boiling in water); frozen</t>
  </si>
  <si>
    <t>Vegetables provisionally preserved; (e.g. by sulphur dioxide gas, in brine, in sulphur water or in other preservative solutions), but unsuitable in that state for immediate consumption</t>
  </si>
  <si>
    <t>Vegetables, dried; whole, cut, sliced, broken or in powder, but not further prepared</t>
  </si>
  <si>
    <t>Vegetables, leguminous; shelled, whether or not skinned or split, dried</t>
  </si>
  <si>
    <t>Manioc, arrowroot, salep, Jerusalem artichokes, sweet potatoes and similar roots and tubers with high starch or inulin content; fresh, chilled, frozen or dried, whether or not sliced or in the form of pellets; sago pith</t>
  </si>
  <si>
    <t>FRUIT AND NUTS, EDIBLE; PEEL OF CITRUS FRUIT OR MELONS</t>
  </si>
  <si>
    <t>Nuts, edible; coconuts, Brazil nuts and cashew nuts, fresh or dried, whether or not shelled or peeled</t>
  </si>
  <si>
    <t>Nuts (excluding coconuts, Brazils and cashew nuts); fresh or dried, whether or not shelled or peeled</t>
  </si>
  <si>
    <t>Bananas, including plantains; fresh or dried</t>
  </si>
  <si>
    <t>Dates, figs, pineapples, avocados, guavas, mangoes and mangosteens; fresh or dried</t>
  </si>
  <si>
    <t>Citrus fruit; fresh or dried</t>
  </si>
  <si>
    <t>Grapes; fresh or dried</t>
  </si>
  <si>
    <t>Melons (including watermelons) and papaws (papayas); fresh</t>
  </si>
  <si>
    <t>Apples, pears and quinces; fresh</t>
  </si>
  <si>
    <t>Apricots, cherries, peaches (including nectarines), plums and sloes, fresh</t>
  </si>
  <si>
    <t>Fruit, fresh; n.e.c. in chapter 08</t>
  </si>
  <si>
    <t>Fruit and nuts; uncooked or cooked by steaming or boiling in water, frozen, whether or not containing added sugar or other sweetening matter</t>
  </si>
  <si>
    <t>Fruit and nuts provisionally preserved; e.g. by sulphur dioxide gas, brine, in sulphur water or in other preservative solutions, but unsuitable in that state for immediate consumption</t>
  </si>
  <si>
    <t>Fruit, dried, other than that of heading no. 0801 to 0806; mixtures of nuts or dried fruits of this chapter</t>
  </si>
  <si>
    <t>Peel of citrus fruit or melons (including watermelons); fresh, frozen dried or provisionally preserved in brine, in sulphur water or in other preservative solutions</t>
  </si>
  <si>
    <t>COFFEE, TEA, MATE AND SPICES</t>
  </si>
  <si>
    <t>Coffee, whether or not roasted or decaffeinated; husks and skins; coffee substitutes containing coffee in any proportion</t>
  </si>
  <si>
    <t>Tea</t>
  </si>
  <si>
    <t>Mate</t>
  </si>
  <si>
    <t>Pepper of the genus piper; dried or crushed or ground fruits of the genus capsicum or of the genus pimenta</t>
  </si>
  <si>
    <t>Vanilla</t>
  </si>
  <si>
    <t>Cinnamon and cinnamon-tree flowers</t>
  </si>
  <si>
    <t>Cloves (whole fruit, cloves and stems)</t>
  </si>
  <si>
    <t>Nutmeg, mace and cardamoms</t>
  </si>
  <si>
    <t>Seeds of anise, badian, fennel, coriander, cumin, caraway or juniper</t>
  </si>
  <si>
    <t>Ginger, saffron, tumeric (curcuma), thyme, bay leaves, curry and other spices</t>
  </si>
  <si>
    <t>CEREALS</t>
  </si>
  <si>
    <t>Wheat and meslin</t>
  </si>
  <si>
    <t>Rye</t>
  </si>
  <si>
    <t>Barley</t>
  </si>
  <si>
    <t>Oats</t>
  </si>
  <si>
    <t>Maize (corn)</t>
  </si>
  <si>
    <t>Rice</t>
  </si>
  <si>
    <t>Grain sorghum</t>
  </si>
  <si>
    <t>Buckwheat, millet and canary seeds; other cereals</t>
  </si>
  <si>
    <t>PRODUCTS OF THE MILLING INDUSTRY; MALT, STARCHES, INULIN, WHEAT GLUTEN</t>
  </si>
  <si>
    <t>Wheat or meslin flour</t>
  </si>
  <si>
    <t>Cereal flours; other than of wheat or meslin</t>
  </si>
  <si>
    <t>Cereal groats; meal and pellets</t>
  </si>
  <si>
    <t>Cereal grains otherwise worked (e.g. hulled, rolled, flaked, pearled, sliced or kibbled) except rice of heading no. 1006; germ of cereals whole, rolled, flaked or ground</t>
  </si>
  <si>
    <t>Flour, meal, powder, flakes, granules and pellets of potatoes</t>
  </si>
  <si>
    <t>Flour, meal and powder; of the dried leguminous vegetables of heading no. 0713, of sago or of roots or tubers of heading no. 0714 or of the products of chapter 8</t>
  </si>
  <si>
    <t>Malt; whether or not roasted</t>
  </si>
  <si>
    <t>Starches; inulin</t>
  </si>
  <si>
    <t>Wheat gluten; whether or not dried</t>
  </si>
  <si>
    <t>OIL SEEDS AND OLEAGINOUS FRUITS; MISCELLANEOUS GRAINS, SEEDS AND FRUIT, INDUSTRIAL OR MEDICINAL PLANTS; STRAW AND FODDER</t>
  </si>
  <si>
    <t>Soya beans, whether or not broken</t>
  </si>
  <si>
    <t>Ground-nuts; not roasted or otherwise cooked, whether or not shelled or broken</t>
  </si>
  <si>
    <t>Copra</t>
  </si>
  <si>
    <t>Oil seeds; linseed, whether or not broken</t>
  </si>
  <si>
    <t>Rape or colza seeds; whether or not broken</t>
  </si>
  <si>
    <t>Sunflower seeds; whether or not broken</t>
  </si>
  <si>
    <t>Oil seeds and oleaginous fruits, n.e.c. in chapter 12; whether or not broken</t>
  </si>
  <si>
    <t>Flours and meals of oil seeds or oleaginous fruits; other than those of mustard</t>
  </si>
  <si>
    <t>Seeds, fruit and spores; of a kind used for sowing</t>
  </si>
  <si>
    <t>Hop cones, fresh or dried, whether or not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</si>
  <si>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</si>
  <si>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Locust beans, seaweeds and other algae, sugar beet, sugar cane, fresh, chilled, frozen or dried, whether or not ground; fruit stones, kernels and other vegetable products (including unroasted chicory roots) used primarily for human consumption, n.e.c.</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</si>
  <si>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</si>
  <si>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</si>
  <si>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LAC; GUMS, RESINS AND OTHER VEGETABLE SAPS AND EXTRACTS</t>
  </si>
  <si>
    <t>Lac; natural gums, resins, gum-resins and oleoresins (for example, balsams)</t>
  </si>
  <si>
    <t>Vegetable saps and extracts; pectic substances, pectinates and pectates; agar-agar and other mucilages and thickeners, whether or not modified, derived from vegetable products</t>
  </si>
  <si>
    <t>VEGETABLE PLAITING MATERIALS; VEGETABLE PRODUCTS NOT ELSEWHERE SPECIFIED OR INCLUDED</t>
  </si>
  <si>
    <t>Vegetable materials of a kind used primarily for plaiting; (e.g. bamboos, rattans, reeds, rushes, osier, raffia, cleaned, bleached or dyed cereal straw and lime bark)</t>
  </si>
  <si>
    <t>Vegetable products not elsewhere specified or included</t>
  </si>
  <si>
    <t>ANIMAL OR VEGETABLE FATS AND OILS AND THEIR CLEAVAGE PRODUCTS; PREPARED ANIMAL FATS; ANIMAL OR VEGETABLE WAXES</t>
  </si>
  <si>
    <t>Pig fat (including lard) and poultry fat, other than that of heading 0209 or 1503</t>
  </si>
  <si>
    <t>Fats of bovine animals, sheep or goats, other than those of heading 1503</t>
  </si>
  <si>
    <t>Lard stearin, lard oil, oleostearin, oleo-oil and tallow oil; not emulsified or mixed or otherwise prepared</t>
  </si>
  <si>
    <t>Fats and oils and their fractions of fish or marine mammals; whether or not refined, but not chemically modified</t>
  </si>
  <si>
    <t>Wool grease and fatty substances derived therefrom (including lanolin)</t>
  </si>
  <si>
    <t>Animal fats and oils and their fractions; whether or not refined, but not chemically modified, n.e.c. in chapter 15</t>
  </si>
  <si>
    <t>Soya-bean oil and its fractions; whether or not refined, but not chemically modified</t>
  </si>
  <si>
    <t>Ground nut oil and its fractions; whether or not refined, but not chemically modified</t>
  </si>
  <si>
    <t>Olive oil and its fractions; whether or not refined, but not chemically modified</t>
  </si>
  <si>
    <t>Oils and their fractions n.e.c. in chapter 15, obtained solely from olives, whether or not refined, but not chemically modified, including blends of these oils or fractions with oils or fractions of heading no. 1509</t>
  </si>
  <si>
    <t>Palm oil and its fractions; whether or not refined, but not chemically modified</t>
  </si>
  <si>
    <t>Sun-flower seed, safflower or cotton-seed oil and their fractions; whether or not refined, but not chemically modified</t>
  </si>
  <si>
    <t>Coconut (copra), palm kernel or babassu oil and their fractions; whether or not refined but not chemically modified</t>
  </si>
  <si>
    <t>Rape, colza or mustard oil and their fractions; whether or not refined, but not chemically modified</t>
  </si>
  <si>
    <t>Fixed vegetable fats and oils (including jojoba oil) and their fractions, whether or not refined; but not chemically modified</t>
  </si>
  <si>
    <t>Animal or vegetable fats and oils and their fractions; partly or wholly hydrogenated, inter-esterified, re-esterified or elaidinised, whether or not refined, but not further prepared</t>
  </si>
  <si>
    <t>Margarine; edible mixtures or preparations of animal or vegetable fats or oils or of fractions of different fats or oils of this chapter, other than edible fats or oils of heading no. 1516</t>
  </si>
  <si>
    <t>Animal or vegetable fats, oils, fractions, modified in any way, excluding heading no. 1516; inedible versions of animal or vegetable fats, oils or fractions of this chapter, n.e.c. or included</t>
  </si>
  <si>
    <t>Glycerol, crude; glycerol waters and glycerol lyes</t>
  </si>
  <si>
    <t>Vegetable waxes (other than triglycerides), beeswax, other insect waxes and spermaceti; whether or not refined or coloured</t>
  </si>
  <si>
    <t>Degras; residues resulting from the treatment of fatty substances or animal or vegetable waxes</t>
  </si>
  <si>
    <t>MEAT, FISH OR CRUSTACEANS, MOLLUSCS OR OTHER AQUATIC INVERTEBRATES; PREPARATIONS THEREOF</t>
  </si>
  <si>
    <t>Sausages and similar products of meat, meat offal or blood; food preparations based on these products</t>
  </si>
  <si>
    <t>Prepared or preserved meat, meat offal or blood</t>
  </si>
  <si>
    <t>Extracts and juices of meat, fish or crustaceans, molluscs or other aquatic invertebrates</t>
  </si>
  <si>
    <t>Prepared or preserved fish; caviar and caviar substitutes prepared from fish eggs</t>
  </si>
  <si>
    <t>Crustaceans, molluscs and other aquatic invertebrates, prepared or preserved</t>
  </si>
  <si>
    <t>SUGARS AND SUGAR CONFECTIONERY</t>
  </si>
  <si>
    <t>Cane or beet sugar and chemically pure sucrose, in solid form</t>
  </si>
  <si>
    <t>Sugars, including lactose, maltose, glucose or fructose in solid form; sugar syrups without added flavouring or colouring matter; artificial honey, whether or not mixed with natural honey; caramel</t>
  </si>
  <si>
    <t>Molasses; resulting from the extraction or refining of sugar</t>
  </si>
  <si>
    <t>Sugar confectionery (including white chocolate), not containing cocoa</t>
  </si>
  <si>
    <t>COCOA AND COCOA PREPARATIONS</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</si>
  <si>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</si>
  <si>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</si>
  <si>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</si>
  <si>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</si>
  <si>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</si>
  <si>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</si>
  <si>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PREPARATIONS OF CEREALS, FLOUR, STARCH OR MILK; PASTRYCOOKS' PRODUCTS</t>
  </si>
  <si>
    <t>Malt extract; flour/groats/meal/starch/malt extract products, no cocoa (or less than 40% by weight) and food preparations of goods of headings 04.01 to 04.04, no cocoa (or less than 5% by weight), weights calculated on a totally defatted basis, n.e.c.</t>
  </si>
  <si>
    <t>Pasta; whether or not cooked or stuffed with meat or other substance, or otherwise prepared, egg spaghetti, macaroni, noodles, lasagne, gnocchi, ravioli, cannelloni; couscous, whether or not prepared</t>
  </si>
  <si>
    <t>Tapioca and substitutes therefor prepared from starch; in the form of flakes, grains, pearls, siftings or similar forms</t>
  </si>
  <si>
    <t>Prepared foods obtained by swelling or roasting cereals or cereal products (e.g. corn flakes); cereals (other than maize (corn)) in grain form or in the form of flakes or other worked grains (not flour and meal), pre-cooked or otherwise prepared, n.e.c.</t>
  </si>
  <si>
    <t>Bread, pastry, cakes, biscuits, other bakers' wares, whether or not containing cocoa; communion wafers, empty cachets suitable for pharmaceutical use, sealing wafers, rice paper and similar products</t>
  </si>
  <si>
    <t>PREPARATIONS OF VEGETABLES, FRUIT, NUTS OR OTHER PARTS OF PLANTS</t>
  </si>
  <si>
    <t>Vegetables, fruit, nuts and other edible parts of plants; prepared or preserved by vinegar or acetic acid</t>
  </si>
  <si>
    <t>Tomatoes; prepared or preserved otherwise than by vinegar or acetic acid</t>
  </si>
  <si>
    <t>Mushrooms and truffles, prepared or preserved other than by vinegar or acetic acid</t>
  </si>
  <si>
    <t>Vegetables preparations n.e.c.; prepared or preserved otherwise than by vinegar or acetic acid, frozen, other than products of heading no. 2006</t>
  </si>
  <si>
    <t>Vegetables preparations n.e.c.; prepared or preserved otherwise than by vinegar or acetic acid, not frozen, other than products of heading no. 2006</t>
  </si>
  <si>
    <t>Vegetables, fruit, nuts, fruit-peel and other parts of plants, preserved by sugar (drained, glace or crystallised)</t>
  </si>
  <si>
    <t>Jams, fruit jellies, marmalades, fruit or nut puree and fruit or nut pastes, being cooked preparations; whether or not containing added sugar or other sweetening matter</t>
  </si>
  <si>
    <t>Fruit, nuts and other edible parts of plants; prepared or preserved in ways n.e.c., whether or not containing added sugar or other sweetening matter or spirit, not elsewhere specified or included</t>
  </si>
  <si>
    <t>Fruit juices (including grape must) and vegetable juices, unfermented, not containing added spirit; whether or not containing added sugar or other sweetening matter</t>
  </si>
  <si>
    <t>MISCELLANEOUS EDIBLE PREPARATIONS</t>
  </si>
  <si>
    <t>Extracts, essences, concentrates of coffee, tea or mate; preparations with a basis of these products or with a basis of coffee, tea or mate; roasted chicory and other roasted coffee substitutes and extracts, essences and concentrates thereof</t>
  </si>
  <si>
    <t>Yeasts (active or inactive); other single-cell micro-organisms, dead (but not including vaccines of heading no. 3002); prepared baking powders</t>
  </si>
  <si>
    <t>Sauces and preparations therefor; mixed condiments and mixed seasonings, mustard flour and meal and prepared mustard</t>
  </si>
  <si>
    <t>Soups and broths and preparations therefor; homogenised composite food preparations</t>
  </si>
  <si>
    <t>Ice cream and other edible ice; whether or not containing cocoa</t>
  </si>
  <si>
    <t>Food preparations not elsewhere specified or included</t>
  </si>
  <si>
    <t>BEVERAGES, SPIRITS AND VINEGAR</t>
  </si>
  <si>
    <t>Waters, including natural or artificial mineral waters and aerated waters, not containing added sugar or other sweetening matter nor flavoured; ice and snow</t>
  </si>
  <si>
    <t>Waters, including mineral and aerated waters, containing added sugar or sweetening matter, flavoured; other non-alcoholic beverages, not including fruit or vegetable juices of heading no. 2009</t>
  </si>
  <si>
    <t>Beer made from malt</t>
  </si>
  <si>
    <t>Wine of fresh grapes, including fortified wines; grape must other than that of heading no. 2009</t>
  </si>
  <si>
    <t>Vermouth and other wine of fresh grapes, flavoured with plants or aromatic substances</t>
  </si>
  <si>
    <t>Fermented beverages, n.e.c. in chapter 22; (e.g. cider, perry, mead, sake)</t>
  </si>
  <si>
    <t>Ethyl alcohol, undenatured; of an alcoholic strength by volume of 80% vol. or higher; ethyl alcohol and other spirits, denatured, of any strength</t>
  </si>
  <si>
    <t>Ethyl alcohol, undenatured; of an alcoholic strength by volume of less than 80% volume; spirits, liqueurs and other spirituous beverages</t>
  </si>
  <si>
    <t>Vinegar and substitutes for vinegar obtained from acetic acid</t>
  </si>
  <si>
    <t>CF (gCO2/kg)</t>
  </si>
  <si>
    <t>WF (l/kg)</t>
  </si>
  <si>
    <t xml:space="preserve">N </t>
  </si>
  <si>
    <t>United Kingdom</t>
  </si>
  <si>
    <t>BCFN</t>
  </si>
  <si>
    <t>Italy</t>
  </si>
  <si>
    <t>N</t>
  </si>
  <si>
    <t>USA</t>
  </si>
  <si>
    <t>Sweden</t>
  </si>
  <si>
    <t>World</t>
  </si>
  <si>
    <t>Vietnam</t>
  </si>
  <si>
    <t>Japan</t>
  </si>
  <si>
    <t>China</t>
  </si>
  <si>
    <t>Indonesia</t>
  </si>
  <si>
    <t>Brazil</t>
  </si>
  <si>
    <t>India</t>
  </si>
  <si>
    <t>Switzerland</t>
  </si>
  <si>
    <t>Thailand</t>
  </si>
  <si>
    <t>Netherlands</t>
  </si>
  <si>
    <t>Finland</t>
  </si>
  <si>
    <t>NUPENS</t>
  </si>
  <si>
    <t>France</t>
  </si>
  <si>
    <t>Peru</t>
  </si>
  <si>
    <t>n</t>
  </si>
  <si>
    <t>Ireland</t>
  </si>
  <si>
    <t>LENTILHA</t>
  </si>
  <si>
    <t>Greece</t>
  </si>
  <si>
    <t>Spain</t>
  </si>
  <si>
    <t>Denmark</t>
  </si>
  <si>
    <t>Austria</t>
  </si>
  <si>
    <t>Norway</t>
  </si>
  <si>
    <t>NOT SPECIFIED</t>
  </si>
  <si>
    <t>Turkey</t>
  </si>
  <si>
    <t xml:space="preserve">Italy </t>
  </si>
  <si>
    <t>Ercin, 2012</t>
  </si>
  <si>
    <t>California</t>
  </si>
  <si>
    <t>Holland</t>
  </si>
  <si>
    <t>Australia</t>
  </si>
  <si>
    <t>Germany</t>
  </si>
  <si>
    <t>Argentina</t>
  </si>
  <si>
    <t>Canada</t>
  </si>
  <si>
    <t>New Zealand</t>
  </si>
  <si>
    <t>Ecuador</t>
  </si>
  <si>
    <t>Morocco</t>
  </si>
  <si>
    <t>European Union</t>
  </si>
  <si>
    <t>Ghana</t>
  </si>
  <si>
    <t>Costa Rica</t>
  </si>
  <si>
    <t>Colombia</t>
  </si>
  <si>
    <t>Bulgaria</t>
  </si>
  <si>
    <t>Mauritius</t>
  </si>
  <si>
    <t>Uruguay</t>
  </si>
  <si>
    <t>Mexico</t>
  </si>
  <si>
    <t>Israel</t>
  </si>
  <si>
    <t>Portugal</t>
  </si>
  <si>
    <t>Alaska</t>
  </si>
  <si>
    <t>Philippine</t>
  </si>
  <si>
    <t>Senegal</t>
  </si>
  <si>
    <t>Iceland</t>
  </si>
  <si>
    <t>Island</t>
  </si>
  <si>
    <t>Malaysia</t>
  </si>
  <si>
    <t>Reunion Island</t>
  </si>
  <si>
    <t>South Africa</t>
  </si>
  <si>
    <t>Chile</t>
  </si>
  <si>
    <t>Ukraine</t>
  </si>
  <si>
    <t>Luxembourg</t>
  </si>
  <si>
    <t>Czech Republic</t>
  </si>
  <si>
    <t>Poland</t>
  </si>
  <si>
    <t>Perù</t>
  </si>
  <si>
    <t>Belarus</t>
  </si>
  <si>
    <t>Uganda</t>
  </si>
  <si>
    <t>Pakistan</t>
  </si>
  <si>
    <t>Bangladesh</t>
  </si>
  <si>
    <t>Belgium</t>
  </si>
  <si>
    <t>Kazakhistan</t>
  </si>
  <si>
    <t>Russia</t>
  </si>
  <si>
    <t>Moldavia</t>
  </si>
  <si>
    <t>Romania</t>
  </si>
  <si>
    <t>Serbia</t>
  </si>
  <si>
    <t>Croatia</t>
  </si>
  <si>
    <t>SAmerica</t>
  </si>
  <si>
    <t>UK</t>
  </si>
  <si>
    <t>Cyprus</t>
  </si>
  <si>
    <t>TESCO, 2012a</t>
  </si>
  <si>
    <t>Noya, 2016</t>
  </si>
  <si>
    <t>Espanha</t>
  </si>
  <si>
    <t>Jeswani, 2015</t>
  </si>
  <si>
    <t>Aldaya, 2009</t>
  </si>
  <si>
    <t>Granarolo, 2016a</t>
  </si>
  <si>
    <t>Granarolo, 2016b</t>
  </si>
  <si>
    <t>Abeliotis, 2013a</t>
  </si>
  <si>
    <t>Adebah, 2010a</t>
  </si>
  <si>
    <t>Alig, 2014a</t>
  </si>
  <si>
    <t>Almeida, 2014a</t>
  </si>
  <si>
    <t>Alter Eco, 2012a</t>
  </si>
  <si>
    <t>Alvarenga, 2014a</t>
  </si>
  <si>
    <t>Andersson, 1999a</t>
  </si>
  <si>
    <t>Andersson, 2000a</t>
  </si>
  <si>
    <t>Apolio, 2012a</t>
  </si>
  <si>
    <t>Arias, 2012a</t>
  </si>
  <si>
    <t>Assomela, 2012a</t>
  </si>
  <si>
    <t>Assomela, 2013a</t>
  </si>
  <si>
    <t>Assomela, 2014a</t>
  </si>
  <si>
    <t>Assoproli, 2012a</t>
  </si>
  <si>
    <t>Aubin, 2006a</t>
  </si>
  <si>
    <t>Aubin, 2009a</t>
  </si>
  <si>
    <t>Audsley, 2009a</t>
  </si>
  <si>
    <t>Audsley, 2012a</t>
  </si>
  <si>
    <t>Avraamides, 2008a</t>
  </si>
  <si>
    <t>Ayer, 2009a</t>
  </si>
  <si>
    <t>Badey, 2013a</t>
  </si>
  <si>
    <t>Bagliani, 2009a</t>
  </si>
  <si>
    <t>Barilla, 2010a</t>
  </si>
  <si>
    <t>Barilla, 2010b</t>
  </si>
  <si>
    <t>Barilla, 2010c</t>
  </si>
  <si>
    <t>Barilla, 2011a</t>
  </si>
  <si>
    <t>Barilla, 2011b</t>
  </si>
  <si>
    <t>Barilla, 2011c</t>
  </si>
  <si>
    <t>Barilla, 2011d</t>
  </si>
  <si>
    <t>Barilla, 2011e</t>
  </si>
  <si>
    <t>Barilla, 2012a</t>
  </si>
  <si>
    <t>Barilla, 2012b</t>
  </si>
  <si>
    <t>Barilla, 2012c</t>
  </si>
  <si>
    <t>Barilla, 2012d</t>
  </si>
  <si>
    <t>Barilla, 2012e</t>
  </si>
  <si>
    <t>Barilla, 2012f</t>
  </si>
  <si>
    <t>Barilla, 2012g</t>
  </si>
  <si>
    <t>Barilla, 2012h</t>
  </si>
  <si>
    <t>Barilla, 2012i</t>
  </si>
  <si>
    <t>Barilla, 2012j</t>
  </si>
  <si>
    <t>Barilla, 2012k</t>
  </si>
  <si>
    <t>Barilla, 2012l</t>
  </si>
  <si>
    <t>Barilla, 2012m</t>
  </si>
  <si>
    <t>Barilla, 2012n</t>
  </si>
  <si>
    <t>Barilla, 2012o</t>
  </si>
  <si>
    <t>Barilla, 2012p</t>
  </si>
  <si>
    <t>Barilla, 2012q</t>
  </si>
  <si>
    <t>Barilla, 2012r</t>
  </si>
  <si>
    <t>Barilla, 2012s</t>
  </si>
  <si>
    <t>Barilla, 2012t</t>
  </si>
  <si>
    <t>Barilla, 2012u</t>
  </si>
  <si>
    <t>Barilla, 2012v</t>
  </si>
  <si>
    <t>Barilla, 2013a</t>
  </si>
  <si>
    <t>Barilla, 2013aa</t>
  </si>
  <si>
    <t>Barilla, 2013b</t>
  </si>
  <si>
    <t>Barilla, 2013c</t>
  </si>
  <si>
    <t>Barilla, 2013d</t>
  </si>
  <si>
    <t>Barilla, 2013e</t>
  </si>
  <si>
    <t>Barilla, 2013f</t>
  </si>
  <si>
    <t>Barilla, 2013g</t>
  </si>
  <si>
    <t>Barilla, 2013h</t>
  </si>
  <si>
    <t>Barilla, 2013i</t>
  </si>
  <si>
    <t>Barilla, 2013j</t>
  </si>
  <si>
    <t>Barilla, 2013k</t>
  </si>
  <si>
    <t>Barilla, 2013l</t>
  </si>
  <si>
    <t>Barilla, 2013m</t>
  </si>
  <si>
    <t>Barilla, 2013n</t>
  </si>
  <si>
    <t>Barilla, 2013o</t>
  </si>
  <si>
    <t>Barilla, 2013p</t>
  </si>
  <si>
    <t>Barilla, 2013q</t>
  </si>
  <si>
    <t>Barilla, 2013r</t>
  </si>
  <si>
    <t>Barilla, 2013s</t>
  </si>
  <si>
    <t>Barilla, 2013t</t>
  </si>
  <si>
    <t>Barilla, 2013u</t>
  </si>
  <si>
    <t>Barilla, 2013v</t>
  </si>
  <si>
    <t>Barilla, 2013w</t>
  </si>
  <si>
    <t>Barilla, 2013x</t>
  </si>
  <si>
    <t>Barilla, 2013y</t>
  </si>
  <si>
    <t>Barilla, 2013z</t>
  </si>
  <si>
    <t>Barilla, 2014a</t>
  </si>
  <si>
    <t>Barilla, 2014b</t>
  </si>
  <si>
    <t>Barilla, 2014c</t>
  </si>
  <si>
    <t>Barilla, 2014d</t>
  </si>
  <si>
    <t>Barilla, 2014e</t>
  </si>
  <si>
    <t>Barilla, 2014f</t>
  </si>
  <si>
    <t>Barilla, 2014g</t>
  </si>
  <si>
    <t>Barilla, 2014h</t>
  </si>
  <si>
    <t>Barilla, 2014i</t>
  </si>
  <si>
    <t>Barilla, 2015a</t>
  </si>
  <si>
    <t>Barilla, 2015b</t>
  </si>
  <si>
    <t>Barilla, 2015c</t>
  </si>
  <si>
    <t>Bartl, 2011a</t>
  </si>
  <si>
    <t>Bartl, 2012a</t>
  </si>
  <si>
    <t>Basset-Mens, 2005a</t>
  </si>
  <si>
    <t>Basset-Mens, 2006a</t>
  </si>
  <si>
    <t>Basset-Mens, 2007a</t>
  </si>
  <si>
    <t>Basset-Mens, 2009a</t>
  </si>
  <si>
    <t>Basset-Mens, 2014a</t>
  </si>
  <si>
    <t>Baumgartner, 2008a</t>
  </si>
  <si>
    <t>Bava, 2012a</t>
  </si>
  <si>
    <t>Beauchemin, 2010a</t>
  </si>
  <si>
    <t>Beccali, 2009a</t>
  </si>
  <si>
    <t>Beccali, 2010a</t>
  </si>
  <si>
    <t>Belflower, 2012a</t>
  </si>
  <si>
    <t>Bell, 2012a</t>
  </si>
  <si>
    <t>Bengtsson, 2013a</t>
  </si>
  <si>
    <t>Berlin, 2002a</t>
  </si>
  <si>
    <t>Berlin, 2008a</t>
  </si>
  <si>
    <t>Berners-Lee, 2012a</t>
  </si>
  <si>
    <t>Berners-Lee, 2015a</t>
  </si>
  <si>
    <t>Biswas, 2010a</t>
  </si>
  <si>
    <t>Blanke, 2012a</t>
  </si>
  <si>
    <t>Blengini, 2009a</t>
  </si>
  <si>
    <t>Blonk, 2008a</t>
  </si>
  <si>
    <t>Blonk, 2008b</t>
  </si>
  <si>
    <t>Blonk, 2010a</t>
  </si>
  <si>
    <t>Bonesmo, 2013a</t>
  </si>
  <si>
    <t>Bosma, 2011a</t>
  </si>
  <si>
    <t>Braun, 2016a</t>
  </si>
  <si>
    <t>Brodt, 2009a</t>
  </si>
  <si>
    <t>Buchspies, 2011a</t>
  </si>
  <si>
    <t>Cappell, 2007a</t>
  </si>
  <si>
    <t>Capper, 2011a</t>
  </si>
  <si>
    <t>Capper, 2012a</t>
  </si>
  <si>
    <t>Casey, 2005a</t>
  </si>
  <si>
    <t>Casey, 2006a</t>
  </si>
  <si>
    <t>Casey, 2006b</t>
  </si>
  <si>
    <t>Castanheira, 2010a</t>
  </si>
  <si>
    <t>Castillo d Canena, 2014a</t>
  </si>
  <si>
    <t>Cederberg, 2003a</t>
  </si>
  <si>
    <t>Cederberg, 2004a</t>
  </si>
  <si>
    <t>Cederberg, 2009a</t>
  </si>
  <si>
    <t>Cederberg, 2009b</t>
  </si>
  <si>
    <t>CEDERBERG, 2011a</t>
  </si>
  <si>
    <t>Cerere, 2014a</t>
  </si>
  <si>
    <t>Cerutti, 2010a</t>
  </si>
  <si>
    <t>Cerutti, 2013a</t>
  </si>
  <si>
    <t>Cerutti, 2013b</t>
  </si>
  <si>
    <t>Chapagain, 2009a</t>
  </si>
  <si>
    <t>Chapagain, 2009b</t>
  </si>
  <si>
    <t>Chapagain, 2011a</t>
  </si>
  <si>
    <t>Cherubini, 2015a</t>
  </si>
  <si>
    <t>Choo, 2011a</t>
  </si>
  <si>
    <t>Christie, 2011a</t>
  </si>
  <si>
    <t>Cini, 2008a</t>
  </si>
  <si>
    <t>Collins, 2007a</t>
  </si>
  <si>
    <t>Coop, 2013a</t>
  </si>
  <si>
    <t>Coop, 2013b</t>
  </si>
  <si>
    <t>Coop, 2014a</t>
  </si>
  <si>
    <t>Da Silva, 2010a</t>
  </si>
  <si>
    <t>Da Silva, 2010b</t>
  </si>
  <si>
    <t>Da Silva, 2012a</t>
  </si>
  <si>
    <t>Da Silva, 2014a</t>
  </si>
  <si>
    <t>Dairy Australia, 2012a</t>
  </si>
  <si>
    <t>Dalgaard, 2004a</t>
  </si>
  <si>
    <t>Dalgaard, 2007a</t>
  </si>
  <si>
    <t>Dalgaard, 2007b</t>
  </si>
  <si>
    <t>Dalgaard, 2008a</t>
  </si>
  <si>
    <t>De Cecco, 2011a</t>
  </si>
  <si>
    <t>De Cecco, 2012a</t>
  </si>
  <si>
    <t>De Cecco, 2014b</t>
  </si>
  <si>
    <t>De Gennaro, 2011a</t>
  </si>
  <si>
    <t>De Léis, 2010a</t>
  </si>
  <si>
    <t>De Léis, 2015a</t>
  </si>
  <si>
    <t>De Vries, 2010a</t>
  </si>
  <si>
    <t>Denstedt, 2010a</t>
  </si>
  <si>
    <t>Dollé, 2012a</t>
  </si>
  <si>
    <t>Dolman, 2010a</t>
  </si>
  <si>
    <t>d'Orbcastel, 2009a</t>
  </si>
  <si>
    <t>Dourmad, 2012a</t>
  </si>
  <si>
    <t>Dunkley, 2013a</t>
  </si>
  <si>
    <t>Dwivedi, 2012a</t>
  </si>
  <si>
    <t>EBLEX, 2010a</t>
  </si>
  <si>
    <t>Eide, M.H., 2002a</t>
  </si>
  <si>
    <t>Ercin, 2011b</t>
  </si>
  <si>
    <t>Eriksson, 2005a</t>
  </si>
  <si>
    <t>Espagnol, 2014a</t>
  </si>
  <si>
    <t>Espinoza-Orias, 2011a</t>
  </si>
  <si>
    <t>Fantin, 2010a</t>
  </si>
  <si>
    <t>Fantin, 2012a</t>
  </si>
  <si>
    <t>FAO, 2010a</t>
  </si>
  <si>
    <t>Fiala, 2008a</t>
  </si>
  <si>
    <t>Figueiredo F., 2012a</t>
  </si>
  <si>
    <t>Figueiredo MCB, 2013a</t>
  </si>
  <si>
    <t>Figueiredo MCB, 2014a</t>
  </si>
  <si>
    <t>Figueiredo MCB, 2014b</t>
  </si>
  <si>
    <t>Findus, 2008a</t>
  </si>
  <si>
    <t>Fiore, 2009a</t>
  </si>
  <si>
    <t>Flysjo, 2011a</t>
  </si>
  <si>
    <t>Flysjo, 2011b</t>
  </si>
  <si>
    <t>Flysjo, 2014a</t>
  </si>
  <si>
    <t>Foley, 2011a</t>
  </si>
  <si>
    <t>Fulton, 2010a</t>
  </si>
  <si>
    <t>Gac, 2010a</t>
  </si>
  <si>
    <t>Gac, 2012a</t>
  </si>
  <si>
    <t>González, 2011a</t>
  </si>
  <si>
    <t>González, 2012a</t>
  </si>
  <si>
    <t>González-García, 2013a</t>
  </si>
  <si>
    <t>González-García, 2013b</t>
  </si>
  <si>
    <t>González-García, 2013c</t>
  </si>
  <si>
    <t>González-García, 2013d</t>
  </si>
  <si>
    <t>González-García, 2014a</t>
  </si>
  <si>
    <t>Graefe, 2013a</t>
  </si>
  <si>
    <t>Gran Moravia, 2012a</t>
  </si>
  <si>
    <t>Granarolo, 2010b</t>
  </si>
  <si>
    <t>Granarolo, 2010c</t>
  </si>
  <si>
    <t>Granarolo, 2013a</t>
  </si>
  <si>
    <t>Granarolo, 2013b</t>
  </si>
  <si>
    <t>Granarolo, 2013d</t>
  </si>
  <si>
    <t>Granarolo, 2014a</t>
  </si>
  <si>
    <t>Granarolo, 2014b</t>
  </si>
  <si>
    <t>Guerci, 2012a</t>
  </si>
  <si>
    <t>Guerci, 2013a</t>
  </si>
  <si>
    <t>Gunady, 2012a</t>
  </si>
  <si>
    <t>Guttormsdòttir, 2009a</t>
  </si>
  <si>
    <t>Haas, 2001a</t>
  </si>
  <si>
    <t>Hagemann, 2011a</t>
  </si>
  <si>
    <t>Halberg, 2008a</t>
  </si>
  <si>
    <t>Hoertenhuber, 2010a</t>
  </si>
  <si>
    <t>Hokazono, 2009a</t>
  </si>
  <si>
    <t>Hospido, 2003a</t>
  </si>
  <si>
    <t>Hospido, 2009a</t>
  </si>
  <si>
    <t>Huang, 2012a</t>
  </si>
  <si>
    <t>Huerta, 2016a</t>
  </si>
  <si>
    <t>HUMBERT, 2009a</t>
  </si>
  <si>
    <t>Ingwersen, 2010a</t>
  </si>
  <si>
    <t>Ingwersen, 2012a</t>
  </si>
  <si>
    <t>Innovation Center for US Dairy, 2012a</t>
  </si>
  <si>
    <t>Iriarte, 2014a</t>
  </si>
  <si>
    <t>Iribarren, 2010a</t>
  </si>
  <si>
    <t>Iribarren, 2010b</t>
  </si>
  <si>
    <t>Iribarren, 2011a</t>
  </si>
  <si>
    <t>Jefferies, 2012a</t>
  </si>
  <si>
    <t>Kagi, 2010a</t>
  </si>
  <si>
    <t>Kangboon, 2012a</t>
  </si>
  <si>
    <t>Kanyarushoki, 2010a</t>
  </si>
  <si>
    <t>Kasmaprapruet, 2009a</t>
  </si>
  <si>
    <t>Kendall, 2012a</t>
  </si>
  <si>
    <t>Kim, 2013a</t>
  </si>
  <si>
    <t>Kissinger, 2016a</t>
  </si>
  <si>
    <t>Kok, 2001a</t>
  </si>
  <si>
    <t>Kool, 2007a</t>
  </si>
  <si>
    <t>Kramer, 1999a</t>
  </si>
  <si>
    <t>Kristensen, 2011a</t>
  </si>
  <si>
    <t>Kulak, 2015a</t>
  </si>
  <si>
    <t>Lafontaine, 2012a</t>
  </si>
  <si>
    <t>Lantmännen, 2008a</t>
  </si>
  <si>
    <t>Lantmännen, 2010a</t>
  </si>
  <si>
    <t>Lantmännen, 2010b</t>
  </si>
  <si>
    <t>Lantmännen, 2011a</t>
  </si>
  <si>
    <t>Lantmännen, 2012a</t>
  </si>
  <si>
    <t>Lantmännen, 2012b</t>
  </si>
  <si>
    <t>Lantmännen, 2012c</t>
  </si>
  <si>
    <t>Lantmännen, 2012d</t>
  </si>
  <si>
    <t>Lantmännen, 2012e</t>
  </si>
  <si>
    <t>Lantmännen, 2012f</t>
  </si>
  <si>
    <t>Ledgard, 2007a</t>
  </si>
  <si>
    <t>Ledgard, 2010a</t>
  </si>
  <si>
    <t>Leinonen, 2012a</t>
  </si>
  <si>
    <t>Lesschen, 2011a</t>
  </si>
  <si>
    <t>Li, 2008a</t>
  </si>
  <si>
    <t>Lillywhite, 2008a</t>
  </si>
  <si>
    <t>Lindenthal, 2010a</t>
  </si>
  <si>
    <t>Liu, 2010a</t>
  </si>
  <si>
    <t>Lovett, 2006a</t>
  </si>
  <si>
    <t>Maciel, 2016a</t>
  </si>
  <si>
    <t>Manzardo, 2012a</t>
  </si>
  <si>
    <t>Marvinney, 2014a</t>
  </si>
  <si>
    <t>Mathot, 2014a</t>
  </si>
  <si>
    <t>McLaren, 2010a</t>
  </si>
  <si>
    <t>Meier, 2012a</t>
  </si>
  <si>
    <t>Meisterlin, 2009a</t>
  </si>
  <si>
    <t>Mejia, 2016a</t>
  </si>
  <si>
    <t>Mekonnen, 2011a</t>
  </si>
  <si>
    <t>Mekonnen, 2012a</t>
  </si>
  <si>
    <t>Meul, 2012a</t>
  </si>
  <si>
    <t>Michaelowa, 2008a</t>
  </si>
  <si>
    <t>Mieleitner, 2012a</t>
  </si>
  <si>
    <t>Milà i Canals, 2006a</t>
  </si>
  <si>
    <t>Milà i Canals, 2008a</t>
  </si>
  <si>
    <t>Miljøstyrelsen, 2006a</t>
  </si>
  <si>
    <t>Mithrarant, 2010a</t>
  </si>
  <si>
    <t>Molino Grassi, 2015c</t>
  </si>
  <si>
    <t>Mollenhorst, 2006a</t>
  </si>
  <si>
    <t>Moller, 2012a</t>
  </si>
  <si>
    <t>Monini, 2014b</t>
  </si>
  <si>
    <t>Monini, 2014c</t>
  </si>
  <si>
    <t>Monini, 2014d</t>
  </si>
  <si>
    <t>Monini, 2014e</t>
  </si>
  <si>
    <t>Monini, 2014f</t>
  </si>
  <si>
    <t>Monini, 2016a</t>
  </si>
  <si>
    <t>Monini, 2016b</t>
  </si>
  <si>
    <t>Monini, 2016c</t>
  </si>
  <si>
    <t>Mouron, 2006a</t>
  </si>
  <si>
    <t>Mowat, 2016a</t>
  </si>
  <si>
    <t>Nguyen, 2010a</t>
  </si>
  <si>
    <t>Nguyen, 2010b</t>
  </si>
  <si>
    <t>Nguyen, 2010c</t>
  </si>
  <si>
    <t>Nguyen, 2011a</t>
  </si>
  <si>
    <t>Nguyen, 2012a</t>
  </si>
  <si>
    <t>Nguyen, 2012b</t>
  </si>
  <si>
    <t>Nguyen, 2012c</t>
  </si>
  <si>
    <t>Nguyen, 2013a</t>
  </si>
  <si>
    <t>Nielsen, 2011a</t>
  </si>
  <si>
    <t>Nilsson, 2010a</t>
  </si>
  <si>
    <t>Nilsson, 2011a</t>
  </si>
  <si>
    <t>Notarnicola, 2014a</t>
  </si>
  <si>
    <t>O'Brien, 2012a</t>
  </si>
  <si>
    <t>Ogino, 2007a</t>
  </si>
  <si>
    <t>Olesen, 2006a</t>
  </si>
  <si>
    <t>Page, 2011b</t>
  </si>
  <si>
    <t>Page, 2012a</t>
  </si>
  <si>
    <t>Pashaei Kamali, 2015a</t>
  </si>
  <si>
    <t>Passos-Fonseca, 2010a</t>
  </si>
  <si>
    <t>Pelletier, 2007a</t>
  </si>
  <si>
    <t>Pelletier, 2008c</t>
  </si>
  <si>
    <t>Pelletier, 2009a</t>
  </si>
  <si>
    <t>Pelletier, 2010a</t>
  </si>
  <si>
    <t>Pelletier, 2010b</t>
  </si>
  <si>
    <t>Pergola, 2013a</t>
  </si>
  <si>
    <t>Peters, 2010a</t>
  </si>
  <si>
    <t>Phetteplace, 2001a</t>
  </si>
  <si>
    <t>Phong, 2011a</t>
  </si>
  <si>
    <t>Pirlo, 2016a</t>
  </si>
  <si>
    <t>Polo, 2010a</t>
  </si>
  <si>
    <t>Ponsioen, 2011a</t>
  </si>
  <si>
    <t>PURE CIRCLES , 2011a</t>
  </si>
  <si>
    <t>Ramjeawon, 2004a</t>
  </si>
  <si>
    <t>Ramos, 2011a</t>
  </si>
  <si>
    <t>Raucci, 2015a</t>
  </si>
  <si>
    <t>Reckmann, 2012a</t>
  </si>
  <si>
    <t>Refsgaard, 2011a</t>
  </si>
  <si>
    <t>Renouf, 2011a</t>
  </si>
  <si>
    <t>Ribal, 2009a</t>
  </si>
  <si>
    <t>Ridoutt, 2012a</t>
  </si>
  <si>
    <t>Ridoutt, 2012b</t>
  </si>
  <si>
    <t>Rivera, 2015a</t>
  </si>
  <si>
    <t>Roer, 2012a</t>
  </si>
  <si>
    <t>Roer, 2012b</t>
  </si>
  <si>
    <t>Roer, 2013a</t>
  </si>
  <si>
    <t>Roibas, 2014a</t>
  </si>
  <si>
    <t>Romero-Gámez, 2012a</t>
  </si>
  <si>
    <t>Röös, 2011a</t>
  </si>
  <si>
    <t>Röös, 2012a</t>
  </si>
  <si>
    <t>Rotz, 2010a</t>
  </si>
  <si>
    <t>Rugani, 2012a</t>
  </si>
  <si>
    <t>RUVIARO, 2015a</t>
  </si>
  <si>
    <t>Salomone, 2012a</t>
  </si>
  <si>
    <t>Salou, 2014a</t>
  </si>
  <si>
    <t>Samuel-Fitwi, 2013a</t>
  </si>
  <si>
    <t>Samuel-Fitwi, 2013b</t>
  </si>
  <si>
    <t>Sanjuán, 2005a</t>
  </si>
  <si>
    <t>Saunders, 2006a</t>
  </si>
  <si>
    <t>Schader, 2012a</t>
  </si>
  <si>
    <t>Schafer, 2014a</t>
  </si>
  <si>
    <t>Schils, 2005a</t>
  </si>
  <si>
    <t>Schmidt, 2009a</t>
  </si>
  <si>
    <t>Schmidt, 2010a</t>
  </si>
  <si>
    <t>Schmidt, 2011a</t>
  </si>
  <si>
    <t>Schmidt, 2012a</t>
  </si>
  <si>
    <t>Schmidt, 2015a</t>
  </si>
  <si>
    <t>Scotti, 2009a</t>
  </si>
  <si>
    <t>Sgambaro, 2013a</t>
  </si>
  <si>
    <t>Sgambaro, 2014a</t>
  </si>
  <si>
    <t>Silvenius, 2012a</t>
  </si>
  <si>
    <t>Sjörs, 2016a</t>
  </si>
  <si>
    <t>Spahat, 2012a</t>
  </si>
  <si>
    <t>Subak, 1999a</t>
  </si>
  <si>
    <t>Svanes, 2010a</t>
  </si>
  <si>
    <t>Svanes, 2011b</t>
  </si>
  <si>
    <t>Svanes, 2013a</t>
  </si>
  <si>
    <t>Tan, 2009a</t>
  </si>
  <si>
    <t>Thévenot, 2013a</t>
  </si>
  <si>
    <t>Thoma, 2013a</t>
  </si>
  <si>
    <t>Thomassen, 2005a</t>
  </si>
  <si>
    <t>Thomassen, 2008a</t>
  </si>
  <si>
    <t>Thomassen, 2008b</t>
  </si>
  <si>
    <t>Thomassen, 2009a</t>
  </si>
  <si>
    <t>Torres, 2014a</t>
  </si>
  <si>
    <t>Tsaroushas, 2015a</t>
  </si>
  <si>
    <t>Tynelius, 2008a</t>
  </si>
  <si>
    <t>Usubharatana, 2015a</t>
  </si>
  <si>
    <t>Usva, 2012a</t>
  </si>
  <si>
    <t>Valfrutta, 2014a</t>
  </si>
  <si>
    <t>Valfrutta, 2014b</t>
  </si>
  <si>
    <t>Valfrutta, 2014c</t>
  </si>
  <si>
    <t>Valfrutta, 2016d</t>
  </si>
  <si>
    <t>van der Werf, 2009a</t>
  </si>
  <si>
    <t>van Middelaar, 2011a</t>
  </si>
  <si>
    <t>Vásquez-Rowe, 2010a</t>
  </si>
  <si>
    <t>Vásquez-Rowe, 2011a</t>
  </si>
  <si>
    <t>Vázquez-Rowe, 2012b</t>
  </si>
  <si>
    <t>Vellinga, 2010a</t>
  </si>
  <si>
    <t>Venkat, 2012a</t>
  </si>
  <si>
    <t>Verge, 2007a</t>
  </si>
  <si>
    <t>Verge, 2008a</t>
  </si>
  <si>
    <t>Verge, 2012a</t>
  </si>
  <si>
    <t>Verge, 2013a</t>
  </si>
  <si>
    <t>Veysset, 2010a</t>
  </si>
  <si>
    <t>Voiello, 2014a</t>
  </si>
  <si>
    <t>Walsh, 2006a</t>
  </si>
  <si>
    <t>Werner, 2014a</t>
  </si>
  <si>
    <t>Wiedemann, 2010a</t>
  </si>
  <si>
    <t>Wiederman, 2015a</t>
  </si>
  <si>
    <t>Wilfart, 2010a</t>
  </si>
  <si>
    <t>Williams, 2006a</t>
  </si>
  <si>
    <t>Williams, 2008a</t>
  </si>
  <si>
    <t>Williams, 2010a</t>
  </si>
  <si>
    <t>Winther, 2009a</t>
  </si>
  <si>
    <t>Yan, 2012a</t>
  </si>
  <si>
    <t>Yusoff, 2007a</t>
  </si>
  <si>
    <t>Yuttitham, 2011a</t>
  </si>
  <si>
    <t>Zeus, 2011a</t>
  </si>
  <si>
    <t>Ziegler, 2008a</t>
  </si>
  <si>
    <t>Ziegler, 2011a</t>
  </si>
  <si>
    <t>ARROZ (POLIDO, PARBOILIZADO, AGULHA, AGULHINHA, ETC)</t>
  </si>
  <si>
    <t>100630</t>
  </si>
  <si>
    <t>Pathak, 2010a</t>
  </si>
  <si>
    <t>Roy, 2009a</t>
  </si>
  <si>
    <t>Saarinen, 2012a</t>
  </si>
  <si>
    <t>MILHO (EM GRAO)</t>
  </si>
  <si>
    <t>100590</t>
  </si>
  <si>
    <t>AMENDOIM (EM GRAO) (IN NATURA)</t>
  </si>
  <si>
    <t>ERVILHA EM GRAO</t>
  </si>
  <si>
    <t>070810</t>
  </si>
  <si>
    <t>FAVA (EM GRAO)</t>
  </si>
  <si>
    <t>071350</t>
  </si>
  <si>
    <t>FEIJAO DE CORDA</t>
  </si>
  <si>
    <t>071333</t>
  </si>
  <si>
    <t>ERVILHA EM CONSERVA</t>
  </si>
  <si>
    <t>200540</t>
  </si>
  <si>
    <t>FEIJAO VERDE</t>
  </si>
  <si>
    <t>Schenk, 2007a</t>
  </si>
  <si>
    <t>FEIJAO (PRETO, MULATINHO, ROXO, ROSINHA, ETC)</t>
  </si>
  <si>
    <t>SEMENTE DE LINHACA</t>
  </si>
  <si>
    <t>120400</t>
  </si>
  <si>
    <t>GRAO DE BICO</t>
  </si>
  <si>
    <t>071320</t>
  </si>
  <si>
    <t>071340</t>
  </si>
  <si>
    <t>SOJA EM GRAO</t>
  </si>
  <si>
    <t>FEIJAO ORGANICO</t>
  </si>
  <si>
    <t>ARROZ  ORGANICO</t>
  </si>
  <si>
    <t>QUINOA</t>
  </si>
  <si>
    <t>071390</t>
  </si>
  <si>
    <t>BATATA-INGLESA</t>
  </si>
  <si>
    <t>070190</t>
  </si>
  <si>
    <t>Yoshikawa, 2008a</t>
  </si>
  <si>
    <t>BATATA DOCE</t>
  </si>
  <si>
    <t>071420</t>
  </si>
  <si>
    <t>INHAME</t>
  </si>
  <si>
    <t>071490</t>
  </si>
  <si>
    <t>MANDIOCA</t>
  </si>
  <si>
    <t>071410</t>
  </si>
  <si>
    <t>RABANETE</t>
  </si>
  <si>
    <t>070690</t>
  </si>
  <si>
    <t>BETERRABA</t>
  </si>
  <si>
    <t>CENOURA</t>
  </si>
  <si>
    <t>070610</t>
  </si>
  <si>
    <t>Gössling, 2011a</t>
  </si>
  <si>
    <t>AVEIA EM FLOCOS</t>
  </si>
  <si>
    <t>110412</t>
  </si>
  <si>
    <t>FUBA DE MILHO</t>
  </si>
  <si>
    <t>110313</t>
  </si>
  <si>
    <t>FARINHA DE MILHO</t>
  </si>
  <si>
    <t>110220</t>
  </si>
  <si>
    <t>PUBA DE FUBA</t>
  </si>
  <si>
    <t>AMIDO DE MILHO</t>
  </si>
  <si>
    <t>110812</t>
  </si>
  <si>
    <t>SUCRILHOS DE MILHO</t>
  </si>
  <si>
    <t>FARINHA DE TRIGO</t>
  </si>
  <si>
    <t>110100</t>
  </si>
  <si>
    <t>Molino Grassi, 2015a</t>
  </si>
  <si>
    <t>Molino Grassi, 2015b</t>
  </si>
  <si>
    <t>FARINHA DE MANDIOCA</t>
  </si>
  <si>
    <t>110620</t>
  </si>
  <si>
    <t>FARINHA DE TAPIOCA</t>
  </si>
  <si>
    <t>MINI PIZZA SEMIPRONTA</t>
  </si>
  <si>
    <t>190590</t>
  </si>
  <si>
    <t>MACARRAO</t>
  </si>
  <si>
    <t>BIFE VEGETAL</t>
  </si>
  <si>
    <t>CARNE VEGETAL</t>
  </si>
  <si>
    <t>PASTA DE SOJA</t>
  </si>
  <si>
    <t>CARNE DE SOJA</t>
  </si>
  <si>
    <t>PROTEINA DE SOJA</t>
  </si>
  <si>
    <t>MINI PIZZA SEMIPRONTA LIGHT</t>
  </si>
  <si>
    <t>CASTANHA PORTUGUESA</t>
  </si>
  <si>
    <t>AMENDOA</t>
  </si>
  <si>
    <t>080212</t>
  </si>
  <si>
    <t>AVELA</t>
  </si>
  <si>
    <t>080222</t>
  </si>
  <si>
    <t>CASTANHA DO PARA</t>
  </si>
  <si>
    <t>CASTANHA DE CAJU</t>
  </si>
  <si>
    <t>080131</t>
  </si>
  <si>
    <t>NOZ (NOGUEIRA)</t>
  </si>
  <si>
    <t>080232</t>
  </si>
  <si>
    <t>PISTACHE</t>
  </si>
  <si>
    <t>080250</t>
  </si>
  <si>
    <t>COCO</t>
  </si>
  <si>
    <t>080119</t>
  </si>
  <si>
    <t>ALFACE</t>
  </si>
  <si>
    <t>070519</t>
  </si>
  <si>
    <t>Marton, 2010a</t>
  </si>
  <si>
    <t>COUVE FLOR</t>
  </si>
  <si>
    <t>070410</t>
  </si>
  <si>
    <t>ESPINAFRE</t>
  </si>
  <si>
    <t>070970</t>
  </si>
  <si>
    <t>REPOLHO</t>
  </si>
  <si>
    <t>070490</t>
  </si>
  <si>
    <t>CEBOLINHA</t>
  </si>
  <si>
    <t>070390</t>
  </si>
  <si>
    <t>TAIOBA</t>
  </si>
  <si>
    <t>BROCOLIS</t>
  </si>
  <si>
    <t>Milà i Canals, 2010a</t>
  </si>
  <si>
    <t>ALCACHOFRA</t>
  </si>
  <si>
    <t>070910</t>
  </si>
  <si>
    <t>SALSAO (AIPO)</t>
  </si>
  <si>
    <t>MORANGA</t>
  </si>
  <si>
    <t>070993</t>
  </si>
  <si>
    <t>Schäfer, 2012a</t>
  </si>
  <si>
    <t>ABOBRINHA</t>
  </si>
  <si>
    <t>Cellura, 2012a</t>
  </si>
  <si>
    <t>PEPINO</t>
  </si>
  <si>
    <t>070700</t>
  </si>
  <si>
    <t>QUIABO</t>
  </si>
  <si>
    <t>TOMATE</t>
  </si>
  <si>
    <t>070200</t>
  </si>
  <si>
    <t>Almeida, 2012a</t>
  </si>
  <si>
    <t>Anton, 2005a</t>
  </si>
  <si>
    <t>Cappellett, 2010a</t>
  </si>
  <si>
    <t>Hendricks, 2012a</t>
  </si>
  <si>
    <t>Pascual, 2010a</t>
  </si>
  <si>
    <t>Torrellas, 2012a</t>
  </si>
  <si>
    <t>Torrellas, 2012b</t>
  </si>
  <si>
    <t>VAGEM</t>
  </si>
  <si>
    <t>COGUMELO IN NATURA</t>
  </si>
  <si>
    <t>070959</t>
  </si>
  <si>
    <t>BERINJELA</t>
  </si>
  <si>
    <t>070930</t>
  </si>
  <si>
    <t>CEBOLA</t>
  </si>
  <si>
    <t>070310</t>
  </si>
  <si>
    <t>SELETA (JARDINEIRA)</t>
  </si>
  <si>
    <t>200500</t>
  </si>
  <si>
    <t>ALHO</t>
  </si>
  <si>
    <t>070320</t>
  </si>
  <si>
    <t>ALHO PORO</t>
  </si>
  <si>
    <t>BANANA (OURO, PRATA, D'ÁGUA, DA TERRA, ETC)</t>
  </si>
  <si>
    <t>080300</t>
  </si>
  <si>
    <t>LARANJA (PERA, SELETA, LIMA, DA TERRA, ETC)</t>
  </si>
  <si>
    <t>080590</t>
  </si>
  <si>
    <t>LIMAO (COMUM, GALEGO, ETC)</t>
  </si>
  <si>
    <t>080530</t>
  </si>
  <si>
    <t>TANGERINA</t>
  </si>
  <si>
    <t>080520</t>
  </si>
  <si>
    <t>MEXERICA</t>
  </si>
  <si>
    <t>CANA DE ACUCAR</t>
  </si>
  <si>
    <t>ABACAXI</t>
  </si>
  <si>
    <t>080430</t>
  </si>
  <si>
    <t>ANANAS</t>
  </si>
  <si>
    <t>081090</t>
  </si>
  <si>
    <t>ABACATE</t>
  </si>
  <si>
    <t>080440</t>
  </si>
  <si>
    <t>FIGO</t>
  </si>
  <si>
    <t>080420</t>
  </si>
  <si>
    <t>MACA</t>
  </si>
  <si>
    <t>080810</t>
  </si>
  <si>
    <t>Cellura, 2012b</t>
  </si>
  <si>
    <t>PAPAIA</t>
  </si>
  <si>
    <t>080720</t>
  </si>
  <si>
    <t>MANGA</t>
  </si>
  <si>
    <t>080450</t>
  </si>
  <si>
    <t>MARACUJA</t>
  </si>
  <si>
    <t>MELANCIA</t>
  </si>
  <si>
    <t>080711</t>
  </si>
  <si>
    <t>MELAO</t>
  </si>
  <si>
    <t>080719</t>
  </si>
  <si>
    <t>PERA</t>
  </si>
  <si>
    <t>080820</t>
  </si>
  <si>
    <t>PESSEGO</t>
  </si>
  <si>
    <t>080930</t>
  </si>
  <si>
    <t>UVA</t>
  </si>
  <si>
    <t>080610</t>
  </si>
  <si>
    <t>GOIABA</t>
  </si>
  <si>
    <t>AMEIXA</t>
  </si>
  <si>
    <t>080940</t>
  </si>
  <si>
    <t>CAJU</t>
  </si>
  <si>
    <t>CEREJA</t>
  </si>
  <si>
    <t>080920</t>
  </si>
  <si>
    <t>MORANGO</t>
  </si>
  <si>
    <t>081010</t>
  </si>
  <si>
    <t>CACAU</t>
  </si>
  <si>
    <t>180100</t>
  </si>
  <si>
    <t>KIWI</t>
  </si>
  <si>
    <t>081050</t>
  </si>
  <si>
    <t>FRUTA (NÃO ESPECIFICADA)</t>
  </si>
  <si>
    <t>AMORA</t>
  </si>
  <si>
    <t>ACUCAR MASCAVO</t>
  </si>
  <si>
    <t>SORVETE DE QUALQUER SABOR INDUSTRIALIZADO</t>
  </si>
  <si>
    <t>210500</t>
  </si>
  <si>
    <t>BALA</t>
  </si>
  <si>
    <t>JUJUBA</t>
  </si>
  <si>
    <t>CHOCOLATE</t>
  </si>
  <si>
    <t>180500</t>
  </si>
  <si>
    <t>CHOCOLATE EM PO DE QUALQUER MARCA</t>
  </si>
  <si>
    <t>180610</t>
  </si>
  <si>
    <t>GELEIA DE FRUTAS DE QUALQUER MARCA OU SABOR</t>
  </si>
  <si>
    <t>MARMELADA</t>
  </si>
  <si>
    <t>DOCE DE FRUTAS EM CALDA DE QUALQUER SABOR</t>
  </si>
  <si>
    <t>MELADO</t>
  </si>
  <si>
    <t>MEL</t>
  </si>
  <si>
    <t>040900</t>
  </si>
  <si>
    <t>ADOCANTE ARTIFICIAL</t>
  </si>
  <si>
    <t>FRUTA SECA OU DESIDRATADA</t>
  </si>
  <si>
    <t>081340</t>
  </si>
  <si>
    <t>PASSA</t>
  </si>
  <si>
    <t>080620</t>
  </si>
  <si>
    <t>DANETTE PUDIM</t>
  </si>
  <si>
    <t>041000</t>
  </si>
  <si>
    <t>ACUCAR</t>
  </si>
  <si>
    <t>HORTELA</t>
  </si>
  <si>
    <t>COENTRO</t>
  </si>
  <si>
    <t>MOLHO DE SOJA</t>
  </si>
  <si>
    <t>210310</t>
  </si>
  <si>
    <t>LEITE DE COCO</t>
  </si>
  <si>
    <t>MASSA DE TOMATE</t>
  </si>
  <si>
    <t>200210</t>
  </si>
  <si>
    <t>MOLHO DE TOMATE</t>
  </si>
  <si>
    <t>200950</t>
  </si>
  <si>
    <t>KETCHUP</t>
  </si>
  <si>
    <t>210320</t>
  </si>
  <si>
    <t>PIMENTA EM PO</t>
  </si>
  <si>
    <t>090412</t>
  </si>
  <si>
    <t>GERGELIM</t>
  </si>
  <si>
    <t>120740</t>
  </si>
  <si>
    <t>TOMATE SECO</t>
  </si>
  <si>
    <t>LOMBO SUINO</t>
  </si>
  <si>
    <t>020319</t>
  </si>
  <si>
    <t>MIUDO SUINO</t>
  </si>
  <si>
    <t>CARNE SUINA</t>
  </si>
  <si>
    <t>BACON</t>
  </si>
  <si>
    <t>021012</t>
  </si>
  <si>
    <t>PRESUNTO</t>
  </si>
  <si>
    <t>021019</t>
  </si>
  <si>
    <t>Roy, 2012a</t>
  </si>
  <si>
    <t>CARNE CAPRINA</t>
  </si>
  <si>
    <t>020450</t>
  </si>
  <si>
    <t>CARNE DE OVELHA</t>
  </si>
  <si>
    <t>020443</t>
  </si>
  <si>
    <t>CARNE BOVINA</t>
  </si>
  <si>
    <t>020130</t>
  </si>
  <si>
    <t>CARNE SECA</t>
  </si>
  <si>
    <t>021020</t>
  </si>
  <si>
    <t>PEIXE DE MAR (INTEIRO, EM POSTA, EM FILÉ, ETC)</t>
  </si>
  <si>
    <t>030250</t>
  </si>
  <si>
    <t>FHL, 2009a</t>
  </si>
  <si>
    <t>Hospido2005, 2005a</t>
  </si>
  <si>
    <t>Schmidt, 2005a</t>
  </si>
  <si>
    <t>Thrane, 2006a</t>
  </si>
  <si>
    <t>CAMARAO</t>
  </si>
  <si>
    <t>Farmery, 2015a</t>
  </si>
  <si>
    <t>MARISCO</t>
  </si>
  <si>
    <t>030710</t>
  </si>
  <si>
    <t>LULA</t>
  </si>
  <si>
    <t>030749</t>
  </si>
  <si>
    <t>Vázquez-Rowe, 2012c</t>
  </si>
  <si>
    <t>BACALHAU</t>
  </si>
  <si>
    <t>030551</t>
  </si>
  <si>
    <t>Svanes, 2011a</t>
  </si>
  <si>
    <t>PEIXE DE AGUA DOCE (INTEIRO, EM POSTA, EM FILÉ, ETC)</t>
  </si>
  <si>
    <t>PEIXE NAO ESPECIFICADO (INTEIRO, EM POSTA, EM FILÉ, ETC)</t>
  </si>
  <si>
    <t>Fet, 2010a</t>
  </si>
  <si>
    <t>Vázquez-Rowe, 2013a</t>
  </si>
  <si>
    <t>AZEITONA</t>
  </si>
  <si>
    <t>200190</t>
  </si>
  <si>
    <t>CHAMPIGNON EM CONSERVA</t>
  </si>
  <si>
    <t>200310</t>
  </si>
  <si>
    <t>ASPARGO EM CONSERVA</t>
  </si>
  <si>
    <t>LEGUME NAO ESPECIFICADO EM CONSERVA</t>
  </si>
  <si>
    <t>CREME DE CEBOLA (SOPA DESIDRATADA)</t>
  </si>
  <si>
    <t>210410</t>
  </si>
  <si>
    <t>KITUTE BOVINO</t>
  </si>
  <si>
    <t>160250</t>
  </si>
  <si>
    <t>ATUM EM CONSERVA</t>
  </si>
  <si>
    <t>160414</t>
  </si>
  <si>
    <t>FRANGO INTEIRO</t>
  </si>
  <si>
    <t>020711</t>
  </si>
  <si>
    <t>PERU EM PEDACO NAO ESPECIFICADO</t>
  </si>
  <si>
    <t>020725</t>
  </si>
  <si>
    <t>NUGGETS DE FRANGO</t>
  </si>
  <si>
    <t>160230</t>
  </si>
  <si>
    <t>OVO DE GALINHA</t>
  </si>
  <si>
    <t>040721</t>
  </si>
  <si>
    <t>Dekker, 2008a</t>
  </si>
  <si>
    <t>Granarolo, 2013e</t>
  </si>
  <si>
    <t>CARNE DE PATO</t>
  </si>
  <si>
    <t>LEITE DE VACA INTEGRAL</t>
  </si>
  <si>
    <t>040120</t>
  </si>
  <si>
    <t>Flysjo, 2012a</t>
  </si>
  <si>
    <t>Granarolo, 2010a</t>
  </si>
  <si>
    <t>Granarolo, 2012a</t>
  </si>
  <si>
    <t>Granarolo, 2013c</t>
  </si>
  <si>
    <t>Granarolo, 2013f</t>
  </si>
  <si>
    <t>Heller, 2008a</t>
  </si>
  <si>
    <t>LEITE DE VACA FRESCO</t>
  </si>
  <si>
    <t>040110</t>
  </si>
  <si>
    <t>LEITE DE CABRA</t>
  </si>
  <si>
    <t>LEITE EM PO INTEGRAL</t>
  </si>
  <si>
    <t>040210</t>
  </si>
  <si>
    <t>LEITE EM PO DESNATADO</t>
  </si>
  <si>
    <t>040221</t>
  </si>
  <si>
    <t>LEITE EM PO</t>
  </si>
  <si>
    <t>CREME DE LEITE</t>
  </si>
  <si>
    <t>IOGURTE NATURAL</t>
  </si>
  <si>
    <t>040310</t>
  </si>
  <si>
    <t>IOGURTE DE QUALQUER SABOR</t>
  </si>
  <si>
    <t>Granarolo, 2014c</t>
  </si>
  <si>
    <t>Granarolo, 2014d</t>
  </si>
  <si>
    <t>ADES ORIGINAL</t>
  </si>
  <si>
    <t>BEBIDA LACTEA</t>
  </si>
  <si>
    <t>MANTEIGA</t>
  </si>
  <si>
    <t>040510</t>
  </si>
  <si>
    <t>MARGARINA COM OU SEM SAL</t>
  </si>
  <si>
    <t>QUEIJO MUZARELLA</t>
  </si>
  <si>
    <t>040630</t>
  </si>
  <si>
    <t>QUEIJO DE MINAS</t>
  </si>
  <si>
    <t>040610</t>
  </si>
  <si>
    <t>QUEIJO RALADO</t>
  </si>
  <si>
    <t>040620</t>
  </si>
  <si>
    <t>QUEIJO NAO ESPECIFICADO</t>
  </si>
  <si>
    <t>040690</t>
  </si>
  <si>
    <t>LEITE COM SABOR</t>
  </si>
  <si>
    <t>BEBIDA ACHOCOLATADA</t>
  </si>
  <si>
    <t>QUEIJO GORGONZOLA</t>
  </si>
  <si>
    <t>040640</t>
  </si>
  <si>
    <t>TOFU</t>
  </si>
  <si>
    <t>LEITE DE SOJA EM PO</t>
  </si>
  <si>
    <t>LEITE DE VACA DESNATADO</t>
  </si>
  <si>
    <t>LEITE DE VACA SEMIDESNATADO</t>
  </si>
  <si>
    <t>Granarolo, 2014e</t>
  </si>
  <si>
    <t>MANTEIGA COM OU SEM SAL LIGHT</t>
  </si>
  <si>
    <t>PAO DE SAL</t>
  </si>
  <si>
    <t>BISNAGUINHA</t>
  </si>
  <si>
    <t>PAO DE FORMA INDUSTRIALIZADO DE QUALQUER MARCA</t>
  </si>
  <si>
    <t>Lantmännen, 2010c</t>
  </si>
  <si>
    <t>TORRADA DE QUALQUER PAO</t>
  </si>
  <si>
    <t>ROSQUINHA DOCE</t>
  </si>
  <si>
    <t>190530</t>
  </si>
  <si>
    <t>BISCOITO SALGADO</t>
  </si>
  <si>
    <t>BOLACHA SALGADA</t>
  </si>
  <si>
    <t>CHIPS (SALGADINHOS)</t>
  </si>
  <si>
    <t>BISCOITO SALGADO INTEGRAL</t>
  </si>
  <si>
    <t>BISCOITO DOCE</t>
  </si>
  <si>
    <t>BOLACHA DOCE</t>
  </si>
  <si>
    <t>ROCAMBOLE</t>
  </si>
  <si>
    <t>TORTAS DOCES DE QUALQUER SABOR</t>
  </si>
  <si>
    <t>BRIOCHE</t>
  </si>
  <si>
    <t>BOLO DE LARANJA LIGHT</t>
  </si>
  <si>
    <t>BISCOITO RECHEADO</t>
  </si>
  <si>
    <t>BOLACHA RECHEADA</t>
  </si>
  <si>
    <t>ROSCA RECHEADA</t>
  </si>
  <si>
    <t>BISCOITO NÃO ESPECIFICADO</t>
  </si>
  <si>
    <t>BOLACHA RECHEADA LIGHT</t>
  </si>
  <si>
    <t>SALSICHA NO VAREJO</t>
  </si>
  <si>
    <t>REFRIGERANTE DE COLA TRADICIONAL</t>
  </si>
  <si>
    <t>220210 </t>
  </si>
  <si>
    <t>COCA COLA TRADICIONAL</t>
  </si>
  <si>
    <t>SPRIT REFRIGERANTE TRADICIONAL</t>
  </si>
  <si>
    <t>REFRIGERANTE DE COLA LIGHT</t>
  </si>
  <si>
    <t>COCA COLA LIGHT</t>
  </si>
  <si>
    <t>REFRIGERANTE DE COLA DIET</t>
  </si>
  <si>
    <t>NESCAFE</t>
  </si>
  <si>
    <t>210111</t>
  </si>
  <si>
    <t>REFRIGERANTE NAO ESPECIFICADO</t>
  </si>
  <si>
    <t>CEVADA EM PO</t>
  </si>
  <si>
    <t>100390</t>
  </si>
  <si>
    <t>CHA (PRETO, CAMOMILA, ERVA CIDREIRA, CAPIM LIMAO, ETC)</t>
  </si>
  <si>
    <t>090210</t>
  </si>
  <si>
    <t>REFRIGERANTE DE LIMAO DIET</t>
  </si>
  <si>
    <t>CERVEJA (COM OU SEM ALCOOL)</t>
  </si>
  <si>
    <t>220300</t>
  </si>
  <si>
    <t>WHISKY</t>
  </si>
  <si>
    <t>CHAMPANHE</t>
  </si>
  <si>
    <t>220410</t>
  </si>
  <si>
    <t>SIDRA CHAMPANHE</t>
  </si>
  <si>
    <t>220600</t>
  </si>
  <si>
    <t>MARTINI</t>
  </si>
  <si>
    <t>220840</t>
  </si>
  <si>
    <t>CONHAQUE</t>
  </si>
  <si>
    <t>220820</t>
  </si>
  <si>
    <t>VINHO</t>
  </si>
  <si>
    <t>BEBIDA ALCOOLICA</t>
  </si>
  <si>
    <t>220510</t>
  </si>
  <si>
    <t>AZEITE DE OLIVA</t>
  </si>
  <si>
    <t>150990</t>
  </si>
  <si>
    <t>Monini, 2014a</t>
  </si>
  <si>
    <t>OLEO DE SOJA</t>
  </si>
  <si>
    <t>150790</t>
  </si>
  <si>
    <t>OLEO NAO ESPECIFICADO</t>
  </si>
  <si>
    <t>OLEO DE DENDE</t>
  </si>
  <si>
    <t>151190</t>
  </si>
  <si>
    <t>HAMBURGUER (SANDUICHE)</t>
  </si>
  <si>
    <t>160290</t>
  </si>
  <si>
    <t>SUCO</t>
  </si>
  <si>
    <t>200960</t>
  </si>
  <si>
    <t>SUCO DE ABACAXI</t>
  </si>
  <si>
    <t>200940</t>
  </si>
  <si>
    <t>SUCO DE LARANJA</t>
  </si>
  <si>
    <t>200919</t>
  </si>
  <si>
    <t>REFRESCO</t>
  </si>
  <si>
    <t>220290</t>
  </si>
  <si>
    <t>PIZZA</t>
  </si>
  <si>
    <t>LAZANHA PRONTA LIGHT</t>
  </si>
  <si>
    <t>190220</t>
  </si>
  <si>
    <t>Kungsörnen, 2010a</t>
  </si>
  <si>
    <t>PIZZA CALABREZA</t>
  </si>
  <si>
    <t>PIZZA MUZZARELA</t>
  </si>
  <si>
    <t>PIZZA PRESUNTO</t>
  </si>
  <si>
    <t>CAFE</t>
  </si>
  <si>
    <t>090121</t>
  </si>
  <si>
    <t>BATATA PALHA</t>
  </si>
  <si>
    <t>CALDO DE CARNE</t>
  </si>
  <si>
    <t>SOPA (LEGUMES, CARNE, ETC)</t>
  </si>
  <si>
    <t>071090</t>
  </si>
  <si>
    <t>STEAK DE FRANGO</t>
  </si>
  <si>
    <t>COXINHA</t>
  </si>
  <si>
    <t>LINGUICA (SU?NA, BOVINA, MISTA, ETC)</t>
  </si>
  <si>
    <t>160100</t>
  </si>
  <si>
    <t>SALAMINHO</t>
  </si>
  <si>
    <t>LEITE DE SOJA COM SABOR</t>
  </si>
  <si>
    <t>BANHA SUINA</t>
  </si>
  <si>
    <t>150110</t>
  </si>
  <si>
    <t>MUSSARELA</t>
  </si>
  <si>
    <t>QUEIJO RICOTA</t>
  </si>
  <si>
    <t>Ingredient_code_IBGE</t>
  </si>
  <si>
    <t>Ingredient_description_IBGE</t>
  </si>
  <si>
    <t>HS_Subposition_Code</t>
  </si>
  <si>
    <t>Data_source</t>
  </si>
  <si>
    <t>Reference</t>
  </si>
  <si>
    <t>Óleo vegetal</t>
  </si>
  <si>
    <t>CANJIQUINHA DE MILHO EM GRAO</t>
  </si>
  <si>
    <t>MANDIOQUINHA SALSA (BATATA BAROA)</t>
  </si>
  <si>
    <t>AIPIM</t>
  </si>
  <si>
    <t>MACAXEIRA</t>
  </si>
  <si>
    <t>CARA</t>
  </si>
  <si>
    <t>INHAME CARAQUENTO (CARA)</t>
  </si>
  <si>
    <t>MANDIOQUINHA</t>
  </si>
  <si>
    <t>NABO</t>
  </si>
  <si>
    <t>ACAFRAO</t>
  </si>
  <si>
    <t>BERTALHA</t>
  </si>
  <si>
    <t>CHICORIA</t>
  </si>
  <si>
    <t>COUVE</t>
  </si>
  <si>
    <t>MOSTARDA (VERDURA)</t>
  </si>
  <si>
    <t>AGRIAO</t>
  </si>
  <si>
    <t>ACELGA</t>
  </si>
  <si>
    <t>BETERRABA BRANCA (ACELGA)</t>
  </si>
  <si>
    <t>ALMEIRAO</t>
  </si>
  <si>
    <t>RADITE</t>
  </si>
  <si>
    <t>SERRALHA</t>
  </si>
  <si>
    <t>CARURU</t>
  </si>
  <si>
    <t>LINGUA DE VACA (VERDURA)</t>
  </si>
  <si>
    <t>BROTO DE FEIJAO</t>
  </si>
  <si>
    <t>JERIMUM</t>
  </si>
  <si>
    <t>ABOBORA</t>
  </si>
  <si>
    <t>CHUCHU</t>
  </si>
  <si>
    <t>JILO</t>
  </si>
  <si>
    <t>MAXIXE</t>
  </si>
  <si>
    <t>PEPININHO (MAXIXE)</t>
  </si>
  <si>
    <t>PALMITO IN NATURA</t>
  </si>
  <si>
    <t>GUARIROBA (PALMITO IN NATURA)</t>
  </si>
  <si>
    <t>ERVILHA EM VAGEM</t>
  </si>
  <si>
    <t>FILE MIGNON</t>
  </si>
  <si>
    <t>CONTRAFILE</t>
  </si>
  <si>
    <t>BISTECA BOVINA</t>
  </si>
  <si>
    <t>ALCATRA</t>
  </si>
  <si>
    <t>MAMINHA</t>
  </si>
  <si>
    <t>PICANHA</t>
  </si>
  <si>
    <t>CABECA DE LOMBO (CARNE BOVINA)</t>
  </si>
  <si>
    <t>TATU (LAGARTO REDONDO)</t>
  </si>
  <si>
    <t>PAULISTA</t>
  </si>
  <si>
    <t>LOMBO PAULISTA (CARNE BOVINA)</t>
  </si>
  <si>
    <t>MUSCULO BOVINO</t>
  </si>
  <si>
    <t>CHAMBARIL</t>
  </si>
  <si>
    <t>CARNE MARICA BOVINA</t>
  </si>
  <si>
    <t>VAZIO (CARNE BOVINA)</t>
  </si>
  <si>
    <t>FRALDINHA (CAPA DE FILE)</t>
  </si>
  <si>
    <t>COSTELA BOVINA</t>
  </si>
  <si>
    <t>VISCERA BOVINA</t>
  </si>
  <si>
    <t>PANELADA (VISCERAS BOVINAS NAO ESPECIFICADAS)</t>
  </si>
  <si>
    <t>020610</t>
  </si>
  <si>
    <t>CORACAO BOVINO</t>
  </si>
  <si>
    <t>BOFE BOVINO</t>
  </si>
  <si>
    <t>TRIPA BOVINA</t>
  </si>
  <si>
    <t>DOBRADINHA FRESCA</t>
  </si>
  <si>
    <t>FATO BOVINO</t>
  </si>
  <si>
    <t>FATO CAPRINO</t>
  </si>
  <si>
    <t>FIGADO BOVINO</t>
  </si>
  <si>
    <t>LINGUA BOVINA</t>
  </si>
  <si>
    <t>MOCOTO BOVINO</t>
  </si>
  <si>
    <t>CARRE</t>
  </si>
  <si>
    <t>BISTECA SUINA</t>
  </si>
  <si>
    <t>QUARTO SUINO</t>
  </si>
  <si>
    <t>COSTELA SUINA</t>
  </si>
  <si>
    <t>CARNE MOIDA</t>
  </si>
  <si>
    <t>TRIPA SUINA</t>
  </si>
  <si>
    <t>020630</t>
  </si>
  <si>
    <t>FIGADO SUINO</t>
  </si>
  <si>
    <t>LINGUA SUINA</t>
  </si>
  <si>
    <t>ORELHA SUINA FRESCA</t>
  </si>
  <si>
    <t>MOCOTO SUINO</t>
  </si>
  <si>
    <t>CARNE DE CABRITO</t>
  </si>
  <si>
    <t>CARNE DE BODE</t>
  </si>
  <si>
    <t>CARNE DE CAPRINO</t>
  </si>
  <si>
    <t>CARNE DE CARNEIRO</t>
  </si>
  <si>
    <t>MOCOTO DE CAPRINO</t>
  </si>
  <si>
    <t>PERNIL</t>
  </si>
  <si>
    <t>SUA SUINA</t>
  </si>
  <si>
    <t>CARNE DE OUTROS ANIMAIS</t>
  </si>
  <si>
    <t>020890</t>
  </si>
  <si>
    <t>CARNE DA PACA</t>
  </si>
  <si>
    <t>CARNE DE JACARE</t>
  </si>
  <si>
    <t>CARNE DE CAPIVARA</t>
  </si>
  <si>
    <t>CARNE DE COTIA</t>
  </si>
  <si>
    <t>CARNE DE JABUTI</t>
  </si>
  <si>
    <t>CHULETA</t>
  </si>
  <si>
    <t>MIUDO DE BODE</t>
  </si>
  <si>
    <t>OSSADA NAO ESPECIFICADA</t>
  </si>
  <si>
    <t>SIRI</t>
  </si>
  <si>
    <t>CARANGUEJO</t>
  </si>
  <si>
    <t>OSTRA</t>
  </si>
  <si>
    <t>SURURU</t>
  </si>
  <si>
    <t>OVAS DE PEIXE (QUALQUER ESPECIE)</t>
  </si>
  <si>
    <t>MILHO VERDE COM ERVILHA EM CONSERVA</t>
  </si>
  <si>
    <t>FIAMBRE</t>
  </si>
  <si>
    <t>PARTE DE GALINHA OU FRANGO NAO ESPECIFICADA</t>
  </si>
  <si>
    <t>FRANGO EM PEDACOS</t>
  </si>
  <si>
    <t>GALINHA EM PEDACOS</t>
  </si>
  <si>
    <t>CARNE DE GALINHA</t>
  </si>
  <si>
    <t>PEITO DE GALINHA OU FRANGO</t>
  </si>
  <si>
    <t>FILE DE FRANGO</t>
  </si>
  <si>
    <t>ASA DE GALINHA OU FRANGO</t>
  </si>
  <si>
    <t>DRUMETE DE GALINHA OU FRANGO</t>
  </si>
  <si>
    <t>PESCOCO DE GALINHA OU FRANGO</t>
  </si>
  <si>
    <t>PE DE GALINHA OU FRANGO</t>
  </si>
  <si>
    <t>MIUDO DE GALINHA OU FRANGO</t>
  </si>
  <si>
    <t>MOELA DE GALINHA OU FRANGO</t>
  </si>
  <si>
    <t>CORACAO DE FRANGO</t>
  </si>
  <si>
    <t>FIGADO DE GALINHA OU FRANGO</t>
  </si>
  <si>
    <t>PEITO DE PERU</t>
  </si>
  <si>
    <t>ASA DE PERU</t>
  </si>
  <si>
    <t>CHESTER</t>
  </si>
  <si>
    <t>TENDER</t>
  </si>
  <si>
    <t>NAMBU</t>
  </si>
  <si>
    <t>PE E ASA DE GALINHA OU FRANGO</t>
  </si>
  <si>
    <t>OVO DE CODORNA</t>
  </si>
  <si>
    <t>GALINHA DE ANGOLA ABATIDA, CONGELADA OU VIVA</t>
  </si>
  <si>
    <t>CAPOTE</t>
  </si>
  <si>
    <t>MUTUM</t>
  </si>
  <si>
    <t>PEITO DE PATO</t>
  </si>
  <si>
    <t>PEITO DE PERU LIGHT</t>
  </si>
  <si>
    <t>CARNE DE CHARQUE</t>
  </si>
  <si>
    <t>JABA</t>
  </si>
  <si>
    <t>CARNE DE SOL</t>
  </si>
  <si>
    <t>CARNE DO SERTAO</t>
  </si>
  <si>
    <t>HAMBURGUER DE CARNE BOVINA</t>
  </si>
  <si>
    <t>HAMBURGUER DE FRANGO</t>
  </si>
  <si>
    <t>LINGUICA DE FRANGO</t>
  </si>
  <si>
    <t>MORCILHA</t>
  </si>
  <si>
    <t>PAIO</t>
  </si>
  <si>
    <t>HAMBURGUER NAO ESPECIFICADO</t>
  </si>
  <si>
    <t>CARNE SALGADA NAO ESPECIFICADA</t>
  </si>
  <si>
    <t>MINI CHICKEN EMPANADO</t>
  </si>
  <si>
    <t>ARROZ INTEGRAL</t>
  </si>
  <si>
    <t>XEREM DE MILHO</t>
  </si>
  <si>
    <t>ANDU</t>
  </si>
  <si>
    <t>QUIRERA NAO ESPECIFICADA</t>
  </si>
  <si>
    <t>CENOURA AMARELA (BATATA BAROA)</t>
  </si>
  <si>
    <t>CREME DE ARROZ</t>
  </si>
  <si>
    <t>MUCILON</t>
  </si>
  <si>
    <t>MINGAU DE ARROZ</t>
  </si>
  <si>
    <t>CROQUINHOS DE ARROZ</t>
  </si>
  <si>
    <t>FARINHA DE AVEIA</t>
  </si>
  <si>
    <t>MINGAU DE MILHO</t>
  </si>
  <si>
    <t>CREMOGEMA</t>
  </si>
  <si>
    <t>VITAMILHO</t>
  </si>
  <si>
    <t>CREME DE MILHO</t>
  </si>
  <si>
    <t>CEREAL MATINAL DE MILHO EM FLOCOS</t>
  </si>
  <si>
    <t>GERME DE TRIGO</t>
  </si>
  <si>
    <t>FIBRA DE TRIGO</t>
  </si>
  <si>
    <t>FIBRA DE CEREAL TRIGO</t>
  </si>
  <si>
    <t>FARINHA DE COPIOBA</t>
  </si>
  <si>
    <t>FARINHA DE AGUA</t>
  </si>
  <si>
    <t>CRUERA</t>
  </si>
  <si>
    <t>SAGU DE TAPIOCA</t>
  </si>
  <si>
    <t>TAPIOCA DE GOMA</t>
  </si>
  <si>
    <t>FARINHA LACTEA</t>
  </si>
  <si>
    <t>NESTON</t>
  </si>
  <si>
    <t>FLOCOS DE CEREAIS</t>
  </si>
  <si>
    <t>FIBRA DE SOJA</t>
  </si>
  <si>
    <t>MINI PASTEL</t>
  </si>
  <si>
    <t>PURE DE BATATA</t>
  </si>
  <si>
    <t>AMENDOIM MOIDO</t>
  </si>
  <si>
    <t>GRANOLA</t>
  </si>
  <si>
    <t>MIX DE CEREAIS</t>
  </si>
  <si>
    <t>MIOJO</t>
  </si>
  <si>
    <t>MACARRAO INSTANTANEO</t>
  </si>
  <si>
    <t>SUSTAGEM</t>
  </si>
  <si>
    <t>PROTEINA VEGETAL</t>
  </si>
  <si>
    <t>COMPLEMENTO ALIMENTAR DE QUALQUER SABOR</t>
  </si>
  <si>
    <t>MACARRAO INSTANTANEO LIGHT</t>
  </si>
  <si>
    <t>MACARRAO COM CARNE</t>
  </si>
  <si>
    <t>MACARRAO COM PEIXE</t>
  </si>
  <si>
    <t>COCO DA BAHIA (SECO OU VERDE)</t>
  </si>
  <si>
    <t>PINHAO</t>
  </si>
  <si>
    <t>BUTIA</t>
  </si>
  <si>
    <t>TUCUMA</t>
  </si>
  <si>
    <t>JUCARA</t>
  </si>
  <si>
    <t>JUSSARA</t>
  </si>
  <si>
    <t>PUPUNHA</t>
  </si>
  <si>
    <t>BACABA</t>
  </si>
  <si>
    <t>CASTANHA DA INDIA</t>
  </si>
  <si>
    <t>BURITI</t>
  </si>
  <si>
    <t>PATAUA</t>
  </si>
  <si>
    <t>ESCAROLA</t>
  </si>
  <si>
    <t>CUXA</t>
  </si>
  <si>
    <t>VINAGREIRA</t>
  </si>
  <si>
    <t>CARIRU</t>
  </si>
  <si>
    <t>RUCULA</t>
  </si>
  <si>
    <t>JAMBU</t>
  </si>
  <si>
    <t>BREDO</t>
  </si>
  <si>
    <t>ERVA DOCE</t>
  </si>
  <si>
    <t>PIMENTAO</t>
  </si>
  <si>
    <t>JARDINEIRA (SELETA)</t>
  </si>
  <si>
    <t>BROTO DE ALFAFA</t>
  </si>
  <si>
    <t>TOMATE ORGANICO</t>
  </si>
  <si>
    <t>OREGANO</t>
  </si>
  <si>
    <t>LIMA</t>
  </si>
  <si>
    <t>BERGAMOTA</t>
  </si>
  <si>
    <t>MIMOSA</t>
  </si>
  <si>
    <t>TANJA</t>
  </si>
  <si>
    <t>MARICOTA</t>
  </si>
  <si>
    <t>LARANJINHA JAPONESA</t>
  </si>
  <si>
    <t>CAQUI</t>
  </si>
  <si>
    <t>MAMAO</t>
  </si>
  <si>
    <t>FRUTA DE CONDE</t>
  </si>
  <si>
    <t>PINHA (FRUTA DE CONDE)</t>
  </si>
  <si>
    <t>ATA</t>
  </si>
  <si>
    <t>UVA PASSA</t>
  </si>
  <si>
    <t>JENIPAPO</t>
  </si>
  <si>
    <t>JACA</t>
  </si>
  <si>
    <t>ARACA ACU (GOIABA)</t>
  </si>
  <si>
    <t>CAJA MANGA</t>
  </si>
  <si>
    <t>CAJARANA</t>
  </si>
  <si>
    <t>TAPEREBA</t>
  </si>
  <si>
    <t>CARAMBOLA</t>
  </si>
  <si>
    <t>GRAVIOLA</t>
  </si>
  <si>
    <t>JAMBO</t>
  </si>
  <si>
    <t>ATEMOIA</t>
  </si>
  <si>
    <t>MANGABA</t>
  </si>
  <si>
    <t>ARACA</t>
  </si>
  <si>
    <t>FRUTA PAO</t>
  </si>
  <si>
    <t>SAPOTI</t>
  </si>
  <si>
    <t>UXI</t>
  </si>
  <si>
    <t>TAMARINDO</t>
  </si>
  <si>
    <t>PITOMBA</t>
  </si>
  <si>
    <t>BACURI</t>
  </si>
  <si>
    <t>INGA</t>
  </si>
  <si>
    <t>PEQUI</t>
  </si>
  <si>
    <t>PITANGA</t>
  </si>
  <si>
    <t>CIRIGUELA</t>
  </si>
  <si>
    <t>MURICI</t>
  </si>
  <si>
    <t>UMBU</t>
  </si>
  <si>
    <t>BIRIBA</t>
  </si>
  <si>
    <t>CUPUACU</t>
  </si>
  <si>
    <t>NECTARINA</t>
  </si>
  <si>
    <t>MARI</t>
  </si>
  <si>
    <t>ACEROLA</t>
  </si>
  <si>
    <t>ABIU</t>
  </si>
  <si>
    <t>JURUBEBA</t>
  </si>
  <si>
    <t>JAMELAO (JAMBURAO)</t>
  </si>
  <si>
    <t>RAPADURA</t>
  </si>
  <si>
    <t>ALFENIM DE CANA</t>
  </si>
  <si>
    <t>BATIDA (RAPADURA)</t>
  </si>
  <si>
    <t>PICOLE DE QUALQUER SABOR INDUSTRIALIZADO</t>
  </si>
  <si>
    <t>CHICLETE</t>
  </si>
  <si>
    <t>CARAMELO (BALA)</t>
  </si>
  <si>
    <t>DROPS</t>
  </si>
  <si>
    <t>PASTILHA</t>
  </si>
  <si>
    <t>PIRULITO</t>
  </si>
  <si>
    <t>GOMA DE MASCAR</t>
  </si>
  <si>
    <t>TABLETE DE CHOCOLATE</t>
  </si>
  <si>
    <t>BARRA DE CHOCOLATE</t>
  </si>
  <si>
    <t>CONFETE</t>
  </si>
  <si>
    <t>OVOMALTINE</t>
  </si>
  <si>
    <t>ACHOCOLATADO EM PO</t>
  </si>
  <si>
    <t>TODDYNHO</t>
  </si>
  <si>
    <t>BOMBOM DE QUALQUER MARCA</t>
  </si>
  <si>
    <t>TRUFA</t>
  </si>
  <si>
    <t>GELEIA DE MOCOTO</t>
  </si>
  <si>
    <t>DOCE DE FRUTAS EM PASTA DE QUALQUER SABOR</t>
  </si>
  <si>
    <t>PASTA DE AMENDOIM</t>
  </si>
  <si>
    <t>PESSEGADA</t>
  </si>
  <si>
    <t>FIGADA</t>
  </si>
  <si>
    <t>GOIABADA</t>
  </si>
  <si>
    <t>MARIOLA</t>
  </si>
  <si>
    <t>DOCE DE FRUTAS CRISTALIZADO DE QUALQUER SABOR</t>
  </si>
  <si>
    <t>GELATINA DE QUALQUER SABOR</t>
  </si>
  <si>
    <t>MERENGUE</t>
  </si>
  <si>
    <t>SCHIMIER DE CANA</t>
  </si>
  <si>
    <t>PUDIM DE QUALQUER SABOR</t>
  </si>
  <si>
    <t>CUSCUZ</t>
  </si>
  <si>
    <t>CUSCUZ DE TAPIOCA</t>
  </si>
  <si>
    <t>MARIA MOLE</t>
  </si>
  <si>
    <t>COCADA</t>
  </si>
  <si>
    <t>DOCE DE AMENDOIM</t>
  </si>
  <si>
    <t>PE DE MOLEQUE</t>
  </si>
  <si>
    <t>PACOCA</t>
  </si>
  <si>
    <t>PACOQUINHA DE AMENDOIM</t>
  </si>
  <si>
    <t>AMENDOIM CARAMELIZADO</t>
  </si>
  <si>
    <t>AMENDOIM AMANTEIGADO</t>
  </si>
  <si>
    <t>AMENDOIM ACHOCOLATADO</t>
  </si>
  <si>
    <t>AMENDOIM APIMENTADO</t>
  </si>
  <si>
    <t>AMENDOIM COZIDO</t>
  </si>
  <si>
    <t>BRIGADEIRO</t>
  </si>
  <si>
    <t>BOMBA DE QUALQUER TIPO</t>
  </si>
  <si>
    <t>MIL FOLHAS</t>
  </si>
  <si>
    <t>QUEIJADINHA</t>
  </si>
  <si>
    <t>DOCE A BASE DE OVOS</t>
  </si>
  <si>
    <t>CACAROLA ITALIANA</t>
  </si>
  <si>
    <t>PAVE DE QUALQUER SABOR</t>
  </si>
  <si>
    <t>AMBROSIA</t>
  </si>
  <si>
    <t>LEITE GELEIFICADO</t>
  </si>
  <si>
    <t>CHANDELE DE QUALQUER SABOR</t>
  </si>
  <si>
    <t>MUMU</t>
  </si>
  <si>
    <t>CANUDINHO RECHEADO</t>
  </si>
  <si>
    <t>SAROLHO</t>
  </si>
  <si>
    <t>BEIJU</t>
  </si>
  <si>
    <t>SCHIMIER DE FRUTA (EXCETO DE CANA)</t>
  </si>
  <si>
    <t>BEIJO DE MOCA</t>
  </si>
  <si>
    <t>PICOLE ENSACADO</t>
  </si>
  <si>
    <t>GELADINHO</t>
  </si>
  <si>
    <t>CHURRO</t>
  </si>
  <si>
    <t>PAMONHA</t>
  </si>
  <si>
    <t>IOIO CREME (CHOCOLATE EM CREME)</t>
  </si>
  <si>
    <t>OVO DE PASCOA</t>
  </si>
  <si>
    <t>KINDER OVO</t>
  </si>
  <si>
    <t>TORRONE</t>
  </si>
  <si>
    <t>POLPA DE COCO</t>
  </si>
  <si>
    <t>DIET SHAKE</t>
  </si>
  <si>
    <t>CONCENTRADO ALIMENTAR DIET SHAKE</t>
  </si>
  <si>
    <t>ACUCAR LIGHT</t>
  </si>
  <si>
    <t>BARRA DE CEREAIS</t>
  </si>
  <si>
    <t>BARRA DE CEREAIS DOCE</t>
  </si>
  <si>
    <t>RABANADA</t>
  </si>
  <si>
    <t>MILK SHAKE</t>
  </si>
  <si>
    <t>GELEIA DIET</t>
  </si>
  <si>
    <t>DOCE DE FRUTAS DIET</t>
  </si>
  <si>
    <t>SUSPIRO</t>
  </si>
  <si>
    <t>SORVETE DE QUALQUER SABOR INDUSTRIALIZADO LIGHT</t>
  </si>
  <si>
    <t>SORVETE DE QUALQUER SABOR INDUSTRIALIZADO DIET</t>
  </si>
  <si>
    <t>CHICLETE DIET</t>
  </si>
  <si>
    <t>BARRA DE CHOCOLATE LIGHT</t>
  </si>
  <si>
    <t>BARRA DE CHOCOLATE DIET</t>
  </si>
  <si>
    <t>ACHOCOLATADO EM PO LIGHT</t>
  </si>
  <si>
    <t>ACHOCOLATADO EM PO DIET</t>
  </si>
  <si>
    <t>TODDYNHO DIET</t>
  </si>
  <si>
    <t>GELEIA DE FRUTAS DE QUALQUER MARCA OU SABOR LIGHT</t>
  </si>
  <si>
    <t>GELEIA LIGHT</t>
  </si>
  <si>
    <t>GELEIA DE FRUTAS LIGHT</t>
  </si>
  <si>
    <t>DOCE DE FRUTAS EM BARRA OU PASTA LIGHT</t>
  </si>
  <si>
    <t>DOCE DE FRUTAS EM PASTA LIGHT</t>
  </si>
  <si>
    <t>DOCE DE LEITE DIET</t>
  </si>
  <si>
    <t>BARRA DE CEREAIS DIET</t>
  </si>
  <si>
    <t>BARRA DE CEREAIS DOCE DIET</t>
  </si>
  <si>
    <t>MILK SHAKE DIET</t>
  </si>
  <si>
    <t>COCADA DIET</t>
  </si>
  <si>
    <t>PACOCA DIET</t>
  </si>
  <si>
    <t>DOCE A BASE DE LEITE DIET</t>
  </si>
  <si>
    <t>GELATINA DE QUALQUER SABOR LIGHT</t>
  </si>
  <si>
    <t>ADOCANTE EM PO LIGHT</t>
  </si>
  <si>
    <t>ADOCANTE LIQUIDO LIGHT</t>
  </si>
  <si>
    <t>MOSTARDA MOLHO</t>
  </si>
  <si>
    <t>SHOYO</t>
  </si>
  <si>
    <t>MAIONESE (MOLHO)</t>
  </si>
  <si>
    <t>CATCHUP</t>
  </si>
  <si>
    <t>TUCUPI EM CALDO SEM PIMENTA</t>
  </si>
  <si>
    <t>CREME DE QUEIJO</t>
  </si>
  <si>
    <t>CALDO DE PEIXE</t>
  </si>
  <si>
    <t>MAIONESE (MOLHO) LIGHT</t>
  </si>
  <si>
    <t>VINAGRETE</t>
  </si>
  <si>
    <t>RABADA DE BOI</t>
  </si>
  <si>
    <t>TOUCINHO</t>
  </si>
  <si>
    <t>SARAPATEL SUINO FRESCO</t>
  </si>
  <si>
    <t>SARRABULHO</t>
  </si>
  <si>
    <t>BIFE A ROLE</t>
  </si>
  <si>
    <t>BUCHADA DE BODE</t>
  </si>
  <si>
    <t>PETIT POIS</t>
  </si>
  <si>
    <t>MILHO VERDE EM CONSERVA</t>
  </si>
  <si>
    <t>PALMITO EM CONSERVA</t>
  </si>
  <si>
    <t>COGUMELO EM CONSERVA</t>
  </si>
  <si>
    <t>REPOLHO EM CONSERVA</t>
  </si>
  <si>
    <t>CHUCRUTE</t>
  </si>
  <si>
    <t>YAKISSOBA</t>
  </si>
  <si>
    <t>FEIJOADA</t>
  </si>
  <si>
    <t>FEIJAO BRANCO COM DOBRADINHA EM CONSERVA</t>
  </si>
  <si>
    <t>COZIDO</t>
  </si>
  <si>
    <t>PASTA DE CARNE EM CONSERVA</t>
  </si>
  <si>
    <t>PASTA DE PRESUNTO EM CONSERVA</t>
  </si>
  <si>
    <t>PASTA DE GALINHA EM CONSERVA</t>
  </si>
  <si>
    <t>CARNE BOVINA EM CONSERVA</t>
  </si>
  <si>
    <t>ALMONDEGA</t>
  </si>
  <si>
    <t>PRESUNTADA</t>
  </si>
  <si>
    <t>SALSICHA EM CONSERVA</t>
  </si>
  <si>
    <t>SARDINHA EM CONSERVA</t>
  </si>
  <si>
    <t>PEPINO EM CONSERVA</t>
  </si>
  <si>
    <t>PASTA DE PEIXE EM CONSERVA</t>
  </si>
  <si>
    <t>PICLES</t>
  </si>
  <si>
    <t>NABO EM CONSERVA</t>
  </si>
  <si>
    <t>STROGONOFF</t>
  </si>
  <si>
    <t>SALMAO EM CONSERVA</t>
  </si>
  <si>
    <t>ATUM EM CONSERVA LIGHT</t>
  </si>
  <si>
    <t>CANJA</t>
  </si>
  <si>
    <t>LEITE CONDENSADO</t>
  </si>
  <si>
    <t>LEITE BEIJINHO</t>
  </si>
  <si>
    <t>IOGURTE DESNATADO</t>
  </si>
  <si>
    <t>YAKULT DE QUALQUER SABOR</t>
  </si>
  <si>
    <t>LEITE FERMENTADO</t>
  </si>
  <si>
    <t>COALHADA</t>
  </si>
  <si>
    <t>MANTEIGA COM OU SEM SAL</t>
  </si>
  <si>
    <t>MANTEIGA DE GARRAFA</t>
  </si>
  <si>
    <t>QUEIJO PRATO</t>
  </si>
  <si>
    <t>QUEIJO COLONIAL</t>
  </si>
  <si>
    <t>QUEIJO DE COLONIA</t>
  </si>
  <si>
    <t>MUSSARELA DE BUFALA</t>
  </si>
  <si>
    <t>QUEIJO DE BUFALO</t>
  </si>
  <si>
    <t>QUEIJO DE REINO</t>
  </si>
  <si>
    <t>QUEIJO DE MANTEIGA</t>
  </si>
  <si>
    <t>QUECHIMIA</t>
  </si>
  <si>
    <t>QUEIJO DE COALHO</t>
  </si>
  <si>
    <t>QUEIJO CANASTRA</t>
  </si>
  <si>
    <t>QUEIJO PROVOLONE</t>
  </si>
  <si>
    <t>QUEIJO POLENGUINHO</t>
  </si>
  <si>
    <t>REQUEIJAO</t>
  </si>
  <si>
    <t>QUEIJO CREMOSO</t>
  </si>
  <si>
    <t>LEITE ACHOCOLATADO</t>
  </si>
  <si>
    <t>LEITE AROMATIZADO</t>
  </si>
  <si>
    <t>NATA</t>
  </si>
  <si>
    <t>LEITE NAO ESPECIFICADO PASTEURIZADO</t>
  </si>
  <si>
    <t>IOGURTE DE QUALQUER SABOR LIGHT</t>
  </si>
  <si>
    <t>IOGURTE DE QUALQUER SABOR DIET</t>
  </si>
  <si>
    <t>MARGARINA LIGHT</t>
  </si>
  <si>
    <t>MUSSARELA LIGHT</t>
  </si>
  <si>
    <t>QUEIJO MUSSARELA LIGHT</t>
  </si>
  <si>
    <t>CREME DE LEITE LIGHT</t>
  </si>
  <si>
    <t>QUEIJO PRATO LIGHT</t>
  </si>
  <si>
    <t>QUEIJO DE MINAS LIGHT</t>
  </si>
  <si>
    <t>QUEIJO DE COALHO LIGHT</t>
  </si>
  <si>
    <t>QUEIJO RICOTA LIGHT</t>
  </si>
  <si>
    <t>QUEIJO POLENGUINHO LIGHT</t>
  </si>
  <si>
    <t>REQUEIJAO LIGHT</t>
  </si>
  <si>
    <t>QUEIJO NAO ESPECIFICADO LIGHT</t>
  </si>
  <si>
    <t>LEITE ACHOCOLATADO LIGHT</t>
  </si>
  <si>
    <t>BEBIDA ACHOCOLATADA LIGHT</t>
  </si>
  <si>
    <t>LEITE COM SABOR DIET</t>
  </si>
  <si>
    <t>LEITE ACHOCOLATADO DIET</t>
  </si>
  <si>
    <t>LEITE DE SOJA EM PO LIGHT</t>
  </si>
  <si>
    <t>PAO DE HAMBURGUER</t>
  </si>
  <si>
    <t>PAO DOCE</t>
  </si>
  <si>
    <t>CHINEQUE</t>
  </si>
  <si>
    <t>PAO DE MEL</t>
  </si>
  <si>
    <t>PANETONE</t>
  </si>
  <si>
    <t>CROISSANT</t>
  </si>
  <si>
    <t>PAO DE QUEIJO</t>
  </si>
  <si>
    <t>PAO DE MILHO</t>
  </si>
  <si>
    <t>PAO INTEGRAL</t>
  </si>
  <si>
    <t>PAO NAO ESPECIFICADO</t>
  </si>
  <si>
    <t>ROSCA DOCE</t>
  </si>
  <si>
    <t>ROSCA SALGADA</t>
  </si>
  <si>
    <t>ROSQUINHA SALGADA</t>
  </si>
  <si>
    <t>PRESUNTINHO BISCOITO</t>
  </si>
  <si>
    <t>BISCOITO DE POLVILHO</t>
  </si>
  <si>
    <t>BACONZITOS</t>
  </si>
  <si>
    <t>CAVACO CHINES</t>
  </si>
  <si>
    <t>SEQUILHO</t>
  </si>
  <si>
    <t>TARECO</t>
  </si>
  <si>
    <t>SOLDA</t>
  </si>
  <si>
    <t>BREVIDADE</t>
  </si>
  <si>
    <t>MARIA MALUCA (BOLACHA DOCE)</t>
  </si>
  <si>
    <t>CUCA DE QUALQUER TIPO</t>
  </si>
  <si>
    <t>BOLO DE MILHO</t>
  </si>
  <si>
    <t>ANGUSOR DE MILHO</t>
  </si>
  <si>
    <t>GRUSTOLI (BOLINHO DOCE)</t>
  </si>
  <si>
    <t>BOLO DE TAPIOCA</t>
  </si>
  <si>
    <t>BOLO DE MACAXEIRA</t>
  </si>
  <si>
    <t>BOLO DE GOMA</t>
  </si>
  <si>
    <t>BOLO DE BATATA DOCE</t>
  </si>
  <si>
    <t>BOLO DE ARROZ</t>
  </si>
  <si>
    <t>BOLO DE CARA</t>
  </si>
  <si>
    <t>TORTAS SALGADAS DE QUALQUER SABOR</t>
  </si>
  <si>
    <t>SONHO</t>
  </si>
  <si>
    <t>FILHOS (BOLINHO DE FARINHA DE TRIGO E OVOS)</t>
  </si>
  <si>
    <t>BOLO DE CHOCOLATE</t>
  </si>
  <si>
    <t>BOLO DE LARANJA</t>
  </si>
  <si>
    <t>BOLO DE COCO</t>
  </si>
  <si>
    <t>BOLO DE CENOURA</t>
  </si>
  <si>
    <t>BOLO DE TRIGO</t>
  </si>
  <si>
    <t>BROA</t>
  </si>
  <si>
    <t>WAFFER (BISCOITO)</t>
  </si>
  <si>
    <t>ALFAJORES (BISCOITO)</t>
  </si>
  <si>
    <t>ROSQUINHA RECHEADA DE QUALQUER SABOR</t>
  </si>
  <si>
    <t>CREPE</t>
  </si>
  <si>
    <t>PAO DIET (DE FORMA INDUSTRIALIZADO)</t>
  </si>
  <si>
    <t>PAO LIGHT (DE FORMA INDUSTRIALIZADO)</t>
  </si>
  <si>
    <t>PAO INTEGRAL LIGHT</t>
  </si>
  <si>
    <t>TORTAS DOCES DE QUALQUER SABOR DIET</t>
  </si>
  <si>
    <t>FILHOS (BOLINHO DE FARINHA DE TRIGO E OVOS) LIGHT</t>
  </si>
  <si>
    <t>BOLO DE CHOCOLATE LIGHT</t>
  </si>
  <si>
    <t>BOLO DE CENOURA DIET</t>
  </si>
  <si>
    <t>BISCOITO RECHEADO LIGHT</t>
  </si>
  <si>
    <t>BISCOITO WAFFER LIGHT</t>
  </si>
  <si>
    <t>BISCOITO RECHEADO DIET</t>
  </si>
  <si>
    <t>ROSQUINHA RECHEADA DE QUALQUER SABOR DIET</t>
  </si>
  <si>
    <t>BOLACHA RECHEADA DIET</t>
  </si>
  <si>
    <t>PANETONE DIET</t>
  </si>
  <si>
    <t>BISCOITO SALGADO LIGHT</t>
  </si>
  <si>
    <t>BOLACHA SALGADA LIGHT</t>
  </si>
  <si>
    <t>CHIPS (SALGADINHOS) LIGHT</t>
  </si>
  <si>
    <t>BISCOITO DOCE LIGHT</t>
  </si>
  <si>
    <t>BOLACHA DOCE LIGHT</t>
  </si>
  <si>
    <t>BISCOITO DOCE DIET</t>
  </si>
  <si>
    <t>BOLACHA DOCE DIET</t>
  </si>
  <si>
    <t>BOLO DE BANANA</t>
  </si>
  <si>
    <t>COPA DE PORCO DEFUMADA</t>
  </si>
  <si>
    <t>CHOURICO</t>
  </si>
  <si>
    <t>MORCELA</t>
  </si>
  <si>
    <t>MORTADELA</t>
  </si>
  <si>
    <t>SALAME</t>
  </si>
  <si>
    <t>BLANQUET DE PERU</t>
  </si>
  <si>
    <t>APRESUNTADO</t>
  </si>
  <si>
    <t>PURURUCA DE PORCO</t>
  </si>
  <si>
    <t>PELE DE PORCO PREPARADA (PURURUCA)</t>
  </si>
  <si>
    <t>MORTADELA LIGHT</t>
  </si>
  <si>
    <t>FANTA LARANJA TRADICIONAL</t>
  </si>
  <si>
    <t>SUKITA TRADICIONAL</t>
  </si>
  <si>
    <t>REFRIGERANTE DE GUARANA TRADICIONAL</t>
  </si>
  <si>
    <t>GUARANA TRADICIONAL</t>
  </si>
  <si>
    <t>FANTA UVA TRADICIONAL</t>
  </si>
  <si>
    <t>MATE TRADICIONAL</t>
  </si>
  <si>
    <t>REFRIGERANTE DE GUARANA LIGHT</t>
  </si>
  <si>
    <t>GUARANA LIGHT</t>
  </si>
  <si>
    <t>TUBAINA TRADICIONAL</t>
  </si>
  <si>
    <t>CALDO DE CANA</t>
  </si>
  <si>
    <t>GARAPA</t>
  </si>
  <si>
    <t>AGUA DE COCO</t>
  </si>
  <si>
    <t>Q-SUCO</t>
  </si>
  <si>
    <t>Q-REFRESKO</t>
  </si>
  <si>
    <t>ERVA MATE</t>
  </si>
  <si>
    <t>CHIMARRAO</t>
  </si>
  <si>
    <t>TERERE</t>
  </si>
  <si>
    <t>CHOCOMILK</t>
  </si>
  <si>
    <t>AGUA TONICA TRADICIONAL</t>
  </si>
  <si>
    <t>CHA DIET (PRETO, CAMOMILA, ERVA CIDREIRA, CAPIM LIMAO, ETC)</t>
  </si>
  <si>
    <t>GATORADE</t>
  </si>
  <si>
    <t>BEBIDA ENERGETICA</t>
  </si>
  <si>
    <t>REFRIGERANTE DE GUARANA DIET</t>
  </si>
  <si>
    <t>GUARANA DIET</t>
  </si>
  <si>
    <t>AGUA TONICA LIGHT</t>
  </si>
  <si>
    <t>Q-SUCO LIGHT</t>
  </si>
  <si>
    <t>Q-SUCO DIET</t>
  </si>
  <si>
    <t>AGUA TONICA DIET</t>
  </si>
  <si>
    <t>SUCO DE CLOROFILA</t>
  </si>
  <si>
    <t>CAFE COM FARINHA</t>
  </si>
  <si>
    <t>CHOPP</t>
  </si>
  <si>
    <t>AGUARDENTE</t>
  </si>
  <si>
    <t>CACHACA</t>
  </si>
  <si>
    <t>BATIDA DE QUALQUER SABOR</t>
  </si>
  <si>
    <t>RUM</t>
  </si>
  <si>
    <t>VODKA</t>
  </si>
  <si>
    <t>UISQUE</t>
  </si>
  <si>
    <t>DRINK DREHER</t>
  </si>
  <si>
    <t>LICOR DE QUALQUER SABOR</t>
  </si>
  <si>
    <t>CAJUINA</t>
  </si>
  <si>
    <t>CATUABA</t>
  </si>
  <si>
    <t>COQUETEL DE FRUTAS</t>
  </si>
  <si>
    <t>CAIPIRINHA</t>
  </si>
  <si>
    <t>SALGADINHO</t>
  </si>
  <si>
    <t>PASTEL (QUEIJO, CARNE, PALMITO, ETC)</t>
  </si>
  <si>
    <t>CROQUETE</t>
  </si>
  <si>
    <t>EMPADA (QUEIJO, CARNE, CAMARAO, ETC)</t>
  </si>
  <si>
    <t>ACARAJE</t>
  </si>
  <si>
    <t>TORRESMO</t>
  </si>
  <si>
    <t>QUIBE</t>
  </si>
  <si>
    <t>ABARA (BAHIA)</t>
  </si>
  <si>
    <t>PACOCA DE CARNE DE SOL</t>
  </si>
  <si>
    <t>ANGU FRITO</t>
  </si>
  <si>
    <t>ANGU DE MILHO</t>
  </si>
  <si>
    <t>POLENTA</t>
  </si>
  <si>
    <t>ESFIRRA</t>
  </si>
  <si>
    <t>ESFIRRA DE CARNE</t>
  </si>
  <si>
    <t>ESFIRRA DE QUEIJO</t>
  </si>
  <si>
    <t>ESFIRRA DE RICOTA</t>
  </si>
  <si>
    <t>ESFIRRA DE FRANGO</t>
  </si>
  <si>
    <t>ENROLADINHO</t>
  </si>
  <si>
    <t>BOLINHO DE AIPIM</t>
  </si>
  <si>
    <t>BOLINHO DE BACALHAU</t>
  </si>
  <si>
    <t>CACHORRO QUENTE</t>
  </si>
  <si>
    <t>CHEESBURGUER</t>
  </si>
  <si>
    <t>EGGSBURGUER</t>
  </si>
  <si>
    <t>BAURU</t>
  </si>
  <si>
    <t>AMERICANO</t>
  </si>
  <si>
    <t>MISTO QUENTE OU FRIO</t>
  </si>
  <si>
    <t>SANDUICHE DE QUEIJO PRATO</t>
  </si>
  <si>
    <t>SANDUICHE DE SALAME</t>
  </si>
  <si>
    <t>SANDUICHE DE PRESUNTO</t>
  </si>
  <si>
    <t>SANDUICHE DE QUEIJO PRATO COM PRESUNTO</t>
  </si>
  <si>
    <t>SANDUICHE DE MORTADELA</t>
  </si>
  <si>
    <t>SANDUICHE DE QUEIJO MINAS</t>
  </si>
  <si>
    <t>CHEESE EGG</t>
  </si>
  <si>
    <t>CHEESE TUDO</t>
  </si>
  <si>
    <t>SANDUICHE NATURAL</t>
  </si>
  <si>
    <t>SUCO DE ACEROLA</t>
  </si>
  <si>
    <t>SUCO DE BETERRABA</t>
  </si>
  <si>
    <t>SUCO DE CUPUACU</t>
  </si>
  <si>
    <t>SUCO DE GOIABA</t>
  </si>
  <si>
    <t>SUCO DE LARANJA COM BANANA</t>
  </si>
  <si>
    <t>SUCO DE LARANJA E BETERRABA</t>
  </si>
  <si>
    <t>SUCO DE LARANJA E CENOURA</t>
  </si>
  <si>
    <t>SUCO DE LARANJA CENOURA E BETERRABA</t>
  </si>
  <si>
    <t>SUCO DE MAMAO</t>
  </si>
  <si>
    <t>SUCO DE MANGA</t>
  </si>
  <si>
    <t>SUCO DE MARACUJA</t>
  </si>
  <si>
    <t>SUCO DE MELAO</t>
  </si>
  <si>
    <t>SUCO DE MORANGO</t>
  </si>
  <si>
    <t>SUCO DE PESSEGO</t>
  </si>
  <si>
    <t>SUCO DE PESSEGO EM CALDA</t>
  </si>
  <si>
    <t>VITAMINA</t>
  </si>
  <si>
    <t>VITAMINA DE BANANA</t>
  </si>
  <si>
    <t>VITAMINA DE BANANA COM AVEIA</t>
  </si>
  <si>
    <t>VITAMINA DE ABACATE</t>
  </si>
  <si>
    <t>VITAMINA DE MORANGO</t>
  </si>
  <si>
    <t>VITAMINA MISTA</t>
  </si>
  <si>
    <t>VITAMINA DE MACA</t>
  </si>
  <si>
    <t>REFRESCO DE CAJU</t>
  </si>
  <si>
    <t>REFRESCO DE GROSELHA</t>
  </si>
  <si>
    <t>REFRESCO DE LARANJA</t>
  </si>
  <si>
    <t>REFRESCO DE MARACUJA</t>
  </si>
  <si>
    <t>REFRESCO DE LIMAO</t>
  </si>
  <si>
    <t>SALADA OU VERDURA COZIDA, EXCETO DE FRUTA</t>
  </si>
  <si>
    <t>SALADA DE MAIONESE</t>
  </si>
  <si>
    <t>LAZANHA</t>
  </si>
  <si>
    <t>NHOQUE</t>
  </si>
  <si>
    <t>CANELONI</t>
  </si>
  <si>
    <t>CAPELETI</t>
  </si>
  <si>
    <t>RAVIOLI</t>
  </si>
  <si>
    <t>CALZONE</t>
  </si>
  <si>
    <t>PANQUECA</t>
  </si>
  <si>
    <t>PIZZA PORTUGUESA</t>
  </si>
  <si>
    <t>MACARRONADA</t>
  </si>
  <si>
    <t>GALETO</t>
  </si>
  <si>
    <t>COSTELA</t>
  </si>
  <si>
    <t>PIPOCA DOCE OU SALGADA</t>
  </si>
  <si>
    <t>CAFE TIPO EXPRESSO</t>
  </si>
  <si>
    <t>CAFE COM LEITE</t>
  </si>
  <si>
    <t>CAFE TIPO CAPUCCINO</t>
  </si>
  <si>
    <t>MILHO COZIDO</t>
  </si>
  <si>
    <t>BATATA PALITO</t>
  </si>
  <si>
    <t>MUNGUNZA</t>
  </si>
  <si>
    <t>CANJICA</t>
  </si>
  <si>
    <t>TACACA</t>
  </si>
  <si>
    <t>BOLINHO DE COCO</t>
  </si>
  <si>
    <t>RISOTO</t>
  </si>
  <si>
    <t>VATAPA</t>
  </si>
  <si>
    <t>FAROFA PRONTA</t>
  </si>
  <si>
    <t>CALDO DE FEIJAO</t>
  </si>
  <si>
    <t>CALDO DE MOCOTO</t>
  </si>
  <si>
    <t>BAIAO DE DOIS</t>
  </si>
  <si>
    <t>CHURRASCO</t>
  </si>
  <si>
    <t>SUSHI</t>
  </si>
  <si>
    <t>SALADA DE FRUTAS</t>
  </si>
  <si>
    <t>SALPICAO</t>
  </si>
  <si>
    <t>CHARUTO DE REPOLHO</t>
  </si>
  <si>
    <t>ARROZ A GREGA</t>
  </si>
  <si>
    <t>ARRUMADINHO</t>
  </si>
  <si>
    <t>BOBO DE CAMARAO</t>
  </si>
  <si>
    <t>CARURU (QUIABO, AMENDOIM, CASTANHA DE CAJU, CAMARAO SECO, ETC)</t>
  </si>
  <si>
    <t>EMPADAO (QUEIJO, FRANGO, CAMARAO, PALMITO, ETC)</t>
  </si>
  <si>
    <t>FAROFA DE BANANA</t>
  </si>
  <si>
    <t>FEIJAO TROPEIRO</t>
  </si>
  <si>
    <t>GALINHA COM ARROZ</t>
  </si>
  <si>
    <t>GALINHADA</t>
  </si>
  <si>
    <t>MOQUECA BAIANA</t>
  </si>
  <si>
    <t>OMELETE</t>
  </si>
  <si>
    <t>PIRAO</t>
  </si>
  <si>
    <t>QUIBEBE</t>
  </si>
  <si>
    <t>QUICHE</t>
  </si>
  <si>
    <t>SUFLE</t>
  </si>
  <si>
    <t>TUTU</t>
  </si>
  <si>
    <t>CALDO VERDE</t>
  </si>
  <si>
    <t>ARROZ DE CUXA</t>
  </si>
  <si>
    <t>ANGU A BAIANA</t>
  </si>
  <si>
    <t>GEMADA</t>
  </si>
  <si>
    <t>ACAI COM GRANOLA</t>
  </si>
  <si>
    <t>VACA ATOLADA</t>
  </si>
  <si>
    <t>ARROZ COM FEIJAO</t>
  </si>
  <si>
    <t>PAO COM MANTEIGA</t>
  </si>
  <si>
    <t>PAO COM MARGARINA</t>
  </si>
  <si>
    <t>PAO COM OVO</t>
  </si>
  <si>
    <t>CARNE COM BATATA, INHAME, BATATA BAROA OU AIPIM</t>
  </si>
  <si>
    <t>CARNE COM LEGUMES (EXCETO BATATA, INHAME E AIPIM)</t>
  </si>
  <si>
    <t>FRANGO COM BATATA, INHAME BATATA BAROA OU AIPIM</t>
  </si>
  <si>
    <t>FRANGO COM LEGUMES (EXCETO BATATA,INHAME E AIPIM)</t>
  </si>
  <si>
    <t>ABOBORA COM QUIABO</t>
  </si>
  <si>
    <t>ARROZ CARRETEIRO</t>
  </si>
  <si>
    <t>MARIA IZABEL</t>
  </si>
  <si>
    <t>ARROZ DE LEITE</t>
  </si>
  <si>
    <t>ARROZ COM MANDIOCA</t>
  </si>
  <si>
    <t>ARROZ COM OVO</t>
  </si>
  <si>
    <t>PALMA</t>
  </si>
  <si>
    <t>Grupos e subgrupos de alimentos</t>
  </si>
  <si>
    <t>Tipo de preparo</t>
  </si>
  <si>
    <t>Forno</t>
  </si>
  <si>
    <t>Fogão</t>
  </si>
  <si>
    <t>tempo (min)</t>
  </si>
  <si>
    <t>Alimentos in natura ou minimamente processados e preparações culinárias à base desses alimentos</t>
  </si>
  <si>
    <t>EF</t>
  </si>
  <si>
    <t>(litros)</t>
  </si>
  <si>
    <t>(g-m2)</t>
  </si>
  <si>
    <t>Pegada de carbono (CF), pegada hídrica (WF) e pegada ecológica (EF) para 100g de alimentos e preparações culinárias consumidas no Brasil</t>
  </si>
  <si>
    <t>Pegada de carbono (CF), pegada hídrica (WF) e pegada ecológica (EF) por quilograma (kg) dos ítens de consumo alimentar sem preparo</t>
  </si>
  <si>
    <t>EF (g-m2/kg)</t>
  </si>
  <si>
    <t>Ref_Cod_name</t>
  </si>
  <si>
    <t>3. from primary production up to the point of sale</t>
  </si>
  <si>
    <t>greenhouse</t>
  </si>
  <si>
    <t>5. cradle to grave</t>
  </si>
  <si>
    <t>1. up to farm gate</t>
  </si>
  <si>
    <t>2. from farm to industrial process</t>
  </si>
  <si>
    <t>4. from farm to industrial process, sale and cooking</t>
  </si>
  <si>
    <t>dry</t>
  </si>
  <si>
    <t>canned</t>
  </si>
  <si>
    <t>frozen</t>
  </si>
  <si>
    <t>IP</t>
  </si>
  <si>
    <t>organic</t>
  </si>
  <si>
    <t>GHG report 2012</t>
  </si>
  <si>
    <t>AVG CENOURA</t>
  </si>
  <si>
    <t>food service</t>
  </si>
  <si>
    <t>whole</t>
  </si>
  <si>
    <t>GHG report 2014</t>
  </si>
  <si>
    <t>open field</t>
  </si>
  <si>
    <t>greenhouse organic</t>
  </si>
  <si>
    <t xml:space="preserve">processed </t>
  </si>
  <si>
    <t>raw</t>
  </si>
  <si>
    <t>bone- and fat free meat</t>
  </si>
  <si>
    <t>meat with bones</t>
  </si>
  <si>
    <t>slaughter weight</t>
  </si>
  <si>
    <t>live weight organic</t>
  </si>
  <si>
    <t>live weight</t>
  </si>
  <si>
    <t>live weight
traditional</t>
  </si>
  <si>
    <t>bone-free carcass</t>
  </si>
  <si>
    <t>fresh meat</t>
  </si>
  <si>
    <t>fresh meat organic</t>
  </si>
  <si>
    <t>carcasse weight</t>
  </si>
  <si>
    <t>live</t>
  </si>
  <si>
    <t>hot standard carcass weight</t>
  </si>
  <si>
    <t>retail</t>
  </si>
  <si>
    <t>pastoral</t>
  </si>
  <si>
    <t>feedlot</t>
  </si>
  <si>
    <t>with bone meat
organic</t>
  </si>
  <si>
    <t>deboned meat</t>
  </si>
  <si>
    <t>farmed</t>
  </si>
  <si>
    <t>farmed - live weight</t>
  </si>
  <si>
    <t>wild</t>
  </si>
  <si>
    <t>wild - frozen fillet</t>
  </si>
  <si>
    <t>wild - frozen</t>
  </si>
  <si>
    <t>farmed - live weight
organic</t>
  </si>
  <si>
    <t>wild - pickled</t>
  </si>
  <si>
    <t>frozen fillet</t>
  </si>
  <si>
    <t>farmed - frozen fillet</t>
  </si>
  <si>
    <t>farmed - fillet</t>
  </si>
  <si>
    <t>farmed - frozen</t>
  </si>
  <si>
    <t>wild - fillet</t>
  </si>
  <si>
    <t>wild - saltfish</t>
  </si>
  <si>
    <t>fillet</t>
  </si>
  <si>
    <t>carcass weight</t>
  </si>
  <si>
    <t>live weight
free-range</t>
  </si>
  <si>
    <t>ex retail</t>
  </si>
  <si>
    <t>bone-free carcass
free range</t>
  </si>
  <si>
    <t>bone-free carcass
organic</t>
  </si>
  <si>
    <t>carcass weight
organic</t>
  </si>
  <si>
    <t>free range</t>
  </si>
  <si>
    <t>ECM</t>
  </si>
  <si>
    <t>FPCM</t>
  </si>
  <si>
    <t>pasture</t>
  </si>
  <si>
    <t>ecm</t>
  </si>
  <si>
    <t>ECM organic</t>
  </si>
  <si>
    <t>FPCM organic</t>
  </si>
  <si>
    <t>semi-hard</t>
  </si>
  <si>
    <t>cheddar</t>
  </si>
  <si>
    <t>diferent scales</t>
  </si>
  <si>
    <t>Whole</t>
  </si>
  <si>
    <t>UF=chícara 1dl</t>
  </si>
  <si>
    <t>pearled</t>
  </si>
  <si>
    <t>refined</t>
  </si>
  <si>
    <t>trigo, não a farinha</t>
  </si>
  <si>
    <r>
      <t>(g CO</t>
    </r>
    <r>
      <rPr>
        <vertAlign val="subscript"/>
        <sz val="8"/>
        <color theme="1"/>
        <rFont val="Times New Roman"/>
        <family val="1"/>
      </rPr>
      <t>2</t>
    </r>
    <r>
      <rPr>
        <sz val="8"/>
        <color theme="1"/>
        <rFont val="Times New Roman"/>
        <family val="1"/>
      </rPr>
      <t>e*100g</t>
    </r>
    <r>
      <rPr>
        <vertAlign val="superscript"/>
        <sz val="8"/>
        <color theme="1"/>
        <rFont val="Times New Roman"/>
        <family val="1"/>
      </rPr>
      <t>-1</t>
    </r>
    <r>
      <rPr>
        <sz val="8"/>
        <color theme="1"/>
        <rFont val="Times New Roman"/>
        <family val="1"/>
      </rPr>
      <t>)</t>
    </r>
  </si>
  <si>
    <t>PATO EM PEDACOS</t>
  </si>
  <si>
    <t>LINGUICA (SUINA, BOVINA, MISTA, ETC)</t>
  </si>
  <si>
    <t>VINAGRE</t>
  </si>
  <si>
    <t>TORRAO DE AMENDOIM</t>
  </si>
  <si>
    <t>DOCE A BASE DE LEITE</t>
  </si>
  <si>
    <t>GUIZADO</t>
  </si>
  <si>
    <t>BOLO DE AIPIM</t>
  </si>
  <si>
    <t>CURAU</t>
  </si>
  <si>
    <t>FAROFA</t>
  </si>
  <si>
    <t>CUSCUZ PAULISTA</t>
  </si>
  <si>
    <t>FILE DE PEIXE</t>
  </si>
  <si>
    <t>MANICOBA</t>
  </si>
  <si>
    <t>QUINDIM</t>
  </si>
  <si>
    <t>070191</t>
  </si>
  <si>
    <t>Cod_pegada</t>
  </si>
  <si>
    <t>Ingredientes_cod</t>
  </si>
  <si>
    <t>ingrediente_desc</t>
  </si>
  <si>
    <t>HS_cod_Subposi</t>
  </si>
  <si>
    <t>Kind of Source</t>
  </si>
  <si>
    <t>System Boundaries (SB)</t>
  </si>
  <si>
    <t>Cooking</t>
  </si>
  <si>
    <t>Geographical Location</t>
  </si>
  <si>
    <t>Year</t>
  </si>
  <si>
    <t>Note</t>
  </si>
  <si>
    <t>Exclusão_Geral</t>
  </si>
  <si>
    <t>Outlier_CF</t>
  </si>
  <si>
    <t>Outlier_WF</t>
  </si>
  <si>
    <t>Outlier_EF</t>
  </si>
  <si>
    <t>Source</t>
  </si>
  <si>
    <t>SCIENTIFIC PUBLICATION</t>
  </si>
  <si>
    <t>outlier_CF</t>
  </si>
  <si>
    <t>outlier_WF</t>
  </si>
  <si>
    <t>VERIFIED PUBLICATION</t>
  </si>
  <si>
    <t>AVG GRÃO</t>
  </si>
  <si>
    <t>outlier_EF</t>
  </si>
  <si>
    <t>açúcar de beterraba</t>
  </si>
  <si>
    <t>semi-extensive calves - CW</t>
  </si>
  <si>
    <t>extensive calves - CW</t>
  </si>
  <si>
    <t>intensive calves - CW</t>
  </si>
  <si>
    <t>veal</t>
  </si>
  <si>
    <t>dutch beef fatterning bulls</t>
  </si>
  <si>
    <t>live weight beef calves - convert carne s osso</t>
  </si>
  <si>
    <t>live weight organic - convert carne s osso</t>
  </si>
  <si>
    <t>live weight - convert carne s osso</t>
  </si>
  <si>
    <t>carcass weight - convert carne s osso</t>
  </si>
  <si>
    <t>NUPENS, 2020</t>
  </si>
  <si>
    <t>cálculo NUPENS conforme carne bovina in natura</t>
  </si>
  <si>
    <t>carcass weight - organic</t>
  </si>
  <si>
    <t>WORKING PAPER</t>
  </si>
  <si>
    <t>cálculo NUPENS conforme carne de frango in natura</t>
  </si>
  <si>
    <t>Carlsson-Kanyama, 1998a</t>
  </si>
  <si>
    <t>120241</t>
  </si>
  <si>
    <t>120190</t>
  </si>
  <si>
    <t>Chambers, 2005a</t>
  </si>
  <si>
    <t>BATATA INGLESA ORGÂNICA</t>
  </si>
  <si>
    <t>Chambers, 2007a</t>
  </si>
  <si>
    <t>Brentrup, 2001a</t>
  </si>
  <si>
    <t>Ogino, 2004a</t>
  </si>
  <si>
    <t>030624</t>
  </si>
  <si>
    <t>030623</t>
  </si>
  <si>
    <t>Adom, 2013</t>
  </si>
  <si>
    <t>S America</t>
  </si>
  <si>
    <t>Bolton Food, 2020</t>
  </si>
  <si>
    <t>Lete, 2018</t>
  </si>
  <si>
    <t>Cerelia, 2019</t>
  </si>
  <si>
    <t>Cálculo interno</t>
  </si>
  <si>
    <t>NUPENS, 2021</t>
  </si>
  <si>
    <t>Ferrarelle, 2020</t>
  </si>
  <si>
    <t>Fantozzi, 2019</t>
  </si>
  <si>
    <t>Life cycle assessment of bean production in the Prespa National Park, Journal of Cleaner Production, 2013</t>
  </si>
  <si>
    <t>Environmental impact of organic pineapples production in Ghana: a comparison of two farms using Life Cycle Assessment (LCA) approach, In: Notarnicola, B., E. Settanni, G. Tassielli, P. Giungato, Proceedings of the VII International Conference on Life Cycle Assessment in the Agri-Food Sector (LCA Food 2010), 22-24 September 2010, Bari, Italy. Bari, Italy: Università degli studi di Bari Aldo Moro, 2010. , 2010</t>
  </si>
  <si>
    <t>Carbon footprint analysis of dairy feed from a mill in Michigan, USA, International Dairy Journal, 2013</t>
  </si>
  <si>
    <t>Alaphilippe, 2013a</t>
  </si>
  <si>
    <t>Life cycle analysis reveals higher agroecological benefits of organic and low-input apple production, Agronomy for Sustainable Development, 2013</t>
  </si>
  <si>
    <t>The water needed to have italians eat pasta and pizza, The Value of Water Research Report, 2009</t>
  </si>
  <si>
    <t>Influence of site conditions and production system on the environmental impacts of domestic and imported cheese, In: Schenck, R., D. Huizenga. Proceedings of the 9th International Conference on Life Cycle Assessment in the Agri-Food Sector (LCA Food 2014), 8-10 October 2014, San Francisco, USA. ACLCA, Vashon, WA, USA., 2014</t>
  </si>
  <si>
    <t>Carbon footprint and energy use of different options for greenhouse tomato production, In: Corson, M.S., H.M.G. Van der Werf. Book of Abstract of the 8th International Conference on Life Cycle Assessment in the Agri-Food Sector (LCA Food 2012), 1-4 October 2012, Saint Malo, France. Rennes, France: INRA, 2012., 2012</t>
  </si>
  <si>
    <t>Environmental assessment of sardine (Sardina pilchardus ) purse seine fishery in Portugal with LCA methodology including biological impact categories, International Journal of Life Cycle Assessment, 2014</t>
  </si>
  <si>
    <t>2012 Emission report and impact assessment, Alter Eco, 2012</t>
  </si>
  <si>
    <t>Estimating the water footprint of milk produced in the southern region of Brazil, In: Schenck, R., D. Huizenga. Proceedings of the 9th International Conference on Life Cycle Assessment in the Agri-Food Sector (LCA Food 2014), 8-10 October 2014, San Francisco, USA. ACLCA, Vashon, WA, USA., 2014</t>
  </si>
  <si>
    <t>Andersson, 1998a</t>
  </si>
  <si>
    <t>Screening life cycle assessment (LCA) of tomato ketchup: a case study, Journal of Cleaner Production, 1998</t>
  </si>
  <si>
    <t>Life Cycle Assessment of Bread Produced on Different Scale, International Journal of Life Cycle Assessment, 1999</t>
  </si>
  <si>
    <t>LCA of Food Products and Production System, International Journal of Life Cycle Assessment, 2000</t>
  </si>
  <si>
    <t>LCA and tomato production in Mediterranean greenhouse, from: Basset-Mens, C., A. Benoist, C. Bessou, T. Tran, S. Perret, J. Vayssières, T. Wassenaar, Is LCA-based eco-labelling reasonable? The issue of tropical food products, 2010. In: Notarnicola, B., E. Settanni, G. Tassielli, P. Giungato, Proceedings of the VII International Conference on Life Cycle Assessment in the Agri-Food Sector (LCA Food 2010), 22-24 September 2010, Bari, Italy. Bari, Italy: Università degli studi di Bari Aldo Moro, 2010. VOL I:325-330. VOL I(4):461-466., 2005</t>
  </si>
  <si>
    <t xml:space="preserve"> Dichiarazione ambientale di prodotto applicata all'Olio extra vergine di oliva "denocciolato" confezione da 1 litro, Environmental Declaration, 2012</t>
  </si>
  <si>
    <t>Life cycle assessment of four fattening calves systems in Spain, 2012, In: Corson, M.S., H.M.G. Van der Werf. Book of Abstract of the 8th International Conference on Life Cycle Assessment in the Agri-Food Sector (LCA Food 2012), 1-4 October 2012, Saint Malo, France. Rennes, France: INRA, 2012., 2012</t>
  </si>
  <si>
    <t>Arsenault, 2009a</t>
  </si>
  <si>
    <t>Comparing the environmental impacts of pasture-based and confinement-based dairy systems in Nova Scotia (Canada) using life cycle assessment, International Journal of Agricultural Sustainability, 2009</t>
  </si>
  <si>
    <t>Dichiarazione ambientale di prodotto Mele del Trentino Alto Adige, Registration number S-P-00369, Rev. 1 , Environmental Declaration, 2012</t>
  </si>
  <si>
    <t>Dichiarazione ambientale di prodotto Mele del Trentino Alto Adige, Registration number S-P-00369, Rev. 2 , Environmental Declaration, 2013</t>
  </si>
  <si>
    <t>Dichiarazione ambientale di prodotto Mele del Trentino Alto Adige, Registration number S-P-00369, Rev. 3 , Environmental Declaration, 2014</t>
  </si>
  <si>
    <t>Dichiarazione ambientale di prodotto per l'olio extravergine di oliva oasi confezionato in bottiglie di vetro da 0,5 l, Registration number S-P-00367 , Environmental Declaration, 2012</t>
  </si>
  <si>
    <t>Characterisation of the environmental impact of a turbot (Scophthalmus maximus) re-circulating production system using Life Cycle Assessment, Aquaculture, 2006</t>
  </si>
  <si>
    <t>Assessment of the environmental impact of carnivorous finfish production systems using life cycle assessment, Journal of Cleaner Production, 2009</t>
  </si>
  <si>
    <t>How low can we go? An assessment of greenhouse gas emissions from the UK food system and the scope reduction by 2050, WWF-UK, 2009</t>
  </si>
  <si>
    <t>Using a model-based LCA to explore options for reducing national greenhouse gas emissions from crop and livestock production systems, 2012, In: Corson, M.S., H.M.G. Van der Werf. Book of Abstract of the 8th International Conference on Life Cycle Assessment in the Agri-Food Sector (LCA Food 2012), 1-4 October 2012, Saint Malo, France. Rennes, France: INRA, 2012., 2012</t>
  </si>
  <si>
    <t>Resource consumption and emissions from olive oil production: a life cycle inventory case study in Cyprus, Journal of Cleaner Production, 2008</t>
  </si>
  <si>
    <t>Assessing alternative aquaculture technologies: life cycle assessment of salmonid culture systems in Canada, Journal of Cleaner Production, 2009</t>
  </si>
  <si>
    <t>French Environmental Labeling of Sunflower and Rapeseed Oils Using Life Cycle Assessment, OCL - Oilseeds and fats, Crops and Lipids, 2013</t>
  </si>
  <si>
    <t>La contabilità ambientale applicata alla produzione zootecnica, l’impronta ecologica dell’allevamento di bovini di razza piemontese, IRES (Istituto Ricerche Economico Sociali del Piemonte), Regione Piemonte, Collana ambiente 29., 2009</t>
  </si>
  <si>
    <t>Environmental Product Declaration of Wasa Havreknacke, Registration number S-P-00238, Rev. 1 , Environmental Declaration, 2010</t>
  </si>
  <si>
    <t>Environmental Product Declaration of Wasa ragi original, Registration number S-P-00239, Rev. 1 , Environmental Declaration, 2010</t>
  </si>
  <si>
    <t>Environmental Product Declaration of Wasa Solruta Sesam, Registration number S-P-00240, Rev. 1 , Environmental Declaration, 2010</t>
  </si>
  <si>
    <t>Dichiarazione ambientale di prodotto applicata ai Fiori d'Acqua, Registration number S-P-00236, Rev. 1 , Environmental Declaration, 2011</t>
  </si>
  <si>
    <t>Dichiarazione ambientale di prodotto applicata ai Galletti, Registration number S-P-00233, Rev. 1 , Environmental Declaration, 2011</t>
  </si>
  <si>
    <t>Dichiarazione ambientale di prodotto applicata alla pasta secca di semola di grano duro prodotta in Italia e confezionata in astuccio in cartoncino, Registration number S-P-00217, Rev. 2 , Environmental Declaration, 2011</t>
  </si>
  <si>
    <t>Dichiarazione ambientale di prodotto applicata alle Gocciole, Registration number S-P-00237, Rev. 1 , Environmental Declaration, 2011</t>
  </si>
  <si>
    <t>Environmental Product Declaration of Wasa Husman, Registration number S-P-00232, Rev.1 Approval date 2011.09.20, valid 3 years., Environmental Declaration, 2011</t>
  </si>
  <si>
    <t>Dichiarazione ambientale di prodotto applicata ai Batticuori, Registration number S-P-00228, Rev. 1 , Environmental Declaration, 2012</t>
  </si>
  <si>
    <t>Dichiarazione ambientale di prodotto applicata ai Cornetti farciti all'albicocca e alla crema, Registration number S-P-00319, Rev. 1 , Environmental Declaration, 2012</t>
  </si>
  <si>
    <t>Dichiarazione ambientale di prodotto applicata ai Cracker Gran Pavesi, Registration number S-P-00229, Rev. 1 , Environmental Declaration, 2012</t>
  </si>
  <si>
    <t>Dichiarazione ambientale di prodotto applicata ai Cracker salati e non salati, Registration number S-P-00224, Rev. 2 , Environmental Declaration, 2012</t>
  </si>
  <si>
    <t>Dichiarazione ambientale di prodotto applicata ai Flauti farciti al latte, all'albicocca e al cioccolato, Registration number S-P-00231, Rev. 1 , Environmental Declaration, 2012</t>
  </si>
  <si>
    <t>Dichiarazione ambientale di prodotto applicata ai Girotondi, Registration number S-P-00227, Rev. 1 , Environmental Declaration, 2012</t>
  </si>
  <si>
    <t>Dichiarazione ambientale di prodotto applicata ai Grancereale classico e frutta, Registration number S-P-00324, Rev. 1 , Environmental Declaration, 2012</t>
  </si>
  <si>
    <t>Dichiarazione ambientale di prodotto applicata ai Granetti classici e integrali, Registration number S-P-00329, Rev. 1 , Environmental Declaration, 2012</t>
  </si>
  <si>
    <t>Dichiarazione ambientale di prodotto applicata ai Michetti, Registration number S-P-00331, Rev. 1 , Environmental Declaration, 2012</t>
  </si>
  <si>
    <t>Dichiarazione ambientale di prodotto applicata ai Pavesini, Registration number S-P-00234, Rev. 1, Environmental Declaration, 2012</t>
  </si>
  <si>
    <t>Dichiarazione ambientale di prodotto applicata ai Petit Pavesi, Registration number S-P-00321, Rev.1, Environmental Declaration, 2012</t>
  </si>
  <si>
    <t>Dichiarazione ambientale di prodotto applicata ai Plumcake, Registration number S-P-00320, Rev. 1, Environmental Declaration, 2012</t>
  </si>
  <si>
    <t>Dichiarazione ambientale di prodotto applicata ai Ringo Pavesi, Registration number S-P-00230, Rev. 1, Environmental Declaration, 2012</t>
  </si>
  <si>
    <t>Dichiarazione ambientale di prodotto applicata ai Saccottini farciti all'albicocca, cioccolato e crema, Registration number S-P-00330, Rev. 1, Environmental Declaration, 2012</t>
  </si>
  <si>
    <t>Dichiarazione ambientale di prodotto applicata al PanBauletto, Registration number S-P-00223, Rev. 1, Environmental Declaration, 2012</t>
  </si>
  <si>
    <t>Dichiarazione ambientale di prodotto applicata al Pancarrè, Registration number S-P-00323, Rev. 1, Environmental Declaration, 2012</t>
  </si>
  <si>
    <t>Dichiarazione ambientale di prodotto applicata alla Pagnotta di grano duro, Registration number S-P-00322, Rev. 1, Environmental Declaration, 2012</t>
  </si>
  <si>
    <t>Dichiarazione ambientale di prodotto applicata alle Camille, Registration number S-P-00235, Rev. 1, Environmental Declaration, 2012</t>
  </si>
  <si>
    <t>Environmental Product Declaration of American Sandwich Complet, Registration number S-P-00325, Rev. 1, Environmental Declaration, 2012</t>
  </si>
  <si>
    <t>Environmental Product Declaration of American Sandwich Nature, Registration number S-P-00326, Rev. 1, Environmental Declaration, 2012</t>
  </si>
  <si>
    <t>Environmental Product Declaration of Brioche Tranchée, Registration number S-P-00327, Rev.1, Environmental Declaration, 2012</t>
  </si>
  <si>
    <t>Environmental Product Declaration of Extra Moelleux, Registration number S-P-00328, Rev.1, Environmental Declaration, 2012</t>
  </si>
  <si>
    <t>Environmental product declaration of Filiz Dry Semolina Pasta, Registration number S-P-00489, Rev. 1, Environmental Declaration, 2013</t>
  </si>
  <si>
    <t>Fiori di latte dichiarazione ambientale di prodotto, Registration number S-P 00418, Environmental Declaration, 2013</t>
  </si>
  <si>
    <t>Environmental product declaration of Misko Dry Semolina Pasta, Registration number S-P-00488, Rev. 1, Environmental Declaration, 2013</t>
  </si>
  <si>
    <t>Dichiarazione ambientale di prodotto applicata agli Abbracci, Registration number S-P-00421, Environmental Declaration, 2013</t>
  </si>
  <si>
    <t>Dichiarazione ambientale di prodotto applicata ai Batticuori, Registration number S-P-00228, Rev. 2, Environmental Declaration, 2013</t>
  </si>
  <si>
    <t>Dichiarazione ambientale di prodotto applicata ai Chicci di cioccolato, Registration number S-P-00419, Environmental Declaration, 2013</t>
  </si>
  <si>
    <t>Dichiarazione ambientale di prodotto applicata ai Cornetti farciti all'albicocca e alla crema, Registration number S-P-00319, Rev. 2, Environmental Declaration, 2013</t>
  </si>
  <si>
    <t>Dichiarazione ambientale di prodotto applicata ai Fiori d'Acqua, Registration number S-P-00236, Rev. 2, Environmental Declaration, 2013</t>
  </si>
  <si>
    <t>Dichiarazione ambientale di prodotto applicata ai Galletti, Registration number S-P-00233, Rev. 2, Environmental Declaration, 2013</t>
  </si>
  <si>
    <t>Dichiarazione ambientale di prodotto applicata ai Girotondi, Registration number S-P-00227, Rev. 2, Environmental Declaration, 2013</t>
  </si>
  <si>
    <t>Dichiarazione ambientale di prodotto applicata ai Pan di Stelle, Registration number S-P-00379, Rev. 1, Environmental Declaration, 2013</t>
  </si>
  <si>
    <t>Dichiarazione ambientale di prodotto applicata ai Pan Goccioli, Registration number S-P-00374, Environmental Declaration, 2013</t>
  </si>
  <si>
    <t>Dichiarazione ambientale di prodotto applicata ai Pavesini, Registration number S-P-00234, Rev. 2, Environmental Declaration, 2013</t>
  </si>
  <si>
    <t>Dichiarazione ambientale di prodotto applicata ai Segreti di Bosco, Registration number S-P-00416, Environmental Declaration, 2013</t>
  </si>
  <si>
    <t>Dichiarazione ambientale di prodotto applicata ai Tarallucci, Registration number S-P-00226, Rev. 1, Environmental Declaration, 2013</t>
  </si>
  <si>
    <t>Dichiarazione ambientale di prodotto applicata al Mooncake Pan di Stelle, Registration number S-P-00486, Environmental Declaration, 2013</t>
  </si>
  <si>
    <t>Dichiarazione ambientale di prodotto applicata alla Merenda Pan di Stelle, Registration number S-P-00485, Environmental Declaration, 2013</t>
  </si>
  <si>
    <t>Dichiarazione ambientale di prodotto applicata alle Camille, Registration number S-P-00235, Rev. 1, Environmental Declaration, 2013</t>
  </si>
  <si>
    <t>Dichiarazione ambientale di prodotto applicata alle Campagnole, Registration number S-P-00423, Environmental Declaration, 2013</t>
  </si>
  <si>
    <t>Dichiarazione ambientale di prodotto applicata alle Fette Biscottate dorate, integrali, malto d'orzo e cereali, Registration number S-P-00225, Rev. 2, Environmental Declaration, 2013</t>
  </si>
  <si>
    <t>Dichiarazione ambientale di prodotto applicata alle Gemme integrali, Registration number S-P-00417, Environmental Declaration, 2013</t>
  </si>
  <si>
    <t>Dichiarazione ambientale di prodotto applicata alle Gocciole, Registration number S-P-00237, Rev. 2, Environmental Declaration, 2013</t>
  </si>
  <si>
    <t>Dichiarazione ambientale di prodotto applicata alle Macine, Registration number S-P-00422, Environmental Declaration, 2013</t>
  </si>
  <si>
    <t>Environmental product declaration of durum wheat semolina dried pasta for 5 kg foodservice in catering packaging, Registration number S-P 00420, Environmental Declaration, 2013</t>
  </si>
  <si>
    <t>Environmental Product Declaration of Wasa Havreknacke, Registration number S-P-00238, Rev. 2, Environmental Declaration, 2013</t>
  </si>
  <si>
    <t>Environmental Product Declaration of Wasa Husman, Registration number S-P-00232, Rev.2, Environmental Declaration, 2013</t>
  </si>
  <si>
    <t>Environmental Product Declaration of Wasa ragi original, Registration number S-P-00239, Rev. 2, Environmental Declaration, 2013</t>
  </si>
  <si>
    <t>Dichiarazione ambientale di prodotto applicata ai Arabiatta sauce, Registration number S-P-00490, Rev. 1, Environmental Declaration, 2014</t>
  </si>
  <si>
    <t>Dichiarazione ambientale di prodotto applicata ai Arabiatta sauce, Registration number S-P-00493, Rev. 1, Environmental Declaration, 2014</t>
  </si>
  <si>
    <t>Dichiarazione ambientale di prodotto applicata alla pasta secca di semola di grano duro confezionata in astuccio in cartoncino, Registration number S-P-00217, Rev. 5, Environmental Declaration, 2014</t>
  </si>
  <si>
    <t>Dichiarazione ambientale di prodotto della pasta di semola selezione oro chef, Registration number S-P-00492, Rev. 1, Environmental Declaration, 2014</t>
  </si>
  <si>
    <t>Environmental Product Declaration of 100% Mie Nature, Registration number S-P-00487, Rev. 1, Environmental Declaration, 2014</t>
  </si>
  <si>
    <t>Environmental Product Declaration of American Sandwich Complet, Registration number S-P-00325, Rev. 2, Environmental Declaration, 2014</t>
  </si>
  <si>
    <t>Environmental Product Declaration of American Sandwich Nature, Registration number S-P-00326, Rev. 2, Environmental Declaration, 2014</t>
  </si>
  <si>
    <t>Environmental Product Declaration of Brioche Tranchée, Registration number S-P-00327, Rev.2, Environmental Declaration, 2014</t>
  </si>
  <si>
    <t>Environmental Product Declaration of Extra Moelleux, Registration number S-P-00328, Rev.2, Environmental Declaration, 2014</t>
  </si>
  <si>
    <t>Environmental Product Declaration of Wasa Crisp'n Light 7 grains, Registration number S-P-00380, Rev. 2, Environmental Declaration, 2015</t>
  </si>
  <si>
    <t>Environmental Product Declaration of Wasa Light rye Registration number S-P-00381, Rev. 2, Environmental Declaration, 2015</t>
  </si>
  <si>
    <t>Environmental Product Declaration of Wasa Multi grain, Registration number S-P-00382, Rev. 2, Environmental Declaration, 2015</t>
  </si>
  <si>
    <t>Life cycle assessment of milk produced in two smallholder dairy systems in the highlands and the coast of Peru, Journal of Cleaner Production, 2011</t>
  </si>
  <si>
    <t>Life Cycle Assessment Based Evaluation of Regional Impacts from Agricultural Production at the Peruvian Coast, Environmental Science and Technology, 2012</t>
  </si>
  <si>
    <t>Bartzas, 2017</t>
  </si>
  <si>
    <t>Comparative life cycle assessment of pistachio, almond and apple production, INFORMATION PROCESSING IN AGRICULTURE 4 (2017) 188–198, 2017</t>
  </si>
  <si>
    <t>Scenario-based environmental assessment of farming systems – the case of pig production in France, Agriculture, Ecosystems and Environment, 2005</t>
  </si>
  <si>
    <t>Implications of Uncertainty and Variability in the Life Cycle Assessment of Pig Production Systems, International Journal of Life Cycle Assessment, 2006</t>
  </si>
  <si>
    <t>Exploring a comparative advantage for New Zealand cheese in terms of environmental performance, Proceedings of the 5th International Conference LCA in Foods,25–26 April, 2007. SIK — The Swedish Institute for Food andBiotechnology, Sweden, 2007</t>
  </si>
  <si>
    <t>Eco-efficiency of intensification scenarios for milk production in New Zealand, Ecological Economics, 2009</t>
  </si>
  <si>
    <t>Basset-Mens, 2010a</t>
  </si>
  <si>
    <t>Is LCA-based eco-labelling reasonable? The issue of tropical food products
, In: Notarnicola, B., E. Settanni, G. Tassielli, P. Giungato, Proceedings of the VII International Conference on Life Cycle Assessment in the Agri-Food Sector (LCA Food 2010), 22-24 September 2010, Bari, Italy. Bari, Italy: Università degli studi di Bari Aldo Moro, 2010. , 2010</t>
  </si>
  <si>
    <t>Environmental impacts of imported versus locally-grown fruits for the French market as part of the AGRIBALYSE® program., Proceedings of the 9th International Conference on Life Cycle Assessment in the Agri-Food Sector (LCA Food 2014), 8-10 October 2014, San Francisco, USA. ACLCA, Vashon, WA, USA., 2014</t>
  </si>
  <si>
    <t>European Grain Legumes - Environment-Friendly Animal Feed? Life Cycle Assessment of Pork, Chicken Meat, Egg, and Milk Production, WP2.2: Environmental Analysis of the Feed Chain, Final Report, Deliverable 2.2.2a, Agroscope Reckenholz-Tänikon Research Station ART, 2008</t>
  </si>
  <si>
    <t>Environmental impact and social attributes of small- and largescale dairy farms, 2012., In: Corson, M.S., H.M.G. Van der Werf. Book of Abstract of the 8th International Conference on Life Cycle Assessment in the Agri-Food Sector (LCA Food 2012), 1-4 October 2012, Saint Malo, France. Rennes, France: INRA, 2012., 2012</t>
  </si>
  <si>
    <t>Life cycle assessment of greenhouse gas emissions from beef production in western Canada: A case study, Animal Feed Science and Technology, 2010</t>
  </si>
  <si>
    <t>Beauchemin, 2011a</t>
  </si>
  <si>
    <t>Mitigation of greenhouse gas emissions from beef production in western Canada – Evaluation using farm-based life cycle assessment, Animal Feed Science and Technology, 2011</t>
  </si>
  <si>
    <t>Resource Consumption and Environmental Impacts of the Agrofood Sector: Life Cycle Assessment of Italian Citrus-Based Products, Environmental Management, 2009</t>
  </si>
  <si>
    <t>Life cycle assessment of Italian citrus-based products. Sensitivity analysis and improvement scenarios, Journal of Evironmental Management, 2010</t>
  </si>
  <si>
    <t>A case study of the potential environmental impacts of different dairy production systems in Georgia, Agricultural Systems, 2012</t>
  </si>
  <si>
    <t>The effect of future climate scenarios on the balance between productivity and greenhouse gas emissions from sheep grazing systems, Livestock Science, 2012</t>
  </si>
  <si>
    <t>Cradle to retailer or quick service restaurant gate life cycle assessment of chicken products in Australia, Journal of Cleaner Production, 2013</t>
  </si>
  <si>
    <t>Bennett, 2004a</t>
  </si>
  <si>
    <t>Environmental and human health impacts of growing genetically modified herbicide-tolerant sugar beet: a life-cycle assessment, Plant Biotechnology Journal, 2004</t>
  </si>
  <si>
    <t>Environmental Life Cycle Assessment (LCA) of Swedish semi-hard cheese, International Dairy, 2002</t>
  </si>
  <si>
    <t>Product Chain Actors’ Potential for Greening the Product Life Cycle, Journal of Industrial Ecology, 2008</t>
  </si>
  <si>
    <t>The relative greenhouse gas impacts of realistic dietary choices, Energy Policy, 2012</t>
  </si>
  <si>
    <t>The greenhouse gas footprint of Booths, Small World Consulting Ltd, 2015</t>
  </si>
  <si>
    <t>Biswas, 2008a</t>
  </si>
  <si>
    <t>Global warming potential of wheat production in Western Australia: a life cycle assessment, Water and Environmental Journal, 2008</t>
  </si>
  <si>
    <t>Global warming contributions from wheat, sheep meat and wool production in Victoria, Australia e a life cycle assessment, Journal of Cleaner Production, 2010</t>
  </si>
  <si>
    <t>Application of PAS 2050-1 supplementary requirements for horticultural products: carbon footprint of pumpkin and ASPARGUS, 2012, In: Corson, M.S., H.M.G. Van der Werf. Book of Abstract of the 8th International Conference on Life Cycle Assessment in the Agri-Food Sector (LCA Food 2012), 1-4 October 2012, Saint Malo, France. Rennes, France: INRA, 2012., 2012</t>
  </si>
  <si>
    <t>The life cycle of rice: LCA of alternative agri-food chain management systems in Vercelli (Italy), Journal of Evironmental Management, 2009</t>
  </si>
  <si>
    <t>Environmental effects of protein-rich food products in the Netherlands - Consequences of animal protein substitutes, Blonk Milieu Advies, 2008</t>
  </si>
  <si>
    <t>Greenhouse Gas Emissions of Meat - Methodological issues and establishment of an information infrastructure, Blonk Milieu Advies, 2008</t>
  </si>
  <si>
    <t>Methodology for assessing carbon footprints of horticultural products A study of methodological issues and solutions for the development of the Dutch carbon footprint protocol for horticultural products, Blonk Milieu Advies, 2010</t>
  </si>
  <si>
    <t>Environmental product declaration of Tonno all’olio d’oliva da 80g e Tonno Filod’olio da 65g, Registration number S-P-02131, Rev. 1, Environmental Declaration, 2020</t>
  </si>
  <si>
    <t>Greenhouse gas emission intensities of grass silage based dairy and beef production: A systems analysis of Norwegian farms, Livestock Science, 2013</t>
  </si>
  <si>
    <t>Life cycle assessment of intensive striped catfish farming in the Mekong Delta for screening hotspots as input to environmental policy and research agenda, International Journal of Life Cycle Assessment, 2011</t>
  </si>
  <si>
    <t>Sustainability of soy protein from life cycle assessment, The FASEB Journal, 2016</t>
  </si>
  <si>
    <t>Application of the Life Cycle Assessment methodology to agricultural production: an example of sugar beet production with different forms of nitrogen fertilisers, European Journal of Agronomy, 2001</t>
  </si>
  <si>
    <t>Brentrup, 2003a</t>
  </si>
  <si>
    <t>Environmental impact assessment of agricultural production
systems using the life cycle assessment (LCA) methodology II. The application to N fertilizer use in winter wheat production systems, European Journal of Agronomy, 2003</t>
  </si>
  <si>
    <t>Life Cycle Assessment of Greenhouse Gas Emissions in California Rice Production and Processing Systems, Life Cycle Assessment IX, Boston, September 29th - October 2nd, 2009</t>
  </si>
  <si>
    <t>Life Cycle Assessment of High-Sea Fish and Salmon Aquaculture, SEU Services Ltd, 2011</t>
  </si>
  <si>
    <t>Cao, 2011a</t>
  </si>
  <si>
    <t>Life Cycle Assessment of Chinese Shrimp Farming Systems Targeted for Export and Domestic Sales, Environmental Science and Technology, 2011</t>
  </si>
  <si>
    <t>Sustainable Production and Consumption of fish and shellfish Environmental Impact Analysis, DEFRA, 2007., 2007</t>
  </si>
  <si>
    <t>Life Cycle Assessment of the tomato production,2010. , In: Notarnicola, B., E. Settanni, G. Tassielli, P. Giungato, Proceedings of the VII International Conference on Life Cycle Assessment in the Agri-Food Sector (LCA Food 2010), 22-24 September 2010, Bari, Italy. Bari, Italy: Università degli studi di Bari Aldo Moro, 2010. , 2010</t>
  </si>
  <si>
    <t>The environmental impact of beef production in the United States: 1977 compared with 2007, Journal of Animal Science, 2011</t>
  </si>
  <si>
    <t>A comparison of the environmental impact of Jersey compared with Holstein milk for cheese productio, Journal of Dairy Science, 2012</t>
  </si>
  <si>
    <t>Climate change and dietary choices — how can emissions of greenhouse gases from food consumption be reduced?, Food Policy, 1998</t>
  </si>
  <si>
    <t>Analysis of greenhouse gas emissions from the average Irish milk production system, Agricultural Systems, 2005</t>
  </si>
  <si>
    <t>Quantification of GHG emissions from sucker-beef production in Ireland, Agricultural Systems, 2006</t>
  </si>
  <si>
    <t>GHG emissions from conventional, agri-environmental and organic Irish suckler beef units, Journal of Environmental Quality, 2006</t>
  </si>
  <si>
    <t>The environmental performance of milk production on a typical Portuguese dairy farm, Agricultural Systems, 2010</t>
  </si>
  <si>
    <t>Environmental Product Declaration applies to Extra Virgin Olive Oil produced  by Castle Canena Olive Juice, Registration number S-P-00364, Rev. 2, Environmental Declaration, 2014</t>
  </si>
  <si>
    <t>Cederberg, 2000a</t>
  </si>
  <si>
    <t>Life cycle assessment of milk production — a comparison of conventional and organic farming, Journal of Cleaner Production, 2000</t>
  </si>
  <si>
    <t>System Expansion and Allocation in Life Cycle Assessment of Milk and Beef Production, International Journal of Life Cycle Assessment, 2003</t>
  </si>
  <si>
    <t>Environmental assessment of future pig farming systems – quantification of three scenarios from the FOOD 21 synthesis work, The Swedish Institute for Food and Biotech, 2004</t>
  </si>
  <si>
    <t>Life Cycle Inventory of greenhouse gas emissions and use of land and energy of Brazilian beef exported to Europe, The Swedish Institute for Food and Biotech, 2009</t>
  </si>
  <si>
    <t>Greenhouse gas emissions from production of meat, milk and eggs in Sweden 1990 and 2005, The Swedish Institute for Food and Biotech, 2009</t>
  </si>
  <si>
    <t>Including Carbon Emissions from Deforestation in the Carbon Footprint of Brazilian Beef, Environmental Science and Technology, 2011</t>
  </si>
  <si>
    <t>From the LCA of food products to the environmental assessment of protected crops districts: A case-study in the south of Italy, Journal of Environmental Management, 2012</t>
  </si>
  <si>
    <t>Life cycle GHG and energy balance of organic apples: a case study in Italy, 2012, In: Corson, M.S., H.M.G. Van der Werf. Book of Abstract of the 8th International Conference on Life Cycle Assessment in the Agri-Food Sector (LCA Food 2012), 1-4 October 2012, Saint Malo, France. Rennes, France: INRA, 2012., 2012</t>
  </si>
  <si>
    <t>Environmental product declaration of DELL’ACQUA MINERALE NATURALE CERELIA, Registration number S-P-00123, Rev. 3, Environmental Declaration, 2019</t>
  </si>
  <si>
    <t>Dichiarazione ambientale di prodotto applicata alla pasta secca di semola di grano duro, Registration number S-P-00688, Rev. 2, Environmental Declaration, 2014</t>
  </si>
  <si>
    <t>Application of Ecological Footprint Analysis on nectarine production: methodological issues and results from a case study in Italy, Journal of Cleaner Production, 2010</t>
  </si>
  <si>
    <t>Environmental sustainability of traditional foods: the case of ancient apple cultivars in Northern Italy assessed by multifunctional LCA, Journal of Cleaner Production, 2013</t>
  </si>
  <si>
    <t>Multifunctional Ecological Footprint Analysis for assessing eco-efficiency: a case study of fruit production systems in Northern Italy, Journal of Cleaner Production, 2013</t>
  </si>
  <si>
    <t>Ecological Footprint Analysis and Sustainability Assessment. Stepping Forward. A resource flow and ecological footprint analysis of the South West of England, 2005., Best Foot Forward Ltd, 2005</t>
  </si>
  <si>
    <t>Sharing Nature’s Interest, Ecological footprints as an indicator of sustainability, Earthscan, 2007</t>
  </si>
  <si>
    <t>Water footprint of rice: Quantifying the rainbow of virtual water fluxes related to rice trade, RE-THINKING PARADIGMS: WATER AND FOOD SECURITY 4th Marcelino Botín Foundation Water Workshop, Santander (Spain), 22–24 September 2009., 2009</t>
  </si>
  <si>
    <t>An improved water footprint methodology linking global consumption to local water resources: A case of Spanish tomatoes, Journal of Environmental Management, 2009</t>
  </si>
  <si>
    <t>The blue, green and grey water footprint of rice from production and consumption perspective, Ecological Economics, 2011</t>
  </si>
  <si>
    <t>Charles, 2006a</t>
  </si>
  <si>
    <t>Environmental analysis of intensity level in wheat crop production using life cycle assessment, Agriculture, Ecosystems and Environment, 2006</t>
  </si>
  <si>
    <t>Life cycle assessment of swine production in Brazil: A comparison of four manure management systems, Journal of Cleaner Production, 2015</t>
  </si>
  <si>
    <t>Determination of GHG contributions by subsystems in the oil palm supply chain using the LCA approach, International Journal of Life Cycle Assessment, 2011</t>
  </si>
  <si>
    <t>A whole farm systems analysis of greenhouse gas emissions of 60 Tasmanian dairy farms, Animal Feed Science and Technology, 2011</t>
  </si>
  <si>
    <t>Human health benefits and energy saving in olive oil mills , International Conference: “Innovation Technology to Empower Safety, Health and Welfare in Agriculture and Agro-food Systems”, Ragusa Italy, September 15-17, 2008, 2008</t>
  </si>
  <si>
    <t>Clarke, 2013a</t>
  </si>
  <si>
    <t>Life-cycle assessment of the intensity of production on the greenhouse gas emissions and economics of grass-based suckler beef production systems, Journal of Agricultural Science, 2013</t>
  </si>
  <si>
    <t>Sustainable Food Consumption at a Sub-national Level: An Ecological Footprint, Nutritional and Economic Analysis, Journal of Environmental Policy &amp; Planning, 2007</t>
  </si>
  <si>
    <t>Dichiarazione ambientale di prodotto della carne di bovino adulto a marchio COOP, Registration number S-P 00495, rev. 0, Environmental Declaration, 2013</t>
  </si>
  <si>
    <t>Dichiarazione ambientale di prodotto della carne di carne di vitello a carne bianca a marchio COOP, Registration number S-P 00496, rev. 0, Environmental Declaration, 2013</t>
  </si>
  <si>
    <t>Dichiarazione ambientale di prodotto del Pomodorino ciliegino a marchio COOP, Registration number S-P 00599, rev. 1, Environmental Declaration, 2014</t>
  </si>
  <si>
    <t>Coop, 2014b</t>
  </si>
  <si>
    <t>Dichiarazione ambientale di prodotto della carne di bovino adulto a marchio COOP, Registration number S-P 00495, rev. 1, Environmental Declaration, 2014</t>
  </si>
  <si>
    <t>Coop, 2014c</t>
  </si>
  <si>
    <t>Dichiarazione ambientale di prodotto della carne di carne di vitello a carne bianca a marchio COOP, Registration number S-P 00496, rev. 1 , Environmental Declaration, 2014</t>
  </si>
  <si>
    <t>Variability in environmental impacts of Brazilian soybean according to crop production and transport scenarios, Journal of Evironmental Management, 2010</t>
  </si>
  <si>
    <t>LCA of French and Brazilian broiler poultry production system, 2010, In: Notarnicola, B., E. Settanni, G. Tassielli, P. Giungato, Proceedings of the VII International Conference on Life Cycle Assessment in the Agri-Food Sector (LCA Food 2010), 22-24 September 2010, Bari, Italy. Bari, Italy: Università degli studi di Bari Aldo Moro, 2010. , 2010</t>
  </si>
  <si>
    <t>Comparison of two production scenarios of chickens consumed in France, 2012, In: Corson, M.S., H.M.G. Van der Werf. Book of Abstract of the 8th International Conference on Life Cycle Assessment in the Agri-Food Sector (LCA Food 2012), 1-4 October 2012, Saint Malo, France. Rennes, France: INRA, 2012., 2012</t>
  </si>
  <si>
    <t>Environmental impacts of French and Brazilian broiler chicken production scenarios: An LCA approach, Journal of Environmental Management, 2014</t>
  </si>
  <si>
    <t>Summary of the Final report: Farming— Carbon Footprint of the Australian Dairy Industry, PE Australasia and the Tasmanian Institute of Agriculture, 2012, 2012</t>
  </si>
  <si>
    <t>An LC inventory based on representative and coherent farm types, 2004, In: Halberg, N. (ed.), 2004. Life cycle assessment in the agri-food sector. Proceedings from the 4th International Conference, October 5-8, 2003, Bygholm, Denmark. Danish Institute of Agricultural Sciences. DIAS report, Animal Husbandry, 2004</t>
  </si>
  <si>
    <t>Environmental assessment of Danish pork, In: Dalgaard, R.L. The environmental impact of pork production from a life cycle perspective, Ph. D. Thesis University of Aarhus, Faculty of Agricultural Sciences, Department of Agroecology and Environment Aalborg University, Department of Development and Planning, Foulum, September, 2007., 2007</t>
  </si>
  <si>
    <t>Danish pork production - An environmental assessment, DJF Animal Science, 2007</t>
  </si>
  <si>
    <t>LCA of soybean meal, International Journal of Life Cycle Assessment, 2008</t>
  </si>
  <si>
    <t>de Backer, 2008a</t>
  </si>
  <si>
    <t>Assessing the ecological soundness of organic and conventional agriculture by means of life cycle assessment (LCA): A case study of leek production, British Food Journal, 2008</t>
  </si>
  <si>
    <t>Dichiarazione ambientale di prodotto: Pasta di semola De Cecco, Registration number S-P-00282, Rev. 0, Environmental Declaration, 2011</t>
  </si>
  <si>
    <t>Dichiarazione ambientale di prodotto Olio extravergine di oliva della azienda De Cecco, Registration number S-P-00410, Rev. 0, Environmental Declaration, 2012</t>
  </si>
  <si>
    <t>De Cecco, 2014a</t>
  </si>
  <si>
    <t>Dichiarazione ambientale di prodotto: Pasta di semola De Cecco, Registration number S-P-00282, Rev. 2, Environmental Declaration, 2014</t>
  </si>
  <si>
    <t>Dichiarazione ambientale di prodotto: Pasta di semola di grano duro all'uovo De Cecco, Registration number S-P-00534, Rev. 2.1, Environmental Declaration, 2014</t>
  </si>
  <si>
    <t>Innovative olive-growing models: an environmental and economic assessment, Journal of Cleaner Production, 2011</t>
  </si>
  <si>
    <t>Environmental assessment of two dairy systems in Brazil South, In: Notarnicola, B., E. Settanni, G. Tassielli, P. Giungato, Proceedings of the VII International Conference on Life Cycle Assessment in the Agri-Food Sector (LCA Food 2010), 22-24 September 2010, Bari, Italy. Bari, Italy: Università degli studi di Bari Aldo Moro, 2010. , 2010</t>
  </si>
  <si>
    <t>Carbon footprint of milk production in Brazil: a comparative case study, International Journal of Life Cycle Assessment, 2015</t>
  </si>
  <si>
    <t>Comparing environmental impacts for livestock products: A review of life cycle assessment, Livestock Science, 2010</t>
  </si>
  <si>
    <t>Environmental hotspot identification of organic egg production, In: Proceedings of the 6th Int. Conf. on LCA in the Agri-Food Sector, Zurich, November 12–14, 2008, 2008</t>
  </si>
  <si>
    <t>Dekker, 2011a</t>
  </si>
  <si>
    <t>Ecological and economic evaluation of Dutch egg production systems, Livestock Science, 2011</t>
  </si>
  <si>
    <t>Dekker, 2013a</t>
  </si>
  <si>
    <t>Effect of origin and composition of diet on ecological impact
of the organic egg production chain, Livestock Science, 2013</t>
  </si>
  <si>
    <t>Carbon Footprint of early Huelva strawberries imported into Germany - from farm to fork, 2010, In: Notarnicola, B., E. Settanni, G. Tassielli, P. Giungato, Proceedings of the VII International Conference on Life Cycle Assessment in the Agri-Food Sector (LCA Food 2010), 22-24 September 2010, Bari, Italy. Bari, Italy: Università degli studi di Bari Aldo Moro, 2010. , 2010</t>
  </si>
  <si>
    <t>Devers, 2011a</t>
  </si>
  <si>
    <t>Comparative life cycle assessment of Flemish and Western Cape pork production, Agrekon: Agricultural Economics Research, Policy and Practice in Southern Africa, 2011</t>
  </si>
  <si>
    <t>Life cycle assessment on dairy and beef cattle farms in France, 2012. , In: Corson, M.S., H.M.G. Van der Werf. Book of Abstract of the 8th International Conference on Life Cycle Assessment in the Agri-Food Sector (LCA Food 2012), 1-4 October 2012, Saint Malo, France. Rennes, France: INRA, 2012., 2012</t>
  </si>
  <si>
    <t>Explaining relations between economic and life cycle assessment indicators for Dutch pig fattening farms, 2010. , In: Notarnicola, B., E. Settanni, G. Tassielli, P. Giungato, Proceedings of the VII International Conference on Life Cycle Assessment in the Agri-Food Sector (LCA Food 2010), 22-24 September 2010, Bari, Italy. Bari, Italy: Università degli studi di Bari Aldo Moro, 2010. , 2010</t>
  </si>
  <si>
    <t>Towards environmentally sustainable aquaculture: Comparison between two trout farming systems using Life Cycle Assessment, Aquacultural Engineering, 2009</t>
  </si>
  <si>
    <t>Evaluation of the environmental sustainability of different European pig production systems using life cycle assessment, In: Corson, M.S., H.M.G. Van der Werf. Book of Abstract of the 8th International Conference on Life Cycle Assessment in the Agri-Food Sector (LCA Food 2012), 1-4 October 2012, Saint Malo, France. Rennes, France: INRA, 2012., 2012</t>
  </si>
  <si>
    <t>Driscoll, 2010a</t>
  </si>
  <si>
    <t>Fuel use and greenhouse gas emission implications of fisheries management: the case of the new england atlantic herring fishery, Marine Policy, 2010</t>
  </si>
  <si>
    <t>REVIEW - Greenhouse Gas Emissions from Livestock and Poultry, Agriculture, Food and Analytical Bacteriology, 2013</t>
  </si>
  <si>
    <t>Global warming impact of Florida’s Not-From-Concentrate (NFC) orange juice, Agricultural Systems, 2012</t>
  </si>
  <si>
    <t>Change in the air: the English Beef and Sheep Production Roadmap, 2010., EBLEX, 2010</t>
  </si>
  <si>
    <t>Edward-Jones, 2009a</t>
  </si>
  <si>
    <t>Carbon footprinting of lamb and beef production systems: insights from an empirical analysis of farms in Wales, UK, Journal of Agricultural Science, 2009</t>
  </si>
  <si>
    <t>Life Cycle Assessment (LCA) of Industrial Milk Production, International Journal of Life Cycle Assessment, 2002</t>
  </si>
  <si>
    <t>Ellingsen, 2009a</t>
  </si>
  <si>
    <t>Environmental analysis of the Norwegian fishery and aquaculture industry—A preliminary study focusing on farmed salmon, Marine Policy, 2009</t>
  </si>
  <si>
    <t>Corporate Water Footprint Accounting and Impact Assessment: The Case of the Water Footprint of a Sugar-Containing Carbonated Beverage, Water Resour Manage, 2011</t>
  </si>
  <si>
    <t>The water footprint of soy milk and soy burger and equivalent animal products, Ecological Indicators 18 (2012) 392–402, 2012</t>
  </si>
  <si>
    <t>Environmental systems analysis of pig production – The impact of feed choice, International Journal of Life Cycle Assessment, 2005</t>
  </si>
  <si>
    <t>Environmental impacts of extensive outdoor pig production systems in Corsica, Proceedings of the 9th International Conference on Life Cycle Assessment in the Agri-Food Sector (LCA Food 2014), 8-10 October 2014, San Francisco, USA. ACLCA, Vashon, WA, USA, 2014</t>
  </si>
  <si>
    <t>The carbon footprint of bread, International Journal of Life Cycle Assessment, 2011</t>
  </si>
  <si>
    <t>Fallahpour, 2012a</t>
  </si>
  <si>
    <t>The environmental impact assessment of wheat and barley production by using life cycle assessment (LCA) methodology, Environment, Development and Sustainability, 2012</t>
  </si>
  <si>
    <t>Life Cycle Assessment of Italian high quality milk production, 2010, In: Notarnicola, B., E. Settanni, G. Tassielli, P. Giungato, Proceedings of the VII International Conference on Life Cycle Assessment in the Agri-Food Sector (LCA Food 2010), 22-24 September 2010, Bari, Italy. Bari, Italy: Università degli studi di Bari Aldo Moro, 2010. , 2010</t>
  </si>
  <si>
    <t>Life cycle assessment of Italian high quality milk production. A comparison with an EPD study, Journal of Cleaner Production, 2012</t>
  </si>
  <si>
    <t>Life Cycle Assessment in the Vinegar Sector, Advances in Vinegar Production Publisher: Taylor and Francis, 2019</t>
  </si>
  <si>
    <t>GreenhouseGas Emissions from the Dairy Sector - A life Cycle Assessment, 2010., FAO, 2010</t>
  </si>
  <si>
    <t>Life cycle assessment of wild capture prawns: expanding sustainability considerations in the Australian Northern Prawn Fishery, Journal of Cleaner Production, 2015</t>
  </si>
  <si>
    <t>Fat Tire Brewing Co., 2008a</t>
  </si>
  <si>
    <t>The Carbon Footprint of Fat Tire® Amber Ale, Environmental Declaration, 2008</t>
  </si>
  <si>
    <t>Environmental product declaration of FERRARELLE MINERAL WATER, Registration number S-P-00281, Rev. 8, Environmental Declaration, 2020</t>
  </si>
  <si>
    <t>A Framework for Environmental Analyses of Fish Food Production Systems Based on Systems Engineering Principles, Systems Engineering, 2010</t>
  </si>
  <si>
    <t>Norwegian Seafood Federation. Results from research project reported (in Norwegian), 2009, In: Sonesson, U., J. Davis, F. Ziegler. Food production and emissions of greenhouse gases,SIK Report 802, Göteborg, 2010., 2009</t>
  </si>
  <si>
    <t>Meeting the demand: An estimation of potential future greenhouse gas emissions from meat production, Ecological Economics, 2008</t>
  </si>
  <si>
    <t>Figueiredo EB, 2010</t>
  </si>
  <si>
    <t>RGesreearcehnhouse gas emission associated with sugar production in southern Brazil, Carbon Balance and Management, 2010</t>
  </si>
  <si>
    <t>LCA of sunflower oil addressing alternative land use change scenarios and practices, 8th International Conference on LCA in the Agri-Food Sector, Rennes, France, 2-4 October 2012., 2012</t>
  </si>
  <si>
    <t>The carbon footprint of exported Brazilian yellow melon, Journal of Cleaner Production, 2013</t>
  </si>
  <si>
    <t>Life cycle assessment of Brazilian cashew, In: Schenck, R., D. Huizenga. Proceedings of the 9th International Conference on Life Cycle Assessment in the Agri-Food Sector (LCA Food 2014), 8-10 October 2014, San Francisco, USA. ACLCA, Vashon, WA, USA., 2014</t>
  </si>
  <si>
    <t>Reducing the impact of irrigated crops on freshwater availability: The case of Brazilian yellow melons, International Journal of Life Cycle Assessment, 2014</t>
  </si>
  <si>
    <t>Fish from Norway or New Zealand on Swedish plates? Climate change emissions of three seafood production chains from the sea to the table,2008, In: Sonesson, U., J. Davis, F. Ziegler. Food production and emissions of greenhouse gases,SIK Report 802, Göteborg, 2010., 2008</t>
  </si>
  <si>
    <t>Certificazione ambientale di prodotti agroalimentari: LCA dell’olio d’oliva, Ambiente Risorse Salute, 2009</t>
  </si>
  <si>
    <t>How does co-product handling affect the carbon footprint of milk? Case study of milk production in New Zealand and Sweden, International Journal of Life Cycle Assessment, 2011</t>
  </si>
  <si>
    <t>The impact of various parameters on the carbon footprint of milk production in New Zealand and Sweden, Agricultural Systems, 2011</t>
  </si>
  <si>
    <t>The interaction between milk and beef production and emissions from land use change e critical considerations in life cycle assessment and carbon footprint studies of milk, Journal of Cleaner Production, 2012</t>
  </si>
  <si>
    <t>How to use LCA in a company context the case of a dairy cooperative, In: Schenck, R., D. Huizenga. Proceedings of the 9th International Conference on Life Cycle Assessment in the Agri-Food Sector (LCA Food 2014), 8-10 October 2014, San Francisco, USA. ACLCA, Vashon, WA, USA., 2014</t>
  </si>
  <si>
    <t>Whole-farm systems modelling of greenhouse gas emissions from pastoral suckler beef cow production systems, Agriculture, Ecosystems and Environment, 2011</t>
  </si>
  <si>
    <t>Fish and fuel: Life Cycle Green House Emissions associated with Icelandic cod, Alaskan Pollock and Alaskan pink Salmon fillets delivered to the United Kingdom, Dalhousie University, School for Resource and Environmental Studies, 2010., 2010</t>
  </si>
  <si>
    <t>Life Cycle Assessment apllied to two French dairy systems, 2010., In: Notarnicola, B., E. Settanni, G. Tassielli, P. Giungato, Proceedings of the VII International Conference on Life Cycle Assessment in the Agri-Food Sector (LCA Food 2010), 22-24 September 2010, Bari, Italy. Bari, Italy: Università degli studi di Bari Aldo Moro, 2010. , 2010</t>
  </si>
  <si>
    <t>Carbon footprint of sheep farms in France and New Zealand and methodology analysis, 2012., In: Corson, M.S., H.M.G. Van der Werf. Book of Abstract of the 8th International Conference on Life Cycle Assessment in the Agri-Food Sector (LCA Food 2012), 1-4 October 2012, Saint Malo, France. Rennes, France: INRA, 2012., 2012</t>
  </si>
  <si>
    <t>Garcia CA</t>
  </si>
  <si>
    <t>Carbon footprint of sugar production in Mexico, Journal of Cleaner Production, 2016</t>
  </si>
  <si>
    <t>Gazulla, 2010a</t>
  </si>
  <si>
    <t>Taking a life cycle look at crianza wine production in Spain: where are the bottlenecks?, International Journal of Life Cycle Assessment, 2010</t>
  </si>
  <si>
    <t>Girgenti, 2013a</t>
  </si>
  <si>
    <t>A life cycle assessment of non-renewable energy use and greenhouse gas emissions associated with blueberry and raspberry production in northern Italy, Science of the Total Environment, 2013</t>
  </si>
  <si>
    <t>Protein efficiency per unit energy and per unit greenhouse gas emissions: Potential contribution of diet choices to climate change mitigation, Food Policy, 2011</t>
  </si>
  <si>
    <t>Life cycle assessment of an intensive Iberian pig farm, 2012., In: Corson, M.S., H.M.G. Van der Werf. Book of Abstract of the 8th International Conference on Life Cycle Assessment in the Agri-Food Sector (LCA Food 2012), 1-4 October 2012, Saint Malo, France. Rennes, France: INRA, 2012., 2012</t>
  </si>
  <si>
    <t>Environmental Life Cycle Assessment of a Galician cheese: San Simon da Costa, Journal of Cleaner Production, 2013</t>
  </si>
  <si>
    <t>Environmental life cycle assessment of a dairy product: the yoghurt, International Journal of Life Cycle Assessment, 2013</t>
  </si>
  <si>
    <t>Environmental performance of a Portuguese mature cheese-making dairy mill, Journal of Cleaner Production, 2013</t>
  </si>
  <si>
    <t>Using Life Cycle Assessment methodology to assess UHT milk production in Portugal, Science of the Total Environment, 2013</t>
  </si>
  <si>
    <t>Life Cycle Assessment of broiler chicken production: a Portuguese case study, Journal of Cleaner Production, 2014</t>
  </si>
  <si>
    <t>Food management in tourism: Reducing tourism’s carbon ‘foodprint’, Tourism Management, 2011</t>
  </si>
  <si>
    <t>Resource use and GHG emissions of eight tropical fruit species cultivated in Colombia, Fruits, 2013</t>
  </si>
  <si>
    <t>Gran Moravia Water Footprint, Environmental Declaration, 2012</t>
  </si>
  <si>
    <t>Dichiarazione ambientale di prodotto per il latte da agricoltura biologica pastorizzato a temperatura elevata e confezionato in PET (bottiglie da1l), Registration number S-P-00209, Rev. 2, Environmental Declaration, 2010</t>
  </si>
  <si>
    <t>Dichiarazione ambientale di prodotto per il latte fresco pastorizzato di alta qualità confezionato in bottiglia di PET (bottiglie da 0,5 l e 1l), Registration number S-EP-00118, Rev. 7, Environmental Declaration, 2010</t>
  </si>
  <si>
    <t>Dichiarazione ambientale di prodotto per il latte fresco Piacere Leggero confezionato in bottiglia di PET da 0,5 l e 1l, Registration number S-EP-00210, Rev. 7, Environmental Declaration, 2010</t>
  </si>
  <si>
    <t>Dichiarazione ambientale di prodotto per il latte da agricoltura biologica parzialmente scremato e confezionato in PET, Registration number S-P-00366, Rev. 2, Environmental Declaration, 2012</t>
  </si>
  <si>
    <t>Dichiarazione ambientale di prodotto del latte fresco pastorizzato alta qualità confezionato in bottiglie di PET, Registration number S-P-00118, Rev 2., Environmental Declaration, 2013</t>
  </si>
  <si>
    <t>Dichiarazione ambientale di prodotto del latte fresco piacere leggero confezionato in bottiglie di PET, Registration number S-P-00210, Rev. 1, Environmental Declaration, 2013</t>
  </si>
  <si>
    <t>Dichiarazione ambientale di prodotto del latte intero da agricoltura biologica pastorizzato ad alta temperatura confezionato in PET, Registration numberS-P-00209, Rev 1, Environmental Declaration, 2013</t>
  </si>
  <si>
    <t>Dichiarazione ambientale di prodotto della mozzarella da latte fresco alta qualità, Registration number S-P 00128, Rev. 2, Environmental Declaration, 2013</t>
  </si>
  <si>
    <t>Dichiarazione ambientale di prodotto delle uova fresche da agricoltura biologica, Registration number S-P 00127, Rev. 1, Environmental Declaration, 2013</t>
  </si>
  <si>
    <t>Dichiarazione ambientale di prodotto per il latte da agricoltura biologica parzialmente scremato e confezionato in PET, Registration number S-P-00366, Rev. 1, Environmental Declaration, 2013</t>
  </si>
  <si>
    <t>Dichiarazione ambientale di prodotto della mozzarella senza lattosio alta digeribiiltà, Registration number S-P-00129, Rev. 1, Environmental Declaration, 2014</t>
  </si>
  <si>
    <t>Dichiarazione ambientale di prodotto della panna alta digeribiiltà senza lattosio, Registration number S-P-00130, Rev. 1, Environmental Declaration, 2014</t>
  </si>
  <si>
    <t>Dichiarazione ambientale di prodotto dello yogurt all'albicocca da agricoltura biologica, Registration number S-P-00131, Rev. 1, Environmental Declaration, 2014</t>
  </si>
  <si>
    <t>Dichiarazione ambientale di prodotto dello yogurt all'albicocca da agricoltura biologica, Registration number S-P-00132, Rev. 1, Environmental Declaration, 2014</t>
  </si>
  <si>
    <t>Dichiarazione ambientale di prodotto dello yogurt all'albicocca da agricoltura biologica, Registration number S-P-00294, Rev. 1, Environmental Declaration, 2014</t>
  </si>
  <si>
    <t>Dichiarazione ambientale di prodotto della Ricotta Granarolo, Registration number S-P-00825, Rev. 1, Environmental Declaration, 2016</t>
  </si>
  <si>
    <t>Dichiarazione ambientale di prodotto della Bevanda UHT di Soia Granarolo 100% vegetale, Registration number S-P-00815, Rev. 1, Environmental Declaration, 2016</t>
  </si>
  <si>
    <t>Gronroos, 2006a</t>
  </si>
  <si>
    <t>Life Cycle Assessment of Finnish cultivated rainbow trout, Boreal Environmental Research, 2006</t>
  </si>
  <si>
    <t>Life cycle assessment of milk production in Italian intensive dairy farms, 2012., In: Corson, M.S., H.M.G. Van der Werf. Book of Abstract of the 8th International Conference on Life Cycle Assessment in the Agri-Food Sector (LCA Food 2012), 1-4 October 2012, Saint Malo, France. Rennes, France: INRA, 2012., 2012</t>
  </si>
  <si>
    <t>Parameters affecting the environmental impact of a range of dairy farming systems in Denmark, Germany and Italy, Journal of Cleaner Production, 2013</t>
  </si>
  <si>
    <t>Evaluating the global warming potential of the fresh produce supply chain for strawberries, romaine/cos lettuces (Lactuca sativa), and button mushrooms (Agaricus bisporus) inWestern Australia using life cycle assessment (LCA), Journal of Cleaner Production, 2012</t>
  </si>
  <si>
    <t>Life Cycle Assessment on Icelandic cod product based on two different fishing methods: Environmental impacts from fisheries, Tese de doutorado: Verkfræðideild Háskóli Íslands, 2009</t>
  </si>
  <si>
    <t>Comparing intensive, extensified and organic grassland farming in southern Germany by process life cycle assessment, Agriculture, Ecosystems and Environment, 2001</t>
  </si>
  <si>
    <t>Benchmarking of greenhouse gas emissions of bovine milk production systems for 38 countries, Animal Feed Science and Technology, 2011</t>
  </si>
  <si>
    <t>Comparative environmental assessment of three systems for organic pig production in Denmark, In: U Köpke &amp; SM Sohn (eds), Proceedings Organic Agriculture in Asia, 2008</t>
  </si>
  <si>
    <t>Halberg, 2010a</t>
  </si>
  <si>
    <t>Impact of organic pig production systems on CO2 emission, C sequestration and nitrate pollution, Agronomy for Sustainable Development, 2010</t>
  </si>
  <si>
    <t>Life Cycle Energy and Greenhouse Gas Analysis of a Large-Scale Vertically Integrated Organic Dairy in the United States, Environmental Science and Technology, 2008</t>
  </si>
  <si>
    <t>Life Cycle Assessment of Greenhouse Tomato (Solanum lycopersicum L.) Production in Southwestern Ontario, University of Guelph, Master of Science in Plant Agriculture, Guelph, Ontario, Canada, 2012., 2012</t>
  </si>
  <si>
    <t>Greenhouse gas emissions from selected Austrian dairy production systems—model calculations considering the effects of land use change, Renewable Agriculture and Food Systems, 2010</t>
  </si>
  <si>
    <t>Hokanozo, 2012a</t>
  </si>
  <si>
    <t>Variability in environmental impacts during conversion from conventional to organic farming: a comparison among three rice production systems in Japan, Journal of Cleaner Production, 2012</t>
  </si>
  <si>
    <t>Potentialities of organic and sustainable rice production in Japan from a life cycle perspective, Agronomy Research, 2009</t>
  </si>
  <si>
    <t>Hortenhuber, 2010a</t>
  </si>
  <si>
    <t>Greenhouse gas emissions from selected
Austrian dairy production systems—model calculations considering the effects of land use change, Renewable Agriculture and Food System, 2010</t>
  </si>
  <si>
    <t>Simplified life cycle assessment of galician milk production, International Dairy Journal, 2003</t>
  </si>
  <si>
    <t>The role of seasonality in lettuce consumption: a case study of environmental and social aspects, International Journal of Life Cycle Assessment, 2009</t>
  </si>
  <si>
    <t>Life cycle environmental impacts of Spanish tuna fisheries, Fisheries Research, 2005</t>
  </si>
  <si>
    <t>The impact of local crops consumption on the water resources in Beijing, Journal of Cleaner Production, 2012</t>
  </si>
  <si>
    <t>Environmental impact of beef production in Mexico through life cycle assessment, Resources, Conservation and Recycling, 2016</t>
  </si>
  <si>
    <t>Life cycle assessment of spray dried soluble coffee and comparison with alternatives (drip filter and capsule espresso), Journal of Cleaner Production, 2009</t>
  </si>
  <si>
    <t>Product category range of environmental performance for EPDs: example of Costa Rican pineapple , 2010, In: Notarnicola, B., E. Settanni, G. Tassielli, P. Giungato, Proceedings of the VII International Conference on Life Cycle Assessment in the Agri-Food Sector (LCA Food 2010), 22-24 September 2010, Bari, Italy. Bari, Italy: Università degli studi di Bari Aldo Moro, 2010. , 2010</t>
  </si>
  <si>
    <t>Life cycle assessment of fresh pineapple from Costa Rica, Journal of Cleaner Production, 2012</t>
  </si>
  <si>
    <t>The Comprehensive Life Cycle Assessment for Greenhouse Gas and Energy Use for Cheese and Whey Products Summary, 2012., Innovation Center for US Dairy, 2012</t>
  </si>
  <si>
    <t>Carbon footprint of premium quality export bananas: Case study in Ecuador, the world's largest exporter, Science of the Total Environment, 2014</t>
  </si>
  <si>
    <t>Estimation of the carbon footprint of the Galician fishing activity (NW Spain), Science of the Total Environment, 2010</t>
  </si>
  <si>
    <t>Revisiting the Life Cycle Assessment of mussels from a sectorial perspective, Science of the Total Environment, 2010</t>
  </si>
  <si>
    <t>Updating the carbon footprint of the Galician ﬁshing activity (NW Spain), Science of the Total Environment, 2011</t>
  </si>
  <si>
    <t>Water footprint and Life Cycle Assessment as approaches to assess potential impacts of products on water consumption. Key learning points from pilot studies on tea and margarine, Journal of Cleaner Production, 2012</t>
  </si>
  <si>
    <t>Jerbi, 2012a</t>
  </si>
  <si>
    <t>Life cycle assessment (LCA) of two rearing techniques of sea bass (Dicentrarchus labrax), Aquacultural Engineering, 2012</t>
  </si>
  <si>
    <t>Environmental sustainability issues in the
food–energy–water nexus: Breakfast cereals and
snacks, Sustainable production and consumption, 2015</t>
  </si>
  <si>
    <t>Comparing rice products: confidence intervals as a solution to avid wrong conclusions in communticating carbon footrpints, 2010, In: Notarnicola, B., E. Settanni, G. Tassielli, P. Giungato, Proceedings of the VII International Conference on Life Cycle Assessment in the Agri-Food Sector (LCA Food 2010), 22-24 September 2010, Bari, Italy. Bari, Italy: Università degli studi di Bari Aldo Moro, 2010. , 2010</t>
  </si>
  <si>
    <t>The water footprint of sugarcane and cassava in northern Thailand, Procedia - Social and Behavioral Sciences, 2012</t>
  </si>
  <si>
    <t>Life Cycle assessment of cow and goat milk chains in France, 2010, In: Notarnicola, B., E. Settanni, G. Tassielli, P. Giungato, Proceedings of the VII International Conference on Life Cycle Assessment in the Agri-Food Sector (LCA Food 2010), 22-24 September 2010, Bari, Italy. Bari, Italy: Università degli studi di Bari Aldo Moro, 2010. , 2010</t>
  </si>
  <si>
    <t>Karlsson, 2011a</t>
  </si>
  <si>
    <t>Seasonal Vegetables - An Environmental Assessment Seasonal Food, Norwegian University of Life Science, Department of Plant and Environmental Sciences - Master Thesis, 2011., 2011</t>
  </si>
  <si>
    <t>Life Cycle Assessment of milled rice production: case study in Thailand, European Journal of Scientific Research, 2009</t>
  </si>
  <si>
    <t>Carbon footprint and air emissions inventories for US honey production: case studies, International Journal of Life Cycle Assessment, 2012</t>
  </si>
  <si>
    <t>Khoshovisan, 2013a</t>
  </si>
  <si>
    <t>Environmental impact assessment of open field and greenhouse strawberry production, European Journal of Agronomy, 2013</t>
  </si>
  <si>
    <t>Kim, 2009a</t>
  </si>
  <si>
    <t>Life cycle assessment of corn grain and corn stover in the United States, International Journal of Life Cycle Assessment, 2009</t>
  </si>
  <si>
    <t>Life cycle assessment of cheese and whey production in the USA, International Journal of Life Cycle Assessment, 2013</t>
  </si>
  <si>
    <t>Interregional bio-physical connections - A 'footprint family' analysis of Israel's beef supply system, Ecological Indicators, 2016</t>
  </si>
  <si>
    <t>Knudsen, 2010a</t>
  </si>
  <si>
    <t>Environmental assessment of organic soybean (Glycine max.) imported from China to Denmark: a case study, Journal of Cleaner Production, 2010</t>
  </si>
  <si>
    <t>Energie-intensiteiten van de nederlandse consumptieve bestedingenanno 1996, In: Gössling, S., B. Garrod, C. Aall, J. Hille, P. Peeters. Food management in tourism: Reducing tourism’s carbon ‘foodprint’, Tourism Manage 32:534-543, 2011., 2001</t>
  </si>
  <si>
    <t>Carbon footprints of conventional and organic pork, Blonk Milieu Advies, 2007</t>
  </si>
  <si>
    <t>Koroneos, 2005a</t>
  </si>
  <si>
    <t>Life cycle assessment of beer production in Greece, Journal of Cleaner Production, 2005</t>
  </si>
  <si>
    <t>Total greenhouse gas emissions related to the Dutch crop production system, Agriculture, Ecosystems and Environment, 1999</t>
  </si>
  <si>
    <t>Effect of production system and farming strategy on greenhouse gas emissions from commercial dairy farms in a life cycle approach, Livestock Science, 2011</t>
  </si>
  <si>
    <t>Life cycle assessment of bread from several alternative food networks in Europe, Journal of Cleaner Production, 2015</t>
  </si>
  <si>
    <t>Kungsörnen´s frozen pancakes Climate Declaration, Environmental Declaration, 2010</t>
  </si>
  <si>
    <t>Environmental life cycle assessment of milk in Canada, 2012, In: Corson, M.S., H.M.G. Van der Werf. Book of Abstract of the 8th International Conference on Life Cycle Assessment in the Agri-Food Sector (LCA Food 2012), 1-4 October 2012, Saint Malo, France. Rennes, France: INRA, 2012., 2012</t>
  </si>
  <si>
    <t>Klimatdeklaration för havregryn, Registration number S-P-00147, Environmental Declaration, 2008</t>
  </si>
  <si>
    <t>Breakfast rolls Climate Declaration, Registration number. S-EP-00156, Environmental Declaration, 2010</t>
  </si>
  <si>
    <t>Danish pastry vanilla crown Climate Declaration,Registration number S-EP-00177, Environmental Declaration, 2010</t>
  </si>
  <si>
    <t>French hotdog baguette Climate Declaration, Registration number S-EP-00203, Environmental Declaration, 2010</t>
  </si>
  <si>
    <t>Kungsörnen´s pearled barley Climate Declaration, Registration number S-P-00150, Rev.1, Environmental Declaration, 2011</t>
  </si>
  <si>
    <t>Klimatdeklaration for axa havregryn, Registration number S-EP-00371, Environmental Declaration, 2012</t>
  </si>
  <si>
    <t>Klimatdeklaration for kungsornen karnvetemjol, Registration number S-EP-00370, Environmental Declaration, 2012</t>
  </si>
  <si>
    <t>Klimatdeklaration for Kungsornens FullkornsPasta, Registration number S-EP-00434, Environmental Declaration, 2012</t>
  </si>
  <si>
    <t>Klimatdeklaration for Kungsornens idealmakaroner, Registration number S-EP-00372, Environmental Declaration, 2012</t>
  </si>
  <si>
    <t>Klimatdeklaration for Kungsornens Pasta, Registration number S-EP-00433, Environmental Declaration, 2012</t>
  </si>
  <si>
    <t>Klimatdeklaration for Kungsornens spaghetti, Registration number S-EP-00373, Environmental Declaration, 2012</t>
  </si>
  <si>
    <t>Lantmännen, 2013a</t>
  </si>
  <si>
    <t>Klimatdeklaration för havregryn, Registration number S-P-00147, Environmental Declaration, 2013</t>
  </si>
  <si>
    <t>Energy use, “food miles” and greenhouse gas emissions from New Zealand dairying – how efficient are we?, Proceedings of the New Zealand Grassland Association, 2007</t>
  </si>
  <si>
    <t>A Greenhouse Gas Footprint Study for Exported New Zealand Lamb, Report prepared for the Meat Industry Association, Ballance Agri-Nutrients, Landcorp and MAF.
, 2010</t>
  </si>
  <si>
    <t>Quantifying environmental impacts and their uncertainties for UK broiler and egg production systems, 2012, In: Corson, M.S., H.M.G. Van der Werf. Book of Abstract of the 8th International Conference on Life Cycle Assessment in the Agri-Food Sector (LCA Food 2012), 1-4 October 2012, Saint Malo, France. Rennes, France: INRA, 2012., 2012</t>
  </si>
  <si>
    <t>Leinonen, 2012b</t>
  </si>
  <si>
    <t xml:space="preserve"> Predicting the environmental impacts of chicken systems in the United Kingdom through a life cycle assessment: Broiler production systems , Poultry Science, 2012</t>
  </si>
  <si>
    <t>Leinonen, 2012c</t>
  </si>
  <si>
    <t xml:space="preserve"> Predicting the environmental impacts of chicken systems in the United Kingdom through a life cycle assessment: egg production systems , Poultry Science, 2012</t>
  </si>
  <si>
    <t>Leinonen, 2013a</t>
  </si>
  <si>
    <t>Comparing the environmental impacts of alternative protein crops in poultry diets: The consequences of uncertainty, Agricultural Systems, 2013</t>
  </si>
  <si>
    <t>Leng, 2008a</t>
  </si>
  <si>
    <t>Life cycle inventory and energy analysis of cassava-based Fuel ethanol in China, Journal of Cleaner Production, 2008</t>
  </si>
  <si>
    <t>Greenhouse gas emission profiles of European livestock sectors, Animal Feed Science and Technology, 2011</t>
  </si>
  <si>
    <t>Environmental product declaration of Mineral water Lete and Sorgesana, Registration number S-P-00394, Rev. 2, Environmental Declaration, 2018</t>
  </si>
  <si>
    <t>Application of the componential method for ecological footprint calculation of a Chinese university campus, Journal of Industrial Ecology, 2008</t>
  </si>
  <si>
    <t>The environmental footprint: A method to determine the environmental impact of agricultural production, University of Warwick, UK, 2008, In: Mordini, M., T. Nemecek, G. Gaillard, Carbon &amp; Water Footprint of Oranges and Strawberries - A Literature Review, FDEA, ART edition, 2009., 2008</t>
  </si>
  <si>
    <t>Lindelauf, 2009a</t>
  </si>
  <si>
    <t>Assessment of environmental effects, animal welfare and milk quality among organic dairy farms, Livestock Science, 2009</t>
  </si>
  <si>
    <t>Greenhouse gas emissions of organic and conventional foodstuffs in Austria, 2010, In: Notarnicola, B., E. Settanni, G. Tassielli, P. Giungato, Proceedings of the VII International Conference on Life Cycle Assessment in the Agri-Food Sector (LCA Food 2010), 22-24 September 2010, Bari, Italy. Bari, Italy: Università degli studi di Bari Aldo Moro, 2010. , 2010</t>
  </si>
  <si>
    <t>Life Cycle Assessment of fossil energy use and greenhouse gas emissions in Chinese pear production, Journal of Cleaner Production, 2010</t>
  </si>
  <si>
    <t>A systems approach to quantify greenhouse gas fluxes from pastoral dairy production as affected by management regime, Livestock Science, 2006</t>
  </si>
  <si>
    <t>Lovett, 2008a</t>
  </si>
  <si>
    <t>Greenhouse gas emissions from pastoral based dairying systems: The effect of uncertainty and management change under two contrasting production systems, Livestock Science, 2008</t>
  </si>
  <si>
    <t>Greenhouse gases assessment of soybean cultivation steps in southern Brazil, Journal of Cleaner Production, 2016</t>
  </si>
  <si>
    <t>Water footprint accounting of organic and non-organic strawberries including ancillary materials: a case study, 2012, In: Corson, M.S., H.M.G. Van der Werf. Book of Abstract of the 8th International Conference on Life Cycle Assessment in the Agri-Food Sector (LCA Food 2012), 1-4 October 2012, Saint Malo, France. Rennes, France: INRA, 2012., 2012</t>
  </si>
  <si>
    <t>Martinez-Blanco, 2011a</t>
  </si>
  <si>
    <t>Assessment of tomato Mediterranean production in open-field and standard multi-tunnel greenhouse, with compost or mineral fertilizers, from an agricultural and environmental standpoint, Journal of Cleaner Production, 2011</t>
  </si>
  <si>
    <t>Lower golbal warming potential of cucumbers and lettuce from a greenhouse heated by waste heat, 2010, In: Notarnicola, B., E. Settanni, G. Tassielli, P. Giungato, Proceedings of the VII International Conference on Life Cycle Assessment in the Agri-Food Sector (LCA Food 2010), 22-24 September 2010, Bari, Italy. Bari, Italy: Università degli studi di Bari Aldo Moro, 2010. , 2010</t>
  </si>
  <si>
    <t>A comparative assessment of greenhouse gas emissions in California almond, pistachio, and walnut production., In: Schenck, R., D. Huizenga. Proceedings of the 9th International Conference on Life Cycle Assessment in the Agri-Food Sector (LCA Food 2014), 8-10 October 2014, San Francisco, USA. ACLCA, Vashon, WA, USA., 2014</t>
  </si>
  <si>
    <t>Environmental impacts of milk production in southern Belgium: estimation for nine commercial farms and investigation of mitigation via better manure application., In: Schenck, R., D. Huizenga. Proceedings of the 9th International Conference on Life Cycle Assessment in the Agri-Food Sector (LCA Food 2014), 8-10 October 2014, San Francisco, USA. ACLCA, Vashon, WA, USA., 2014</t>
  </si>
  <si>
    <t>Carbon management for the primary agricultural sector in New Zeland: case studies for the pipfruit and kiwifruit industries, 2010., In: Notarnicola, B., E. Settanni, G. Tassielli, P. Giungato, Proceedings of the VII International Conference on Life Cycle Assessment in the Agri-Food Sector (LCA Food 2010), 22-24 September 2010, Bari, Italy. Bari, Italy: Università degli studi di Bari Aldo Moro, 2010. , 2010</t>
  </si>
  <si>
    <t>Gender as a factor in an environmental assessment of the consumption of animal and plant-based foods in Germany, International Journal of Life Cycle Assessment, 2012</t>
  </si>
  <si>
    <t>Decisions to reduce greenhouse gases from agriculture and product transport: LCA case study of organic and conventional wheat, Journal of Cleaner Production, 2009</t>
  </si>
  <si>
    <t>The Future Of Meat: Exploring The Nutritional Qualities And Environmental Impacts Of Meat Replacements, The FASEB Journal, 2016</t>
  </si>
  <si>
    <t>The green, blue and grey water footprint of crops and derived crop products, Hydrology and Earth System Sciences, 2011</t>
  </si>
  <si>
    <t>A Global Assessment of the Water Footprint of Farm Animal Products, Ecosystems, 2012</t>
  </si>
  <si>
    <t>Carbon footprint of five pig diets using three land use change accounting methods, Livestock Science, 2012</t>
  </si>
  <si>
    <t>Greenhouse gas benefits of fighting obesity, Ecological Economics, 2008</t>
  </si>
  <si>
    <t>Michos, 2012a</t>
  </si>
  <si>
    <t>Energy inputs, outputs and greenhouse gas emissions in organic, integrated and conventional peach orchards, Ecological Indicators, 2012</t>
  </si>
  <si>
    <t>Environmental impact of beef – role of slaughtering, meat processing and transport, 2012, In: Corson, M.S., H.M.G. Van der Werf. Book of Abstract of the 8th International Conference on Life Cycle Assessment in the Agri-Food Sector (LCA Food 2012), 1-4 October 2012, Saint Malo, France. Rennes, France: INRA, 2012., 2012</t>
  </si>
  <si>
    <t>Evaluation of the environmental impacts of apple production using
Life Cycle Assessment (LCA): Case study in New Zealand, Agriculture, Ecosystems and Environment, 2006</t>
  </si>
  <si>
    <t>Milà i Canals, 2006b</t>
  </si>
  <si>
    <t>Evaluation of the environmental impacts of apple production using Life Cycle Assessment (LCA): Case study in New Zealand, Agriculture, Ecosystems and Environment, 2006</t>
  </si>
  <si>
    <t>LCA of horticultural crops including indicator of pesticide rating , Project ‘Comparative Assessment of Environmental, Community and Nutritional Impacts of Consuming Fruit and Vegetables Produced Locally and Overseas’, by the Rural Economy and Land Use (RELU) Programme, 2008</t>
  </si>
  <si>
    <t>Assessing freshwater use impacts in LCA, part 2: case study of broccoli production in the UK and Spain, International Journal of Life Cycle Assessment, 2010</t>
  </si>
  <si>
    <t>Miljøvurdering af konventionel og økologisk avl af grøntsager., In: Gössling, S., B. Garrod, C. Aall, J. Hille, P. Peeters. Food management in tourism: Reducing tourism’s carbon ‘foodprint’, Tourism Manage 32:534-543, 2011., 2006</t>
  </si>
  <si>
    <t>Carbon Footprinting for the Kiwifruit Supply Chain - – Report on Methodology and Scoping Study
, New Zealand Ministry of Agriculture and Forestry, 2010</t>
  </si>
  <si>
    <t>Dichiarazione ambientale di prodotto della farina di frumento tenero tipo 00 biologica, Registration number S-P-00666, Rev. 1, Environmental Declaration, 2015</t>
  </si>
  <si>
    <t>Dichiarazione ambientale di prodotto della semola di frumento duro biologica, Registration number S-P-00665, Rev. 1, Environmental Declaration, 2015</t>
  </si>
  <si>
    <t>Dichiarazione ambientale di prodotto della semola di frumento duro kronos, Registration number S-P-00667, Rev. 1, Environmental Declaration, 2015</t>
  </si>
  <si>
    <t>On-farm quantification of sustainability indicators: an application to egg production systems, British Poultry Science, 2006</t>
  </si>
  <si>
    <t>Food waste from cheese and yoghurt in a life cycle perspective, 2012, In: Corson, M.S., H.M.G. Van der Werf. Book of Abstract of the 8th International Conference on Life Cycle Assessment in the Agri-Food Sector (LCA Food 2012), 1-4 October 2012, Saint Malo, France. Rennes, France: INRA, 2012., 2012</t>
  </si>
  <si>
    <t>Dichiarazione ambientale di prodotto (EPD) olio extravergine di oliva "Bios", Registration number S-P-00647, Rev. 0, Environmental Declaration, 2014</t>
  </si>
  <si>
    <t>Dichiarazione ambientale di prodotto (EPD) olio extravergine di oliva "Classico", Registration number S-P-00384, Rev. 0, Environmental Declaration, 2014</t>
  </si>
  <si>
    <t>Dichiarazione ambientale di prodotto (EPD) olio extravergine di oliva "D.O.P. Umbria", Registration number S-P-00648, Rev. 0, Environmental Declaration, 2014</t>
  </si>
  <si>
    <t>Dichiarazione ambientale di prodotto (EPD) olio extravergine di oliva "Delicato", Registration number S-P-00386, Rev. 0, Environmental Declaration, 2014</t>
  </si>
  <si>
    <t>Dichiarazione ambientale di prodotto (EPD) olio extravergine di oliva "GranFruttato", Registration number S-P-00383, Rev. 0, Environmental Declaration, 2014</t>
  </si>
  <si>
    <t>Dichiarazione ambientale di prodotto (EPD) olio extravergine di oliva "Il Poggiolo", Registration number S-P-00385, Rev. 0, Environmental Declaration, 2014</t>
  </si>
  <si>
    <t>Dichiarazione ambientale di prodotto (EPD) olio extravergine di oliva "Classico", Registration number S-P-00384, Rev. 1.0, Environmental Declaration, 2016</t>
  </si>
  <si>
    <t>Dichiarazione ambientale di prodotto (EPD) olio extravergine di oliva "Delicato", Registration number S-P-00386, Rev. 1.0, Environmental Declaration, 2016</t>
  </si>
  <si>
    <t>Dichiarazione ambientale di prodotto (EPD) olio extravergine di oliva "GranFruttato", Registration number S-P-00383, Rev. 1.0, Environmental Declaration, 2016</t>
  </si>
  <si>
    <t>Moudry, 2013a</t>
  </si>
  <si>
    <t>The emissions of greenhouse gases produced during growing and processing of wheat products in the Czech Republic, Journal of Food Agriculture and Environment, 2013</t>
  </si>
  <si>
    <t>Management influence on environmental impacts in an apple production system on Swiss fruit farms: Combining life cycleassessment with statistical risk assessment, Agriculture, Ecosystems and Environment, 2006</t>
  </si>
  <si>
    <t>Market oriented assessment of the environmental impact of the New Zealand kiwifruit value chain, Acta Horticulturae, 2016</t>
  </si>
  <si>
    <t>Neto, 2013a</t>
  </si>
  <si>
    <t>Life cycle assessment of the supply chain of a Portuguese wine: from viticulture to distribution, International Journal of Life Cycle Assessment, 2013</t>
  </si>
  <si>
    <t>Environmental consequences of different beef production systems in the EU, Journal of Cleaner Production, 2010</t>
  </si>
  <si>
    <t>Fossil energy and GHG saving potentials of pig farming in the EU, Energy Policy, 2010</t>
  </si>
  <si>
    <t>What if land use aspects are included in GHG balance of livestock production systems?, In: Notarnicola, B., E. Settanni, G. Tassielli, P. Giungato, Proceedings of the VII International Conference on Life Cycle Assessment in the Agri-Food Sector (LCA Food 2010), 22-24 September 2010, Bari, Italy. Bari, Italy: Università degli studi di Bari Aldo Moro, 2010. , 2010</t>
  </si>
  <si>
    <t>Environmental assessment of Danish pork, Report 103, Aarhus University (available at &lt;www.agrsci.au.dk&gt;), 2011., 2011</t>
  </si>
  <si>
    <t>Environmental costs of meat production: the case of typical EU pork production, Journal of Cleaner Production, 2012</t>
  </si>
  <si>
    <t>Effects of type of ration and allocation methods on the environmental impacts of beef-production systems, Livestock Science, 2012</t>
  </si>
  <si>
    <t>Using environmental constraints to formulate low-impact poultry feeds, Journal of Cleaner Production, 2012</t>
  </si>
  <si>
    <t>Effect of dairy production system, breed and co-product handling methods on environmental impacts at farm level, Journal of Environmental Management, 2013</t>
  </si>
  <si>
    <t>Greenhouse Gas Emission from the Danish Broiler Production estimated via LCA Methodology, Knowledge Centre for Agriculture, Agrotech, 2011., 2011</t>
  </si>
  <si>
    <t>Comparative life cycle assessment of margarine and butter consumed in the UK, Germany and France, International Journal of Life Cycle Assessment, 2010</t>
  </si>
  <si>
    <t>The environmental impact of the consumption of sweets, crisps and soft drinks. Copenhagen: Nordic Council of Ministers 2011., TemaNord 2011:509, 2011</t>
  </si>
  <si>
    <t>Carbon footprinting of dietary habits: the Meneghina Express project., In: Schenck, R., D. Huizenga. Proceedings of the 9th International Conference on Life Cycle Assessment in the Agri-Food Sector (LCA Food 2014), 8-10 October 2014, San Francisco, USA. ACLCA, Vashon, WA, USA., 2014</t>
  </si>
  <si>
    <t>Carbon and water footprint of pork supply chain in Catalonia: From
feed to final products, Journal of Environmental Management 171 (2016) 133e143, 2016</t>
  </si>
  <si>
    <t>Valor atribuido igual ao valor calculado para a carne in natura para  a carne seca, usando esse banco de dados, valor não publicado, 2020</t>
  </si>
  <si>
    <t>nupens, 2021</t>
  </si>
  <si>
    <t>Valor atribuido igual a zero para água potável de torneira, valor não publicado, 2021</t>
  </si>
  <si>
    <t>A life cycle assessment of seasonal grass-based and confinement dairy farms, Agricultural Systems, 2012</t>
  </si>
  <si>
    <t>Environmental impacts of the Japanese beef fattening system with different feeding lenghts as evaluated by a life-cycle assessment method, Journal of Animal Science, 2004</t>
  </si>
  <si>
    <t>Evaluating Environmental Impacts of the Japanese beef cow-calf system by the life cycle assessment method, Journal of Animal Science, 2007</t>
  </si>
  <si>
    <t>Ogino, 2013a</t>
  </si>
  <si>
    <t>Life cycle assessment of Japanese pig farming using low-protein diet supplemented with amino acids
, Soil Science and Plant Nutrition, 2013</t>
  </si>
  <si>
    <t>Modelling greenhouse gas emissions from European conventional and organic dairy farms, Agriculture, Ecosystems and Environment, 2006</t>
  </si>
  <si>
    <t>Page, 2011a</t>
  </si>
  <si>
    <t>Modeling Carbon Footprints of Organic Orchard Production Systems to Address Carbon Trading: An Approach Based on Life Cycle Assessment, Horticultural Science, 2011</t>
  </si>
  <si>
    <t>Fresh tomato production for the Sydney market: An evaluation of options to reduce freshwater scarcity from agricultural water use, Agricultural Water management, 2011</t>
  </si>
  <si>
    <t>Carbon and water footprint tradeoffs in fresh tomato production, Journal of Cleaner Production, 2012</t>
  </si>
  <si>
    <t>Calculation of CO2 equivalent emissions in agri-food sector applying different methodologies, 2010., In: Notarnicola, B., E. Settanni, G. Tassielli, P. Giungato, Proceedings of the VII International Conference on Life Cycle Assessment in the Agri-Food Sector (LCA Food 2010), 22-24 September 2010, Bari, Italy. Bari, Italy: Università degli studi di Bari Aldo Moro, 2010. , 2010</t>
  </si>
  <si>
    <t>Evaluation of beef sustainability in conventional, organic, and mixed crop-beef supply chains., In: Schenck, R., D. Huizenga. Proceedings of the 9th International Conference on Life Cycle Assessment in the Agri-Food Sector (LCA Food 2014), 8-10 October 2014, San Francisco, USA. ACLCA, Vashon, WA, USA., 2015</t>
  </si>
  <si>
    <t>Green Cheese: LCA of Energy Intensity and GHG Emissions of Integrated Dairy/Bio-fuels Systems in Wisconsin, ASABE Meeting Pittsburgh, Pennsylvania, June 20 – June 23, 2010., 2010</t>
  </si>
  <si>
    <t>Carbon footprints of Indian food items, Agriculture, Ecosystems and Environment, 2010</t>
  </si>
  <si>
    <t>Pattara, 2012a</t>
  </si>
  <si>
    <t>Life Cycle Assessment and Carbon Footprint in the Wine SupplyChain, Environmental Management, 2012</t>
  </si>
  <si>
    <t>Feeding farmed salmon: Is organic better?, Aquaculture, 2007</t>
  </si>
  <si>
    <t>Pelletier, 2008a</t>
  </si>
  <si>
    <t>Scenario Modeling Potential Eco-Efficiency Gains from a Transition to Organic Agriculture: Life Cycle Perspectives on Canadian Canola, Corn, Soy, and Wheat Production, Environmental Management, 2008</t>
  </si>
  <si>
    <t>Pelletier, 2008b</t>
  </si>
  <si>
    <t>Environmental performance in the US broiler poultry sector: Life cycle energy use and greenhouse gas, ozone depleting, acidifying and eutrophying emissions, Agricultural Systems, 2008</t>
  </si>
  <si>
    <t>Environmental performance in the US poultry sector: Life cycle energy use and greenhouse gas, ozone depleting, acidifying and eutrophying emissions, Agricultural Systems, 2008</t>
  </si>
  <si>
    <t>Not all Salmon are created equal: Life Cycle Assessment (LCA) of Global Salmon Farmina Systems, Environmental Science and Technology, 2009</t>
  </si>
  <si>
    <t>Life cycle assessment of high- and low-profitability commodity and deep-bedded niche swine production systems in the Upper Midwestern United States, Agricultural Systems, 2010</t>
  </si>
  <si>
    <t>Comparative life cycle environmental impacts of three beef production strategies in the Upper Midwestern United State, Agricultural Systems, 2010</t>
  </si>
  <si>
    <t>Pelletier, 2010c</t>
  </si>
  <si>
    <t>Life Cycle Assessment of Frozen Tilapia Fillets From Indonesian Lake-Based and Pond-Based Intensive Aquaculture Systems, Journal of Industrial Ecology, 2010</t>
  </si>
  <si>
    <t>Pelletier, 2013a</t>
  </si>
  <si>
    <t>A carbon footprint analysis of egg production and processing supply chains in the Midwestern United States, Journal of Cleaner Production, 2013</t>
  </si>
  <si>
    <t>Sustainability evaluation of Sicily’s lemon and orange production: An energy, economic and environmental analysis, Journal of Evironmental Management, 2013</t>
  </si>
  <si>
    <t>Red Meat Production in Australia: Life Cycle Assessment and Comparison with Overseas Studies, Environmental Science and Technology, 2010</t>
  </si>
  <si>
    <t>Greenhouse gas emissions from simulated beef and dairy livestock systems in the United States, Nutrient Cycling in Agroecosystems , 2001</t>
  </si>
  <si>
    <t>Life cycle assessment of food production in integrated agriculture–aquaculture systems of the Mekong Delta, Livestock Science, 2011</t>
  </si>
  <si>
    <t>Environmental impact of heavy pig production in a sample of Italian farms. A cradle to farm-gate analysis, Environmental Science and Policy, 2016</t>
  </si>
  <si>
    <t>Pishgar-Komleh, 2012a</t>
  </si>
  <si>
    <t>Energy consumption and CO2 emissions analysis of potato production based on different farm size levels in Iran, Journal of Cleaner Production, 2012</t>
  </si>
  <si>
    <t>Point, 2012a</t>
  </si>
  <si>
    <t>Life cycle environmental impacts of wine production and consumption in Nova Scotia, Canada, Journal of Cleaner Production, 2012</t>
  </si>
  <si>
    <t>Calculation and verification of carbon footprint in agricoltural product, 2010., In: Notarnicola, B., E. Settanni, G. Tassielli, P. Giungato, Proceedings of the VII International Conference on Life Cycle Assessment in the Agri-Food Sector (LCA Food 2010), 22-24 September 2010, Bari, Italy. Bari, Italy: Università degli studi di Bari Aldo Moro, 2010. , 2010</t>
  </si>
  <si>
    <t>Calculating land use change in carbon footprints of agricultural products as an impact of current land use, Journal of Cleaner Production, 2011</t>
  </si>
  <si>
    <t>Carbon and Water Footprint: Understanding and Reducing Impacts , PureCircle White Paper Series , 2011</t>
  </si>
  <si>
    <t>Life Cycle Assessment of Cane-Sugar on the Island of Mauritius, International Journal of Life Cycle Assessment, 2004</t>
  </si>
  <si>
    <t>Environmental assessment of the Atlantic mackerel (Scomber scombrus) season in the Basque Country. Increasing the timeline delimitation in fishery LCA studies, International Journal of Life Cycle Assessment, 2011</t>
  </si>
  <si>
    <t>Greenhouse gas assessment of Brazilian soybean production: a case study of Mato Grosso State, Journal of Cleaner Production, 2015</t>
  </si>
  <si>
    <t>Environmental impact of the pork supply chain depending on farm performances, 2012, In: Corson, M.S., H.M.G. Van der Werf. Book of Abstract of the 8th International Conference on Life Cycle Assessment in the Agri-Food Sector (LCA Food 2012), 1-4 October 2012, Saint Malo, France. Rennes, France: INRA, 2012., 2012</t>
  </si>
  <si>
    <t>Reckmann, 2013a</t>
  </si>
  <si>
    <t>Life Cycle Assessment of pork production: A data inventory for the case of Germany, Livestock Science, 2013</t>
  </si>
  <si>
    <t>Climate gas emissions from food systems – use of LCA analyses, Norwegian Agricultural Economics Research Institute, Discussion Paper 2011-3, 2011</t>
  </si>
  <si>
    <t>Life cycle assessment of Australian sugarcane products with a focus on cane processing, International Journal of Life Cycle Assessment, 2011</t>
  </si>
  <si>
    <t>Medición de la eco-eficiencia en procesos productivos en el sector agrario. Caso de estudio sobe producción de cítricos., In: Mordini, M., T. Nemecek, G. Gaillard, Carbon &amp; Water Footprint of Oranges and Strawberries - A Literature Review, FDEA, ART edition, 2009., 2009</t>
  </si>
  <si>
    <t>Assessing carbon, water and land use footprints for beef cattle production in southern Australia, 2012, In: Corson, M.S., H.M.G. Van der Werf. Book of Abstract of the 8th International Conference on Life Cycle Assessment in the Agri-Food Sector (LCA Food 2012), 1-4 October 2012, Saint Malo, France. Rennes, France: INRA, 2012., 2012</t>
  </si>
  <si>
    <t>Meat consumption and water scarcity: beware of generalizations, Agricultural Systems, 2012</t>
  </si>
  <si>
    <t>Ridoutt, 2013a</t>
  </si>
  <si>
    <t>Life cycle assessment of phosphorus use efficient wheat grown in Australia, Agricultural Systems, 2013</t>
  </si>
  <si>
    <t>Ripoll-Bosch, 2011a</t>
  </si>
  <si>
    <t>Greenhouse gas emissions throughout the life ycle of Spanish lamb-meat: A comparison of three production systems, Options Méditerranéenes, 2011</t>
  </si>
  <si>
    <t>Environmental Impact Evaluation of Beef Production in Veracruz Using Life Cycle Assessment., In: Schenck, R., D. Huizenga. Proceedings of the 9th International Conference on Life Cycle Assessment in the Agri-Food Sector (LCA Food 2014), 8-10 October 2014, San Francisco, USA. ACLCA, Vashon, WA, USA., 2015</t>
  </si>
  <si>
    <t>The carbon footprint of producing milk, bovine meat and grain under heterogeneous conditions in Norway, In: Corson, M.S., H.M.G. Van der Werf. Book of Abstract of the 8th International Conference on Life Cycle Assessment in the Agri-Food Sector (LCA Food 2012), 1-4 October 2012, Saint Malo, France. Rennes, France: INRA, 2012., 2012</t>
  </si>
  <si>
    <t>The influence of system boundaries on life cycle assessment of grain production in central southeast Norway, Agricultural Systems, 2012</t>
  </si>
  <si>
    <t>Environmental impacts of combined milk and meat production in Norway according to a life cycle assessment, Livestock Science, 2013</t>
  </si>
  <si>
    <t>Carbon footprint along the Ecuadorian banana supply chain: Methodological improvements and calculation tool, In: Schenck, R., D. Huizenga. Proceedings of the 9th International Conference on Life Cycle Assessment in the Agri-Food Sector (LCA Food 2014), 8-10 October 2014, San Francisco, USA. ACLCA, Vashon, WA, USA., 2014</t>
  </si>
  <si>
    <t>Environmental impact of screenhouse and open-field cultivation using a life cycle analysis: the case study of green bean production, Journal of Cleaner Production, 2012</t>
  </si>
  <si>
    <t>Uncertainties in the carbon footprint of refined wheat products: a case study on Swedish pasta, International Journal of Life Cycle Assessment, 2011</t>
  </si>
  <si>
    <t>Mat-klimat-listan Version 1.0 (Food-climate-list Version 1.0), In: Swedish University of Agricultural Sciences (SLU). 2012. Report 040. ISSN 1654-9406. [Internet]. Available: http://pub.epsilon.slu.se/8710/1/roos_e_120413.pdf, 2012</t>
  </si>
  <si>
    <t>The carbon footprint of diary production systems through partial life cycle assessment, Journal of Dairy Science, 2010</t>
  </si>
  <si>
    <t>Life cycle inventory (LCI) of different forms of rice consumed in households in Japan, Journal of Food Engeneering, 2009</t>
  </si>
  <si>
    <t>Life cycle of meats: An opportunity to abate the greenhouse gas emission from meat industry in Japan, Journal of Environmental Management, 2012</t>
  </si>
  <si>
    <t>Emergy and life-cycle sustainability of pig meat products, 2012, In: Corson, M.S., H.M.G. Van der Werf. Book of Abstract of the 8th International Conference on Life Cycle Assessment in the Agri-Food Sector (LCA Food 2012), 1-4 October 2012, Saint Malo, France. Rennes, France: INRA, 2012., 2012</t>
  </si>
  <si>
    <t>Carbon footprint in different beef production systems on a southern Brazilian farm: a case study, Journal of Cleaner Production, 2015</t>
  </si>
  <si>
    <t>Life cycle assessment approach to the impact of home-made, ready-to-eat and school lunches on climate and eutrophication, Journal of Cleaner Production, 2012</t>
  </si>
  <si>
    <t>Environmental impacts of olive oil production: a Life Cycle Assessment case study in the province of Messina (Sicily), Journal of Cleaner Production, 2012</t>
  </si>
  <si>
    <t>Life Cycle Assessment of French livestock products: Results of the AGRIBALYSE® program., In: Schenck, R., D. Huizenga. Proceedings of the 9th International Conference on Life Cycle Assessment in the Agri-Food Sector (LCA Food 2014), 8-10 October 2014, San Francisco, USA. ACLCA, Vashon, WA, USA., 2014</t>
  </si>
  <si>
    <t>Comparative life cycle assessment (LCA) of raising rainbow trout (Oncorhynchus mykiss) in different production systems, Aquacultural Engineering, 2013</t>
  </si>
  <si>
    <t>System delimitation in life cycle assessment (LCA) of aquaculture: striving for valid and comprehensive environmental assessment using rainbow trout farming as a case study, International Journal of Life Cycle Assessment, 2013</t>
  </si>
  <si>
    <t>LCA of integrated orange production in the Comunidad Valenciana (Spain), Intenational journal of agricultural resources, 2005</t>
  </si>
  <si>
    <t>Food Miles – Comparative Energy/Emissions Performance of New Zealand’s Agriculture Industry, Research Report No. 285, 2006</t>
  </si>
  <si>
    <t>Saunders, 2008a</t>
  </si>
  <si>
    <t>Carbon footprints, life cycle analysis, food miles: global trade trends and market issues, Political Science, 2008</t>
  </si>
  <si>
    <t>Quantification of the reduction potential of GHG mitigation measures in Swiss organic milk production using a life cycle assessment approach, 2012., In: Corson, M.S., H.M.G. Van der Werf. Book of Abstract of the 8th International Conference on Life Cycle Assessment in the Agri-Food Sector (LCA Food 2012), 1-4 October 2012, Saint Malo, France. Rennes, France: INRA, 2012., 2012</t>
  </si>
  <si>
    <t>Farming and marketing system affects carbon and water footprint e a case study using Hokaido pumpkin, Journal of Cleaner Production, 2012</t>
  </si>
  <si>
    <t>Comparison of CO2e emissions associated with regional, heated and imported ASPARGUS, In: Schenck, R., D. Huizenga. Proceedings of the 9th International Conference on Life Cycle Assessment in the Agri-Food Sector (LCA Food 2014), 8-10 October 2014, San Francisco, USA. ACLCA, Vashon, WA, USA., 2014</t>
  </si>
  <si>
    <t>Schau, 2009a</t>
  </si>
  <si>
    <t>Energy consumption in the Norwegian fisheries, Journal of Cleaner Production, 2009</t>
  </si>
  <si>
    <t>Canning Green Beans Ecoprofile of Truitt Brothers Process, Network for Business Innovation and Sustainability Institute for Environmental Research and Education, August 6, 2007., 2007</t>
  </si>
  <si>
    <t>A farm level approach to define successful mitigation strategies for GHG emissions from ruminant livestock systems, Nutrient Cycling in AgroEco, 2005</t>
  </si>
  <si>
    <t>LCA Case Study of Pickled Herring, 2005, In: Kørnøv, L., H. Lund, A. Remmen. Tools for a sustainable development, Aalborg, Denmark: Institut for Samfundsudvikling og Planlægning Aalborg Universitet, 2005., 2005</t>
  </si>
  <si>
    <t>Life cycle assessment of malaysian palm oil - improvement options and comparison with European rapeseed oil, International Palm Oil Life Cycle Assessment Conference, Kuala Lumpur, 18-20 October 2009., 2009</t>
  </si>
  <si>
    <t>Comparative life cycle assessment of rapeseed oil and palm oil, International Journal of Life Cycle Assessment, 2010</t>
  </si>
  <si>
    <t>Detailed LCA of Palm Oil in Malaysia - comparing different practices in United Plantations and with European rapeseed oil, 3rd Palm Oil Summit ‐ Yield Improvement &amp; Carbon Management, 18 ‐ 19 Jul 2011, Bali., 2011</t>
  </si>
  <si>
    <t>National and farm level carbon footprint of milk ‐ Methodology andresults for Danish and Swedish milk 2005 at farm gate, Arla Foods, Aarhus, Denmark, 2012., 2012</t>
  </si>
  <si>
    <t>Life cycle assessment of five vegetable oils, Journal of Cleaner Production, 2015</t>
  </si>
  <si>
    <t>Ecological Footprint as a tool for local sustainability: The municipality of Piacenza (Italy) as a case study, Environmental Impact Assessment Review, 2009</t>
  </si>
  <si>
    <t>Seabra, 2011a</t>
  </si>
  <si>
    <t>Life cycle assessment of Brazilian sugarcane products: GHG emissions and energy use, Biofuels, Bioproducts and Biorefining, 2011</t>
  </si>
  <si>
    <t>Dichiarazione Ambientale di Prodotto Pasta Sgambaro Etichetta Gialla, Environmental Declaration, 2013</t>
  </si>
  <si>
    <t>Dichiarazione Ambientale di Prodotto Pasta Sgambaro Etichetta Gialla, Registration number S‐P‐00436, Rev. 1, Approval date 2013.05.10, valid 3 years., 2014</t>
  </si>
  <si>
    <t>LCA of Finnish rainbow trout, results and significance on different allocation methods, 2012., In: Corson, M.S., H.M.G. Van der Werf. Book of Abstract of the 8th International Conference on Life Cycle Assessment in the Agri-Food Sector (LCA Food 2012), 1-4 October 2012, Saint Malo, France. Rennes, France: INRA, 2012., 2012</t>
  </si>
  <si>
    <t>Diet-related greenhouse gas emissions assessed by a food frequency questionnaire and validated using 7-day weighed food records, Environmnetal Health, 2016</t>
  </si>
  <si>
    <t>Environmental impact of different broiler production systems in Malaysia and consumer willingness to pay for reduced impact, 2012., In: Corson, M.S., H.M.G. Van der Werf. Book of Abstract of the 8th International Conference on Life Cycle Assessment in the Agri-Food Sector (LCA Food 2012), 1-4 October 2012, Saint Malo, France. Rennes, France: INRA, 2012., 2012</t>
  </si>
  <si>
    <t>Global environmental costs of beef production, Ecological Economics, 1999</t>
  </si>
  <si>
    <t>Environmental, social and economic impacts of coastal longline fisheries using new automated equipment, 2010., In: Notarnicola, B., E. Settanni, G. Tassielli, P. Giungato, Proceedings of the VII International Conference on Life Cycle Assessment in the Agri-Food Sector (LCA Food 2010), 22-24 September 2010, Bari, Italy. Bari, Italy: Università degli studi di Bari Aldo Moro, 2010. , 2010</t>
  </si>
  <si>
    <t>Effect of different allocation methods on LCA results of products from wild-caught fish and on the use of such results, International Journal of Life Cycle Assessment, 2011</t>
  </si>
  <si>
    <t>Environmental assessment of cod (Gadus morhua) from autoline fisheries, International Journal of Life Cycle Assessment, 2011</t>
  </si>
  <si>
    <t>Carbon footprint of a Cavendish banana supply chain, International Journal of Life Cycle Assessment, 2013</t>
  </si>
  <si>
    <t>Estimating the carbon footprint of tuna fisheries., WWF Bin Item 2009, 2009</t>
  </si>
  <si>
    <t>DRIED PULSES - CHICK PEAS. Product Carbon Footprint Summary, Issued August 2012., Item 2009:1–14., 2012</t>
  </si>
  <si>
    <t>DRIED PULSES - LENTILS. Product Carbon Footprint Summary, Issued August 2012., Environmental Declaration, 2012</t>
  </si>
  <si>
    <t>DRIED PULSES - BEANS.  Product Carbon Footprint Summary, Issued August 2012., Environmental Declaration, 2012</t>
  </si>
  <si>
    <t>Carrots. Product Carbon Footprint Summary, Issued August 2012., Environmental Declaration, 2012</t>
  </si>
  <si>
    <t>CHILDREN CEREALS. Product Carbon Footprint Summary, Issued August 2012., Environmental Declaration, 2012</t>
  </si>
  <si>
    <t>EGG PASTA. Product Carbon Footprint Summary, Issued August 2012., Environmental Declaration, 2012</t>
  </si>
  <si>
    <t>PASTA ORGANIC. Product Carbon Footprint Summary, Issued August 2012., Environmental Declaration, 2012</t>
  </si>
  <si>
    <t>PASTA. Product Carbon Footprint Summary, Issued August 2012., Environmental Declaration, 2012</t>
  </si>
  <si>
    <t>CUCUMBERS. Product Carbon Footprint Summary, Issued August 2012., Environmental Declaration, 2012</t>
  </si>
  <si>
    <t>PEAS. Product Carbon Footprint Summary, Issued August 2012., Environmental Declaration, 2012</t>
  </si>
  <si>
    <t>MUSHROOMS. Product Carbon Footprint Summary, Issued August 2012., Environmental Declaration, 2012</t>
  </si>
  <si>
    <t>CARROTS CANNED. Product Carbon Footprint Summary, Issued August 2012., Environmental Declaration, 2012</t>
  </si>
  <si>
    <t>EGGS. Product Carbon Footprint Summary, Issued August 2012., Environmental Declaration, 2012</t>
  </si>
  <si>
    <t>EGGS ORGANIC. Product Carbon Footprint Summary, Issued August 2012., Environmental Declaration, 2012</t>
  </si>
  <si>
    <t>MILK. Product Carbon Footprint Summary, Issued August 2012., Environmental Declaration, 2012</t>
  </si>
  <si>
    <t>UHT MILK. Product Carbon Footprint Summary, Issued August 2012., Environmental Declaration, 2012</t>
  </si>
  <si>
    <t>CREAM. Product Carbon Footprint Summary, Issued August 2012., Environmental Declaration, 2012</t>
  </si>
  <si>
    <t>BUTTER. Product Carbon Footprint Summary, Issued August 2012., Environmental Declaration, 2012</t>
  </si>
  <si>
    <t>OLIVE OIL ORGANIC. Product Carbon Footprint Summary, Issued August 2012., Environmental Declaration, 2012</t>
  </si>
  <si>
    <t>OLIVE OIL. Product Carbon Footprint Summary, Issued August 2012., Environmental Declaration, 2012</t>
  </si>
  <si>
    <t>Accounting for farm diversity in Life Cycle Assessment studies e the case of poultry production in a tropical island, Journal of Cleaner Production, 2013</t>
  </si>
  <si>
    <t>Greenhouse gas emissions from milk production and consumption in the United States: A cradle-to-grave life cycle assessment circa 2008, International Dairy Journal, 2013</t>
  </si>
  <si>
    <t>Evaluation of indicators to assess the environmental impact of dairy production systems, Agriculture, Ecosystems and Environment, 2005</t>
  </si>
  <si>
    <t>Life cycle assessment of conventional and organic milk production in the Netherlands, Agricultural Systems, 2008</t>
  </si>
  <si>
    <t>Attributional and consequential LCA of milk production, International Journal of Life Cycle Assessment, 2008</t>
  </si>
  <si>
    <t>Relating life cycle assessment indicators to gross value added for Dutch dairy farms, Ecological Economics, 2009</t>
  </si>
  <si>
    <t>Thrane, 2004a</t>
  </si>
  <si>
    <t>Energy Consumption in the Danish Fishery: Identification of Key Factors, Journal of Industrial Ecology, 2004</t>
  </si>
  <si>
    <t>LCA of Danish Fish Products: New methods and insights, International Journal of Life Cycle Assessment, 2006</t>
  </si>
  <si>
    <t>LCA of a tomato crop in a multi-tunnel greenhouse in Almeria, International Journal of Life Cycle Assessment, 2012</t>
  </si>
  <si>
    <t>Environmental and economic assessment of protected crops in four European scenarios, Journal of Cleaner Production, 2012</t>
  </si>
  <si>
    <t>Moving toward scientific LCA for farmers., In: Schenck, R., D. Huizenga. Proceedings of the 9th International Conference on Life Cycle Assessment in the Agri-Food Sector (LCA Food 2014), 8-10 October 2014, San Francisco, USA. ACLCA, Vashon, WA, USA., 2014</t>
  </si>
  <si>
    <t>Life Cycle Assessment of olive oil production in Greece, Journal of Cleaner Production, 2015</t>
  </si>
  <si>
    <t>Tuomisto, 2012a</t>
  </si>
  <si>
    <t>Comparing global warming potential, energy use and land use of organic, conventional and integrated winter wheat production, Annals of Applied Biology, 2012</t>
  </si>
  <si>
    <t>Tyedmers, 2001a</t>
  </si>
  <si>
    <t>Energy consumed by north atlantic fisheries, Fisheries Impacts on North Atlantic Ecosystems: Catch, Effort and National/Regional Data Sets, 2001</t>
  </si>
  <si>
    <t>Klimatpåverkan och förbättringsåtgärder för Lantmännens livsmedel– fallstudie Kronfågels slaktkyckling (Climate Impact and Improvement potentials for Lantmännen’s chicken, in Swedish), Masters Thesis 2008, Dept. of Technology and Society, Environmental and Energy Systems Studies, Lund University, Lund, Sweden., 2008</t>
  </si>
  <si>
    <t>Tzilivakis, 2005a</t>
  </si>
  <si>
    <t>An assessment of the energy inputs and greenhouse gas emissions in sugar beet (Beta vulgaris) production in the UK, Agricultural Systems, 2005</t>
  </si>
  <si>
    <t>Carbon Footprint of cassava starch production in north-eastern Thailand, The 22nd CIRP Conference on Life Cycle Engeneering - Procedia CIRP 29 ( 2015 ) 462 – 467, 2015</t>
  </si>
  <si>
    <t>LCAs for animal products pork, beef, milk and eggs in Finland, 2012, In: Corson, M.S., H.M.G. Van der Werf. Book of Abstract of the 8th International Conference on Life Cycle Assessment in the Agri-Food Sector (LCA Food 2012), 1-4 October 2012, Saint Malo, France. Rennes, France: INRA, 2012., 2012</t>
  </si>
  <si>
    <t>Dichiarazione ambientale di prodotto applicata ai Borlotti freschi cluster 3 sc.1/2, Registration number S-P-00577, Rev. 0.2, Environmental Declaration, 2014</t>
  </si>
  <si>
    <t>Dichiarazione ambientale di prodotto applicata ai Chopped tomatoes “gran cubetti” cluster 3 sc.1/2, Registration number S-P-00579, Rev. 2.2, Environmental Declaration, 2014</t>
  </si>
  <si>
    <t>Dichiarazione ambientale di prodotto applicata Al Nettare di pera Brik 200ml cartone open top 8 cluster x 6 brik, Environmental Declaration, 2014</t>
  </si>
  <si>
    <t>Dichiarazione ambientale di prodotto applicata Al Nettare di pera Brik 200ml cartone open top 8 cluster x 6 brik, Registration number S-P-00578, Rev. 2.2 , Environmental Declaration, 2016</t>
  </si>
  <si>
    <t>An operational method for the evaluation of resource use and environmental impacts of dairy farms by life cycle assessment, Journal of Environmental Management, 2009</t>
  </si>
  <si>
    <t>Eco-efficiency in the production chain of Dutch semi-hard cheese, Livestock Science, 2011</t>
  </si>
  <si>
    <t>van Middelaar, 2013a</t>
  </si>
  <si>
    <t>Evaluation of a feeding strategy to reduce greenhouse gas emissions from dairy farming: The level of analysis matters, Agricultural Systems, 2013</t>
  </si>
  <si>
    <t>Life cycle assessment of horse mackerel fisheries in Galicia (NW Spain): Comparative analysis of two major fishing methods, Fisheries Research, 2010</t>
  </si>
  <si>
    <t>Life Cycle Assessment of fresh hake fillets captured by the Galician fleet in the Northern Stock, Fisheries Research, 2011</t>
  </si>
  <si>
    <t>Vásquez-Rowe, 2012a</t>
  </si>
  <si>
    <t>Joint life cycle assessment and data envelopment analysis of grape production for vinification in the Rías Baixas appellation (NW Spain), Journal of Cleaner Production, 2012</t>
  </si>
  <si>
    <t>Inclusion of discard assessment indicators in fisheries life cycle assessment studies. Expanding the use of fishery-specific impact categories, International Journal of Life Cycle Assessment, 2012</t>
  </si>
  <si>
    <t>Environmental assessment of frozen common octopus(Octopusvulgaris) captured by Spanish fishing vessels in the Mauritanian EEZ, Marine Policy, 2012</t>
  </si>
  <si>
    <t>Carbon footprint of a multi-ingredient seafood product from a business-to-business perspective, Journal of Cleaner Production, 2013</t>
  </si>
  <si>
    <t>Greenhouse gas emissions from the global livestock sector - methodology for a Life Cycle Assessment, 2010., In: Notarnicola, B., E. Settanni, G. Tassielli, P. Giungato, Proceedings of the VII International Conference on Life Cycle Assessment in the Agri-Food Sector (LCA Food 2010), 22-24 September 2010, Bari, Italy. Bari, Italy: Università degli studi di Bari Aldo Moro, 2010. , 2010</t>
  </si>
  <si>
    <t>Comparison of twelve organic and conventional farming system: a life cycle greenhouse gas emissions perspective, Journal of Sustainable Agriculture, 2012</t>
  </si>
  <si>
    <t>Greenhouse gas emissions from the Canadian dairy industry, Agricultural Systems, 2007</t>
  </si>
  <si>
    <t>Greenhouse gas emissions from the Canadian beef industry, Agricultural Systems, 2008</t>
  </si>
  <si>
    <t>Carbon footprint of Canadian dairy products: national and regional assessments, 2012, In: Corson, M.S., H.M.G. Van der Werf. Book of Abstract of the 8th International Conference on Life Cycle Assessment in the Agri-Food Sector (LCA Food 2012), 1-4 October 2012, Saint Malo, France. Rennes, France: INRA, 2012., 2012</t>
  </si>
  <si>
    <t>Carbon footprint of Canadian dairy products: Calculations and issues, Journal of Dairy Science, 2013</t>
  </si>
  <si>
    <t>Energy consumption, greenhouse gas emissions and economic performance assessments in French Charolais suckler cattle arms: Model-based analysis and forecasts, Agricultural Systems, 2010</t>
  </si>
  <si>
    <t>Dichiarazione ambientale di prodotto applicata alla Pasta di semola, Registration number S-P-00491 , Environmental Declaration, 2014</t>
  </si>
  <si>
    <t>Ireland's ecological footprint 2003: applying an area-based indicator of sustainable development, Proceedings of ESAI ENVIRON, 2006., 2006</t>
  </si>
  <si>
    <t>Wang, 2007a</t>
  </si>
  <si>
    <t>Life cycle assessment of the winter wheat-summer maize production system on the North China Plain, International Journal of Sustainable Development and World Ecology, 2007</t>
  </si>
  <si>
    <t>Wang, 2010a</t>
  </si>
  <si>
    <t>Life cycle assessment of a rice production system in Taihu region, China, International Journal of Sustainable Development and World Ecology, 2010</t>
  </si>
  <si>
    <t>Greenhouse gas emissions of realistic dietary choices in Denmark: the carbon footprint and nutritional value of dairy products, Food and Nutrition Research, 2014</t>
  </si>
  <si>
    <t>Life cycle assessment of two Australian pork supply chain, 2010, In: Notarnicola, B., E. Settanni, G. Tassielli, P. Giungato, Proceedings of the VII International Conference on Life Cycle Assessment in the Agri-Food Sector (LCA Food 2010), 22-24 September 2010, Bari, Italy. Bari, Italy: Università degli studi di Bari Aldo Moro, 2010. , 2010</t>
  </si>
  <si>
    <t>Environmental impacts and resource use of Australian beef and lamb exported to the USA determined using life cycle assessment, Journal of Cleaner Production, 2015</t>
  </si>
  <si>
    <t>Using LCA in a forecasting method for reducing environmental impact of dairy farms, 2010., In: Notarnicola, B., E. Settanni, G. Tassielli, P. Giungato, Proceedings of the VII International Conference on Life Cycle Assessment in the Agri-Food Sector (LCA Food 2010), 22-24 September 2010, Bari, Italy. Bari, Italy: Università degli studi di Bari Aldo Moro, 2010. , 2010</t>
  </si>
  <si>
    <t>Determining the environmental burdens and resource use in the production of agricultural and horticultural commodities, Main report, Defra Research Project IS0205. Bedford: Cranfield University and Defra. Available on www.silsoe.cranfield.ac.uk, and www.defra.gov.uk , 2006</t>
  </si>
  <si>
    <t>Strawberry and tomato production for the UK compared between the UK and Spain, 2008, In: “Proceedings of the 6th Int. Conf. on LCA in the Agri-Food Sector, Zurich, November 12–14, 2008”, 2008</t>
  </si>
  <si>
    <t>Environmental burdens of producing bread wheat, oilseed rape and potatoes in England and Wales using simulation and system modelling, International Journal of Life Cycle Assessment, 2010</t>
  </si>
  <si>
    <t>Carbon Footprint and energy use of Norwegian seafood products, SINTEF Fisheries and Aquaculture, 2009</t>
  </si>
  <si>
    <t>Carbon footprint of Irish milk production, 2012, In: Corson, M.S., H.M.G. Van der Werf. Book of Abstract of the 8th International Conference on Life Cycle Assessment in the Agri-Food Sector (LCA Food 2012), 1-4 October 2012, Saint Malo, France. Rennes, France: INRA, 2012., 2012</t>
  </si>
  <si>
    <t>Yan, 2013a</t>
  </si>
  <si>
    <t>The carbon footprint of pasture-based milk production: Can white clover make a difference? , Journal of Dairy Science, 2013</t>
  </si>
  <si>
    <t>Evaluation of environmental load on fruits and vegetables consumption and its reduction potential, Environmental System Research, 2008</t>
  </si>
  <si>
    <t>Feasibility Study of Performing an Life Cycle Assessment on Crude Palm Oil Production in Malaysia, International Journal of Life Cycle Assessment, 2007</t>
  </si>
  <si>
    <t>Carbon footprint of sugar produced from sugarcane in eastern Thailand, Journal of Cleaner Production, 2011</t>
  </si>
  <si>
    <t>Zafiriou, 2012a</t>
  </si>
  <si>
    <t>Analysis of energy flow and greenhouse gas emissions in organic, integrated and conventional cultivation of white asparagus by PCA and HCA: cases in Greece, Journal of Cleaner Production, 2012</t>
  </si>
  <si>
    <t>Environmental Product Declaration for 1 kg of wikifruit (inclusive of peel) eaten by the consumers,Registration Number UN CPC 01342, Rev. 1 , Environmental Declaration, 2011</t>
  </si>
  <si>
    <t>Ziegler, 2003a</t>
  </si>
  <si>
    <t>Life Cycle Assessment of Frozen Cod Fillets Including Fishery-Specific Environmental Impacts, International Journal of Life Cycle Assessment, 2003</t>
  </si>
  <si>
    <t>Valentinsson. Environmental life cycle assessment of Norway lobster (Nephrops norvegicus) caught along the Swedish west coast by creels and conventional trawls—LCA methodology with case study, International Journal of Life Cycle Assessment, 2008</t>
  </si>
  <si>
    <t>Ziegler, 2009a</t>
  </si>
  <si>
    <t>Life cycle assessment of southern pink shrimp products from Senegal - An environmental comparison between artisanal fisheries in the Casamance region and a trawl fishery based in Dakar, FAO Rome, 2009</t>
  </si>
  <si>
    <t>Extended Life Cycle Assessment of Southern Pink Shrimp Products Originating in Senegalese Artisanal and Industrial Fisheries for Export to Europe, Journal of Industrial Ecology, 2011</t>
  </si>
  <si>
    <t>Arroz</t>
  </si>
  <si>
    <t>Feijão</t>
  </si>
  <si>
    <t>Outras leguminosas</t>
  </si>
  <si>
    <t>assado</t>
  </si>
  <si>
    <t>cru</t>
  </si>
  <si>
    <t>frito</t>
  </si>
  <si>
    <t>grelhado</t>
  </si>
  <si>
    <t>refogado</t>
  </si>
  <si>
    <t>Frutas e sucos in natura</t>
  </si>
  <si>
    <t>empanado</t>
  </si>
  <si>
    <t>Legumes e verduras</t>
  </si>
  <si>
    <t>Raízes e tubérculos</t>
  </si>
  <si>
    <t>milho trigo aveia macarrao</t>
  </si>
  <si>
    <t>Carne vermelha</t>
  </si>
  <si>
    <t>Aves e outras carnes</t>
  </si>
  <si>
    <t>Peixes</t>
  </si>
  <si>
    <t>Frutos do mar</t>
  </si>
  <si>
    <t>Ovos</t>
  </si>
  <si>
    <t>Outros cereais</t>
  </si>
  <si>
    <t>Leite</t>
  </si>
  <si>
    <t>Café e cha</t>
  </si>
  <si>
    <t>Nozes e sementes</t>
  </si>
  <si>
    <t>Gordura animal</t>
  </si>
  <si>
    <t>Outros G2</t>
  </si>
  <si>
    <t>Açúcar de mesa</t>
  </si>
  <si>
    <t>Pão francês</t>
  </si>
  <si>
    <t>Queijos processados</t>
  </si>
  <si>
    <t>Conservas de verduras, legumes e leguminosas</t>
  </si>
  <si>
    <t>Carnes processadas</t>
  </si>
  <si>
    <t>Conservas de frutas</t>
  </si>
  <si>
    <t>Bebidas alcoolicas fermentadas (fermentados)</t>
  </si>
  <si>
    <t>Bolacha salgada e salgadinho</t>
  </si>
  <si>
    <t>Doces</t>
  </si>
  <si>
    <t>Cereais Matinais</t>
  </si>
  <si>
    <t>Panificados doces (produtos panificados)</t>
  </si>
  <si>
    <t>Pães ultraprocessados</t>
  </si>
  <si>
    <t>Queijos ultraprocessados</t>
  </si>
  <si>
    <t>Carnes ultraprocessadas</t>
  </si>
  <si>
    <t>Molhos</t>
  </si>
  <si>
    <t>Refeições prontas</t>
  </si>
  <si>
    <t>Refrigerantes</t>
  </si>
  <si>
    <t>Sucos artificiais</t>
  </si>
  <si>
    <t>Bebidas lácteas</t>
  </si>
  <si>
    <t>Outras bebidas</t>
  </si>
  <si>
    <t>Bebidas alcoolicas destiladas</t>
  </si>
  <si>
    <t>Adocante</t>
  </si>
  <si>
    <r>
      <t>(gCO</t>
    </r>
    <r>
      <rPr>
        <b/>
        <vertAlign val="subscript"/>
        <sz val="11"/>
        <color rgb="FF000000"/>
        <rFont val="Times New Roman"/>
        <family val="1"/>
      </rPr>
      <t>2</t>
    </r>
    <r>
      <rPr>
        <b/>
        <sz val="11"/>
        <color rgb="FF000000"/>
        <rFont val="Times New Roman"/>
        <family val="1"/>
      </rPr>
      <t>e)</t>
    </r>
  </si>
  <si>
    <t>Arroz, polido, cozido, c/ óleo, cebola e alho, c/ sal</t>
  </si>
  <si>
    <t>ARROZ BRANCO</t>
  </si>
  <si>
    <t>Arroz, integral, cozido, c/ óleo, cebolha e alho, c/ sal</t>
  </si>
  <si>
    <t>ARROZ, 3 GRAOS</t>
  </si>
  <si>
    <t>ARROZ, 7 GRAOS</t>
  </si>
  <si>
    <t>Canjica, milho, branca, cozida, drenada</t>
  </si>
  <si>
    <t>TRIGO EM GRAO</t>
  </si>
  <si>
    <t>Trigo para quibe, cozido, s/ sal</t>
  </si>
  <si>
    <t>Amendoim, grão, cru</t>
  </si>
  <si>
    <t>Ervilha, grão, seca, partida, cozida, drenada, s/ óleo, c/ sal</t>
  </si>
  <si>
    <t>Fava, grão, seco, cozida, drenada, s/ óleo, c/ sal</t>
  </si>
  <si>
    <t>MANGALO</t>
  </si>
  <si>
    <t>Orelha-de-padre, semente, seca, remolho em água, cozida, drenada, s/ óleo, c/ sal</t>
  </si>
  <si>
    <t>Feijão, fradinho, cozido (50% grão e 50% caldo), c/ óleo, cebola e alho, c/ sal</t>
  </si>
  <si>
    <t>Linhaça, semente</t>
  </si>
  <si>
    <t>LINHACA NAO ESPECIFICADA</t>
  </si>
  <si>
    <t>Feijão, guandu, grão, seco, cozido (50% grão e 50% caldo), s/ óleo, cebola e alho, c/ sal</t>
  </si>
  <si>
    <t>Grão de bico, cozido, dreando, s/ óleo, c/ sal</t>
  </si>
  <si>
    <t>Lentilha, cozida, drenada, c/ óleo, cebola e alho, c/ sal</t>
  </si>
  <si>
    <t>Soja, grão, cozido, drenado, c/ sal</t>
  </si>
  <si>
    <t>Feijão, carioca, cozido (50% grão e 50% caldo), c/ óleo, cebola e alho, c/ sal</t>
  </si>
  <si>
    <t>SEMENTES DE ABOBORA</t>
  </si>
  <si>
    <t>Semente de abóbora, inteira, torrada, s/ óleo, s/ sal</t>
  </si>
  <si>
    <t>PIPOCA LIGHT</t>
  </si>
  <si>
    <t>Milho, pipoca, micro-ondas, light, preparado</t>
  </si>
  <si>
    <t>Quinoa, grão, cozida, s/ óleo, s/ sal</t>
  </si>
  <si>
    <t>CHIA</t>
  </si>
  <si>
    <t>Chia, semente, seca</t>
  </si>
  <si>
    <t>SEMENTES DE GIRASSOL</t>
  </si>
  <si>
    <t>Semente de girassol, torrada, s/ óleo, s/ sal</t>
  </si>
  <si>
    <t>Batata, inglesa, s/ casca, assada, s/ óleo, c/ sal</t>
  </si>
  <si>
    <t>Batata, inglesa, s/ casca, cozida, drenada, c/ óleo de soja, c/ sal</t>
  </si>
  <si>
    <t>Batata, inglesa, s/ casca, cozida, drenada, s/ óleo, c/ sal</t>
  </si>
  <si>
    <t>Batata, inglesa, frita, c/ sal</t>
  </si>
  <si>
    <t>Batata, inglesa, sauté (c/ margarina e salsa), c/ sal</t>
  </si>
  <si>
    <t>Batata baroa (mandioquinha, batata salsa), cozida, drenada, s/ óleo, c/ sal</t>
  </si>
  <si>
    <t>Batata, baroa (mandioquinha, batata salsa), cozida, s/ casca, drenada, c/ óleo de soja, c/ sal</t>
  </si>
  <si>
    <t>Batata, baroa (mandioquinha, batata salsa), s/ casca, sauté (c/ margarina e salsa), c/ sal</t>
  </si>
  <si>
    <t>Batata, doce, s/ casca, assada, salsa, s/ óleo, c/ pimenta-do-reino, c/ sal</t>
  </si>
  <si>
    <t>Batata, doce, s/ casca, cozida, drenada, c/ óleo de soja, c/ sal</t>
  </si>
  <si>
    <t>Batata, doce, s/ casca, cozida, drenada, s/ óleo, c/ sal</t>
  </si>
  <si>
    <t>Batata, doce, s/ casca, frita, c/ sal</t>
  </si>
  <si>
    <t>Batata, doce, s/ casca, sauté (c/ margarina e salsa), c/ sal</t>
  </si>
  <si>
    <t>Inhame, s/ casca, assado, s/ óleo, c/ sal</t>
  </si>
  <si>
    <t>Inhame, c/ casca, cozido, drenado, c/ óleo de soja, s/ sal</t>
  </si>
  <si>
    <t>Inhame, s/ casca, cozido, drenado, s/ óleo, c/ sal</t>
  </si>
  <si>
    <t>Inhame, s/ casca, refogado (c/ óleo, cebola e alho), c/ sal</t>
  </si>
  <si>
    <t>Mandioca, s/ casca, cozida, assada, s/ óleo, c/ sal</t>
  </si>
  <si>
    <t>Mandioca, s/ casca, cozida, c/ óleo de soja, c/ sal</t>
  </si>
  <si>
    <t>Mandioca (aipim, macaxeira), s/ casca, cozida, drenada, s/ óleo, c/ sal</t>
  </si>
  <si>
    <t>Mandioca (aipim, macaxeira), frita, c/ sal</t>
  </si>
  <si>
    <t>Mandioca, s/ casca, cozida, sauté (c/ margarina e salsa), c/ sal</t>
  </si>
  <si>
    <t>Cará, cozido, drenada, s/ óleo, c/ sal</t>
  </si>
  <si>
    <t>Cará, s/ casca, cozido, drenado, c/ óleo de soja, c/ sal</t>
  </si>
  <si>
    <t>Cará, refogada (c/ óleo, cebola e alho), c/ sal</t>
  </si>
  <si>
    <t>BATATA (NÃO ESPECIFICADA)</t>
  </si>
  <si>
    <t>Batata, baroa (mandioquinha, batata salsa), s/ casca, frita, c/ sal</t>
  </si>
  <si>
    <t>Rabanete, c/ casca, cozido, drenado, s/ óleo, c/ sal</t>
  </si>
  <si>
    <t>Rabanete, c/ casca, cru</t>
  </si>
  <si>
    <t>Beterraba, cozida, drenada, s/ óleo, c/ sal</t>
  </si>
  <si>
    <t>Salada, beterraba cozida, c/ óleo de soja, c/ sal</t>
  </si>
  <si>
    <t>Beterraba, s/ casca, crua</t>
  </si>
  <si>
    <t>Beterraba, refogada (c/ óleo, cebola e alho), c/ sal</t>
  </si>
  <si>
    <t>Cenoura, s/ casca, cozida, drenada, s/ óleo, c/ sal</t>
  </si>
  <si>
    <t>Cenoura, s/ casca, cozida, drenada, c/ óleo de soja, c/ sal</t>
  </si>
  <si>
    <t>Cenoura, s/ casca, crua</t>
  </si>
  <si>
    <t>Cenoura, s/ casca, refogada (c/ óleo, cebola e alho), c/ sal</t>
  </si>
  <si>
    <t>Nabo, s/ casca, cozido, drenado, s/ óleo, c/ sal</t>
  </si>
  <si>
    <t>Nabo, c/ casca, cru</t>
  </si>
  <si>
    <t>Açafrão, pistilo, in natura</t>
  </si>
  <si>
    <t>GENGIBRE</t>
  </si>
  <si>
    <t>Gengibre, raiz, in natura</t>
  </si>
  <si>
    <t>Arroz, creme, cozido, s/ tempero</t>
  </si>
  <si>
    <t>Mingau, farinha de cereais, c/ leite integral</t>
  </si>
  <si>
    <t>FLOCOS, ARROZ</t>
  </si>
  <si>
    <t>Biscoito, arroz</t>
  </si>
  <si>
    <t>Arroz, farinha, crua (média  de diferentes marcas)</t>
  </si>
  <si>
    <t>Aveia, crua (média de diferentes tipos)</t>
  </si>
  <si>
    <t>Milho, polenta/fubá, cozido, c/ sal</t>
  </si>
  <si>
    <t>Mingau, de amido de milho (maisena)</t>
  </si>
  <si>
    <t>MINGAU DE CHOCOLATE</t>
  </si>
  <si>
    <t>MINGAU DE MAIZENA</t>
  </si>
  <si>
    <t>MINGAU DE NESTON</t>
  </si>
  <si>
    <t>Cuscuz de milho, cozido, c/ sal</t>
  </si>
  <si>
    <t>Cereal matinal (média de diferentes marcas)</t>
  </si>
  <si>
    <t>Trigo, farelo</t>
  </si>
  <si>
    <t>Mandioca, farinha, crua</t>
  </si>
  <si>
    <t>Sagu, mandioca, preparado c/ vinho tinto, c/ açúcar</t>
  </si>
  <si>
    <t>Tapioca, sem manteiga, sem recheio</t>
  </si>
  <si>
    <t>Cereais, farinha, láctea</t>
  </si>
  <si>
    <t>Cereais, farinha</t>
  </si>
  <si>
    <t>Cereal matinal, milho</t>
  </si>
  <si>
    <t>FLOCOS NAO ESPECIFICADO</t>
  </si>
  <si>
    <t>FLOCOS, TRIGO</t>
  </si>
  <si>
    <t>Soja, farinha, c/ casca, desengordurada</t>
  </si>
  <si>
    <t>Pastel, frito, caseiro (média de diferentes recheios)</t>
  </si>
  <si>
    <t>Macarrão, trigo, c/ ovos, c/ alho e óleo, c/ sal</t>
  </si>
  <si>
    <t>Macarrão, trigo, cozido, drenado, s/ óleo, c/ sal</t>
  </si>
  <si>
    <t>Purê, batata, inglesa, c/ sal</t>
  </si>
  <si>
    <t>PURE DE ABOBORA / JERIMUM / GERIMUM</t>
  </si>
  <si>
    <t>Purê de abóbora</t>
  </si>
  <si>
    <t>PURE DE INHAME</t>
  </si>
  <si>
    <t>PURE DE MANDIOCA</t>
  </si>
  <si>
    <t>Soja, proteína, texturizada, hidratada (c/ caldo de legumes), refogada, c/ óleo, cebola e alho, c/ sal</t>
  </si>
  <si>
    <t>Amendoim, torrado, c/ sal</t>
  </si>
  <si>
    <t>Cereais, granola, caseira</t>
  </si>
  <si>
    <t>Macarrão, trigo, intantâneo, c/ tempero, cozido, drenado (preparado conforme a embalagem)</t>
  </si>
  <si>
    <t>Suplemento nutricional, Sustagen</t>
  </si>
  <si>
    <t>NUTREN, ENSURE, SUSTEN</t>
  </si>
  <si>
    <t>Cereais, farinha, p/ crianças (média de diferentes sabores)</t>
  </si>
  <si>
    <t>Macarrão, c/ molho bolonhesa, c/ sal</t>
  </si>
  <si>
    <t>Macarrão, trigo, c/ ovos, c/ peixe, água doce, refogado (c/ óleo, cebola e alho), c/ sal</t>
  </si>
  <si>
    <t>MACARRONESE</t>
  </si>
  <si>
    <t>Macarrão, trigo, c/ vegetais, c/ sal</t>
  </si>
  <si>
    <t>SALADA DE MACARRAO</t>
  </si>
  <si>
    <t>SALADA DE MACARRAO COM MAIONESE</t>
  </si>
  <si>
    <t>MASSA / MACARRAO, INTEGRAL</t>
  </si>
  <si>
    <t>Macarrão, trigo, integral, cozido, drenado, s/ óleo, c/ sal</t>
  </si>
  <si>
    <t>MASSA / MACARRAO, SEM GLUTEN</t>
  </si>
  <si>
    <t>MASSA, ARROZ (TIPO BIFUM)</t>
  </si>
  <si>
    <t>SUPLEMENTO PROTEICO E OUTROS</t>
  </si>
  <si>
    <t>Suplemento, à base de proteina, em pó</t>
  </si>
  <si>
    <t>VITAMINAS, MINERAIS E OUTROS</t>
  </si>
  <si>
    <t>Coco, polpa, in natura</t>
  </si>
  <si>
    <t>COCO SECO</t>
  </si>
  <si>
    <t>COCO VERDE</t>
  </si>
  <si>
    <t>Pinhão, cozido, s/ sal</t>
  </si>
  <si>
    <t>Amêndoa, torrada, c/ sal</t>
  </si>
  <si>
    <t>Avelã , crua, s/ sal</t>
  </si>
  <si>
    <t>Castanha do Brasil, crua</t>
  </si>
  <si>
    <t>CASTANHA DO BRASIL</t>
  </si>
  <si>
    <t>NOZES DO PARA</t>
  </si>
  <si>
    <t>Castanha de caju, crua, s/ sal</t>
  </si>
  <si>
    <t>COCO OURICURI</t>
  </si>
  <si>
    <t>Pupunha, fruto, cozido, s/ sal</t>
  </si>
  <si>
    <t>LICURI</t>
  </si>
  <si>
    <t>COCO BABACU</t>
  </si>
  <si>
    <t>Tucumã, in natura</t>
  </si>
  <si>
    <t>BOCAIUVA</t>
  </si>
  <si>
    <t>Macaúba, raw</t>
  </si>
  <si>
    <t>Noz, crua</t>
  </si>
  <si>
    <t>Açaí, polpa (média de amostras)</t>
  </si>
  <si>
    <t>COCO PUPUNHA</t>
  </si>
  <si>
    <t>Pistache, cru, s/ sal</t>
  </si>
  <si>
    <t>CASTANHAS NAO ESPECIFICADAS</t>
  </si>
  <si>
    <t>Caju, castanha, torrada, c/ sal</t>
  </si>
  <si>
    <t>CASTANHAS E SEMENTES, MISTURA</t>
  </si>
  <si>
    <t>NOZ PECAN</t>
  </si>
  <si>
    <t>TAHINI, PASTA</t>
  </si>
  <si>
    <t>Tahini (pasta de gergelim)</t>
  </si>
  <si>
    <t>Alface, crua</t>
  </si>
  <si>
    <t>Salada, alface crespa, c/ óleo de soja, c/ sal</t>
  </si>
  <si>
    <t>Espinafre, folha, refogada (c/ óleo, cebola e alho), c/ sal</t>
  </si>
  <si>
    <t>Chicória, refogada (c/ óleo, cebola e alho), c/ sal</t>
  </si>
  <si>
    <t>Chicória, cozida, drenada, s/ óleo, c/ sal</t>
  </si>
  <si>
    <t>Chicória, crua</t>
  </si>
  <si>
    <t>ENDIVIA</t>
  </si>
  <si>
    <t>Couve, cozida, drenada, s/ óleo, c/ sal</t>
  </si>
  <si>
    <t>Couve, cozida, drenada, c/ óleo de soja, c/ sal</t>
  </si>
  <si>
    <t>Couve, crua</t>
  </si>
  <si>
    <t>Couve, manteiga, refogada (c/ óleo, cebola e alho), c/ sal</t>
  </si>
  <si>
    <t>Salada, couve-flor, cozida, c/ óleo de soja, c/ sal</t>
  </si>
  <si>
    <t>Couve-flor, cozida, drenada, s/ óleo, c/ sal</t>
  </si>
  <si>
    <t>Couve-for, à milanesa (farinha de trigo, ovo e farinha de rosca), frita em imersão, c/ sal</t>
  </si>
  <si>
    <t>Espinafre, folha, cozida, drenado, s/ óleo, c/ sal</t>
  </si>
  <si>
    <t>Espinafre, folha, cru</t>
  </si>
  <si>
    <t>Mostarda, cozida, drenada, c/ óleo de soja, c/ sal</t>
  </si>
  <si>
    <t>Mostarda, folha, crua</t>
  </si>
  <si>
    <t>Mostarda, folha, refogada (c/ óleo, cebola e alho), c/ sal</t>
  </si>
  <si>
    <t>Repolho, branco, cozido, drenado, c/ óleo de soja, c/ sal</t>
  </si>
  <si>
    <t>Repolho, branco, cozido, drenado, s/ óleo, c/ sal</t>
  </si>
  <si>
    <t>Repolho, cru</t>
  </si>
  <si>
    <t>Repolho, branco, refogado (c/ óleo, cebola e alho), c/ sal</t>
  </si>
  <si>
    <t>REPOLHO ROXO</t>
  </si>
  <si>
    <t>Repolho, roxo, cozido, drenado, s/ óleo, c/ sal</t>
  </si>
  <si>
    <t>Repolho, roxo, cru</t>
  </si>
  <si>
    <t>Repolho, roxo, refogado (c/ óleo, cebola e alho), c/ sal</t>
  </si>
  <si>
    <t>REPOLHO VERDE</t>
  </si>
  <si>
    <t>Cebolinha, verde, cozida, s/ óleo, c/ sal</t>
  </si>
  <si>
    <t>Cebolinha, verde, crua</t>
  </si>
  <si>
    <t>Agrião, cozido, drenado, c/ óleo de soja, c/ sal</t>
  </si>
  <si>
    <t>Agrião, cru</t>
  </si>
  <si>
    <t>Taioba, folha, refogada (c/ óleo, cebolha e alho), c/ sal</t>
  </si>
  <si>
    <t>Taioba, folha, cozida, drenada, s/ óleo, c/ sal</t>
  </si>
  <si>
    <t>Taioba, folha, crua</t>
  </si>
  <si>
    <t>Acelga, cozida, drenada, s/ óleo, c/ sal</t>
  </si>
  <si>
    <t>Acelga, crua</t>
  </si>
  <si>
    <t>Acelga, refogada, (c/ óleo, cebola e alho), c/ sal</t>
  </si>
  <si>
    <t>Almeirão, refogado (c/ óleo, cebola e alho), c/ sal</t>
  </si>
  <si>
    <t>Almeirão, cozido, drenado, s/ óleo, c/ sal</t>
  </si>
  <si>
    <t>Almeirão, cru</t>
  </si>
  <si>
    <t>Brócolos, flor, cozido, drenado, s/ óleo, c/ sal</t>
  </si>
  <si>
    <t>Salada, brócolis, cozido, c/ óleo de soja, c/ sal</t>
  </si>
  <si>
    <t>Brócolis, flor, à milanesa (farinha de trigo, ovo e farinha de rosca), frita em imersão, c/ sal</t>
  </si>
  <si>
    <t>Brócolis, flor, refogado (c/ óleo, cebola e alho), c/ sal</t>
  </si>
  <si>
    <t>Serralha, folha, refogada (c/ óleo, cebola e alho), c/ sal</t>
  </si>
  <si>
    <t>Serralha, folha, crua</t>
  </si>
  <si>
    <t>Caruru, cozido, drenado, s/ óleo, c/ sal</t>
  </si>
  <si>
    <t>Lingua de vaca, in natura</t>
  </si>
  <si>
    <t>Rúcula, cozida, s/ óleo, c/ sal</t>
  </si>
  <si>
    <t>Rúcula, crua</t>
  </si>
  <si>
    <t>Rúcula, refogada (c/ óleo, cebola e alho), c/ sal</t>
  </si>
  <si>
    <t>Jambu, in natura</t>
  </si>
  <si>
    <t>Lingua de vaca, cozida, s/ óleo, s/ sal</t>
  </si>
  <si>
    <t>Aipo (salsão), cozido, drenado, s/ óleo, c/ sal</t>
  </si>
  <si>
    <t>COUVE CHINESA</t>
  </si>
  <si>
    <t>Feijão, broto, cozido, drenado, s/ óleo, c/ sal</t>
  </si>
  <si>
    <t>Feijão, broto, cru</t>
  </si>
  <si>
    <t>Abóbora, moranga, s/ casca, s/ semente, assada, s/ óleo, c/ sal</t>
  </si>
  <si>
    <t>Abóbora, moranga, s/ casca, s/ semente, cozida, drenada, c/ óleo de soja, c/ sal</t>
  </si>
  <si>
    <t>Abóbora, moranga, s/ casca, s/ semente, cozida, drenada, s/ óleo, c/ sal</t>
  </si>
  <si>
    <t>Abóbora, moranga, refogada (c/ óleo, cebolha e alho), c/ sal</t>
  </si>
  <si>
    <t>Abobrinha, italiana, c/ casca, grelhada, s/ gordura, c/ sal</t>
  </si>
  <si>
    <t>Abobrinha, italiana, c/ casca, cozida, drenada, c/ óleo de soja, c/ sal</t>
  </si>
  <si>
    <t>Abobrinha, italiana, c/ casca, cozida, drenada, s/ óleo, c/ sal</t>
  </si>
  <si>
    <t>Abobrinha, italiana, c/ casca, crua</t>
  </si>
  <si>
    <t>Abobrinha, italiana, c/ casca, à milanesa (farinha de trigo, ovo e farinha de rosca), frita em imersão, c/ sal</t>
  </si>
  <si>
    <t>Abobrinha, italiana, c/ casca, refogada (c/ óleo, cebola e alho), c/ sal</t>
  </si>
  <si>
    <t>CAXI</t>
  </si>
  <si>
    <t>Abóbora, pescoço, s/ casca, s/ semente, cozida, drenada, s/ óleo, c/ sal</t>
  </si>
  <si>
    <t>Pepino, c/ casca, cru</t>
  </si>
  <si>
    <t>Salada, pepino, c/ óleo de soja, c/ sal</t>
  </si>
  <si>
    <t>Chuchu, s/ casca, cozido, drenado, c/ óleo de soja, c/ sal</t>
  </si>
  <si>
    <t>Chuchu, s/ casca, cozido, drenado, s/ óleo, c/ sal</t>
  </si>
  <si>
    <t>Chuchu, s/ casca, refogado (c/ óleo, cebola e alho), c/ sal</t>
  </si>
  <si>
    <t>CHUCHU AO FORNO</t>
  </si>
  <si>
    <t>Chuchu, s/ casca, cozido, c/ molho branco (farinha de trigo, manteiga e leite), gratinado, c/ queijo parmesão, c/ sal</t>
  </si>
  <si>
    <t>Jiló, c/ casca, cozido, drenado, c/ óleo de soja, c/ sal</t>
  </si>
  <si>
    <t>Jiló, c/ casca, cozido, drenado, s/ óleo,  c/ sal</t>
  </si>
  <si>
    <t>Jiló, c/ casca, frito, c/ sal</t>
  </si>
  <si>
    <t>Jiló, c/ casca, refogado (c/ óleo, cebola e alho), c/ sal</t>
  </si>
  <si>
    <t>Maxixe, c/ casca, cozido, drenado, c/ óleo de soja, c/ sal</t>
  </si>
  <si>
    <t>Maxixe, c/ casca, cozido, drenado, s/ óleo, c/ sal</t>
  </si>
  <si>
    <t>Maxixe, madure, c/ casca, cru</t>
  </si>
  <si>
    <t>Maxixe, c/ casca, refogado (c/ óleo, cebola e alho), c/ sal</t>
  </si>
  <si>
    <t>Salada, palmito, c/ óleo de soja, c/ sal</t>
  </si>
  <si>
    <t>Palmito, conversa, drenado (média de variedades - Pupunha e Juçara)</t>
  </si>
  <si>
    <t>GUEROBA / GUEIROBA (PALMITO IN NATURA)</t>
  </si>
  <si>
    <t>Pimentão, assado, c/ sal</t>
  </si>
  <si>
    <t>Pimentão, refogado, c/ sal</t>
  </si>
  <si>
    <t>Pimentão, cozido, drenado, c/ sal</t>
  </si>
  <si>
    <t>Pimentão, cru</t>
  </si>
  <si>
    <t>PIMENTA MALAGUETA</t>
  </si>
  <si>
    <t>Pimenta, vermelha, caiena, in natura</t>
  </si>
  <si>
    <t>Quiabo, c/ casca, cozido, drenado, c/ óleo de soja, c/ sal</t>
  </si>
  <si>
    <t>Quiabo, c/ casca, cozido, drenado, s/ óleo, c/ sal</t>
  </si>
  <si>
    <t>Quiabo, c/ casca, refogado (c/ óleo, cebola e alho), c/ sal</t>
  </si>
  <si>
    <t>Tomate, maduro, assado, s/ óleo, c/ sal</t>
  </si>
  <si>
    <t>Tomate, refogado (c/ óleo de soja, cebola e alho), c/ sal</t>
  </si>
  <si>
    <t>Tomate, maduro, cozido, s/ óleo, c/ sal</t>
  </si>
  <si>
    <t>Tomate, in natura</t>
  </si>
  <si>
    <t>Vagem, cozida, drenada, s/ óleo, c/ sal (média de diferentes amostras)</t>
  </si>
  <si>
    <t>Vagem, cozida, drenada, c/ óleo de soja, c/ sal</t>
  </si>
  <si>
    <t>Vagem, refogada (c/ óleo, cebola e alho), c/ sal</t>
  </si>
  <si>
    <t>Cogumelo, Paris, cozido, drenado, s/ óleo, c/ sal</t>
  </si>
  <si>
    <t>Cogumelo, Paris, cozido, c/ salsa, pimenta-do-reino, c/ manteiga, c/ sal</t>
  </si>
  <si>
    <t>Champignon, Paris, cru</t>
  </si>
  <si>
    <t>Berinjela, c/ casca, grelhada, s/ gordura, c/ sal</t>
  </si>
  <si>
    <t>Beringela, c/ casca, cozida, drenada, c/ óleo de soja, c/ sal</t>
  </si>
  <si>
    <t>Beringela, c/ casca, cozida, drenada, s/ óleo, c/ sal</t>
  </si>
  <si>
    <t>Berinjela, c/ casca, crua</t>
  </si>
  <si>
    <t>Beringela, c/ casca, à milanesa (farinha de trigo, ovo e farinha de rosca), frita em imersão, c/ sal</t>
  </si>
  <si>
    <t>Berinjela, refogada (c/ óleo, cebola e alho), c/ sal</t>
  </si>
  <si>
    <t>Ervilha, em vagem, fresca, cozida, drenada, s/ óleo, c/ sal</t>
  </si>
  <si>
    <t>Ervilha, em vagem, refogada (c/ óleo, cebola e alho), c/ sal</t>
  </si>
  <si>
    <t>CABACA</t>
  </si>
  <si>
    <t>Cebola, branca, assada, s/ óleo, c/ sal</t>
  </si>
  <si>
    <t>Cebola, branca, refogada, c/ óleo de soja, c/ sal</t>
  </si>
  <si>
    <t>Cebola, branca, cozida, s/ óleo, c/ sal</t>
  </si>
  <si>
    <t>Cebola, branca, crua</t>
  </si>
  <si>
    <t>CEBOLA ROXA</t>
  </si>
  <si>
    <t>NIRA</t>
  </si>
  <si>
    <t>Legumes, seleta, enlatada, drenada</t>
  </si>
  <si>
    <t>Alho, refogado c/ óleo de soja, s/ sal</t>
  </si>
  <si>
    <t>Alho, cru</t>
  </si>
  <si>
    <t>Alho-poró, cru</t>
  </si>
  <si>
    <t>Broto de alfafa, s/ óleo, c/ sal</t>
  </si>
  <si>
    <t>Broto de alfafa, in natura</t>
  </si>
  <si>
    <t>Broto de alfafa, c/ óleo de soja, c/ sal</t>
  </si>
  <si>
    <t>Salsa, cozida, drenada, s/ óleo, s/ sal</t>
  </si>
  <si>
    <t>Salsa, crua</t>
  </si>
  <si>
    <t>Orégano, seco</t>
  </si>
  <si>
    <t>ASPARGOS FRESCO</t>
  </si>
  <si>
    <t>Aspargo, cozido, s/ óleo, c/ sal</t>
  </si>
  <si>
    <t>MASTRUZ</t>
  </si>
  <si>
    <t>ORA-PRO-NOBIS</t>
  </si>
  <si>
    <t>VEGETAIS FOLHOSOS NAO ESPECIFICADOS</t>
  </si>
  <si>
    <t>VEGETAIS NAO ESPECIFICADOS</t>
  </si>
  <si>
    <t>Salada de legumes, cozidos no vapor</t>
  </si>
  <si>
    <t>Legumes refogados, c/ sal</t>
  </si>
  <si>
    <t>ALCAPARRAS</t>
  </si>
  <si>
    <t>Alcaparra, conserva</t>
  </si>
  <si>
    <t>ALGAS</t>
  </si>
  <si>
    <t>Nori, alga, seca</t>
  </si>
  <si>
    <t>BANANA-ROXA</t>
  </si>
  <si>
    <t>Banana, da terra, assada, s/ adição de ingredientes</t>
  </si>
  <si>
    <t>Banana, da terra, in natura</t>
  </si>
  <si>
    <t>BANANA-SAO-TOME</t>
  </si>
  <si>
    <t>BANANA DA TERRA</t>
  </si>
  <si>
    <t>Banana, da terra, à milanesa (farinha de trigo, ovo e farinha de rosca), frita em imersão, s/ açúcar</t>
  </si>
  <si>
    <t>Banana, da terra, frita, c/ óleo de soja</t>
  </si>
  <si>
    <t>BANANA-PACOVA</t>
  </si>
  <si>
    <t>BANANA (OURO, PRATA, D´ÁGUA, DA TERRA, ETC)</t>
  </si>
  <si>
    <t>Banana, in natura</t>
  </si>
  <si>
    <t>Laranja, in natura</t>
  </si>
  <si>
    <t>Laranja, Lima, in natura</t>
  </si>
  <si>
    <t>Limão, cravo, in natura</t>
  </si>
  <si>
    <t>Tangerina, Ponkã, in natura</t>
  </si>
  <si>
    <t>GRAPEFRUIT / TORANJA</t>
  </si>
  <si>
    <t>Cana, caldo (garapa)</t>
  </si>
  <si>
    <t>Abacaxi, cozida, caramelada</t>
  </si>
  <si>
    <t>Abacaxi, polpa, in natura</t>
  </si>
  <si>
    <t>Abacate, polpa, in natura</t>
  </si>
  <si>
    <t>Caqui, in natura</t>
  </si>
  <si>
    <t>Figo, in natura</t>
  </si>
  <si>
    <t>Maçã, c/ casca, in natura</t>
  </si>
  <si>
    <t>Mamão, polpa, in natura</t>
  </si>
  <si>
    <t>Mamão, Papaia, polpa, in natura</t>
  </si>
  <si>
    <t>Manga, polpa, in natura</t>
  </si>
  <si>
    <t>Maracujá, amarelo, polpa, in natura</t>
  </si>
  <si>
    <t>Melancia, polpa, in natura</t>
  </si>
  <si>
    <t>Melão, polpa, in natura</t>
  </si>
  <si>
    <t>Pera, in natura</t>
  </si>
  <si>
    <t>Pêssego, in natura</t>
  </si>
  <si>
    <t>Pinha, in natura</t>
  </si>
  <si>
    <t>Uva, in natura</t>
  </si>
  <si>
    <t>Uva, passa, preta</t>
  </si>
  <si>
    <t>Cacau, in natura</t>
  </si>
  <si>
    <t>Jaca, crua</t>
  </si>
  <si>
    <t>Goiaba, inteira, in natura</t>
  </si>
  <si>
    <t>Ameixa, in natura</t>
  </si>
  <si>
    <t>Caqui, polpa, in natura</t>
  </si>
  <si>
    <t>Cereja, in natura</t>
  </si>
  <si>
    <t>Cajá-Manga, in natura</t>
  </si>
  <si>
    <t>CAJA</t>
  </si>
  <si>
    <t>Carambola, in natura</t>
  </si>
  <si>
    <t>JABUTICABA / JABOTICABA</t>
  </si>
  <si>
    <t>Jabuticaba, in natura</t>
  </si>
  <si>
    <t>Graviola, in natura</t>
  </si>
  <si>
    <t>ARATICUM</t>
  </si>
  <si>
    <t>Morango, in natura</t>
  </si>
  <si>
    <t>Jambo, in natura</t>
  </si>
  <si>
    <t>Atemóia, in natura</t>
  </si>
  <si>
    <t>GROSELHA</t>
  </si>
  <si>
    <t>Abiu, in natura</t>
  </si>
  <si>
    <t>Fruta pão, in natura</t>
  </si>
  <si>
    <t>Tamarindo, in natura</t>
  </si>
  <si>
    <t>Pequi, polpa, cozido, s/ óleo, c/ sal</t>
  </si>
  <si>
    <t>Pequi, polpa, maduro, cru</t>
  </si>
  <si>
    <t>PIQUIA</t>
  </si>
  <si>
    <t>Pitanga, &lt;i&gt;in natura&lt;/i&gt;</t>
  </si>
  <si>
    <t>Ciriguela, in natura</t>
  </si>
  <si>
    <t>CERIGUELA / SERIGUELA / SIRIGUELA</t>
  </si>
  <si>
    <t>Umbu, in natura</t>
  </si>
  <si>
    <t>Cupuaçu, in natura</t>
  </si>
  <si>
    <t>Acerola, madura, polpa</t>
  </si>
  <si>
    <t>Kiwi, in natura</t>
  </si>
  <si>
    <t>ABRICO</t>
  </si>
  <si>
    <t>Jurubeba, crua</t>
  </si>
  <si>
    <t>Amora preta, in natura</t>
  </si>
  <si>
    <t>LICHIA</t>
  </si>
  <si>
    <t>Jamelão, in natura</t>
  </si>
  <si>
    <t>FISALIS</t>
  </si>
  <si>
    <t>CRANBERRY</t>
  </si>
  <si>
    <t>TAMARA</t>
  </si>
  <si>
    <t>DAMASCO</t>
  </si>
  <si>
    <t>ACUCAR DEMERARA</t>
  </si>
  <si>
    <t>Açúcar, refinado (média de diferentes amostras)</t>
  </si>
  <si>
    <t>Açúcar, mascavo</t>
  </si>
  <si>
    <t>Sorvete, industrializado (média de diferentes sabores)</t>
  </si>
  <si>
    <t>Picolé, industrializado, c/ suco de fruta (média de diferentes sabores)</t>
  </si>
  <si>
    <t>SORVETE DE PALITO</t>
  </si>
  <si>
    <t>Goma de mascar, c/ açúcar (média de diferentes sabores)</t>
  </si>
  <si>
    <t>Bala, frutas</t>
  </si>
  <si>
    <t>Bala, caramelo</t>
  </si>
  <si>
    <t>BALA DE COCO</t>
  </si>
  <si>
    <t>BALA DE GOMA</t>
  </si>
  <si>
    <t>BALA DE FRUTA</t>
  </si>
  <si>
    <t>Chocolate, ao leite (média de diferentes marcas)</t>
  </si>
  <si>
    <t>CHOCOLATE, TABLETE NAO ESPECIFICADO</t>
  </si>
  <si>
    <t>CHOCOLATE, TABLETE, AO LEITE</t>
  </si>
  <si>
    <t>CHOCOLATE, TABLETE, AO LEITE, RECHEADO</t>
  </si>
  <si>
    <t>CHOCOLATE, TABLETE, BRANCO</t>
  </si>
  <si>
    <t>Chocolate, branco (média de diferentes marcas)</t>
  </si>
  <si>
    <t>CHOCOLATE, TABLETE, BRANCO, RECHEADO</t>
  </si>
  <si>
    <t>CHOCOLATE, TABLETE, MEIO AMARGO</t>
  </si>
  <si>
    <t>Chocolate, meio amargo</t>
  </si>
  <si>
    <t>CHOCOLATE, TABLETE, RECHEADO NAO ESPECIFICADO</t>
  </si>
  <si>
    <t>Chocolate, em pó, solúvel (média de diferentes marcas)</t>
  </si>
  <si>
    <t>Achocolatado, "Ovomaltine"</t>
  </si>
  <si>
    <t>OVOMALTINE EM PO</t>
  </si>
  <si>
    <t>Achocolatado, pó (média diferentes amostras)</t>
  </si>
  <si>
    <t>Leite, vaca, c/ chocolate</t>
  </si>
  <si>
    <t>Geleias (média de diferentes amostras)</t>
  </si>
  <si>
    <t>MOUSSE DE QUALQUER SABOR (GELÉIA)</t>
  </si>
  <si>
    <t>Mousse, mistura p/, preparada (média de diferentes sabores)</t>
  </si>
  <si>
    <t>Geleia, mocotó, natural</t>
  </si>
  <si>
    <t>Goiaba, doce, em pasta</t>
  </si>
  <si>
    <t>Goiaba, doce, cascão</t>
  </si>
  <si>
    <t>Banana, doce, em barra</t>
  </si>
  <si>
    <t>DOCE DE BANANA EM PASTA</t>
  </si>
  <si>
    <t>BANANADA</t>
  </si>
  <si>
    <t>Pêssego, enlatado, em calda, drenado</t>
  </si>
  <si>
    <t>Melado, cana</t>
  </si>
  <si>
    <t>Mel, de abelha</t>
  </si>
  <si>
    <t>Gelatina, em pó, preparada c/ água (média de diferentes sabores)</t>
  </si>
  <si>
    <t>Adoçante, sacarina, em pó</t>
  </si>
  <si>
    <t>Suspiro, merengue, caseiro</t>
  </si>
  <si>
    <t>MARSHMALLOW</t>
  </si>
  <si>
    <t>Marshmallow</t>
  </si>
  <si>
    <t>Uva, passa, branca</t>
  </si>
  <si>
    <t>Pudim de leite</t>
  </si>
  <si>
    <t>Creme, chocolate</t>
  </si>
  <si>
    <t>MANJAR</t>
  </si>
  <si>
    <t>Manjar, coco, c/ calda de ameixa</t>
  </si>
  <si>
    <t>Cuscuz de tapioca, c/ coco e leite de coco</t>
  </si>
  <si>
    <t>CUSCUZ COM LEITE</t>
  </si>
  <si>
    <t>Milho, cuscuz, cozido, c/ leite integral, c/ açúcar</t>
  </si>
  <si>
    <t>CUSCUZ COM LEITE DE COCO</t>
  </si>
  <si>
    <t>Milho, cuscuz, cozido, c/ leite de coco, c/ açúcar</t>
  </si>
  <si>
    <t>Maria mole (média de diferentes sabores)</t>
  </si>
  <si>
    <t>BABA DE MOCA</t>
  </si>
  <si>
    <t>Baba de moça</t>
  </si>
  <si>
    <t>Cocada, branca</t>
  </si>
  <si>
    <t>QUEBRA QUEIXO</t>
  </si>
  <si>
    <t>Paçoca, amendoim</t>
  </si>
  <si>
    <t>Pé-de-moleque, amendoim</t>
  </si>
  <si>
    <t>Amendoim, caramelizado</t>
  </si>
  <si>
    <t>Brigadeiro, lata</t>
  </si>
  <si>
    <t>Bomba, c/ recheio de creme de confeiteiro (pâtissiére), c/ cobertura de chocolate ao leite</t>
  </si>
  <si>
    <t>Doce, massa folhada, c/ doce de leite, c/ açúcar</t>
  </si>
  <si>
    <t>DOCE DE MASSA FOLHADA</t>
  </si>
  <si>
    <t>Queijadinha, c/ coco</t>
  </si>
  <si>
    <t>Quindim</t>
  </si>
  <si>
    <t>Doce, leite, cremoso (média de diferentes amostras)</t>
  </si>
  <si>
    <t>Pavê, baunilha</t>
  </si>
  <si>
    <t>Flan, leite, caseiro</t>
  </si>
  <si>
    <t>DOCE DE LEITE</t>
  </si>
  <si>
    <t>Canudinho, c/ recheio de creme de coco</t>
  </si>
  <si>
    <t>Tapioca, c/ leite condensado e coco</t>
  </si>
  <si>
    <t>DIN DIN</t>
  </si>
  <si>
    <t>CHUPE CHUPE</t>
  </si>
  <si>
    <t>Churros, frito, c/ recheio de doce de leite, s/ açúcar polvilhado</t>
  </si>
  <si>
    <t>Milho, verde, pamonha, pré-cozido</t>
  </si>
  <si>
    <t>Creme, chocolate, sabor avelã</t>
  </si>
  <si>
    <t>NUTELLA</t>
  </si>
  <si>
    <t>GUARANA EM PO</t>
  </si>
  <si>
    <t>Guaraná, em pó</t>
  </si>
  <si>
    <t>Torrone, c/ amêndoas</t>
  </si>
  <si>
    <t>ARROZ-DOCE</t>
  </si>
  <si>
    <t>Arroz doce, c/ açúcar e canela</t>
  </si>
  <si>
    <t>Bebida, substituto de refeição, em pó</t>
  </si>
  <si>
    <t>HERBALIFE</t>
  </si>
  <si>
    <t>Cereais, barra (média de diferentes sabores)</t>
  </si>
  <si>
    <t>Rabanada</t>
  </si>
  <si>
    <t>Milk shake (leite integral, sorvete, extrato de baunilha e calda de chocolate)</t>
  </si>
  <si>
    <t>Geleia, s/ açúcar (média de diferentes sabores)</t>
  </si>
  <si>
    <t>Goiabada, diet</t>
  </si>
  <si>
    <t>Sorvete, industrializado, diet (média de diferentes sabores)</t>
  </si>
  <si>
    <t>Goma de mascar, diet (média de diferentes sabores)</t>
  </si>
  <si>
    <t>Chocolate, ao leite, dietético</t>
  </si>
  <si>
    <t>Leite, vaca, c/chocolate, desnatado</t>
  </si>
  <si>
    <t>Doce de leite, diet</t>
  </si>
  <si>
    <t>Barra de cereal, diet</t>
  </si>
  <si>
    <t>Doce de amendoim, diet</t>
  </si>
  <si>
    <t>Gelatina, em pó, preparada, diet (média de diferentes sabores)</t>
  </si>
  <si>
    <t>SORVETE A BASE DE IOGURTE</t>
  </si>
  <si>
    <t>SORVETE DE CASQUINHA / CONE</t>
  </si>
  <si>
    <t>Casquinha, sorvete, cone</t>
  </si>
  <si>
    <t>SORVETE, SUNDAE</t>
  </si>
  <si>
    <t>Sorvete, sundae</t>
  </si>
  <si>
    <t>PUDIM DE CHOCOLATE</t>
  </si>
  <si>
    <t>Pudim, chocolate, em pó, preparado</t>
  </si>
  <si>
    <t>PUDIM DE LEITE</t>
  </si>
  <si>
    <t>PUDIM DE PAO</t>
  </si>
  <si>
    <t>Pudim de pão</t>
  </si>
  <si>
    <t>PUDIM DE SORVETE</t>
  </si>
  <si>
    <t>Pudim de sorvete</t>
  </si>
  <si>
    <t>PUDIM FLAN</t>
  </si>
  <si>
    <t>BANANA CARAMELADA</t>
  </si>
  <si>
    <t>Banana, cozida, caramelada</t>
  </si>
  <si>
    <t>BANANA FLAMBADA</t>
  </si>
  <si>
    <t>Banana flambada</t>
  </si>
  <si>
    <t>BANANINHA COM CHOCOLATE</t>
  </si>
  <si>
    <t>Uva, passa, coberta, c/ chocolate, ao leite</t>
  </si>
  <si>
    <t>CAJUZINHO</t>
  </si>
  <si>
    <t>Cajuzinho</t>
  </si>
  <si>
    <t>CALDA DE CHOCOLATE</t>
  </si>
  <si>
    <t>Calda, chocolate</t>
  </si>
  <si>
    <t>CALDA SABOR FRUTA (MORANGO, ETC)</t>
  </si>
  <si>
    <t>Xarope, frutas</t>
  </si>
  <si>
    <t>EXTRATO DE MALTE</t>
  </si>
  <si>
    <t>Xarope, maple</t>
  </si>
  <si>
    <t>CREME BRULE</t>
  </si>
  <si>
    <t>Crème brûlée</t>
  </si>
  <si>
    <t>DOCE ARABE</t>
  </si>
  <si>
    <t>Doce árabe, Ataif de nozes, c/ calda de laranja</t>
  </si>
  <si>
    <t>DOCES (CONFEITARIA) NAO ESPECIFICADO</t>
  </si>
  <si>
    <t>Rocambole (farinha de trigo, ovo, leite, manteiga, açúcar e fermento químico), recheado com brigadeiro, c/ cobertura de cacau em pó</t>
  </si>
  <si>
    <t>MACA DO AMOR</t>
  </si>
  <si>
    <t>Maçã do amor</t>
  </si>
  <si>
    <t>MARRON GLACE</t>
  </si>
  <si>
    <t>Marrom glacê</t>
  </si>
  <si>
    <t>OLHO DE SOGRA</t>
  </si>
  <si>
    <t>Olho de sogra</t>
  </si>
  <si>
    <t>PASTEL COM RECHEIO DOCE</t>
  </si>
  <si>
    <t>Pastel, frito, c/ recheio, doce de leite</t>
  </si>
  <si>
    <t>PASTEL DE NATA</t>
  </si>
  <si>
    <t>Pastal de nata</t>
  </si>
  <si>
    <t>TOUCINHO DO CEU</t>
  </si>
  <si>
    <t>Toucinho do céu</t>
  </si>
  <si>
    <t>WAFFLE</t>
  </si>
  <si>
    <t>Waffle</t>
  </si>
  <si>
    <t>DOCE DE ABOBORA</t>
  </si>
  <si>
    <t>Doce, abóbora, cremoso</t>
  </si>
  <si>
    <t>DELICIA DE ABACAXI</t>
  </si>
  <si>
    <t>Delícia de abacaxi</t>
  </si>
  <si>
    <t>CANELA</t>
  </si>
  <si>
    <t>Canela, em pó</t>
  </si>
  <si>
    <t>Molho, mostarda, caseiro, c/ sal</t>
  </si>
  <si>
    <t>Bebida, infusão, hortelã rasteira, planta, folha, s/ açúcar</t>
  </si>
  <si>
    <t>Coentro, folhas, desidratadas</t>
  </si>
  <si>
    <t>Molho, soja, shoyu (média de diferentes tipos)</t>
  </si>
  <si>
    <t>Coco, leite</t>
  </si>
  <si>
    <t>MOLHO TARTARO</t>
  </si>
  <si>
    <t>Molho tártaro, c/ sal, caseiro</t>
  </si>
  <si>
    <t>Maionese, molho, tradicional</t>
  </si>
  <si>
    <t>Tomate, molho, industrializado</t>
  </si>
  <si>
    <t>Catchup, tomate, molho</t>
  </si>
  <si>
    <t>Pimenta, preta, em grão</t>
  </si>
  <si>
    <t>Tucupi, com pimenta-de-cheiro, s/ óleo, s/ sal</t>
  </si>
  <si>
    <t>Creme de queijo, caseiro (Tipo Catupiry)</t>
  </si>
  <si>
    <t>Gergelim, semente, crua</t>
  </si>
  <si>
    <t>Tomate, seco, caseiro, c/ sal</t>
  </si>
  <si>
    <t>Molho, vinagrete, c/ sal</t>
  </si>
  <si>
    <t>Vinagre, maçã</t>
  </si>
  <si>
    <t>SAL</t>
  </si>
  <si>
    <t>Sal, refinado</t>
  </si>
  <si>
    <t>MOLHO PARA SALADA</t>
  </si>
  <si>
    <t>Molho para salada, c/ vinagre de maçã, caseiro, c/ sal</t>
  </si>
  <si>
    <t>CONSERVA DE BERINJELA</t>
  </si>
  <si>
    <t>Caponata de berinjela, conserva de berinjela, c/ sal</t>
  </si>
  <si>
    <t>Carne, boi, filé mignon, s/ gordura, grelhada/assada, s/ óleo, c/ sal</t>
  </si>
  <si>
    <t>Carne, boi, filé mignon, s/ gordura, refogada, c/ óleo e temperos, c/ sal</t>
  </si>
  <si>
    <t>Carne, boi, filé mignon, s/ gordura, à milanesa (ovo e farinha de rosca), frita (c/ óleo de soja), c/ sal</t>
  </si>
  <si>
    <t>Carne, boi, filé mignon, s/ gordura, frita (c/ óleo de soja), c/ sal</t>
  </si>
  <si>
    <t>Carne, boi, contrafilé, s/ gordura, grelhada/assada, s/ óleo, c/ sal</t>
  </si>
  <si>
    <t>Carne, boi, contra-filé, à milanesa (farinha de trigo, ovo e farinha de rosca, frita em imersão), c/ sal</t>
  </si>
  <si>
    <t>Carne, boi, contrafilé, s/ gordura, frita (c/ óleo de soja), c/ sal</t>
  </si>
  <si>
    <t>Carne, boi, costela, assada, s/ óleo, c/ sal</t>
  </si>
  <si>
    <t>Carne, boi, costela, cozida, c/ óleo, c/ sal</t>
  </si>
  <si>
    <t>Carne, boi, costela, ensopada (c/ óleo, cebola e alho), c/ sal</t>
  </si>
  <si>
    <t>Carne, boi, miolo de alcatra, grelhada/assada, s/ óleo, c/ sal</t>
  </si>
  <si>
    <t>Carne, boi, alcatra, refogada, c/ óleo e temperos, c/ sal</t>
  </si>
  <si>
    <t>Carne, boi, alcatra, à milanesa (ovo e farinha de rosca), frita (c/ óleo de soja), c/ sal</t>
  </si>
  <si>
    <t>Carne, boi, alcatra, frita (c/ óleo de soja), c/ sal</t>
  </si>
  <si>
    <t>Carne, boi, maminha, grelhada/assada, s/ óleo, c/ sal</t>
  </si>
  <si>
    <t>Carne, boi, maminha, frita (c/ óleo de soja), c/ sal</t>
  </si>
  <si>
    <t>Carne, boi, picanha, c/ gordura, grelhada, c/ óleo, cebola e alho, c/ sal</t>
  </si>
  <si>
    <t>Carne, boi, patinho, s/ gordura, grelhada/assada, s/ óleo, c/ sal</t>
  </si>
  <si>
    <t>Carne, boi, lagarto, cozida, s/ óleo, c/ sal</t>
  </si>
  <si>
    <t>Carne, boi, lagarto, cozida, c/ óleo, cebola e alho, c/ sal</t>
  </si>
  <si>
    <t>Carne, boi, lagarto, frita (c/ óleo de soja), c/ sal</t>
  </si>
  <si>
    <t>Carne, boi, lagarto, refogada (c/ óleo, cebola e alho), c/ sal</t>
  </si>
  <si>
    <t>Carne, boi, músculo, s/ gordura, cozida, s/ óleo, c/ sal</t>
  </si>
  <si>
    <t>Carne, boi, músculo, s/ gordura, cozida, c/ óleo, cebola e alho, c/ sal</t>
  </si>
  <si>
    <t>Carne, boi, músculo, s/ gordura, refogada, c/ óleo e temperos, c/ sal</t>
  </si>
  <si>
    <t>Carne, carne, paleta, s/ gordura, refogada (c/ óleo, cebola e alho), c/ sal</t>
  </si>
  <si>
    <t>Carne, boi, paleta, s/ gordura, cozida, s/ óleo, c/ sal</t>
  </si>
  <si>
    <t>Carne, boi, fraldinha, c/ gordura, grelhada/assada, s/ óleo, c/ sal</t>
  </si>
  <si>
    <t>Carne, boi, fraldinha, c/ gordura, cozida, c/ óleo, cebola e alho, c/ sal</t>
  </si>
  <si>
    <t>OSSOBUCO</t>
  </si>
  <si>
    <t>Carne, boi, fraldinha, c/ gordura, frita (c/ óleo de soja), c/ sal</t>
  </si>
  <si>
    <t>Carne, boi, bucho, cozida, c/ óleo, cebola e alho, c/ sal</t>
  </si>
  <si>
    <t>PANELADA</t>
  </si>
  <si>
    <t>Carne, boi, bucho, cozida, s/ óleo, c/ sal</t>
  </si>
  <si>
    <t>Carne, boi, coração, cozido, s/ óleo, c/ sal</t>
  </si>
  <si>
    <t>Carne, boi, coração, cozido, c/ óleo, c/ sal</t>
  </si>
  <si>
    <t>RIM BOVINO</t>
  </si>
  <si>
    <t>Carne, boi, pulmão, cozido, s/ óleo, c/ sal</t>
  </si>
  <si>
    <t>Carne, boi, fígado, grelhada, s/ óleo, c/ sal</t>
  </si>
  <si>
    <t>Carne, boi, fígado, refogada (c/ óleo, cebola e alho), c/ sal</t>
  </si>
  <si>
    <t>Carne, boi, fígado, frita (c/ óleo de soja), c/ sal</t>
  </si>
  <si>
    <t>FIGADO BOVINO (BIFE)</t>
  </si>
  <si>
    <t>CUPIM</t>
  </si>
  <si>
    <t>Carne, boi, cupim, assado, s/ óleo, c/ sal</t>
  </si>
  <si>
    <t>Carne, boi, cupim, frita (c/ óleo de soja), c/ sal</t>
  </si>
  <si>
    <t>Carne, boi, língua, cozida, s/ óleo, c/ sal</t>
  </si>
  <si>
    <t>Carne, boi, língua, refogada, c/ óleo, cebola e alho, c/ sal</t>
  </si>
  <si>
    <t>RABADA BOVINA</t>
  </si>
  <si>
    <t>Carne, boi, rabo, cozido, s/ óleo, c/ sal</t>
  </si>
  <si>
    <t>Mocotó bovino, c/ feijão branco, tomate, c/ caldo de mocotó, c/ óleo, cebola e alho, c/ sal</t>
  </si>
  <si>
    <t>Carne, porco, bisteca, grelhada/assada, s/ óleo, c/ sal</t>
  </si>
  <si>
    <t>Carne, porco, bisteca, refogada (c/ óleo, cebola e alho), c/ sal</t>
  </si>
  <si>
    <t>Carne, porco, bisteca, frita (c/ óleo de soja), c/ sal</t>
  </si>
  <si>
    <t>COSTELETA</t>
  </si>
  <si>
    <t>BISTECA SUINA / BISTECA DE PORCO</t>
  </si>
  <si>
    <t>Carne, porco, bisteca, empanada (farinha de trigo), frita (c/ óleo de soja), c/ sal</t>
  </si>
  <si>
    <t>Carne, porco, pernil, grelhada/assada, s/ óleo, c/ sal</t>
  </si>
  <si>
    <t>Carne, porco, costela, assada, s/ adição de gordura, c/ sal</t>
  </si>
  <si>
    <t>COSTELA SUINA / COSTELA DE PORCO</t>
  </si>
  <si>
    <t>Carne, porco, costela, refogada (c/ óleo, cebola e alho), c/ sal</t>
  </si>
  <si>
    <t>Carne, porco, costela, frita (c/ óleo de soja), c/ sal</t>
  </si>
  <si>
    <t>Carne, porco, lombo, grelhada/assada, s/ óleo, c/ sal</t>
  </si>
  <si>
    <t>LOMBO SUINO / LOMBO DE PORCO</t>
  </si>
  <si>
    <t>Carne, porco, lombo, refogada (c/ óleo, cebola e alho), c/ sal</t>
  </si>
  <si>
    <t>Carne, porco, lombo, frita (c/ óleo de soja), c/ sal</t>
  </si>
  <si>
    <t>Carne, porco, toucinho, frito</t>
  </si>
  <si>
    <t>MIUDO SUINO / MIUDO DE PORCO</t>
  </si>
  <si>
    <t>Sarapatel, c/ sal</t>
  </si>
  <si>
    <t>CARNE SUINA / CARNE DE PORCO</t>
  </si>
  <si>
    <t>Carne, porco, pernil, refogada (c/ óleo, cebola e alho), c/ sal</t>
  </si>
  <si>
    <t>Carne, porco, pernil, frita (c/ óleo de soja), c/ sal</t>
  </si>
  <si>
    <t>CARNE DE PORCO</t>
  </si>
  <si>
    <t>Carne, porco, cozida, s/ óleo, c/ sal</t>
  </si>
  <si>
    <t>Carne, boi, acém moída, cozida, c/ óleo, cebola e alho, c/ sal</t>
  </si>
  <si>
    <t>Carne, boi, acém, moída, refogada (c/ óleo, cebola e alho), c/ sal</t>
  </si>
  <si>
    <t>Carne, boi, paleta, s/ gordura, frita (c/ óleo de soja), c/ sal</t>
  </si>
  <si>
    <t>GUISADO / GUIZADO</t>
  </si>
  <si>
    <t>FIGADO SUINO / FIGADO DE PORCO</t>
  </si>
  <si>
    <t>FIGADO SUINO / FIGADO DE PORCO (BIFE)</t>
  </si>
  <si>
    <t>LINGUA SUINA / LINGUA DE PORCO</t>
  </si>
  <si>
    <t>Porco, orelha, cozido, s/ óleo, c/sal</t>
  </si>
  <si>
    <t>MOCOTO SUINO / MOCOTO DE PORCO</t>
  </si>
  <si>
    <t>Carne, porco, pé, cozido, s/ óleo, c/ sal</t>
  </si>
  <si>
    <t>Carne, cabrito, assada, s/ óleo, c/ sal (média de diferentes cortes e raças)</t>
  </si>
  <si>
    <t>Carne, boi, cabrito, cozido, c/ óleo, c/ sal</t>
  </si>
  <si>
    <t>Carne, cabrito, cozida, assada, s/ óleo, c/ sal</t>
  </si>
  <si>
    <t>Carne, ovino, ovelha, perna, cozida, assada, s/ óleo, c/ sal</t>
  </si>
  <si>
    <t>Carne, boi, ovelha, cozido, c/ óleo, c/ sal</t>
  </si>
  <si>
    <t>PERNIL (DE PORCO / SUINO)</t>
  </si>
  <si>
    <t>BUCHO / DOBRADINHA ENSOPADO(A)</t>
  </si>
  <si>
    <t>Carne, caça, paca, assada</t>
  </si>
  <si>
    <t>CARNE DE PACA</t>
  </si>
  <si>
    <t>Carne, carne, jacaré, rabo, à milanesa (farinha de trigo, ovo e farinha de rosca), frita em imersão, c/ pimenta-do-reino, c/ alho, c/ sal, frito</t>
  </si>
  <si>
    <t>Carne, caça (capivara, coelho), cozida, assada, s/ óleo, c/ sal</t>
  </si>
  <si>
    <t>Carne, tartaruga, jabuti, cozida, s/ óleo, c/ sal</t>
  </si>
  <si>
    <t>BIFE</t>
  </si>
  <si>
    <t>Carne, boi, patinho, s/ gordura, refogada, c/ óleo e temperos, c/ sal</t>
  </si>
  <si>
    <t>Carne, boi, patinho, s/ gordura, à milanesa (ovo e farinha de rosca), frita (c/ óleo de soja), c/ sal</t>
  </si>
  <si>
    <t>Carne, boi, patinho, s/ gordura, frita (c/ óleo de soja), c/ sal</t>
  </si>
  <si>
    <t>Carne, boi, de segunda (acém, capa de contrafilé, costela, músculo, paleta, peito), cozida/grelhada/assada, s/ óleo, c/ sal</t>
  </si>
  <si>
    <t>Carne, boi, de segunda (acém, costela, músculo, paleta), refogada/ensopada (c/ óleo, cebola e alho), c/ sal</t>
  </si>
  <si>
    <t>Carne, boi, de segunda (acém, paleta, peito), frita (c/ óleo de soja), c/ sal</t>
  </si>
  <si>
    <t>OSSADA</t>
  </si>
  <si>
    <t>CORDEIRO</t>
  </si>
  <si>
    <t>BIFE A MILANESA</t>
  </si>
  <si>
    <t>Bife à role, c/ sal</t>
  </si>
  <si>
    <t>BIFE DE PANELA</t>
  </si>
  <si>
    <t>CARNE DE PANELA</t>
  </si>
  <si>
    <t>JOELHO DE PORCO</t>
  </si>
  <si>
    <t>KAFTA</t>
  </si>
  <si>
    <t>LEITAO</t>
  </si>
  <si>
    <t>LOMBINHO</t>
  </si>
  <si>
    <t>LOMBO</t>
  </si>
  <si>
    <t>MEDALHOES BOVINOS</t>
  </si>
  <si>
    <t>TORNEDOR BOVINO</t>
  </si>
  <si>
    <t>VITELA</t>
  </si>
  <si>
    <t>Vitela, cozida, s/ óleo, c/ sal</t>
  </si>
  <si>
    <t>ROSBIFE</t>
  </si>
  <si>
    <t>Carne, bovina, rosbife, fatiado</t>
  </si>
  <si>
    <t>Peixe, água salgada, filé/ posta, assado/grelhado, s/ óleo, c/ sal (média de várias espécies)</t>
  </si>
  <si>
    <t>PEIXE DO MAR (EM POSTA, EM FILE, ETC)</t>
  </si>
  <si>
    <t>Peixe, água salgada, filé/posta, ensopado (c/ cebola, tomate e pimentão), c/ óleo, c/ sal (média de várias espécies)</t>
  </si>
  <si>
    <t>Peixe, água salgada, filé/posta, cozido, drenado, s/ óleo, c/ sal (média de várias espécies)</t>
  </si>
  <si>
    <t>Peixe, água salgada, filé/posta, à milanesa (ovo e farinha de rosca), frito (c/ óleo de soja), c/ sal (média de várias espécies)</t>
  </si>
  <si>
    <t>Peixe, água salgada, filé/posta, frito (c/ óleo de soja), c/ sal (média de várias espécies)</t>
  </si>
  <si>
    <t>PEIXE DE MAR SALGADO (INTEIRO, EM POSTA, EM FILÉ, ETC)</t>
  </si>
  <si>
    <t>PEIXE SALGADO (EM POSTA, EM FILE, ETC)</t>
  </si>
  <si>
    <t>Crustáceo, camarão, s/ casca, cozido, s/ óleo, c/ sal</t>
  </si>
  <si>
    <t>Crustáceo, camarão, s/ casca, refogado (c/ óleo, cebola e alho), c/ sal</t>
  </si>
  <si>
    <t>Crustáceo, camarão, Sete Barbas, s/ cabeça, frito (c/ óleo de soja), c/ sal</t>
  </si>
  <si>
    <t>Crustáceo, caranguejo, cozido, s/ óleo, c/ sal</t>
  </si>
  <si>
    <t>Molusco, mexilhão, cozido, c/ molho de tomate (tomate, c/ óleo, cebola e alho), c/ sal</t>
  </si>
  <si>
    <t>Molusco, mexilhão, cozido, s/ óleo, c/ sal</t>
  </si>
  <si>
    <t>Molusco, ostra, cru</t>
  </si>
  <si>
    <t>Molusco, lula, cozido, s/ óleo, c/ sal</t>
  </si>
  <si>
    <t>Molusco, lula, cozido, frito, c/ sal</t>
  </si>
  <si>
    <t>LAGOSTA</t>
  </si>
  <si>
    <t>Crustáceo, lagosta, cozido, c/ molho de tomate (tomate, c/ óleo, cebola e alho), c/ sal</t>
  </si>
  <si>
    <t>Crustáceo, lagosta, cozido, s/ óleo, c/ sal</t>
  </si>
  <si>
    <t>LAGOSTIM</t>
  </si>
  <si>
    <t>Peixe, água salgada, bacalhau, salgado, dessalgado, refogado</t>
  </si>
  <si>
    <t>Peixe, caviar</t>
  </si>
  <si>
    <t>POLVO</t>
  </si>
  <si>
    <t>Molusco, polvo, cozido, s/ óleo, c/ sal</t>
  </si>
  <si>
    <t>CEVICHE DE PEIXE</t>
  </si>
  <si>
    <t>Ceviche de peixe, água salgada, pescada, c/ sal</t>
  </si>
  <si>
    <t>SASHIMI</t>
  </si>
  <si>
    <t>Peixe, água salgada, salmão, s/ pele, fresco, cru</t>
  </si>
  <si>
    <t>TARTARE DE SALMAO</t>
  </si>
  <si>
    <t>Salmon tartare</t>
  </si>
  <si>
    <t>Peixe, água doce, filé, grelhado/assado, s/ óleo, s/ sal (média de 7 espécies)</t>
  </si>
  <si>
    <t>Peixe, água doce, filé, ensopado (c/ cebola, tomate e pimentão), c/ óleo, c/ sal (média de 7 espécies)</t>
  </si>
  <si>
    <t>Peixe, água doce, filé, cozido, s/ óleo, c/ sal (média de 7 espécies)</t>
  </si>
  <si>
    <t>Peixe, água doce, filé, à milanesa à milanesa (farinha de trigo, ovo e farinha de rosca) frito (c/ óleo de soja), c/ sal (média de 7 espécies)</t>
  </si>
  <si>
    <t>Peixe, água doce, filé, frito (c/ óleo de soja), c/ sal (média de 7 espécies)</t>
  </si>
  <si>
    <t>Peixe, água doce, filé, grelhado/assado, s/ óleo, c/ sal (média de 7 espécies)</t>
  </si>
  <si>
    <t>PITU</t>
  </si>
  <si>
    <t>ATUM FRESCO</t>
  </si>
  <si>
    <t>Peixe, água salgada, atum, cozido, drenado, s/ óleo, c/ sal</t>
  </si>
  <si>
    <t>Peixe, água salgada, atum, frito (c/ óleo de soja), c/ sal</t>
  </si>
  <si>
    <t>Peixe, água salgada, atum, assado/grelhado, s/ óleo, c/ sal</t>
  </si>
  <si>
    <t>FRUTOS DO MAR</t>
  </si>
  <si>
    <t>STEAK DE PEIXE</t>
  </si>
  <si>
    <t>Peixe, sticks, congelado, preparado</t>
  </si>
  <si>
    <t>PEIXE DE AGUA DOCE (EM POSTA, EM FILE, ETC)</t>
  </si>
  <si>
    <t>Peixe, água doce, filé, refogado (c/ óleo, cebola e alho), c/ sal (média de 7 espécies)</t>
  </si>
  <si>
    <t>PEIXE DE AGUA DOCE SALGADO (INTEIRO, EM POSTA, EM FILÉ, ETC)</t>
  </si>
  <si>
    <t>PEIXE DE AGUA DOCE SALGADO (EM POSTA, EM FILE, ETC)</t>
  </si>
  <si>
    <t>PACU</t>
  </si>
  <si>
    <t>TAMBAQUI</t>
  </si>
  <si>
    <t>TUCUNARE</t>
  </si>
  <si>
    <t>Peixe, água doce, Tucunaré, filé, congelado, cozido, s/ óleo, c/ sal</t>
  </si>
  <si>
    <t>PEIXE NAO ESPECIFICADO (EM POSTA, EM FILE, ETC)</t>
  </si>
  <si>
    <t>PEIXE NAO ESPECIFICADO SALGADO (INTEIRO, EM POSTA, EM FILÉ, ETC)</t>
  </si>
  <si>
    <t>PEIXE NAO ESPECIFICADO SALGADO (EM POSTA, EM FILE, ETC)</t>
  </si>
  <si>
    <t>Azeitona, verde, conserva, drenada</t>
  </si>
  <si>
    <t>Ervilha, enlatada, drenada</t>
  </si>
  <si>
    <t>Milho, verde, grão, enlatado, drenado (média de diferentes marcas)</t>
  </si>
  <si>
    <t>Salada, repolho, branco, cru, c/ molho vinagrete (tomate, cebola, salsinha, vinagre e óleo), c/ sal</t>
  </si>
  <si>
    <t>Milho verde e ervilha, grão, enlatado, drenado</t>
  </si>
  <si>
    <t>Yakisoba, c/ sal</t>
  </si>
  <si>
    <t>Feijoada, c/ sal</t>
  </si>
  <si>
    <t>Dobradinha, c/ feijão branco, bucho bovino, c/ óleo, cebola e alho, c/ sal</t>
  </si>
  <si>
    <t>Carne, porco, cozida, c/ batata e vegetais - cenoura, chuchu, vagem, c/ óleo, cebola e alho, c/ sal</t>
  </si>
  <si>
    <t>PUCHERO</t>
  </si>
  <si>
    <t>Goulash</t>
  </si>
  <si>
    <t>Patê (média de diferentes sabores)</t>
  </si>
  <si>
    <t>Patê, presunto, vidro</t>
  </si>
  <si>
    <t>Carne, bovina, em conserva</t>
  </si>
  <si>
    <t>Almôndega, carne, boi, industrializada, frita, c/ sal</t>
  </si>
  <si>
    <t>Apresuntado, cozido (média de diferentes marcas)</t>
  </si>
  <si>
    <t>Presunto, porco, cozido, s/ capa de gordura</t>
  </si>
  <si>
    <t>Salsicha, aquecida</t>
  </si>
  <si>
    <t>Peixe, água salgada, sardinha, filé, conserva, em óleo</t>
  </si>
  <si>
    <t>Peixe, água salgada, atum, sólido, conserva em óleo (média de diferentes marcas)</t>
  </si>
  <si>
    <t>Picles, pepino, azedo</t>
  </si>
  <si>
    <t>Estrogonoffe de carne, c/ sal</t>
  </si>
  <si>
    <t>KANI KAMA</t>
  </si>
  <si>
    <t>Peixe, água salgada, surimi, fresco</t>
  </si>
  <si>
    <t>Peixe, água salgada, salmão, filé, s/ pele, cozido, drenado, s/ óleo, c/ sal</t>
  </si>
  <si>
    <t>Peixe, água salgada, atum, sólido, conserva, light</t>
  </si>
  <si>
    <t>Carne, frango, inteiro, s/ pele, grelhada/assada, s/ óleo, c/ sal</t>
  </si>
  <si>
    <t>Carne, frango, inteiro, refogada (c/ óleo, cebola e alho), c/ sal (média de amostras c/ e s/ pele)</t>
  </si>
  <si>
    <t>Carne, frango, caipira, inteiro, cozida, s/ óleo, c/ sal (média de amostras c/ e s/ pele)</t>
  </si>
  <si>
    <t>Carne, frango, inteiro, à milanesa (ovo e farinha de rosca), frita (c/ óleo de soja), c/ sal (média de amostras c/ e s/ pele)</t>
  </si>
  <si>
    <t>Carne, frango, inteiro, s/ pele, frita (c/ óleo de soja), c/ sal</t>
  </si>
  <si>
    <t>FRANGO EM PEDAÇOS</t>
  </si>
  <si>
    <t>FRANGO DESFIADO</t>
  </si>
  <si>
    <t>Carne, frango, caipira, inteiro, s/ pele, cozida, s/ óleo, c/ sal</t>
  </si>
  <si>
    <t>Carne, frango, peito, s/ pele, grelhada, s/ gordura, s/ óleo, c/ sal</t>
  </si>
  <si>
    <t>Carne, frango, peito, s/ pele, cozida, drenada, c/ óleo de soja, c/ sal</t>
  </si>
  <si>
    <t>Carne, frango, peito, filé, à milanesa (farinha de trigo, ovo e farinha de rosca), frita em imersão, c/ sal</t>
  </si>
  <si>
    <t>Carne, frango, peito, s/ pele, refogado (c/ óleo, cebola e alho), c/ sal</t>
  </si>
  <si>
    <t>Carne, frango, peito, s/ pele, frita, c/ óleo de soja, c/ sal</t>
  </si>
  <si>
    <t>SOBRECOXA / COXA DE FRANGO / GALINHA</t>
  </si>
  <si>
    <t>Carne, frango, coxa, c/ pele, assada, s/ óleo, c/ sal</t>
  </si>
  <si>
    <t>Carne, frango, coxa, s/ pele, cozida, s/ óleo, c/ sal</t>
  </si>
  <si>
    <t>Carne, frango, asa, c/ pele, assada, s/ óleo, c/ sal</t>
  </si>
  <si>
    <t>Carne, frango, asa, c/ pele, refogada (c/ óleo, cebola e alho), c/ sal</t>
  </si>
  <si>
    <t>Carne, frango, asa, c/ pele, cozida (líquido do cozimento excluído), s/ óleo, c/ sal</t>
  </si>
  <si>
    <t>Carne, frango, asa, c/ pele, frita (c/ óleo de soja), c/ sal</t>
  </si>
  <si>
    <t>Carne, frango, pé, cozido, s/ óleo, c/sal</t>
  </si>
  <si>
    <t>Carne, frango, pé, cozido, c/ óleo de soja, cebola e alho, c/sal</t>
  </si>
  <si>
    <t>Carne, frango, coração, grelhada, s/ óleo, c/ sal</t>
  </si>
  <si>
    <t>Carne, frango, coração, refogada (c/ óleo, cebola e alho), c/ sal</t>
  </si>
  <si>
    <t>Carne, frango, coração, cozida (líquido do cozimento excluído), s/ óleo, c/ sal</t>
  </si>
  <si>
    <t>Carne, frango, coração, frita (c/ óleo de soja), c/ sal</t>
  </si>
  <si>
    <t>Carne, frango, moela, cozida, s/ óleo, c/ sal</t>
  </si>
  <si>
    <t>Carne, frango, fígado, cozida (líquido do cozimento excluído), s/ óleo, c/ sal</t>
  </si>
  <si>
    <t>Carne, frango, fígado, refogada (c/ óleo, cebola e alho), c/ sal</t>
  </si>
  <si>
    <t>Carne, frango, fígado, frita, c/ óleo de soja, c/ sal</t>
  </si>
  <si>
    <t>Sopa, canja, c/ legumes, c/ arroz polido, c/ peito de frango, c/ sal</t>
  </si>
  <si>
    <t>Peru, inteiro, assado, c/ manteiga, c/ sal</t>
  </si>
  <si>
    <t>Carne, peru, peito, s/ pele, frita (c/ óleo de soja), c/ sal</t>
  </si>
  <si>
    <t>Carne, peru, peito, s/ pele, grelhada/assada, s/ óleo, c/ sal</t>
  </si>
  <si>
    <t>Carne, peru, peito, s/ pele, cozida, drenada, s/ óleo, c/ sal</t>
  </si>
  <si>
    <t>Carne, peru, peito, s/ pele, à milanesa (ovo e farinha de rosca), frita (c/ óleo de soja), c/ sal</t>
  </si>
  <si>
    <t>PERU, COXA</t>
  </si>
  <si>
    <t>Carne, peru, coxa, s/ pele, assada, s/ óleo, c/ sal</t>
  </si>
  <si>
    <t>COXA DE PERU</t>
  </si>
  <si>
    <t>Carne, peru, coxa, s/ pele, cozida, drenada, s/ óleo, c/ sal</t>
  </si>
  <si>
    <t>Carne, frango, empanado, tipo nuggets, congelado, frito (c/ óleo de soja)</t>
  </si>
  <si>
    <t>Carne, frango, empanado, tipo nuggets, congelado, assado (s/ óleo)</t>
  </si>
  <si>
    <t>NUGGET RECHEADO</t>
  </si>
  <si>
    <t>NUGGETS, OUTROS</t>
  </si>
  <si>
    <t>Ovo, galinha, inteiro, cozido, c/ sal</t>
  </si>
  <si>
    <t>Ovo, galinha, mexido, c/ margarina, c/ sal</t>
  </si>
  <si>
    <t>Ovo, galinha, inteiro, cru (média de várias amostras)</t>
  </si>
  <si>
    <t>Ovo, galinha, inteiro, frito (c/ óleo de soja), c/ sal</t>
  </si>
  <si>
    <t>Ovo, codorna, inteiro, cozido, s/ sal</t>
  </si>
  <si>
    <t>Ovo, codorna, inteiro, cru</t>
  </si>
  <si>
    <t>GALINHA DANGOLA</t>
  </si>
  <si>
    <t>Carne, galinha da angola, carne e pele, cozida, c/ óleo de soja, cebola e alho, c/sal</t>
  </si>
  <si>
    <t>Carne, galinha da angola, carne e pele, cozida, s/ óleo, c/ sal</t>
  </si>
  <si>
    <t>Carne, pato, inteiro, cozido, assado, s/ óleo, c/ sal</t>
  </si>
  <si>
    <t>PATO EM PEDAÇOS</t>
  </si>
  <si>
    <t>Peru , peito, defumado</t>
  </si>
  <si>
    <t>MARRECO, CARNE NAO ESPECIFICADO</t>
  </si>
  <si>
    <t>CARNE MOIDA DE FRANGO</t>
  </si>
  <si>
    <t>Carne, frango, peito, s/ pele, cozida, drenada, s/ óleo, c/ sal</t>
  </si>
  <si>
    <t>OVO CLARA</t>
  </si>
  <si>
    <t>Ovo, galinha, clara, cozida/10 min., c/ sal</t>
  </si>
  <si>
    <t>OVO GEMA</t>
  </si>
  <si>
    <t>Ovo, galinha, gema, cozida/10 min., c/ sal</t>
  </si>
  <si>
    <t>OVOS MEXIDOS</t>
  </si>
  <si>
    <t>OVOS MOLES</t>
  </si>
  <si>
    <t>FRANGO A PASSARINHO</t>
  </si>
  <si>
    <t>Carne, frango, asa, c/ pele, à milanesa (ovo e farinha de rosca), frita (c/ óleo de soja), c/ sal</t>
  </si>
  <si>
    <t>ROLE DE FRANGO OU GALINHA</t>
  </si>
  <si>
    <t>GANSO, CARNE NAO ESPECIFICADO</t>
  </si>
  <si>
    <t>Carne, ganso, domesticado, carne e pele, cozido, s/ óleo, c/sal</t>
  </si>
  <si>
    <t>Leite, vaca, integral, fluído</t>
  </si>
  <si>
    <t>Leite, cabra, desnatado, fluído</t>
  </si>
  <si>
    <t>Leite, vaca, integral, em pó</t>
  </si>
  <si>
    <t>Leite, vaca, desnatado, em pó</t>
  </si>
  <si>
    <t>Leite, vaca, condensado</t>
  </si>
  <si>
    <t>Creme de leite (enlatado, UHT, 25% de gordura) (média de diferentes marcas)</t>
  </si>
  <si>
    <t>Iogurte, integral (média de diferentes sabores)</t>
  </si>
  <si>
    <t>Iogurte, natural, desnatado</t>
  </si>
  <si>
    <t>Iogurte, natural</t>
  </si>
  <si>
    <t>Leite, vaca, fermentado</t>
  </si>
  <si>
    <t>Bebida láctea (média de diferentes sabores)</t>
  </si>
  <si>
    <t>Manteiga, c/ sal</t>
  </si>
  <si>
    <t>Margarina (média várias amostras, c/ e s/ sal)</t>
  </si>
  <si>
    <t>Queijo, prato</t>
  </si>
  <si>
    <t>Queijo, muçarela (média de diferentes amostras)</t>
  </si>
  <si>
    <t>Queijo, leite de vaca e búfala, muçarela</t>
  </si>
  <si>
    <t>Queijo, minas, padrão (média de diferentes amostras)</t>
  </si>
  <si>
    <t>Queijo, requeijao do norte (queijo de manteiga)</t>
  </si>
  <si>
    <t>Queijo, ricota</t>
  </si>
  <si>
    <t>Queijo, coalho</t>
  </si>
  <si>
    <t>Soja, extrato, bebida (média de diferentes sabores)</t>
  </si>
  <si>
    <t>Soja, extrato, bebida, natural (média de diferentes amostras)</t>
  </si>
  <si>
    <t>Queijo, parmesão, ralado</t>
  </si>
  <si>
    <t>Queijo, pasteurizado</t>
  </si>
  <si>
    <t>Queijo, requeijão (média de diferentes amostras)</t>
  </si>
  <si>
    <t>Cream cheese (média de diferentes sabores)</t>
  </si>
  <si>
    <t>Soja, tofu</t>
  </si>
  <si>
    <t>Soja, extrato, solúvel, em pó</t>
  </si>
  <si>
    <t>Leite, vaca, desnatado, fluído (média de diferentes amostras)</t>
  </si>
  <si>
    <t>Leite, vaca, semidesnatado, UHT</t>
  </si>
  <si>
    <t>Leite, vaca, integral, UHT (média de diferentes amostras)</t>
  </si>
  <si>
    <t>Iogurte, frutas, diet</t>
  </si>
  <si>
    <t>Margarina, c/ óleo interesterificado (65% lipídeos), s/ sal</t>
  </si>
  <si>
    <t>Queijo, muçarela, light</t>
  </si>
  <si>
    <t>Queijo, minas, frescal, light</t>
  </si>
  <si>
    <t>Queijo, ricota, light</t>
  </si>
  <si>
    <t>Queijo, pasteurizado (média de diferentes amostras)</t>
  </si>
  <si>
    <t>Queijo, requeijão, zero % gordura</t>
  </si>
  <si>
    <t>Manteiga, levemente salgada, light</t>
  </si>
  <si>
    <t>LEITE SEM LACTOSE</t>
  </si>
  <si>
    <t>Leite, vaca, fluído, s/ lactose, integral</t>
  </si>
  <si>
    <t>KEFIR</t>
  </si>
  <si>
    <t>Kefir, c/ leite de vaca integral, bebida fermentada brasileira</t>
  </si>
  <si>
    <t>PAO, FRANCÃ‹S, NAO ESPECIFICADO</t>
  </si>
  <si>
    <t>Pão francês, trigo, branco, de padaria (médias de diferentes amostras)</t>
  </si>
  <si>
    <t>PAO D'AGUA NAO ESPECIFICADO</t>
  </si>
  <si>
    <t>Pão, trigo, branco, hamburguer/hot dog/leite, de padaria (média de diferentes tipos)</t>
  </si>
  <si>
    <t>PAO DE TRIGO</t>
  </si>
  <si>
    <t>PAO CACETINHO, NAO ESPECIFICADO</t>
  </si>
  <si>
    <t>PAO CARECA</t>
  </si>
  <si>
    <t>PAO CIABATA</t>
  </si>
  <si>
    <t>Pão, trigo, ciabatta</t>
  </si>
  <si>
    <t>PAO, BRANCO NAO ESPECIFICADO</t>
  </si>
  <si>
    <t>PAOZINHO</t>
  </si>
  <si>
    <t>Pão, trigo, doce, c/ creme de confeiteiro</t>
  </si>
  <si>
    <t>PAO DOCE, COM RECHEIO</t>
  </si>
  <si>
    <t>PAO DE LEITE</t>
  </si>
  <si>
    <t>Pão, trigo, leite, industrializado (média de diferentes marcas)</t>
  </si>
  <si>
    <t>PAO DE COCO</t>
  </si>
  <si>
    <t>Bolo, coco, caseiro</t>
  </si>
  <si>
    <t>Bolo, pão de mel, c/ cobertura de chocolate ao leite</t>
  </si>
  <si>
    <t>Panetone, frutas, caseiro</t>
  </si>
  <si>
    <t>Pão, trigo, bisnaguinha</t>
  </si>
  <si>
    <t>Croissant, simples</t>
  </si>
  <si>
    <t>PAO AUSTRALIANO</t>
  </si>
  <si>
    <t>Pão, trigo, integral, forma (média de diferentes marcas)</t>
  </si>
  <si>
    <t>PAO DOCE, SEM RECHEIO</t>
  </si>
  <si>
    <t>Bolo, trigo, simples, caseiro</t>
  </si>
  <si>
    <t>Pão, trigo, branco, forma, tradicional (média de diferentes marcas)</t>
  </si>
  <si>
    <t>Pão, de queijo, industrializado, assado</t>
  </si>
  <si>
    <t>Pão, milho, forma</t>
  </si>
  <si>
    <t>PAO DE CENTEIO</t>
  </si>
  <si>
    <t>Pão, trigo/centeio, preto, forma</t>
  </si>
  <si>
    <t>PAO PRETO NAO ESPECIFICADO</t>
  </si>
  <si>
    <t>PAO ARABE INTEGRAL</t>
  </si>
  <si>
    <t>Pão, sírio, branco</t>
  </si>
  <si>
    <t>PAO CACETINHO INTEGRAL</t>
  </si>
  <si>
    <t>Pão, trigo, integral, caseiro</t>
  </si>
  <si>
    <t>PAO CARECA INTEGRAL</t>
  </si>
  <si>
    <t>PAO CENTEIO INTEGRAL</t>
  </si>
  <si>
    <t>PAO DE SAL INTEGRAL</t>
  </si>
  <si>
    <t>PAO DE TRIGO INTEGRAL</t>
  </si>
  <si>
    <t>PAO FRANCÃ‹S INTEGRAL</t>
  </si>
  <si>
    <t>PAOZINHO INTEGRAL</t>
  </si>
  <si>
    <t>Torrada, trigo, tradicional</t>
  </si>
  <si>
    <t>Rosquinha, doce, frita, c/ açúcar e canela</t>
  </si>
  <si>
    <t>Rosca, salgada, recheada c/ presunto e queijo muçarela, caseira</t>
  </si>
  <si>
    <t>Biscoito, salgado, cream cracker</t>
  </si>
  <si>
    <t>Biscoito, salgado (média diferentes marcas e tipos)</t>
  </si>
  <si>
    <t>Salgadinho, snack de trigo (média de diferentes sabores)</t>
  </si>
  <si>
    <t>Biscoito, polvilho, doce, industrializado</t>
  </si>
  <si>
    <t>GRESSINI / GRISSINI (PALITO DE PAO)</t>
  </si>
  <si>
    <t>Salgadinho, snack, extrusado de milho</t>
  </si>
  <si>
    <t>Biscoito, salgado, cream cracker , integral</t>
  </si>
  <si>
    <t>SALGADINHO DE MILHO (TIPO DORITOS, FANDAGOS, CHEETOS)</t>
  </si>
  <si>
    <t>TORRADA CENTEIO</t>
  </si>
  <si>
    <t>Torrada, trigo, integral</t>
  </si>
  <si>
    <t>TORRADA DOCE</t>
  </si>
  <si>
    <t>TORRADA INTEGRAL</t>
  </si>
  <si>
    <t>SALGADINHO BATATA CHIPS (TIPO RUFFLES)</t>
  </si>
  <si>
    <t>Batata, chips, frita, c/ sal</t>
  </si>
  <si>
    <t>SALGADINHO TIPO TORCIDA</t>
  </si>
  <si>
    <t>Biscoito, doce, simples (média de diferentes tipos)</t>
  </si>
  <si>
    <t>Biscoito, doce, maisena</t>
  </si>
  <si>
    <t>Rocambole (farinha de trigo, ovo, leite, manteiga, açúcar e fermento químico), recheado com doce de leite, c/ cobertura de açúcar</t>
  </si>
  <si>
    <t>ROCAMBOLE DOCE</t>
  </si>
  <si>
    <t>BOLO DE ROLO</t>
  </si>
  <si>
    <t>Bolo, fubá, caseiro</t>
  </si>
  <si>
    <t>Sonho, frito, s/ recheio, polvilhado com açúcar</t>
  </si>
  <si>
    <t>BOLO DE FUBA</t>
  </si>
  <si>
    <t>BOLO DE FUBA CREMOSO</t>
  </si>
  <si>
    <t>Bolo, mandioca (aipim, macaxeira), c/ coco, simples, caseiro</t>
  </si>
  <si>
    <t>BOLO DE MANDIOCA</t>
  </si>
  <si>
    <t>Torta, sabor morango</t>
  </si>
  <si>
    <t>Torta de batata com carne, c/ sal</t>
  </si>
  <si>
    <t>Sonho, frito, c/ creme de confeiteiro</t>
  </si>
  <si>
    <t>SONHO RECHEADO COBERTO COM ACUCAR</t>
  </si>
  <si>
    <t>SONHO RECHEADO COM COBERTURA DE CHOCOLATE</t>
  </si>
  <si>
    <t>Bolo, chocolate, simples</t>
  </si>
  <si>
    <t>MUFFIN</t>
  </si>
  <si>
    <t>Bolo, laranja, simples, caseiro</t>
  </si>
  <si>
    <t>Bolo, cenoura, simples, caseiro</t>
  </si>
  <si>
    <t>PAO DE ALHO</t>
  </si>
  <si>
    <t>Pão de alho, assado</t>
  </si>
  <si>
    <t>PAO DE LO</t>
  </si>
  <si>
    <t>BOLO SIMPLES</t>
  </si>
  <si>
    <t>Biscoito, doce, recheado, sabores diversos (média de diferentes sabores)</t>
  </si>
  <si>
    <t>Biscoito, doce, wafer (média de diferentes sabores)</t>
  </si>
  <si>
    <t>Crepe, c/ presunto, c/ queijo muçarela</t>
  </si>
  <si>
    <t>CREPE / PANQUECA DOCE</t>
  </si>
  <si>
    <t>Panqueca, c/ banana, c/ açúcar e canela</t>
  </si>
  <si>
    <t>CREPE / PANQUECA DE CHOCOLATE</t>
  </si>
  <si>
    <t>Crepe, c/ banana, c/ chocolate ao leite</t>
  </si>
  <si>
    <t>CREPE / PANQUECA DE DOCE DE LEITE</t>
  </si>
  <si>
    <t>CREPE / PANQUECA DE FRUTA COM ACUCAR E CANELA</t>
  </si>
  <si>
    <t>CREPE / PANQUECA DE GELEIA</t>
  </si>
  <si>
    <t>CREPE / PANQUECA DE NUTELLA</t>
  </si>
  <si>
    <t>PAO ARABE NAO ESPECIFICADO</t>
  </si>
  <si>
    <t>Pão, trigo, forma, diet/light</t>
  </si>
  <si>
    <t>PAO DE QUEIJO LIGHT</t>
  </si>
  <si>
    <t>Torta de frutas, diet</t>
  </si>
  <si>
    <t>Sonho, assado, s/ recheio, s/ açúcar polvilhado</t>
  </si>
  <si>
    <t>Bolo, chocolate, simples, diet, caseiro</t>
  </si>
  <si>
    <t>Bolo, cenoura, simples, diet, caseiro</t>
  </si>
  <si>
    <t>Biscoito, doce, recheado, light (média de diferentes sabores)</t>
  </si>
  <si>
    <t>Biscoito, doce, wafer, diet/light (média de diferentes sabores)</t>
  </si>
  <si>
    <t>Biscoito, doce, recheado, diet (média de diferentes sabores)</t>
  </si>
  <si>
    <t>Biscoito, salgado,  light</t>
  </si>
  <si>
    <t>Salgadinho, assado, light</t>
  </si>
  <si>
    <t>Biscoito, doce, light</t>
  </si>
  <si>
    <t>Biscoito, doce, diet</t>
  </si>
  <si>
    <t>Bolo, banana, simples, caseiro</t>
  </si>
  <si>
    <t>BOLO DE ABACAXI</t>
  </si>
  <si>
    <t>Bolo, abacaxi</t>
  </si>
  <si>
    <t>BOLO DE FRUTA</t>
  </si>
  <si>
    <t>BOLO DE LIMAO</t>
  </si>
  <si>
    <t>PAO PARA WRAP NAO ESPECIFICADO</t>
  </si>
  <si>
    <t>PAO SEM GLUTEN NAO ESPECIFICADO</t>
  </si>
  <si>
    <t>PAO DE BATATA</t>
  </si>
  <si>
    <t>Pão, batata, c/ farinha de trigo, caseiro</t>
  </si>
  <si>
    <t>PAO DE BATATA, RECHEADO</t>
  </si>
  <si>
    <t>Pão, trigo, batata, assado, c/ recheio, de requeijão</t>
  </si>
  <si>
    <t>SALGADINHO DE ARROZ (TIPO CAMIL)</t>
  </si>
  <si>
    <t>BOLO CUCA</t>
  </si>
  <si>
    <t>CUCA ALEMA</t>
  </si>
  <si>
    <t>BOLO DE ABOBORA</t>
  </si>
  <si>
    <t>BOLO DE CENOURA COM RECHEIO E COBERTURA DE CHOCOLATE</t>
  </si>
  <si>
    <t>Bolo, cenoura, c/ recheio - brigadeiro, c/ cobertura - chocolate</t>
  </si>
  <si>
    <t>BOLO DE CENOURA SEM RECHEIO COM COBERTURA</t>
  </si>
  <si>
    <t>Bolo, cenoura, c/ cobertura - chocolate</t>
  </si>
  <si>
    <t>BOLO DE CHOCOLATE COM RECHEIO E COBERTURA</t>
  </si>
  <si>
    <t>Bolo, chocolate, c/ recheio - brigadeiro, c/ cobertura - chocolate</t>
  </si>
  <si>
    <t>BOLO DIET, SIMPLES</t>
  </si>
  <si>
    <t>BOLO DOCE COM RECHEIO E COBERTURA</t>
  </si>
  <si>
    <t>CUPCAKE</t>
  </si>
  <si>
    <t>PROFITEROLES (COM RECHEIO E COBERTURA DE CHOCOLATE)</t>
  </si>
  <si>
    <t>BOLO INGLÃ‹S</t>
  </si>
  <si>
    <t>BROWNIE</t>
  </si>
  <si>
    <t>CHEESECAKE</t>
  </si>
  <si>
    <t>CROISSANT COM RECHEIO DOCE</t>
  </si>
  <si>
    <t>Croissant, assado, c/ recheio, de doce de leite</t>
  </si>
  <si>
    <t>CROISSANT COM RECHEIO SALGADO</t>
  </si>
  <si>
    <t>Croissant, assado, c/ recheio, de muçarela e presunto</t>
  </si>
  <si>
    <t>PAO CASEIRO</t>
  </si>
  <si>
    <t>Pão, trigo, sovado</t>
  </si>
  <si>
    <t>TAPIOCA</t>
  </si>
  <si>
    <t>TAPIOCA RECHEIO NAO-ESPECIFICADO</t>
  </si>
  <si>
    <t>Tapioca, c/ manteiga, c/ sal</t>
  </si>
  <si>
    <t>TAPIOCA DOCE RECHEADA</t>
  </si>
  <si>
    <t>TAPIOCA RECHEADA COM CARNE E QUEIJO</t>
  </si>
  <si>
    <t>Tapioca, c/ carne seca e queijo coalho</t>
  </si>
  <si>
    <t>TAPIOCA RECHEADA COM QUEIJO</t>
  </si>
  <si>
    <t>Tapioca, c/ queijo coalho e muçarela</t>
  </si>
  <si>
    <t>TAPIOCA SALGADA RECHEADA</t>
  </si>
  <si>
    <t>Tapioca, c/ peito de frango e requeijão</t>
  </si>
  <si>
    <t>Carne, boi, seca, cozida, s/ óleo</t>
  </si>
  <si>
    <t>Carne, boi, seca, dessalgada, refogada (c/ óleo, cebola e alho), s/ sal</t>
  </si>
  <si>
    <t>Carne, boi, seca, dessalgada, frita (c/ óleo de soja), s/ sal</t>
  </si>
  <si>
    <t>Hambúrguer, bovino, industrializado, grelhado</t>
  </si>
  <si>
    <t>Hambúrguer, bovino, industrializado, frito</t>
  </si>
  <si>
    <t>Hambúrguer, bovino, grelhado (c/ óleo de soja), c/ molho de tomate (tomate, c/ óleo, cebola e alho, c/ sal)</t>
  </si>
  <si>
    <t>Presunto, porco, cozido, c/ capa de gordura (média de diferentes amostras)</t>
  </si>
  <si>
    <t>Hambúrguer, industrializado, frango, grelhado, s/ óleo</t>
  </si>
  <si>
    <t>SALSICHA</t>
  </si>
  <si>
    <t>Salsicha, não aquecida (média de vários tipos)</t>
  </si>
  <si>
    <t>Linguiça, frango/porco, fresca, frita (c/ óleo de soja), c/ sal</t>
  </si>
  <si>
    <t>SALSICHAO</t>
  </si>
  <si>
    <t>Linguiça, porco, grelhada</t>
  </si>
  <si>
    <t>LINGUICA (SUÍNA, BOVINA, MISTA, ETC)</t>
  </si>
  <si>
    <t>Linguiça, frango/porco, fresca, grelhada/assada, s/ óleo, c/ sal</t>
  </si>
  <si>
    <t>Linguiça, frango/porco, fresca, refogada (c/ óleo, cebola e alho), c/ sal</t>
  </si>
  <si>
    <t>LINGUICA CALABRESA</t>
  </si>
  <si>
    <t>Linguiça, calabresa, assada no forno, s/ óleo, c/ sal</t>
  </si>
  <si>
    <t>Linguiça, calabresa, cozida, c/ óleo de soja, c/ sal</t>
  </si>
  <si>
    <t>LINGUICA CALABREZA</t>
  </si>
  <si>
    <t>Linguiça, calabresa, cozida, s/ óleo, c/ sal</t>
  </si>
  <si>
    <t>Linguiça, calabresa, frita, c/ óleo de soja, c/ sal</t>
  </si>
  <si>
    <t>Linguiça, calabresa, refogada (c/ óleo, cebola e alho), c/ sal</t>
  </si>
  <si>
    <t>Linguiça, frango, grelhada</t>
  </si>
  <si>
    <t>Linguiça, frango, fresca, frita, c/ adição de gordura, c/ sal</t>
  </si>
  <si>
    <t>Salame, porco, lanche (média de vários tipos)</t>
  </si>
  <si>
    <t>Blanquet, fatiado, cozido,</t>
  </si>
  <si>
    <t>PRESUNTO PARMA</t>
  </si>
  <si>
    <t>Presunto cru, carne porco salgada,  cru, tipo Parma</t>
  </si>
  <si>
    <t>HAMBURGUER DE PEIXE</t>
  </si>
  <si>
    <t>PELE DE PORCO PREPARADA</t>
  </si>
  <si>
    <t>LEITAO A PURURUCA</t>
  </si>
  <si>
    <t>PATE (FIGADO, CALABRES, FRANGO, PRESUNTO, ETC)</t>
  </si>
  <si>
    <t>PATE (FÍGADO, CALABRESA, FRANGO, PRESUNTO, ETC)</t>
  </si>
  <si>
    <t>Carne, boi, salgada, dessalgada, cozida, s/ óleo (média várias amostras: charque, seca, jerked beef)</t>
  </si>
  <si>
    <t>Mortadela, light</t>
  </si>
  <si>
    <t>Refrigerante, tipo cola, regular, c/ açúcar</t>
  </si>
  <si>
    <t>Refrigerante, tipo laranja, regular, c/ açúcar</t>
  </si>
  <si>
    <t>REFRIGERANTE DE LARANJA TRADICIONAL</t>
  </si>
  <si>
    <t>Refrigerante, tipo guaraná, regular, c/ açúcar</t>
  </si>
  <si>
    <t>REFRESCO DE GUARANA NATURAL</t>
  </si>
  <si>
    <t>Refrigerante, tipo limão, regular, c/ açúcar</t>
  </si>
  <si>
    <t>REFRIGERANTE, LIMAO, TRADICIONAL</t>
  </si>
  <si>
    <t>REFRIGERANTE, UVA, TRADICIONAL</t>
  </si>
  <si>
    <t>Refrigerante, tipo cola, c/ adoçante</t>
  </si>
  <si>
    <t>AGUA, MINERAL NAO ESPECIFICADO</t>
  </si>
  <si>
    <t>Bebida, água, rede pública, torneira</t>
  </si>
  <si>
    <t>AGUA, MINERAL, NAO GASEIFICADA</t>
  </si>
  <si>
    <t>AGUA, MINERAL GASEIFICADA</t>
  </si>
  <si>
    <t>AGUA, MINERAL GASEIFICADA, COM SUMO DE FRUTA</t>
  </si>
  <si>
    <t>Refrigerante, c/ adoçante (média de diferentes sabores)</t>
  </si>
  <si>
    <t>BEBIDA REFRIGERANTE, TIPO H2OHÂ®</t>
  </si>
  <si>
    <t>Bebida, infusão, erva-mate, chimarrão, (70g de matéria seca - 30% de ramos e 70% de folhas - em 1 L de água)</t>
  </si>
  <si>
    <t>REFRIGERANTE DE LARANJA DIET</t>
  </si>
  <si>
    <t>Refrigerante, tipo laranja, c/ adoçante</t>
  </si>
  <si>
    <t>Refrigerante, tipo guaraná, c/ adoçante</t>
  </si>
  <si>
    <t>Coco, água</t>
  </si>
  <si>
    <t>Bebida, refresco, em pó, preparado, c/ água</t>
  </si>
  <si>
    <t>CHA PRETO</t>
  </si>
  <si>
    <t>Bebida, chá, preto, infusão 5%, s/ açúcar</t>
  </si>
  <si>
    <t>CHA MATE</t>
  </si>
  <si>
    <t>Bebida, chá, mate, infusão 5%, s/ açúcar</t>
  </si>
  <si>
    <t>Cevada, nua (média diferentes cultivares)</t>
  </si>
  <si>
    <t>Refrigerante, tipo água tônica, regular, c/ açúcar</t>
  </si>
  <si>
    <t>Bebida, chá, infusão, s/ açúcar (média de várias ervas)</t>
  </si>
  <si>
    <t>ENERGETICO</t>
  </si>
  <si>
    <t>Bebida isotônica (diversos sabores)</t>
  </si>
  <si>
    <t>BEBIDA ISOTONICA</t>
  </si>
  <si>
    <t>REFRIGERANTE, LIMAO, LIGHT</t>
  </si>
  <si>
    <t>Refrigerante, tipo limão, c/ adoçante</t>
  </si>
  <si>
    <t>REFRIGERANTE, UVA, DIET / LIGHT</t>
  </si>
  <si>
    <t>Refrigerante, tipo água tônica, c/ adoçante</t>
  </si>
  <si>
    <t>MATE DIET</t>
  </si>
  <si>
    <t>CHA VERDE, CHA BRANCO, CHA VERMELHO</t>
  </si>
  <si>
    <t>Suco, clorofila</t>
  </si>
  <si>
    <t>CHA PRETO DESCAFEINADO</t>
  </si>
  <si>
    <t>CHA VERDE, BRANCO OU VERMELHO DIET OU LIGHT</t>
  </si>
  <si>
    <t>CHA, ERVAS NAO ESPECIFICADO</t>
  </si>
  <si>
    <t>SUCO COUVE</t>
  </si>
  <si>
    <t>SUCO DETOX</t>
  </si>
  <si>
    <t>SUCO VERDE</t>
  </si>
  <si>
    <t>AGUA, REDE PUBLICA</t>
  </si>
  <si>
    <t>ICE TEA TRADICIONAL</t>
  </si>
  <si>
    <t>Bebida, chá, lata/garrafa, limão</t>
  </si>
  <si>
    <t>LIMONADA</t>
  </si>
  <si>
    <t>Suco, limonada), c/ açúcar</t>
  </si>
  <si>
    <t>SUBSTITUTO DE CAFE NAO ESPECIFICADO</t>
  </si>
  <si>
    <t>Cevada, s/ casca (pérola), crua</t>
  </si>
  <si>
    <t>SUCO NATURAL DE FRUTA</t>
  </si>
  <si>
    <t>Suco, laranja, s/ açúcar</t>
  </si>
  <si>
    <t>SUCO NATURAL DE VEGETAIS</t>
  </si>
  <si>
    <t>SUCO NATURAL, MISTURA DE FRUTAS</t>
  </si>
  <si>
    <t>Suco natural, laranja, mamão, pera e maçã, s/ açúcar</t>
  </si>
  <si>
    <t>SUCO NATURAL, MISTURA DE FRUTAS E VEGETAIS</t>
  </si>
  <si>
    <t>Suco natural, laranja, cenoura e beterraba, s/ açúcar</t>
  </si>
  <si>
    <t>TAMPICO</t>
  </si>
  <si>
    <t>Bebida, café, infusão 10%, s/ açúcar, c/ farinha de mandioca</t>
  </si>
  <si>
    <t>AGUA COM LIMAO OU OUTRAS FRUTAS/ HORTALICAS</t>
  </si>
  <si>
    <t>Suco, limonada), s/ açúcar</t>
  </si>
  <si>
    <t>SUCO INDUSTRIALIZADO</t>
  </si>
  <si>
    <t>Uva, suco, concentrado, envasado</t>
  </si>
  <si>
    <t>SUCO DE CAJA/ MANGABA/ TAPEREBA E OUTROS REGIONAIS</t>
  </si>
  <si>
    <t>Suco natural, cajá (tapereba), c/ açúcar</t>
  </si>
  <si>
    <t>SUCO DE MELANCIA</t>
  </si>
  <si>
    <t>Suco natural, melancia, c/ açúcar</t>
  </si>
  <si>
    <t>SUCO DE TAMARINDO</t>
  </si>
  <si>
    <t>Suco natural, tamarindo, c/ açúcar</t>
  </si>
  <si>
    <t>SUCO DE UVA</t>
  </si>
  <si>
    <t>Bebida alcoólica, cerveja, Pilsen</t>
  </si>
  <si>
    <t>Bebida alcoólica, aguardente, cachaça</t>
  </si>
  <si>
    <t>Batida de maracujá com álcool</t>
  </si>
  <si>
    <t>Bebida alcoólica, destilada (gim, rum, vodka, whisky) (teor alcoólico 36%)</t>
  </si>
  <si>
    <t>Bebida alcoólica, vinho, branco (média diferentes amostras)</t>
  </si>
  <si>
    <t>ESPUMANTE</t>
  </si>
  <si>
    <t>Bebida alcoólica, vinho, meio doce/doce, espumante</t>
  </si>
  <si>
    <t>VERMUTE</t>
  </si>
  <si>
    <t>Bebida alcoólica, vinho, tinto (média diferentes amostras)</t>
  </si>
  <si>
    <t>Bebida alcoólica, conhaque</t>
  </si>
  <si>
    <t>Suco, concentrado, preparado, caju, c/ açúcar</t>
  </si>
  <si>
    <t>Bebida alcoólica, vinho (média diferentes amostras)</t>
  </si>
  <si>
    <t>Coquetel de frutas, com álcool</t>
  </si>
  <si>
    <t>Bebida alcoólica, caipirinha</t>
  </si>
  <si>
    <t>CAIPIVODKA</t>
  </si>
  <si>
    <t>CERVEJA SEM ALCOOL</t>
  </si>
  <si>
    <t>Bebida, cerveja, sem álcool</t>
  </si>
  <si>
    <t>QUENTAO</t>
  </si>
  <si>
    <t>Quentão</t>
  </si>
  <si>
    <t>COQUETEL DE FRUTAS COM ALCOOL</t>
  </si>
  <si>
    <t>COQUETEL DE FRUTAS SEM ALCOOL</t>
  </si>
  <si>
    <t>Coquetel de frutas, sem álcool</t>
  </si>
  <si>
    <t>DRINK - MISTURA DE BEBIDAS</t>
  </si>
  <si>
    <t>PONCHE COM FRUTAS</t>
  </si>
  <si>
    <t>Ponche de frutas, com álcool</t>
  </si>
  <si>
    <t>SAKE / SAQUE</t>
  </si>
  <si>
    <t>Bebida alcoólica, arroz, saquê</t>
  </si>
  <si>
    <t>SIDRA COM FRUTAS, CIDRA COM FRUTAS</t>
  </si>
  <si>
    <t>Bebida alcoólica, espanhola</t>
  </si>
  <si>
    <t>VINHO QUENTE</t>
  </si>
  <si>
    <t>Vinho quente</t>
  </si>
  <si>
    <t>VINHO, SEM ALCOOL</t>
  </si>
  <si>
    <t>Azeite, oliva</t>
  </si>
  <si>
    <t>Óleo, soja</t>
  </si>
  <si>
    <t>OLEO, MILHO</t>
  </si>
  <si>
    <t>Óleo, milho</t>
  </si>
  <si>
    <t>OLEO, COCO</t>
  </si>
  <si>
    <t>Coco, óleo</t>
  </si>
  <si>
    <t>Croquete, carne, boi, industrializada, frita, c / sal</t>
  </si>
  <si>
    <t>Coxinha de frango, industrializada, frita</t>
  </si>
  <si>
    <t>Empada, frango, caseira, assada</t>
  </si>
  <si>
    <t>RIZOLE (QUEIJO, CARNE, CAMARAO, ETC)</t>
  </si>
  <si>
    <t>Risole, caseiro, frito (média de diversos sabores - camarão, carne e queijo muçarela)</t>
  </si>
  <si>
    <t>Acarajé, c/ sal</t>
  </si>
  <si>
    <t>Quibe, bovino, frito, c/sal</t>
  </si>
  <si>
    <t>Paçoca de charque (carne seca, carne de sol, jaba)</t>
  </si>
  <si>
    <t>Milho, fubá/polenta, frita, c/ óleo de soja, c/ sal</t>
  </si>
  <si>
    <t>Esfirra, caseira, assada (média de diversos sabores - carne, frango e ricota)</t>
  </si>
  <si>
    <t>Esfirra, carne, caseira, assada</t>
  </si>
  <si>
    <t>Esfirra, ricota, caseira, assada</t>
  </si>
  <si>
    <t>Esfirra, frango, caseira, assada</t>
  </si>
  <si>
    <t>Enroladinho de muçarela e presunto, caseiro</t>
  </si>
  <si>
    <t>Bolinho, madioca (aipim, macaxeira), frito, c/ sal</t>
  </si>
  <si>
    <t>Bolinho de bacalhau, frito, caseiro</t>
  </si>
  <si>
    <t>Sanduíche, cachorro quente (c/ pão hot dog e salsicha), c/ catchup, mostarda e maionese</t>
  </si>
  <si>
    <t>Sanduíche, hambúrguer bovino grelhado (c/ pão hambúrguer), c/ catchup, mostarda e maionese</t>
  </si>
  <si>
    <t>Sanduíche, cheeseburguer, hambúrguer bovino grelhado (c/ pão hambúrguer), c/ queijo prato</t>
  </si>
  <si>
    <t>Sanduíche, hambúrguer bovino grelhado (c/ pão hambúrguer), c/ alface, tomate e ovo frito</t>
  </si>
  <si>
    <t>Sanduíche, bauru (pão francês, c/ presunto, queijo muçarela e tomate)</t>
  </si>
  <si>
    <t>Sanduíche, americano (pão forma tradicional), c/ presunto, queijo mussarela, alface, tomate e ovo frito &lt;&gt;</t>
  </si>
  <si>
    <t>Sanduíche, misto quente, pão francês, c/ presunto e queijo muçarela</t>
  </si>
  <si>
    <t>Sanduíche,  queijo quente, pão francês, c/ queijo prato</t>
  </si>
  <si>
    <t>Sanduíche, pão francês c/ salame</t>
  </si>
  <si>
    <t>Sanduíche, pão francês, c/ presunto</t>
  </si>
  <si>
    <t>Sanduíche, pão francês, c/ presunto e queijo prato</t>
  </si>
  <si>
    <t>Sanduíche, pão francês, c/ mortadela</t>
  </si>
  <si>
    <t>Sanduíche, pão francês, c/ queijo minas</t>
  </si>
  <si>
    <t>Sanduíche, hambúrguer grelhado (c/ pão hambúrguer), c/ alface, tomate, queijo prato, maionese e ovo frito</t>
  </si>
  <si>
    <t>Sanduíche, pão forma integral, c/ queijo minas frescal, alface americana, cenoura crua, tomate e maionese</t>
  </si>
  <si>
    <t>CACHORRO QUENTE DE FORNO</t>
  </si>
  <si>
    <t>Torta, hot dog</t>
  </si>
  <si>
    <t>X-BURGUER</t>
  </si>
  <si>
    <t>X-CHEDDAR</t>
  </si>
  <si>
    <t>Sanduíche, hambúrguer bovino grelhado (c/ pão hambúrguer), c/ queijo prato e maionese</t>
  </si>
  <si>
    <t>SANDUICHE PRESUNTO, QUEIJO E TOMATE</t>
  </si>
  <si>
    <t>SANDUICHE BAURU</t>
  </si>
  <si>
    <t>SANDUICHE DE QUEIJO (NAO ESPECIFICADO)</t>
  </si>
  <si>
    <t>Sanduíche, pão francês, c/ queijo muçarela</t>
  </si>
  <si>
    <t>PAO COM SALAME</t>
  </si>
  <si>
    <t>PAO COM PRESUNTO</t>
  </si>
  <si>
    <t>PAO COM QUEIJO E PRESUNTO</t>
  </si>
  <si>
    <t>PAO COM MORTADELA</t>
  </si>
  <si>
    <t>SANDUICHE DE ATUM</t>
  </si>
  <si>
    <t>Sanduíche, baguete, c/ queijo muçarela, alface, tomate, atum em conserva e maionese</t>
  </si>
  <si>
    <t>PAO COM ATUM</t>
  </si>
  <si>
    <t>Sanduíche, pão forma tradicional, atum em conserva e maionese</t>
  </si>
  <si>
    <t>SANDUICHE DE CARNE ASSADA</t>
  </si>
  <si>
    <t>Sanduíche, pão francês, c/ carne assada, alface, tomate, maionese, c/ sal</t>
  </si>
  <si>
    <t>PAO COM CARNE ASSADA</t>
  </si>
  <si>
    <t>Sanduíche, pão francês, c/ carne assada, maionese, c/ sal</t>
  </si>
  <si>
    <t>SANDUICHE DE FILE</t>
  </si>
  <si>
    <t>Sanduíche, pão francês, c/ filé mignon grelhada, rúcula, tomate seco e muçarela, c/ sal</t>
  </si>
  <si>
    <t>PAO COM FILE</t>
  </si>
  <si>
    <t>SANDUICHE DE ROSBIFE</t>
  </si>
  <si>
    <t>PAO COM ROSBIFE</t>
  </si>
  <si>
    <t>SANDUICHE DE CARNE DE PORCO</t>
  </si>
  <si>
    <t>Sanduíche, pão francês, c/ carne suína refogada, c/ molho de tomate (tomate, c/ óleo, cebola e alho), c/ sal</t>
  </si>
  <si>
    <t>PAO COM CARNE DE PORCO</t>
  </si>
  <si>
    <t>Sanduíche, pão francês, c/ carne suína refogada, c/ óleo, cebola e alho, c/ sal &lt;&gt;</t>
  </si>
  <si>
    <t>SANDUICHE DE FRANGO</t>
  </si>
  <si>
    <t>Sanduíche, pão forma tradicional, c/ peito de frango grelhado (c/ óleo de soja), alface americana, cenoura crua, tomate, c/ sal</t>
  </si>
  <si>
    <t>PAO COM FRANGO</t>
  </si>
  <si>
    <t>Sanduíche, peito de frango grelhado, s/ óleo, c/ sal (c/ pão de hambúrguer)</t>
  </si>
  <si>
    <t>SANDUICHE DE PEITO DE PERU</t>
  </si>
  <si>
    <t>Sanduíche, pão francês, c/ peito de peru defumado e queijo muçarela</t>
  </si>
  <si>
    <t>PAO COM PEITO DE PERU</t>
  </si>
  <si>
    <t>Sanduíche, pão francês, c/ peito de peru defumado</t>
  </si>
  <si>
    <t>SANDUICHE DE SARDINHA</t>
  </si>
  <si>
    <t>Sanduíche, pão forma integral, c/ alface, tomate, sardinha em conserva e maionese</t>
  </si>
  <si>
    <t>PAO COM SARDINHA</t>
  </si>
  <si>
    <t>Sanduíche, pão forma tradicional, sardinha e maionese</t>
  </si>
  <si>
    <t>SANDUICHE VEGETARIANO</t>
  </si>
  <si>
    <t>Sanduíche, vegetariano, pão forma integral, c/ alface, tomate, pimentão vermelho, cebola, berinjela grelhada e cream cheese, c/ sal</t>
  </si>
  <si>
    <t>WRAP FRANGO OU GALINHA</t>
  </si>
  <si>
    <t>Sanduíche, pão sírio, c/ peito de frango grelhado (c/ óleo de soja), alface americana, cenoura crua, tomate, c/ molho de iogurte, c/ sal</t>
  </si>
  <si>
    <t>WRAP, CARNE</t>
  </si>
  <si>
    <t>Sanduíche, pão sírio, c/ queijo minas, alface e tomate</t>
  </si>
  <si>
    <t>X-EGG</t>
  </si>
  <si>
    <t>X-BACON</t>
  </si>
  <si>
    <t>Sanduíche, hambúrguer, c/ alface, tomate, queijo prato, bacon e maionese &lt;&lt;Sandwich, hamburguer, with lettuce, tomato, prato cheese, bacon and mayonnaise egg&gt;&gt;</t>
  </si>
  <si>
    <t>X-EGGCHEESEBACON</t>
  </si>
  <si>
    <t>X-TUDO</t>
  </si>
  <si>
    <t>PAO COM QUEIJO (NAO ESPECIFICADO)</t>
  </si>
  <si>
    <t>QUEIJO QUENTE</t>
  </si>
  <si>
    <t>Sanduíche, queijo quente, pão francês, c/ queijo muçarela e manteiga</t>
  </si>
  <si>
    <t>Suco natural, abacaxi, s/ açúcar</t>
  </si>
  <si>
    <t>Suco natural, acerola, s/ açúcar</t>
  </si>
  <si>
    <t>Bebida, refresco, beterraba, s/ açúcar</t>
  </si>
  <si>
    <t>Suco, polpa, congelada, preparado, cupuaçu, s/ açúcar</t>
  </si>
  <si>
    <t>Suco natural, goiaba, vermelha, s/ açúcar</t>
  </si>
  <si>
    <t>Suco natural, laranja e banana, s/ açúcar</t>
  </si>
  <si>
    <t>Suco natural, laranja e beterraba, s/ açúcar</t>
  </si>
  <si>
    <t>Suco natural, laranja e cenoura, s/ açúcar</t>
  </si>
  <si>
    <t>Suco natural, mamão, s/ açúcar</t>
  </si>
  <si>
    <t>Suco natural, manga, s/ açúcar</t>
  </si>
  <si>
    <t>Suco natural, maracujá, s/ açúcar</t>
  </si>
  <si>
    <t>Suco natural, melão, s/ açúcar</t>
  </si>
  <si>
    <t>Suco natural, morango, s/ açúcar</t>
  </si>
  <si>
    <t>Suco, pêssego, enlatado, em calda</t>
  </si>
  <si>
    <t>Vitamina, leite de vaca integral c/ banana, c/ açúcar</t>
  </si>
  <si>
    <t>Vitamina, leite de vaca integral, c/ banana e aveia, c/ açúcar</t>
  </si>
  <si>
    <t>VITAMINA DE MAMÃO</t>
  </si>
  <si>
    <t>Vitamina, leite de vaca integral c/ mamão, c/ açúcar</t>
  </si>
  <si>
    <t>Vitamina, leite de vaca integral c/ abacate, c/ açúcar</t>
  </si>
  <si>
    <t>Vitamina, leite de vaca integral c/ morango, c/ açúcar</t>
  </si>
  <si>
    <t>Vitamina, leite de vaca integral c/ banana, mamão e maçã, c/ açúcar</t>
  </si>
  <si>
    <t>Vitamina, leite de vaca integral c/ maçã, c/ açúcar</t>
  </si>
  <si>
    <t>VITAMINA DE FRUTA COM LEITE E CEREAL</t>
  </si>
  <si>
    <t>Vitamina, leite de vaca integral c/ banana, mamão e maçã, c/ aveia, flocos, c/ açúcar</t>
  </si>
  <si>
    <t>VITAMINA DE MANGA</t>
  </si>
  <si>
    <t>Vitamina, leite de vaca integral c/ manga, c/ açúcar</t>
  </si>
  <si>
    <t>Suco, laranjada, c/ açúcar</t>
  </si>
  <si>
    <t>Bebida, refresco, groselha, c/ xarope , s/ açúcar</t>
  </si>
  <si>
    <t>Suco, concentrado, preparado, maracujá, c/ açúcar</t>
  </si>
  <si>
    <t>REFRESCO CLIGHT</t>
  </si>
  <si>
    <t>REFRESCO DE GUARANA NATURAL LIGHT / DIET</t>
  </si>
  <si>
    <t>REFRESCO TANG</t>
  </si>
  <si>
    <t>Salada de legumes, c/ maionese, c/ sal</t>
  </si>
  <si>
    <t>Pizza, muçarela, caseira</t>
  </si>
  <si>
    <t>Lasanha, bolonhesa, caseira, assada</t>
  </si>
  <si>
    <t>Nhoque (batata, ovo, farinha de trigo), cozido, s/ molho, c/ sal</t>
  </si>
  <si>
    <t>Canelone, c/ carne moída refogada, caseiro, c/ sal</t>
  </si>
  <si>
    <t>Capeleti, c/ carne moída refogada, s/ molho, caseiro, c/ sal</t>
  </si>
  <si>
    <t>Ravioli, c/ carne moída refogada, s/ molho, caseiro, c/ sal</t>
  </si>
  <si>
    <t>Calzone, frios, c/ molho de tomate, caseiro, c/ sal</t>
  </si>
  <si>
    <t>Panqueca, c/ carne moída refogada, c/ molho de tomate, c/ sal</t>
  </si>
  <si>
    <t>Pizza, linguiça calabresa, caseira</t>
  </si>
  <si>
    <t>Pizza, presunto, caseira</t>
  </si>
  <si>
    <t>Pizza, portuguesa, assada</t>
  </si>
  <si>
    <t>LASANHA</t>
  </si>
  <si>
    <t>CAPELETTI DE CARNE</t>
  </si>
  <si>
    <t>CAPELETTI DE FRANGO</t>
  </si>
  <si>
    <t>Capeleti, c/ peito de frango refogado, c/ molho de tomate, caseiro, c/ sal</t>
  </si>
  <si>
    <t>PIZZA, PEPPERONI</t>
  </si>
  <si>
    <t>Pizza, pepperoni, caseira</t>
  </si>
  <si>
    <t>PIZZA, QUEIJOS</t>
  </si>
  <si>
    <t>Pizza, queijos, caseira</t>
  </si>
  <si>
    <t>PIZZA DE LOMBINHO DEFUMADO</t>
  </si>
  <si>
    <t>Pizza, lombo canadense, caseira</t>
  </si>
  <si>
    <t>PIZZA NAPOLITANA</t>
  </si>
  <si>
    <t>Pizza, Napolitana, caseira</t>
  </si>
  <si>
    <t>PIZZA DE FRANGO COM CATUPIRY</t>
  </si>
  <si>
    <t>Pizza, frango com requeijão, caseira</t>
  </si>
  <si>
    <t>PIZZA DE PEIXE (ATUM, SALMAO, SARDINHA)</t>
  </si>
  <si>
    <t>Pizza, atum, caseira</t>
  </si>
  <si>
    <t>PIZZA DE MUCARELA DE BUFALA E TOMATE SECO</t>
  </si>
  <si>
    <t>Pizza, rúcula ,c/ tomate seco e muçarela de búfula, caseira</t>
  </si>
  <si>
    <t>PIZZA MARGUERITA (MUCARELA, TOMATE E MANJERICAO)</t>
  </si>
  <si>
    <t>Pizza, Marguerita, caseira</t>
  </si>
  <si>
    <t>PIZZA VEGETARIANA</t>
  </si>
  <si>
    <t>Pizza, vegetariana, caseira</t>
  </si>
  <si>
    <t>PIZZA DOCE DE QUALQUER SABOR</t>
  </si>
  <si>
    <t>Pizza, brigadeiro c/ morango, caseira</t>
  </si>
  <si>
    <t>Carne, galeto, assada, s/ óleo, c/ sal</t>
  </si>
  <si>
    <t>Milho, pipoca, preparada, c/ óleo de soja, c/ açúcar</t>
  </si>
  <si>
    <t>Bebida, café, infusão 8% - médio, s/ açúcar</t>
  </si>
  <si>
    <t>Bebida, café - infusão 8% - média, c/ leite (meio a meio), "média", s/ açúcar</t>
  </si>
  <si>
    <t>Bebida, café, infusão 10%, s/ açúcar</t>
  </si>
  <si>
    <t>Bebida, capuccino tradicional (leite integral, café - infusão 10% e canela em pó), c/ açúcar</t>
  </si>
  <si>
    <t>CAFE CAPPUCINO DESCAFEINADO</t>
  </si>
  <si>
    <t>Bebida, capuccino tradicional (leite integral, café descafeinado - infusão e canela em pó), c/ açúcar</t>
  </si>
  <si>
    <t>CAFE CAPPUCINO LIGHT / DIET</t>
  </si>
  <si>
    <t>Bebida, capuccino tradicional (leite desnatado, café - infusão 10% e canela em pó), s/ açúcar</t>
  </si>
  <si>
    <t>CAFE CARIOCA</t>
  </si>
  <si>
    <t>Bebida, café, infusão 6% - suave, s/ açúcar</t>
  </si>
  <si>
    <t>CAFE COM SUBSTITUTO DO LEITE</t>
  </si>
  <si>
    <t>Bebida, café - infusão 10%, c/ substituto do leite - extrato de soja, natural (meio a meio), c/ açúcar</t>
  </si>
  <si>
    <t>CAFE DESCAFEINADO</t>
  </si>
  <si>
    <t>Bebida, café, descafeinado, infusão 8% - médio, s/ açúcar</t>
  </si>
  <si>
    <t>CAFE EXPRESSO DESCAFEINADO</t>
  </si>
  <si>
    <t>Milho, verde, grão, cozido, drenado, c/ sal</t>
  </si>
  <si>
    <t>Canjica, milho, branca, cozida, c/ leite integral e açúcar</t>
  </si>
  <si>
    <t>Milho, curau, cozido</t>
  </si>
  <si>
    <t>CURAU DE MILHO</t>
  </si>
  <si>
    <t>FAROFA PRONTA LIGHT</t>
  </si>
  <si>
    <t>Mandioca, farofa, temperada, c/ sal</t>
  </si>
  <si>
    <t>FAROFA COM CARNE / LINGUICA/ BACON</t>
  </si>
  <si>
    <t>Farofa, linguiça, c/ sal</t>
  </si>
  <si>
    <t>FAROFA COM OVOS</t>
  </si>
  <si>
    <t>Farofa, ovos, c sal</t>
  </si>
  <si>
    <t>FAROFA DE COUVE</t>
  </si>
  <si>
    <t>Farofa, couve, c/ sal</t>
  </si>
  <si>
    <t>MINGAU (FUBA, AVEIA, FARINHA, ETC)</t>
  </si>
  <si>
    <t>Tacacá, c/ sal</t>
  </si>
  <si>
    <t>Risoto de legumes, c/ arroz polido, c/ sal</t>
  </si>
  <si>
    <t>Vatapá, c/ sal</t>
  </si>
  <si>
    <t>Caldo de carne, c/ sal</t>
  </si>
  <si>
    <t>Caldo de feijão, c/ sal</t>
  </si>
  <si>
    <t>Caldo, mocotó, c/ sal</t>
  </si>
  <si>
    <t>MOCOTO BOVINO COM FEIJAO BRANCO</t>
  </si>
  <si>
    <t>Baião de dois, arroz e feijão de corda, c/ sal</t>
  </si>
  <si>
    <t>RUBACAO</t>
  </si>
  <si>
    <t>Rubacão</t>
  </si>
  <si>
    <t>Churrasquinho misto (espetinho misto), c/ sal</t>
  </si>
  <si>
    <t>CHURRASQUINHO</t>
  </si>
  <si>
    <t>Salada de frutas, c/ açúcar</t>
  </si>
  <si>
    <t>Sopa, carne bovina, c/ vegetais, c/ sal</t>
  </si>
  <si>
    <t>SOPA / CREME DE ABOBORA</t>
  </si>
  <si>
    <t>Sopa, abóbora, cabotian (japonesa), c/ sal</t>
  </si>
  <si>
    <t>SOPA / CALDO DE CAMARAO</t>
  </si>
  <si>
    <t>Sopa, camarão, c/ sal</t>
  </si>
  <si>
    <t>SOPA DE FEIJAO</t>
  </si>
  <si>
    <t>Sopa, feijão, preto, c/ sal</t>
  </si>
  <si>
    <t>SOPA DE FEIJAO COM MACARRAO</t>
  </si>
  <si>
    <t>Sopa, feijão, preto, c/ macarrão, c/ sal</t>
  </si>
  <si>
    <t>SOPA DE FRANGO COM LEGUMES</t>
  </si>
  <si>
    <t>Sopa, peito de frango, c/ vegetais, c/ sal</t>
  </si>
  <si>
    <t>SOPA DE FUBA</t>
  </si>
  <si>
    <t>Sopa, milho, fubá, c/ sal</t>
  </si>
  <si>
    <t>SOPA DE FUBA COM COUVE / LEGUMES</t>
  </si>
  <si>
    <t>Sopa, milho, fubá, c/ couve, c/ sal</t>
  </si>
  <si>
    <t>SOPA DE LEGUMES</t>
  </si>
  <si>
    <t>Sopa, legumes, c/ sal</t>
  </si>
  <si>
    <t>SOPA DE ENTULHO</t>
  </si>
  <si>
    <t>Sopa de entulho, c/ carne e vegetais, c/ feijão vermelho, c/ sal</t>
  </si>
  <si>
    <t>SOPA / CALDO DE MANDIOCA / MANDIOQUINHA / BATATA BAROA / INHAME</t>
  </si>
  <si>
    <t>Sopa, mandioca (aipim, macaxeira), c/ sal</t>
  </si>
  <si>
    <t>SOPA DE LEGUMES MACARRAO E CARNE</t>
  </si>
  <si>
    <t>Sopa, carne bovina, c/ macarrão, c/ vegetais, c/ sal</t>
  </si>
  <si>
    <t>SOPA DE TOMATE</t>
  </si>
  <si>
    <t>Sopa/creme, tomate, c/ sal</t>
  </si>
  <si>
    <t>SOPA / CREME DE ERVILHA</t>
  </si>
  <si>
    <t>Sopa/creme, ervilha, c/ sal</t>
  </si>
  <si>
    <t>Salpicão, de frango, c/ sal</t>
  </si>
  <si>
    <t>Charuto de repolho, com arroz polido e carne bovino, s/ molho, c/ sal</t>
  </si>
  <si>
    <t>CHARUTO DE REPOLHO COM CARNE BOVINA</t>
  </si>
  <si>
    <t>CHARUTO DE REPOLHO COM FRANGO</t>
  </si>
  <si>
    <t>Charuto de repolho, c/ peito de frango refogado, c/ molho de tomate, c/ sal</t>
  </si>
  <si>
    <t>Arroz à grega, c/ arroz polido, c/ sal</t>
  </si>
  <si>
    <t>Arrumadinho de charque (carne seca, carne de sol, jaba)</t>
  </si>
  <si>
    <t>ESCONDIDINHO</t>
  </si>
  <si>
    <t>Escondidinho de frango, c/ sal</t>
  </si>
  <si>
    <t>ARRUMADINHO DE CARNE SECA</t>
  </si>
  <si>
    <t>ESCONDIDINHO DE CARNE SECA</t>
  </si>
  <si>
    <t>Escondidinho, c/ carne seca (carne seca, carne de sol, jaba) , c/ sal</t>
  </si>
  <si>
    <t>ESCONDIDINHO DE FRANGO OU GALINHA</t>
  </si>
  <si>
    <t>BOLO DE AIPIM / MANDIOCA / MACAXERA COM FRANGO OU GALINHA</t>
  </si>
  <si>
    <t>Bolo de mandioca (aipim, macaxeira) com frango, c/ sal</t>
  </si>
  <si>
    <t>TORTA DE BATATA COM FRANGO</t>
  </si>
  <si>
    <t>Torta de batata com frango, c/ sal</t>
  </si>
  <si>
    <t>ESCONDIDINHO DE CARNE</t>
  </si>
  <si>
    <t>Escondidinho de carne bovina, c/ sal</t>
  </si>
  <si>
    <t>BOLO DE AIPIM / MANDIOCA / MACAXERA COM CARNE</t>
  </si>
  <si>
    <t>Bolo de mandioca (aipim, macaxeira) com carne, c/ sal</t>
  </si>
  <si>
    <t>ESCONDIDINHO DE BACALHAU</t>
  </si>
  <si>
    <t>Escondidinho de bacalhau, c/ sal</t>
  </si>
  <si>
    <t>ESCONDIDINHO DE CAMARAO</t>
  </si>
  <si>
    <t>Escondidinho de camarão, c/ sal</t>
  </si>
  <si>
    <t>Bobó de camarão, c/ sal</t>
  </si>
  <si>
    <t>BOBO DE FRANGO OU GALINHA</t>
  </si>
  <si>
    <t>Bobó de frango, c/ sal</t>
  </si>
  <si>
    <t>Caruru (camarão com quiabo)</t>
  </si>
  <si>
    <t>Cuscuz paulista, c/ sal</t>
  </si>
  <si>
    <t>CUSCUZ DE ATUM</t>
  </si>
  <si>
    <t>Cuscuz, atum, c/ sal</t>
  </si>
  <si>
    <t>CUSCUZ DE CAMARAO</t>
  </si>
  <si>
    <t>Cuscuz, camarão, c/ sal</t>
  </si>
  <si>
    <t>CUSCUZ MINEIRO</t>
  </si>
  <si>
    <t>CUSCUZ DE LEGUMES</t>
  </si>
  <si>
    <t>Cuscuz, legumes, c/ sal</t>
  </si>
  <si>
    <t>CUSCUZ MARROQUINO</t>
  </si>
  <si>
    <t>Cuscuz, marroquino (semolina), c/ amêndoa, damasco seco e uva passa, c/ sal</t>
  </si>
  <si>
    <t>Farofa, banana, da terra, c/ sal</t>
  </si>
  <si>
    <t>Feijão tropeiro mineiro, c/ sal</t>
  </si>
  <si>
    <t>Arroz com frango, c/ arroz polido, c/ sal</t>
  </si>
  <si>
    <t>GALINHADA CAIPIRA</t>
  </si>
  <si>
    <t>GALINHADA COM PEQUI</t>
  </si>
  <si>
    <t>Arroz com frango e pequi, c/ arroz polido, c/ sal</t>
  </si>
  <si>
    <t>Moqueca, de peixe, baiana, c/ sal</t>
  </si>
  <si>
    <t>MOQUECA / MUQUECA DE CAMARAO</t>
  </si>
  <si>
    <t>Moqueca de camarão, c/ sal</t>
  </si>
  <si>
    <t>MOQUECA / MUQUECA DE FRUTOS DO MAR</t>
  </si>
  <si>
    <t>Moqueca de frutos do mar, c/ sal</t>
  </si>
  <si>
    <t>MOQUECA / MUQUECA DE LAGOSTA</t>
  </si>
  <si>
    <t>Moqueca de lagosta, c/ sal</t>
  </si>
  <si>
    <t>MOQUECA / MUQUECA DE PEIXE</t>
  </si>
  <si>
    <t>MOQUECA / MUQUECA NAO ESPECIFICADA</t>
  </si>
  <si>
    <t>Omelete, c/ ovo de galinha, c/ queijo muçarela, c/ sal</t>
  </si>
  <si>
    <t>TORTILHA</t>
  </si>
  <si>
    <t>Tortilha, c/ sal</t>
  </si>
  <si>
    <t>OMELETE COM CARNE</t>
  </si>
  <si>
    <t>Omelete, carne bovina, c/ sal</t>
  </si>
  <si>
    <t>OMELETE COM LEGUMES</t>
  </si>
  <si>
    <t>Omelete, vegetais, c/ sal</t>
  </si>
  <si>
    <t>OMELETE COM QUEIJO E PRESUNTO</t>
  </si>
  <si>
    <t>Omelete, frios, c/ sal</t>
  </si>
  <si>
    <t>OVO BENEDICT</t>
  </si>
  <si>
    <t>Ovos Benedict, c/ presunto, c/ sal</t>
  </si>
  <si>
    <t>Pirão, c/ caldo de peixe, c/ sal</t>
  </si>
  <si>
    <t>PIRAO DE LEITE</t>
  </si>
  <si>
    <t>Pirão de leite, c/ sal</t>
  </si>
  <si>
    <t>Quibebe, c/ sal</t>
  </si>
  <si>
    <t>Quiche, alho-poró, assado, c/ sal</t>
  </si>
  <si>
    <t>Suflê, cenoura, c/ molho branco, c/ sal</t>
  </si>
  <si>
    <t>Tutu de feijão</t>
  </si>
  <si>
    <t>Maniçoba, c/ sal</t>
  </si>
  <si>
    <t>Caldo verde, c/ sal</t>
  </si>
  <si>
    <t>Arroz de cuxá, c/ arroz polido, c/ sal</t>
  </si>
  <si>
    <t>Angu a baiana, polenta, c/ molho de carne bovina, c/ sal</t>
  </si>
  <si>
    <t>ANGU COM CARNE MOIDA E TOMATE</t>
  </si>
  <si>
    <t>Polenta, c/ molho à bolonhesa (carne bovina - patinho moído, tomate, cebola, alho, c/ óleo), c/ sal</t>
  </si>
  <si>
    <t>POLENTA COM CARNE MOIDA E TOMATE</t>
  </si>
  <si>
    <t>Açaí, polpa, c/ xarope de guaraná, glucose, c/ granola caseira (aveia em flocos, flocos de milho, semente de chia e linhaça, coco, mel, oleagionosas - noz, castanha de caju e Brasil, amêndoa e avelã, damasco seco, uva passa, c/ óleo de milho, c/ canela)</t>
  </si>
  <si>
    <t>ACAI COM GUARANA E GRANOLA</t>
  </si>
  <si>
    <t>Lasanha, frango com ricota, light, caseira (massa lasanha fresca, c/ peito de frango, c/ ricota, c/ molho de tomate (tomate, c/ óleo, cebola e alho), c/ sal)</t>
  </si>
  <si>
    <t>Vaca atolada, c/ sal</t>
  </si>
  <si>
    <t>ATOLADO DE CARNE MOIDA</t>
  </si>
  <si>
    <t>COSTELA COM AIPIM / MACAXEIRA / MANDIOCA</t>
  </si>
  <si>
    <t>Carne, boi, costela, assada, c/ mandioca (aipim, macaxeira) e cebola, c/ sal</t>
  </si>
  <si>
    <t>COSTELA COM BATATA</t>
  </si>
  <si>
    <t>Carne, boi, costela, assada, c/ batata e cebola, s/ óleo, c/ sal</t>
  </si>
  <si>
    <t>ATOLADO DE CARNE SECA</t>
  </si>
  <si>
    <t>CARNE DE SOL ATOLADA</t>
  </si>
  <si>
    <t>SALADA OU VERDURA CRUA, EXCETO DE FRUTA</t>
  </si>
  <si>
    <t>Salada, vegetais crus, s/ óleo, s/ sal</t>
  </si>
  <si>
    <t>PASTEL DE FORNO/ PASTEL ASSADO (QUEIJO, CARNE, PALMITO, ETC)</t>
  </si>
  <si>
    <t>Pastel de forno, recheado c/ carne, assado</t>
  </si>
  <si>
    <t>PASTEL DE FORNO INTEGRAL / PASTEL ASSADO INTEGRAL (QUEIJO, CARNE, PALMITO, ETC)</t>
  </si>
  <si>
    <t>Pastel de forno integral, recheado c/ carne, caseiro, assado</t>
  </si>
  <si>
    <t>CACHORRO QUENTE COMPLETO</t>
  </si>
  <si>
    <t>Sanduíche, cachorro quente (c/ pão hot dog e salsicha), c/ catchup, mostarda, maionese, milho, ervilha, purê de batata, molho vinagrete e batata palha</t>
  </si>
  <si>
    <t>X-FRANGO OU GALINHA</t>
  </si>
  <si>
    <t>Sanduíche, peito de frango grelhado (c/ pão de hambúrguer) ,  c/ queijo prato, alface, tomate e maionese</t>
  </si>
  <si>
    <t>X-SALADA</t>
  </si>
  <si>
    <t>Sanduíche, cheese salad, hambúrguer bovino grelhado (c/ pão hambúrguer), c/ queijo prato, alface, tomate e maionese</t>
  </si>
  <si>
    <t>SALADA CAESER / CESAR / CISER / CEASER</t>
  </si>
  <si>
    <t>Salada, Caesar</t>
  </si>
  <si>
    <t>SALADA DE AIPO COM MACA</t>
  </si>
  <si>
    <t>Salada, Waldorf</t>
  </si>
  <si>
    <t>SALADA DE ALFACE, TOMATE E CEBOLA</t>
  </si>
  <si>
    <t>Salada, vegetais crus, c/ óleo de soja, c/ sal</t>
  </si>
  <si>
    <t>SALADA DE ARROZ</t>
  </si>
  <si>
    <t>Salada, c/ arroz polido, c/ azeite de oliva, c/ sal</t>
  </si>
  <si>
    <t>SALADA DE ATUM</t>
  </si>
  <si>
    <t>Salada, atum, c/ azeite de oliva, c/ sal</t>
  </si>
  <si>
    <t>SALADA DE BACALHAU COM BATATAS</t>
  </si>
  <si>
    <t>Salada, bacalhau com batata, c/ azeite de oliva, c/ sal</t>
  </si>
  <si>
    <t>SALADA DE BATATA E ATUM</t>
  </si>
  <si>
    <t>Salada, batata com atum, c/ azeite de oliva, c/ sal</t>
  </si>
  <si>
    <t>SALADA DE FEIJAO FRADINHO</t>
  </si>
  <si>
    <t>Salada, feijão fradinho, c/ azeite de oliva, c/ sal</t>
  </si>
  <si>
    <t>SALADA DE GRAO-DE-BICO</t>
  </si>
  <si>
    <t>Salada, grão-de-bico, c/ azeite de oliva, c/ sal</t>
  </si>
  <si>
    <t>SALADA DE FOLHAS</t>
  </si>
  <si>
    <t>Salada, folhas, c/ óleo de soja, c/ sal</t>
  </si>
  <si>
    <t>SALADA DE RUCULA E TOMATE SECO</t>
  </si>
  <si>
    <t>Salada, folhas e vegetais, c/ óleo de soja e c/ sal</t>
  </si>
  <si>
    <t>SALADA DE LEGUMES</t>
  </si>
  <si>
    <t>SALADA DE LENTILHAS</t>
  </si>
  <si>
    <t>Salada, lentilha, c/ azeite de oliva, c/ sal</t>
  </si>
  <si>
    <t>SALADA DE TOMATE</t>
  </si>
  <si>
    <t>Salada, tomate, c/ óleo de soja, c/ sal</t>
  </si>
  <si>
    <t>TABULE</t>
  </si>
  <si>
    <t>Tabule, c/ trigo para quibe, c/ sal</t>
  </si>
  <si>
    <t>SALADA DE TRIGO</t>
  </si>
  <si>
    <t>Salada, trigo em grão, c/ azeite de oliva, c/ sal</t>
  </si>
  <si>
    <t>SALADA DE LEGUMES E VERDURAS</t>
  </si>
  <si>
    <t>Salada, legumes cozidos, c/ óleo de soja, c/ sal</t>
  </si>
  <si>
    <t>LASANHA / LAZANHA DE BERINGELA</t>
  </si>
  <si>
    <t>Lasanha, berinjela, c/ frios, caseira, c/ sal</t>
  </si>
  <si>
    <t>LASANHA / LASANHA DE BERINGELA COM CARNE</t>
  </si>
  <si>
    <t>Lasanha, berinjela, c/ molho bolonhesa, caseira, c/ sal</t>
  </si>
  <si>
    <t>LASANHA / LAZANHA COM FRUTOS DO MAR</t>
  </si>
  <si>
    <t>Lasanha, frutos do mar, caseira</t>
  </si>
  <si>
    <t>LASANHA / LAZANHA DE FRANGO OU GALINHA</t>
  </si>
  <si>
    <t>Lasanha, peito de frango, caseira</t>
  </si>
  <si>
    <t>LASANHA / LAZANHA DE LEGUMES AO SUGO</t>
  </si>
  <si>
    <t>Lasanha, vegetais, caseira</t>
  </si>
  <si>
    <t>LASANHA / LAZANHA DE QUEIJO E PRESUNTO</t>
  </si>
  <si>
    <t>Lasanha, frios, caseira</t>
  </si>
  <si>
    <t>LASANHA / LAZANHA QUATRO QUEIJOS</t>
  </si>
  <si>
    <t>Lasanha, queijos, c/ molho branco, c/ sal, caseira</t>
  </si>
  <si>
    <t>CANELONE DE FRANGO</t>
  </si>
  <si>
    <t>Canelone, c/ peito de frango refogado, s/ molho, caseiro, c/ sal</t>
  </si>
  <si>
    <t>CANELONE DE QUEIJO</t>
  </si>
  <si>
    <t>Canelone, c/ muçarela, s/ molho, caseiro</t>
  </si>
  <si>
    <t>CANELONE DE QUEIJO E PRESUNTO</t>
  </si>
  <si>
    <t>Canelone, frios, s/ molho, caseiro</t>
  </si>
  <si>
    <t>CANELONE DE RICOTA</t>
  </si>
  <si>
    <t>Canelone, c/ ricota, s/ molho, caseiro, c/ sal</t>
  </si>
  <si>
    <t>Arroz, c/ feijão, c/ sal</t>
  </si>
  <si>
    <t>Sanduíche, pão francês, c/ manteiga</t>
  </si>
  <si>
    <t>Sanduíche, pão francês, c/ margarina</t>
  </si>
  <si>
    <t>Sanduíche, pão francês, c/ ovo frito</t>
  </si>
  <si>
    <t>SANDUICHE DE OVO</t>
  </si>
  <si>
    <t>Sanduíche, pão forma tradicional, c/ alface, ovo mexido, muçarela, c/ sal</t>
  </si>
  <si>
    <t>Carne, boi, acém, s/ gordura, cozida, c/ batata, c/ sal</t>
  </si>
  <si>
    <t>Carne, boi, acém moída, cozida, c/ vegetais - cenoura, chuchu, vagem, c/ óleo, cebola e alho, c/ sal</t>
  </si>
  <si>
    <t>Carne, frango, peito, c/ batata, c/ óleo, cebola e alho, c/ sal</t>
  </si>
  <si>
    <t>Carne, frango, peito, c/ vegetais - cenoura, chuchu, vagem, c/ óleo, cebola e alho, c/ sal</t>
  </si>
  <si>
    <t>Abóbora, cabotian (japonesa), c/ quiabo, refogado (c/ óleo, cebola e alho), c/ salsa, c/ sal</t>
  </si>
  <si>
    <t>Arroz carreteiro, c/ sal</t>
  </si>
  <si>
    <t>Arroz de leite</t>
  </si>
  <si>
    <t>Arroz, c/ mandioca (aipim, macaxeira) cozida, c/ sal</t>
  </si>
  <si>
    <t>Arroz, c/ ovo frito, c/ sal</t>
  </si>
  <si>
    <t>CARNE DE BOI COM LEGUMES</t>
  </si>
  <si>
    <t>COSTELA COM LEGUMES</t>
  </si>
  <si>
    <t>ENSOPADINHO DE CARNE COM LEGUMES</t>
  </si>
  <si>
    <t>GUISADO / GUIZADO DE CARNE COM LEGUMES</t>
  </si>
  <si>
    <t>REFOGADINHO DE CARNE COM LEGUMES</t>
  </si>
  <si>
    <t>GUISADO / GUIZADO DE FRANGO OU GALINHA COM LEGUMES</t>
  </si>
  <si>
    <t>REFOGADINHO DE FRANGO OU GALINHA COM LEGUMES</t>
  </si>
  <si>
    <t>ARROZ AO MOLHO PARDO / ARROZ DE CABIDELA</t>
  </si>
  <si>
    <t>Arroz ao molho pardo (arroz de cabidela), c/ arroz polido, c/ sal</t>
  </si>
  <si>
    <t>ARROZ CAIPIRA</t>
  </si>
  <si>
    <t>Arroz caipira, c/ arroz polido, c/ sal</t>
  </si>
  <si>
    <t>ARROZ CHOP SUEY</t>
  </si>
  <si>
    <t>Arroz chop suey, c/ arroz integral, c/ molho shoyu</t>
  </si>
  <si>
    <t>ARROZ COM FRANGO E PEQUI</t>
  </si>
  <si>
    <t>ARROZ COM FRUTOS DO MAR / ARROZ COM PEIXE</t>
  </si>
  <si>
    <t>Arroz com frutos do mar, c/ arroz polido, c/ sal</t>
  </si>
  <si>
    <t>ARROZ COM LEGUMES</t>
  </si>
  <si>
    <t>Arroz com legumes, c/ arroz polido, c/ sal</t>
  </si>
  <si>
    <t>ARROZ COM LENTILHA</t>
  </si>
  <si>
    <t>Arroz com lentilha, c/ arroz polido, c/ sal</t>
  </si>
  <si>
    <t>ARROZ COM LINGUICA</t>
  </si>
  <si>
    <t>Arroz com linguiça, c/ arroz polido, c/ sal</t>
  </si>
  <si>
    <t>ARROZ COM MACARRAO / ALETRIA / ALITRIA / CABELO DE ANJO</t>
  </si>
  <si>
    <t>Arroz com macarrão (aletria, cabelo de anjo),  c/ arroz polido, c/ sal</t>
  </si>
  <si>
    <t>ARROZ COM NOZES / CASTANHA / BARU</t>
  </si>
  <si>
    <t>Arroz com nozes, c/ arroz polido, c/ sal</t>
  </si>
  <si>
    <t>ARROZ COM PEQUI</t>
  </si>
  <si>
    <t>Arroz com pequi, c/ arroz polido, c/ sal</t>
  </si>
  <si>
    <t>ARROZ COM SALSICHA / LINGUICA</t>
  </si>
  <si>
    <t>Arroz com salsicha, c/ arros polido, c/ sal</t>
  </si>
  <si>
    <t>ARROZ DE BROCOLIS / COUVE</t>
  </si>
  <si>
    <t>Arroz com brócolis, c/ arroz polido, c/ sal</t>
  </si>
  <si>
    <t>ARROZ DE COCO</t>
  </si>
  <si>
    <t>Arroz com coco, c/ arroz polido, c/ sal</t>
  </si>
  <si>
    <t>ARROZ DE FORNO</t>
  </si>
  <si>
    <t>Arroz de forno, c/ arroz polido, c/ sal</t>
  </si>
  <si>
    <t>ARROZ COM FRANGO / ARROZ COM CAPOTE</t>
  </si>
  <si>
    <t>ARROZ PIAMONTESE</t>
  </si>
  <si>
    <t>Arroz piamontese, c/ arroz polido, c/ sal</t>
  </si>
  <si>
    <t>BACALHOADA</t>
  </si>
  <si>
    <t>Bacalhoada, c/ vegetais, c/ sal</t>
  </si>
  <si>
    <t>BATATA COM MOLHO BRANCO E QUEIJO</t>
  </si>
  <si>
    <t>Batata, inglesa, cozida, c/ muçarela, c/ molho branco (farinha de trigo, manteiga e leite), c/ sal</t>
  </si>
  <si>
    <t>BATATA RECHEADA</t>
  </si>
  <si>
    <t>Batata recheada, c/ requeijão e toucinho defumado (bacon), assada, with salt</t>
  </si>
  <si>
    <t>BATATA SUICA / BATATA ROSTIE / ROSTI</t>
  </si>
  <si>
    <t>Batata suíça, c/ peito de frango, c/ sal</t>
  </si>
  <si>
    <t>BATATA, CENOURA E CHUCHU</t>
  </si>
  <si>
    <t>Vegetais, cozidos, c/ sal</t>
  </si>
  <si>
    <t>BERINJELA / BERINGELA RECHEADA COM LEGUMES E QUEIJO</t>
  </si>
  <si>
    <t>Berinjela recheada, c/ muçarela, c/ vegetais, c/ sal</t>
  </si>
  <si>
    <t>BERINJELA / BERINGELA RECHEADA COM CARNE MOIDA</t>
  </si>
  <si>
    <t>Berinjela recheada, c/ carne bovina, c/ sal</t>
  </si>
  <si>
    <t>BIFE A PARMEGIANA</t>
  </si>
  <si>
    <t>Bife à parmegiana, c/ sal</t>
  </si>
  <si>
    <t>BIFE DE FRANGO OU GALINHA A PARMEGIANA</t>
  </si>
  <si>
    <t>Filé de frango à parmegiana</t>
  </si>
  <si>
    <t>BOLINHA DE QUEIJO</t>
  </si>
  <si>
    <t>Bolinha de queijo, caseira</t>
  </si>
  <si>
    <t>BOLINHO DE ARROZ</t>
  </si>
  <si>
    <t>Bolinho de arroz, frito, c/ sal</t>
  </si>
  <si>
    <t>BOLO DE BATATA COM CARNE</t>
  </si>
  <si>
    <t>BOLO DE BATATA COM FRANGO OU GALINHA</t>
  </si>
  <si>
    <t>BOLO DE BATATA DOCE COM FRANGO OU GALINHA</t>
  </si>
  <si>
    <t>Bolo de batata doce com frango, c/ sal</t>
  </si>
  <si>
    <t>BRUSCHETTA</t>
  </si>
  <si>
    <t>Bruschetta, c/ mussarela de búfala, c/ sal</t>
  </si>
  <si>
    <t>CARNE COZIDA COM LEGUMES E BATATA</t>
  </si>
  <si>
    <t>Carne, boi, quarto traseiro, s/ gordura, cozida, c/ batata e vegetais - cenoura, chuchu, vagem, c/ óleo, cebola e alho, c/ sal</t>
  </si>
  <si>
    <t>CARNE ENSOPADA COM LEGUMES E BATATA</t>
  </si>
  <si>
    <t>CARNE REFOGADA COM LEGUMES E BATATA</t>
  </si>
  <si>
    <t>ENSOPADINHO DE CARNE COM LEGUMES E BATATA</t>
  </si>
  <si>
    <t>ENSOPADO DE CARNE COM LEGUMES E BATATA</t>
  </si>
  <si>
    <t>CALDEIRADA DE PEIXE</t>
  </si>
  <si>
    <t>Caldeirada de peixe e frutos do mar, c/ sal</t>
  </si>
  <si>
    <t>CALDO DE PINTO</t>
  </si>
  <si>
    <t>Sopa, mandioca (aipim, macaxeira), c/ peito de frango, csal</t>
  </si>
  <si>
    <t>CAMARAO COM CATUPIRY</t>
  </si>
  <si>
    <t>Camarão com requeijão, c/ sal</t>
  </si>
  <si>
    <t>CAMARAO COM MOLHO BRANCO</t>
  </si>
  <si>
    <t>Camarão com molho branco, c/ sal</t>
  </si>
  <si>
    <t>CAMARAO ENSOPADO COM CHUCHU / LEGUMES</t>
  </si>
  <si>
    <t>Camarão com chuchu, s/ sal</t>
  </si>
  <si>
    <t>CAMARAO NA ABOBORA / MORANGA</t>
  </si>
  <si>
    <t>Camarão na moranga, c/ sal</t>
  </si>
  <si>
    <t>CANAPE NAO ESPECIFICADO</t>
  </si>
  <si>
    <t>Canapé, cream cheese e presunto parma</t>
  </si>
  <si>
    <t>CANJIQUINHA DE MILHO COM COSTELINHA DE PORCO</t>
  </si>
  <si>
    <t>Canjica de milho com costela de porco, c/ linguiça calabresa, tomate, cheiro verde, pimenta do reino, c/ óleo, cebola e alho, c/ sal</t>
  </si>
  <si>
    <t>CAPONATA DE BERINJELA</t>
  </si>
  <si>
    <t>CARIBEU (CARNE SECA COM MANDIOCA)</t>
  </si>
  <si>
    <t>Carne, boi, charque (carne seca, carne de sol, jaba), c/ mandioca (aipim, macaxeira), extrato de tomate, pimentão, cebolinha, c/ óleo, cebola e alho, c/ sal</t>
  </si>
  <si>
    <t>CARNE ASSADA RECHEADA</t>
  </si>
  <si>
    <t>Carne, boi, maminha, s/ gordura, assada, recheado - cebola, pimentão, tomate, linguiça calabresa, c/ pimenta-do-reino, c/ sal</t>
  </si>
  <si>
    <t>CARNE RECHEADA COM LEGUMES E OU LINGUICA</t>
  </si>
  <si>
    <t>Lagarto recheado com cenoura, c/ sal</t>
  </si>
  <si>
    <t>CARNE DE PORCO COM LEGUMES</t>
  </si>
  <si>
    <t>CARNE SUINA / CARNE DE PORCO COM LEGUMES</t>
  </si>
  <si>
    <t>CARNE DE SOL COM LEGUMES</t>
  </si>
  <si>
    <t>Carne, boi, charque (carne seca, carne de sol, jaba), c/ batata e vegetais - cenoura, chuchu, vagem, c/ óleo, cebola e alho, c/ sal</t>
  </si>
  <si>
    <t>CARNE SECA COM ABOBORA / LEGUMES</t>
  </si>
  <si>
    <t>Carne, boi, charque (carne seca, carne de sol, jaba), c/ abóbora cabotian (japonesa), salsa, c/ óleo, cebola e alho, c/ sal</t>
  </si>
  <si>
    <t>CHARQUE COM LEGUMES</t>
  </si>
  <si>
    <t>CARNE DE SOL COM MACAXEIRA</t>
  </si>
  <si>
    <t>CARNE DESFIADA</t>
  </si>
  <si>
    <t>Carne desfiada (carne louca), c/ sal</t>
  </si>
  <si>
    <t>CARNE LOUCA / MALUCA</t>
  </si>
  <si>
    <t>CASQUINHA DE SIRI</t>
  </si>
  <si>
    <t>Casquinha de siri, c/ sal</t>
  </si>
  <si>
    <t>CREME DE ABOBORA COM CARNE</t>
  </si>
  <si>
    <t>Creme, abóbora, cabotian (japonesa), c/ carne bovina, c/ sal</t>
  </si>
  <si>
    <t>CREME DE CENOURA</t>
  </si>
  <si>
    <t>Sopa/creme, cenoura, c/ sal</t>
  </si>
  <si>
    <t>CREME DE ESPINAFRE</t>
  </si>
  <si>
    <t>Sopa/creme, espinafre, c/ sal</t>
  </si>
  <si>
    <t>DOBRADINHA COM FEIJAO BRANCO</t>
  </si>
  <si>
    <t>ENSOPADINHO DE LEGUMES</t>
  </si>
  <si>
    <t>JARDINEIRA DE LEGUMES</t>
  </si>
  <si>
    <t>Jardineira de legumes, c/ sal</t>
  </si>
  <si>
    <t>ENSOPADINHO DE LINGUICA COM BATATA</t>
  </si>
  <si>
    <t>Ensopado, c/ linguiça calabresa e batata, c/ sal</t>
  </si>
  <si>
    <t>ENSOPADINHO DE LINGUICA COM LEGUMES</t>
  </si>
  <si>
    <t>Ensopado, c/ linguiça calabresa e legumes, c/ sal</t>
  </si>
  <si>
    <t>ENTREVERO DE PINHAO</t>
  </si>
  <si>
    <t>Entrevero de pinhão, c/ sal</t>
  </si>
  <si>
    <t>FILE DE PEIXE A PARMEGIANA</t>
  </si>
  <si>
    <t>Peixe à parmegiana</t>
  </si>
  <si>
    <t>FILE DE PEIXE AO CREME</t>
  </si>
  <si>
    <t>Peixe, água salgada, pescada, branca, assado/grelhado, c/ creme de leite, requeijão e cogumelo paris, c/ sal</t>
  </si>
  <si>
    <t>FRANGO CAIPIRA</t>
  </si>
  <si>
    <t>Carne, frango, caipira, inteiro, c/ pele, cozida, salsa, c/ molho de tomate (tomate, c/ óleo, cebola e alho), c/ pimenta-do-reino, c/ sal</t>
  </si>
  <si>
    <t>FRANGO ENSOPADO</t>
  </si>
  <si>
    <t>Carne, frango, inteiro, ensopado, c/ tomate, pimentão, salsa, c/ óleo, cebola e alho, c/ pimenta-do-reino, c/ sal</t>
  </si>
  <si>
    <t>FRANGO OU GALINHA COM PEQUI</t>
  </si>
  <si>
    <t>Carne, frango, inteiro, ensopada, c/ pequi, pimentão, tomate, salsa, noz moscada, c/ óleo, cebola e alho, c/ pimenta-do-reino, c/ sal</t>
  </si>
  <si>
    <t>FRANGO OU GALINHA AO MOLHO PARDO / GALINHA DE CABIDELA</t>
  </si>
  <si>
    <t>Frango ao molho pardo (frango de cabidela)</t>
  </si>
  <si>
    <t>FRANGO OU GALINHA DE CABIDELA</t>
  </si>
  <si>
    <t>FRANGO OU GALINHA COM QUIABO</t>
  </si>
  <si>
    <t>Carne, frango, inteiro, ensopado, c/ quiabo, salsa, c/ molho de tomate (tomate, c/ óleo, cebola e alho), c/ pimenta-do-reino, c/ sal</t>
  </si>
  <si>
    <t>FRANGO OU GALINHA NO TUCUPI</t>
  </si>
  <si>
    <t>Carne, frango, assada, c/ tucupi, pimenta-de-cheiro, jambu, chicória (coentro bravo), cebola, alho, c/ sal</t>
  </si>
  <si>
    <t>FRANGO OU GALINHA XADREZ</t>
  </si>
  <si>
    <t>Frango xadrez, c/ molho shoyu</t>
  </si>
  <si>
    <t>FRICASSE DE CARNE MOIDA</t>
  </si>
  <si>
    <t>Fricassé de carne moída, c/ sal</t>
  </si>
  <si>
    <t>FRICASSE DE FRANGO OU GALINHA</t>
  </si>
  <si>
    <t>Fricassé de frango, c/ sal</t>
  </si>
  <si>
    <t>FRIGIDEIRA DE PEIXE</t>
  </si>
  <si>
    <t>Frigideira de peixe, c/ sal</t>
  </si>
  <si>
    <t>HOT FILADELFIA NAO ESPECIFICADO</t>
  </si>
  <si>
    <t>Hot Filadélfia (Hot Roll)</t>
  </si>
  <si>
    <t>JARDINEIRA DE LEGUMES COM CARNE</t>
  </si>
  <si>
    <t>LAGARTO RECHEADO COM CENOURA</t>
  </si>
  <si>
    <t>LAGARTO RECHEADO COM LINGUICA</t>
  </si>
  <si>
    <t>Lagarto recheado com calabresa, c/ sal</t>
  </si>
  <si>
    <t>LEGUMES GRATINADOS</t>
  </si>
  <si>
    <t>Legumes gratinados, c/ molho branco, c/ queijo parmesão, c/ sal</t>
  </si>
  <si>
    <t>LEGUMES RECHEADOS COM CARNE</t>
  </si>
  <si>
    <t>Pimentão recheado, c/ carne bovina, c/ sal</t>
  </si>
  <si>
    <t>LENTILHA COM BACON</t>
  </si>
  <si>
    <t>Lentilha, cozida, c/ toucinho defumado (bacon), c/ óleo, cebola e alho, c/ sal</t>
  </si>
  <si>
    <t>LENTILHA COM LINGUICA</t>
  </si>
  <si>
    <t>Lentilha, cozida, c/ linguiça calabresa, c/ óleo, cebola e alho, c/ sal</t>
  </si>
  <si>
    <t>LINGUA BOVINA RECHEADA COM LEGUMES</t>
  </si>
  <si>
    <t>Carne, boi, lingua, cozida, recheada, c/ cenoura, pimentão vermelho, c/ molho de tomate (tomate, c/ óleo, cebola e alho), c/ sal</t>
  </si>
  <si>
    <t>LOMBO RECHEADO COM LEGUMES</t>
  </si>
  <si>
    <t>Carne, porco, lombo, assada, recheada - cebola, cenoura, pimentão vermelho, c/ sal</t>
  </si>
  <si>
    <t>LOMBO RECHEADO COM LINGUICA</t>
  </si>
  <si>
    <t>Carne, porco, lombo, assada, recheada, c/ linguiça calabresa, c/ sal</t>
  </si>
  <si>
    <t>MAO DE VACA</t>
  </si>
  <si>
    <t>MARISCADA</t>
  </si>
  <si>
    <t>Mariscada, c/ sal</t>
  </si>
  <si>
    <t>MATAMBRE RECHEADO</t>
  </si>
  <si>
    <t>MISSOSHIRO</t>
  </si>
  <si>
    <t>Missoshiro</t>
  </si>
  <si>
    <t>MOUSSE DE CAMARAO</t>
  </si>
  <si>
    <t>Mousse de camarão</t>
  </si>
  <si>
    <t>MUJICA / MOJICA DE PEIXE</t>
  </si>
  <si>
    <t>Mujica/mojica de peixe (pirão de peixe)</t>
  </si>
  <si>
    <t>PACA ASSADA A PURURUCA</t>
  </si>
  <si>
    <t>PACOCA DE PINHAO</t>
  </si>
  <si>
    <t>Paçoca de pinhão, c/ sal</t>
  </si>
  <si>
    <t>PATO NO TUCUPI</t>
  </si>
  <si>
    <t>Carne, pato, assada, c/ tucupi, pimenta-de-cheiro, jambu, chicória (coentro bravo), cebola, alho, c/ sal</t>
  </si>
  <si>
    <t>PEIXADA</t>
  </si>
  <si>
    <t>PEIXE A PARMEGIANA</t>
  </si>
  <si>
    <t>PEIXE ASSADO COM LEGUMES E BATATAS</t>
  </si>
  <si>
    <t>Peixe, água salgada, pescada, branca, assado/grelhado, c/ batata e vegetais - cebola, cenoura, abobrinha, tomate, c/ óleo, c/ sal</t>
  </si>
  <si>
    <t>PEIXE ENSOPADO COM BATATAS</t>
  </si>
  <si>
    <t>Peixe, água salgada, pescada, branca, ensopado (c/ cebola, tomate e pimentão), c/ batata, c/ sal</t>
  </si>
  <si>
    <t>PEIXE ENSOPADO COM LEGUMES E BATATA</t>
  </si>
  <si>
    <t>Peixe, água salgada, pescada, branca, ensopado (c/ cebola, tomate e pimentão), c/ batata e legumes - cenoura, abobrinha, brócolis, c/ sal</t>
  </si>
  <si>
    <t>PEIXE AO LEITE DE COCO</t>
  </si>
  <si>
    <t>Peixe, água salgada, pescada, branca, ensopado (c/ cebola, tomate e pimentão), c/ leite de coco, c/ sal</t>
  </si>
  <si>
    <t>PEIXE ASSADO RECHEADO COM FAROFA</t>
  </si>
  <si>
    <t>Peixe, água salgada, pescada, branca, assado/grelhado, recheado, c/ farofa de banana, c/ sal</t>
  </si>
  <si>
    <t>PEIXE GRATINADO</t>
  </si>
  <si>
    <t>Peixe, água salgada, pescada, cozido, c/ molho branco (farinha de trigo, manteiga e leite), c/ sal</t>
  </si>
  <si>
    <t>PEIXE COM CAMARAO</t>
  </si>
  <si>
    <t>Peixe, água salgada, pescada, branca, cozido, c/ camarão, c/ molho de tomate (tomate, c/ óleo, cebola e alho), c/ sal</t>
  </si>
  <si>
    <t>PICADINHO DE CARNE</t>
  </si>
  <si>
    <t>Carne, boi, quarto traseiro, s/ gordura, grelhada, c/ molho de tomate (tomate, c/ óleo, cebola e alho), c/ sal</t>
  </si>
  <si>
    <t>PIMENTAO RECHEADO</t>
  </si>
  <si>
    <t>POLPETTONE / POLPETONE</t>
  </si>
  <si>
    <t>Almôndega, ao sugo</t>
  </si>
  <si>
    <t>SUFLE DE LEGUMES (CHUCHU, CENOURA, ALHO-PORÃ”)</t>
  </si>
  <si>
    <t>QUIBE ASSADO / QUIBE DE FORNO</t>
  </si>
  <si>
    <t>Quibe, bovino, assado</t>
  </si>
  <si>
    <t>QUIBE CRU</t>
  </si>
  <si>
    <t>Quibe, bovino, cru, s/ sal</t>
  </si>
  <si>
    <t>QUIBE VEGETARIANO</t>
  </si>
  <si>
    <t>Quibe vegetariano com tomate e pimentão, c/ sal</t>
  </si>
  <si>
    <t>QUICHE DE ALHO PORO</t>
  </si>
  <si>
    <t>QUICHE DE PEIXES (SALMAO, ATUM, SARDINHA ETC)</t>
  </si>
  <si>
    <t>Quiche, salmão, assado, c/ sal</t>
  </si>
  <si>
    <t>RABADA COM AGRIAO E BATATA</t>
  </si>
  <si>
    <t>Rabada bovina com batata e agrião, c/ molho de tomate (tomate, c/ óleo, cebola e alho), pimentão, c/ óleo, cebola e alho, c/ pimenta do reino, c/ sal</t>
  </si>
  <si>
    <t>RATATOUILLE</t>
  </si>
  <si>
    <t>Ratatouille, vegetais assados, c/ sal</t>
  </si>
  <si>
    <t>REFOGADINHO DE LEGUMES</t>
  </si>
  <si>
    <t>RISOTO DE CAMARAO</t>
  </si>
  <si>
    <t>Risoto de camarão, c/ arroz polido, c/ sal</t>
  </si>
  <si>
    <t>RISOTO DE FRUTOS DO MAR</t>
  </si>
  <si>
    <t>Risoto de frutos do mar, c/ arroz polido, c/ sal</t>
  </si>
  <si>
    <t>RISOTO DE FUNGUI (FUNGHI)</t>
  </si>
  <si>
    <t>Risoto de cogumelos, c/ arroz polido, c/ sal</t>
  </si>
  <si>
    <t>RISOTO DE LEGUMES</t>
  </si>
  <si>
    <t>ROLINHO DE PRIMAVERA (NAO ESPECIFICADO)</t>
  </si>
  <si>
    <t>Rolinho primavera, frito, c/ sal</t>
  </si>
  <si>
    <t>HARUMAKI DE PEIXE</t>
  </si>
  <si>
    <t>Harumaki (rolinho primavera), peixe, frito, c/ sal</t>
  </si>
  <si>
    <t>RONDELE DE CARNE</t>
  </si>
  <si>
    <t>Rondele, c/ carne moída refogada, c/ molho de tomate, caseiro, c/ sal</t>
  </si>
  <si>
    <t>RONDELE / RONDELI / RONDELLE</t>
  </si>
  <si>
    <t>Rondele, frios, c/ molho de tomate, caseiro, c/ sal</t>
  </si>
  <si>
    <t>RONDELE DE CAMARAO</t>
  </si>
  <si>
    <t>Rondele, c/ camarão, refogado,  c/ molho de tomate, caseiro, c/ sal</t>
  </si>
  <si>
    <t>RONDELE DE QUEIJO E PRESUNTO</t>
  </si>
  <si>
    <t>SAGU AO VINHO TINTO</t>
  </si>
  <si>
    <t>SUFLE DE BACALHAU</t>
  </si>
  <si>
    <t>Suflê, camarão, c/ molho branco, c/ sal</t>
  </si>
  <si>
    <t>SUFLE DE FRANGO OU GALINHA</t>
  </si>
  <si>
    <t>Suflê, frango, c/ molho branco, c/ queijo parmesão, c/ sal</t>
  </si>
  <si>
    <t>TEMAKI</t>
  </si>
  <si>
    <t>Temaki</t>
  </si>
  <si>
    <t>TEMPURA DE CAMARAO</t>
  </si>
  <si>
    <t>Tempurá de camarão</t>
  </si>
  <si>
    <t>TEMPURA LEGUMES</t>
  </si>
  <si>
    <t>Tempurá de legumes, frito,  c/ sal</t>
  </si>
  <si>
    <t>TRANCA SALGADA RECHEADA</t>
  </si>
  <si>
    <t>VIRADO</t>
  </si>
  <si>
    <t>Virado de feijão</t>
  </si>
  <si>
    <t>XINXIM DE BOFE</t>
  </si>
  <si>
    <t>Xinxim de bofe, c/ sal</t>
  </si>
  <si>
    <t>PRATO FEITO</t>
  </si>
  <si>
    <t>Prato de comida brasileiro</t>
  </si>
  <si>
    <t>MEXIDO</t>
  </si>
  <si>
    <t>Mexido</t>
  </si>
  <si>
    <t>CUSCUZ DE ARROZ</t>
  </si>
  <si>
    <t>SALADA DE LEGUMES, VERDURAS E FRUTAS</t>
  </si>
  <si>
    <t>Salada, folhas, vegetais e frutas, c/ azeite de oliva, c/ sal</t>
  </si>
  <si>
    <t>PAO COM LINGUICA</t>
  </si>
  <si>
    <t>Pão, francês, c/ linguiça, frita</t>
  </si>
  <si>
    <t>PAO COM TUCUMA</t>
  </si>
  <si>
    <t>Pão francês, c/ tucumã</t>
  </si>
  <si>
    <t>CAFE COM PAO</t>
  </si>
  <si>
    <t>Lanche brasileiro (pão francês, c/ margarina, c/ sal, c/ café, infusão 10%)</t>
  </si>
  <si>
    <t>CAFE COM BOLO/ BISCOITO/ BOLACHA</t>
  </si>
  <si>
    <t>Lanche brasileiro (bolo trigo, s/ cobertura e s/ recheio, c/ café, infusão 10%, c/ açúcar)</t>
  </si>
  <si>
    <t>LEITE COM PAO OU BISCOITO/ BOLACHA</t>
  </si>
  <si>
    <t>Lanche brasileiro (leite integral, c/ pão francês)</t>
  </si>
  <si>
    <t>SOPA INSTANTANEA</t>
  </si>
  <si>
    <t>Sopa instantânea, c/ macarrão</t>
  </si>
  <si>
    <t>MACARRAO COM OVO</t>
  </si>
  <si>
    <t>Macarrão, trigo, cozido, com ovo mexido, c/ toucinho defumado (bacon), c/ sal</t>
  </si>
  <si>
    <t>MACARRAO COM CAMARAO</t>
  </si>
  <si>
    <t>Macarrão, trigo, c/ molho de tomate (tomate, c/ óleo, cebola e alho) e frutos do mar (camarão, lula e mexilhão), c/ óleo, cebola e alho, c/ sal</t>
  </si>
  <si>
    <t>MACARRAO COM FRUTOS DO MAR</t>
  </si>
  <si>
    <t>MACARRAO COM QUEIJO</t>
  </si>
  <si>
    <t>Macarrão, trigo, c/ ovos, c/ molho branco (leite, manteiga e farinha de trigo), c/ sal</t>
  </si>
  <si>
    <t>MACARRAO AO ALHO E OLEO</t>
  </si>
  <si>
    <t>MACARRAO COM FRANGO OU GALINHA</t>
  </si>
  <si>
    <t>Macarrão, trigo, c/ molho de tomate (tomate, c/ óleo, cebola e alho), c/ peito de frango, c/ óleo, cebola e alho, c/ sal</t>
  </si>
  <si>
    <t>MACARRAO COM LEGUMES</t>
  </si>
  <si>
    <t>MACARRAO COM LINGUICA</t>
  </si>
  <si>
    <t>Macarrão, trigo, c/ linguiça calabresa, salsa, cebolinha, c/ molho de tomate (tomate, c/ óleo, cebola e alho), c/ sal</t>
  </si>
  <si>
    <t>MACARRAO COM MOLHO BRANCO</t>
  </si>
  <si>
    <t>MACARRAO CREMOSO / SUGO / TOMATE</t>
  </si>
  <si>
    <t>Macarrão, trigo, c/ ovos, c/ molho de tomate (tomate, c/ óleo, cebola e alho), c/ sal</t>
  </si>
  <si>
    <t>MACARRAO GRATINADO</t>
  </si>
  <si>
    <t>MACARRAO COM SALSICHA</t>
  </si>
  <si>
    <t>Macarrão, trigo, c/ salsicha, salsa, cebolinha, c/ molho de tomate (tomate, c/ óleo, cebola e alho), c/ sal</t>
  </si>
  <si>
    <t>STROGONOFF / ESTROGONOFE DE CAMARAO</t>
  </si>
  <si>
    <t>Strogonoff de camarão</t>
  </si>
  <si>
    <t>STROGONOFF / ESTROGONOFE DE CARNE</t>
  </si>
  <si>
    <t>STROGONOFF / ESTROGONOFE DE CARNE DE SOJA</t>
  </si>
  <si>
    <t>Strogonoff de soja</t>
  </si>
  <si>
    <t>STROGONOFF / ESTROGONOFE DE FRANGO OU GALINHA</t>
  </si>
  <si>
    <t>Estrogonoffe de frango, c/ sal</t>
  </si>
  <si>
    <t>YAKISSOBA DE CARNE</t>
  </si>
  <si>
    <t>YAKISSOBA DE FRANGO</t>
  </si>
  <si>
    <t>YAKISSOBA DE CAMARAO</t>
  </si>
  <si>
    <t>YAKISSOBA DE LEGUMES</t>
  </si>
  <si>
    <t>FEIJAO COM CARNES</t>
  </si>
  <si>
    <t>Feijão, preto, cozido (50% grão e 50% caldo), c/ carne de boi, músculo, s/ gordura, c/ óleo, cebola e alho, c/ sal</t>
  </si>
  <si>
    <t>FEIJAO COM BACON</t>
  </si>
  <si>
    <t>FEIJAO COM LINGUICA</t>
  </si>
  <si>
    <t>FEIJOADA DE FRUTOS DO MAR</t>
  </si>
  <si>
    <t>Feijoada de frutos do mar</t>
  </si>
  <si>
    <t>FEIJOADA VEGETARIANA</t>
  </si>
  <si>
    <t>Feijoada vegetariana</t>
  </si>
  <si>
    <t>MAIONESE DE CAMARAO</t>
  </si>
  <si>
    <t>TORTA CAIPIRA</t>
  </si>
  <si>
    <t>TORTA DE FRANGO OU GALINHA</t>
  </si>
  <si>
    <t>TORTA DE CARNE</t>
  </si>
  <si>
    <t>TORTA DE CARNE E LEGUMES</t>
  </si>
  <si>
    <t>TORTA DE CARNE E QUEIJO</t>
  </si>
  <si>
    <t>TORTA DE CARNE SECA</t>
  </si>
  <si>
    <t>TORTA DE BACALHAU</t>
  </si>
  <si>
    <t>Suflê, bacalhau, c/ molho branco, c/ sal</t>
  </si>
  <si>
    <t>TORTA DE CAMARAO / FRUTOS DO MAR</t>
  </si>
  <si>
    <t>TORTA DE PEIXE / ATUM / SARDINHA</t>
  </si>
  <si>
    <t>TORTA DE LEGUMES</t>
  </si>
  <si>
    <t>Torta, vegetais, c/ cenoura, vagem e abobrinha, c/ sal</t>
  </si>
  <si>
    <t>TORTA DE PRESUNTO E QUEIJO</t>
  </si>
  <si>
    <t>Torta, frios</t>
  </si>
  <si>
    <t>TORTA DE QUEIJO / RICOTA</t>
  </si>
  <si>
    <t>TORTA CAPIXABA</t>
  </si>
  <si>
    <t>ROCAMBOLE SALGADO</t>
  </si>
  <si>
    <t>ROCAMBOLE DE CARNE</t>
  </si>
  <si>
    <t>ROCAMBOLE DE FRANGO OU GALINHA</t>
  </si>
  <si>
    <t>Chuchu, s/ casca, cozida, drenada, s/ óleo, s/ sal</t>
  </si>
  <si>
    <t>EF 
(g-m2)</t>
  </si>
  <si>
    <t>WF 
(litros)</t>
  </si>
  <si>
    <t>CF 
(gCO2e)</t>
  </si>
  <si>
    <t>Código e descrição do preparo de acordo com a TBCA</t>
  </si>
  <si>
    <t>Código POF e descrição do alimento</t>
  </si>
  <si>
    <r>
      <rPr>
        <b/>
        <sz val="11"/>
        <color theme="1"/>
        <rFont val="Times New Roman"/>
        <family val="1"/>
      </rPr>
      <t>PASTAS E CONTEÚDOS
Notas_2018:</t>
    </r>
    <r>
      <rPr>
        <sz val="11"/>
        <color theme="1"/>
        <rFont val="Times New Roman"/>
        <family val="1"/>
      </rPr>
      <t xml:space="preserve"> Explicações sobre o conteúdo deste arquivo. 
</t>
    </r>
    <r>
      <rPr>
        <b/>
        <sz val="11"/>
        <color theme="1"/>
        <rFont val="Times New Roman"/>
        <family val="1"/>
      </rPr>
      <t xml:space="preserve">Tab_Preparacoes_100g_2018: </t>
    </r>
    <r>
      <rPr>
        <sz val="11"/>
        <color theme="1"/>
        <rFont val="Times New Roman"/>
        <family val="1"/>
      </rPr>
      <t xml:space="preserve">Pegada de carbono (CF), pegada hídrica (WF) e pegada ecológica (EF) para 100g de alimentos e preparações culinárias consumidas no Brasil, calculadas conforme as receitas padronizadas da TBCA-USP.
</t>
    </r>
    <r>
      <rPr>
        <b/>
        <sz val="11"/>
        <color theme="1"/>
        <rFont val="Times New Roman"/>
        <family val="1"/>
      </rPr>
      <t xml:space="preserve">Tab_PT_Ingredientes_1kg_2018: </t>
    </r>
    <r>
      <rPr>
        <sz val="11"/>
        <color theme="1"/>
        <rFont val="Times New Roman"/>
        <family val="1"/>
      </rPr>
      <t xml:space="preserve">Pegada de carbono (CF), pegada hídrica (WF) e pegada ecológica (EF) por quilo (kg) dos itens de consumo alimentar sem preparo.
</t>
    </r>
    <r>
      <rPr>
        <b/>
        <sz val="11"/>
        <color theme="1"/>
        <rFont val="Times New Roman"/>
        <family val="1"/>
      </rPr>
      <t xml:space="preserve">GAS_gCO2eq_100g_2018: </t>
    </r>
    <r>
      <rPr>
        <sz val="11"/>
        <color theme="1"/>
        <rFont val="Times New Roman"/>
        <family val="1"/>
      </rPr>
      <t xml:space="preserve">Tabela com as pegadas de carbono (CF) calculadas para aquecimento a gás 	conforme grupo de alimento e tipo de preparo, tempo de uso de forno ou fogão.
</t>
    </r>
    <r>
      <rPr>
        <b/>
        <sz val="11"/>
        <color theme="1"/>
        <rFont val="Times New Roman"/>
        <family val="1"/>
      </rPr>
      <t xml:space="preserve">Base_Pegadas_2018: </t>
    </r>
    <r>
      <rPr>
        <sz val="11"/>
        <color theme="1"/>
        <rFont val="Times New Roman"/>
        <family val="1"/>
      </rPr>
      <t xml:space="preserve">Tabela com a base de dados secundários das pegadas de carbono(CF), pegada hídrica (WF) e pegada ecológica (EF) por quilo (kg) dos alimentos e respectivas fontes de referência.
</t>
    </r>
    <r>
      <rPr>
        <b/>
        <sz val="11"/>
        <color theme="1"/>
        <rFont val="Times New Roman"/>
        <family val="1"/>
      </rPr>
      <t>Dados_Referencias_2018:</t>
    </r>
    <r>
      <rPr>
        <sz val="11"/>
        <color theme="1"/>
        <rFont val="Times New Roman"/>
        <family val="1"/>
      </rPr>
      <t xml:space="preserve"> Referências bibliográficas ordenadas pelo código da referência fonte das pegadas ambientais.
</t>
    </r>
    <r>
      <rPr>
        <b/>
        <sz val="11"/>
        <color theme="1"/>
        <rFont val="Times New Roman"/>
        <family val="1"/>
      </rPr>
      <t>Harmonized_System_Codes_EN:</t>
    </r>
    <r>
      <rPr>
        <sz val="11"/>
        <color theme="1"/>
        <rFont val="Times New Roman"/>
        <family val="1"/>
      </rPr>
      <t xml:space="preserve"> Spreadsheet with Harmonized Systems codes and descriptions - specifically for foods. Levels Chapter and Position only.</t>
    </r>
  </si>
  <si>
    <r>
      <rPr>
        <b/>
        <sz val="11"/>
        <color theme="1"/>
        <rFont val="Times New Roman"/>
        <family val="1"/>
      </rPr>
      <t xml:space="preserve">ATUALIZAÇÃO DAS TABELAS DAS PEGADAS AMBIENTAIS DE ALIMENTOS E PREPARAÇÕES CULINÁRIAS CONSUMIDOS NO BRASIL CONFORME A PESQUISA DE ORÇAMENTOS FAMILIARES DE 2018
</t>
    </r>
    <r>
      <rPr>
        <sz val="11"/>
        <color theme="1"/>
        <rFont val="Times New Roman"/>
        <family val="1"/>
      </rPr>
      <t xml:space="preserve">
</t>
    </r>
    <r>
      <rPr>
        <b/>
        <sz val="11"/>
        <color theme="1"/>
        <rFont val="Times New Roman"/>
        <family val="1"/>
      </rPr>
      <t>Citação</t>
    </r>
    <r>
      <rPr>
        <sz val="11"/>
        <color theme="1"/>
        <rFont val="Times New Roman"/>
        <family val="1"/>
      </rPr>
      <t xml:space="preserve">: 
</t>
    </r>
    <r>
      <rPr>
        <b/>
        <sz val="11"/>
        <color theme="1"/>
        <rFont val="Times New Roman"/>
        <family val="1"/>
      </rPr>
      <t>DOI</t>
    </r>
    <r>
      <rPr>
        <sz val="11"/>
        <color theme="1"/>
        <rFont val="Times New Roman"/>
        <family val="1"/>
      </rPr>
      <t>: 
Aqui está uma nova edição das tabelas das pegadas de carbono (CF), pegadas hídricas (WF) e pegadas ecológicas (EF) dos alimentos e das preparações culinárias consumidos no Brasil. Cada pegada ambiental foi calculada a partir de dados secundários, obtidos de publicações científicas ou relatórios de desempenho ambiental de alimentos, calculados pela avaliação do ciclo de vida (ISO-14.040).
Os dados sobre alimentação são originários da Pesquisa de Orçamentos Familiares (POF) de 2017/2018 do IBGE, módulos de Disponibilidade Domiciliar de Alimentos e de Consumo Alimentar Pessoal no Brasil. É uma atualização das tabelas vinculadas ao ebook “Pegadas dos alimentos e das preparações culinárias consumidos no Brasil”, que contemplou dados alimentares da POF de 2008/2009. Nesse ebook é possível obter detalhes metodológicos sobre a elaboração destas tabelas. (Disponível em: https://www.livrosabertos.sibi.usp.br/portaldelivrosUSP/catalog/book/393). 
Coeficientes das pegadas de carbono, hídrica e ecológica foram calculados para cada item de consumo alimentar, alimento ou preparação culinária. Foi necessário que todas as preparações culinárias, ou seja, itens de consumo que possuíam mais de um alimento na sua preparação (por exemplo, arroz cozido com óleo, sal e cebola), fossem desagregadas utilizando-se as receitas padronizadas da Tabela Brasileira de Composição de Alimentos (TBCA) da Universidade de São Paulo, Food Research Center, Versão 7.0, (Disponível em: http://www.fcf.usp.br/tbca).
Há padronização do banco de dados das pegadas ambientais com os bancos de dados usados em nutrição. Os códigos dos alimentos, a lista completa de itens de consumo alimentar ou as quantificações dos nutrientes e das pegadas ambientais por 100g de alimento, tudo foi pensado para favorece estudos integrados. A base de dados ambientais, as referências das fontes secundárias das pegadas ambientais e as emissões atribuídas às fontes do gás de cozinha estão disponibilizadas.
O objetivo desta planilha é oferecer rastreabilidade e transparência para aqueles que estejam interessados no detalhamento dos procedimentos metodológicos, facilitando aos pesquisadores e interessados nos impactos ambientais da alimentação o uso do banco de dados das pegadas ambientais.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</si>
</sst>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i/>
      <sz val="8"/>
      <color rgb="FF000000"/>
      <name val="Times New Roman"/>
      <family val="1"/>
    </font>
    <font>
      <sz val="8"/>
      <color theme="1"/>
      <name val="Times New Roman"/>
      <family val="1"/>
    </font>
    <font>
      <b/>
      <sz val="11"/>
      <color theme="1"/>
      <name val="Times New Roman"/>
      <family val="1"/>
    </font>
    <font>
      <sz val="14"/>
      <color theme="1"/>
      <name val="Times New Roman"/>
      <family val="1"/>
    </font>
    <font>
      <sz val="9"/>
      <color theme="1"/>
      <name val="Times New Roman"/>
      <family val="1"/>
    </font>
    <font>
      <vertAlign val="subscript"/>
      <sz val="8"/>
      <color theme="1"/>
      <name val="Times New Roman"/>
      <family val="1"/>
    </font>
    <font>
      <vertAlign val="superscript"/>
      <sz val="8"/>
      <color theme="1"/>
      <name val="Times New Roman"/>
      <family val="1"/>
    </font>
    <font>
      <sz val="11"/>
      <color rgb="FF000000"/>
      <name val="Calibri"/>
      <family val="2"/>
    </font>
    <font>
      <sz val="11"/>
      <color theme="1"/>
      <name val="Calibri"/>
      <family val="2"/>
      <scheme val="minor"/>
    </font>
    <font>
      <sz val="11"/>
      <color theme="1"/>
      <name val="Times New Roman"/>
      <family val="1"/>
    </font>
    <font>
      <sz val="11"/>
      <color rgb="FFFF0000"/>
      <name val="Calibri"/>
      <family val="2"/>
      <scheme val="minor"/>
    </font>
    <font>
      <b/>
      <sz val="11"/>
      <color theme="1"/>
      <name val="Calibri"/>
      <family val="2"/>
      <scheme val="minor"/>
    </font>
    <font>
      <b/>
      <sz val="12"/>
      <color theme="1"/>
      <name val="Times New Roman"/>
      <family val="1"/>
    </font>
    <font>
      <b/>
      <sz val="11"/>
      <color rgb="FF000000"/>
      <name val="Times New Roman"/>
      <family val="1"/>
    </font>
    <font>
      <b/>
      <vertAlign val="subscript"/>
      <sz val="11"/>
      <color rgb="FF000000"/>
      <name val="Times New Roman"/>
      <family val="1"/>
    </font>
    <font>
      <sz val="11"/>
      <color rgb="FF000000"/>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auto="1"/>
      </top>
      <bottom/>
      <diagonal/>
    </border>
  </borders>
  <cellStyleXfs count="3">
    <xf numFmtId="0" fontId="0" fillId="0" borderId="0"/>
    <xf numFmtId="0" fontId="8" fillId="0" borderId="0"/>
    <xf numFmtId="0" fontId="9" fillId="0" borderId="0"/>
  </cellStyleXfs>
  <cellXfs count="87">
    <xf numFmtId="0" fontId="0" fillId="0" borderId="0" xfId="0"/>
    <xf numFmtId="0" fontId="0" fillId="0" borderId="0" xfId="0" applyAlignment="1">
      <alignment horizontal="center"/>
    </xf>
    <xf numFmtId="0" fontId="5" fillId="0" borderId="0" xfId="0" applyFont="1"/>
    <xf numFmtId="0" fontId="5" fillId="2" borderId="0" xfId="0" applyFont="1" applyFill="1"/>
    <xf numFmtId="0" fontId="5" fillId="2" borderId="0" xfId="0" applyFont="1" applyFill="1" applyAlignment="1">
      <alignment wrapText="1"/>
    </xf>
    <xf numFmtId="0" fontId="5" fillId="0" borderId="0" xfId="0" applyFont="1" applyAlignment="1">
      <alignment wrapText="1"/>
    </xf>
    <xf numFmtId="0" fontId="0" fillId="0" borderId="0" xfId="0" applyAlignment="1">
      <alignment horizontal="left"/>
    </xf>
    <xf numFmtId="0" fontId="0" fillId="3" borderId="0" xfId="0" applyFill="1" applyAlignment="1">
      <alignment vertical="top"/>
    </xf>
    <xf numFmtId="0" fontId="0" fillId="3" borderId="0" xfId="0" applyFill="1" applyAlignment="1">
      <alignment horizontal="center" vertical="top"/>
    </xf>
    <xf numFmtId="164" fontId="2" fillId="3" borderId="0" xfId="0" applyNumberFormat="1" applyFont="1" applyFill="1"/>
    <xf numFmtId="0" fontId="2" fillId="0" borderId="0" xfId="0" applyFont="1" applyAlignment="1">
      <alignment horizontal="left"/>
    </xf>
    <xf numFmtId="0" fontId="2" fillId="0" borderId="0" xfId="0" applyFont="1"/>
    <xf numFmtId="0" fontId="2" fillId="2" borderId="0" xfId="0" applyFont="1" applyFill="1" applyAlignment="1">
      <alignment vertical="center"/>
    </xf>
    <xf numFmtId="0" fontId="2" fillId="2" borderId="0" xfId="0" applyFont="1" applyFill="1" applyAlignment="1">
      <alignment vertical="center" wrapText="1"/>
    </xf>
    <xf numFmtId="0" fontId="2" fillId="0" borderId="0" xfId="0" applyFont="1" applyAlignment="1">
      <alignment vertical="center"/>
    </xf>
    <xf numFmtId="0" fontId="2" fillId="0" borderId="0" xfId="0" applyFont="1" applyAlignment="1">
      <alignment vertical="center" wrapText="1"/>
    </xf>
    <xf numFmtId="164" fontId="2" fillId="3" borderId="0" xfId="0" applyNumberFormat="1" applyFont="1" applyFill="1" applyAlignment="1">
      <alignment vertical="top"/>
    </xf>
    <xf numFmtId="0" fontId="2" fillId="3" borderId="0" xfId="0" applyFont="1" applyFill="1" applyAlignment="1">
      <alignment vertical="top"/>
    </xf>
    <xf numFmtId="0" fontId="2" fillId="3" borderId="0" xfId="0" applyFont="1" applyFill="1"/>
    <xf numFmtId="164" fontId="0" fillId="0" borderId="0" xfId="0" applyNumberForma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0" fillId="0" borderId="0" xfId="0" applyAlignment="1">
      <alignment vertical="top"/>
    </xf>
    <xf numFmtId="164" fontId="2" fillId="0" borderId="0" xfId="0" applyNumberFormat="1" applyFont="1"/>
    <xf numFmtId="0" fontId="2" fillId="3" borderId="3" xfId="0" applyFont="1" applyFill="1" applyBorder="1" applyAlignment="1">
      <alignment horizontal="left"/>
    </xf>
    <xf numFmtId="0" fontId="2" fillId="3" borderId="2" xfId="0" applyFont="1" applyFill="1" applyBorder="1" applyAlignment="1">
      <alignment horizontal="left"/>
    </xf>
    <xf numFmtId="0" fontId="2" fillId="3" borderId="0" xfId="0" applyFont="1" applyFill="1" applyAlignment="1">
      <alignment horizontal="left"/>
    </xf>
    <xf numFmtId="0" fontId="1" fillId="3" borderId="3" xfId="0" applyFont="1" applyFill="1" applyBorder="1"/>
    <xf numFmtId="0" fontId="1" fillId="3" borderId="0" xfId="0" applyFont="1" applyFill="1"/>
    <xf numFmtId="0" fontId="4" fillId="3" borderId="0" xfId="0" applyFont="1" applyFill="1" applyAlignment="1">
      <alignment horizontal="left" vertical="center"/>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3" fillId="3" borderId="0" xfId="0" applyFont="1" applyFill="1" applyAlignment="1">
      <alignment horizontal="center" vertical="center"/>
    </xf>
    <xf numFmtId="0" fontId="3" fillId="3" borderId="0" xfId="0" applyFont="1" applyFill="1" applyAlignment="1">
      <alignment vertical="center"/>
    </xf>
    <xf numFmtId="0" fontId="10" fillId="0" borderId="0" xfId="0" applyFont="1" applyAlignment="1">
      <alignment vertical="center" wrapText="1"/>
    </xf>
    <xf numFmtId="0" fontId="13" fillId="3" borderId="0" xfId="0" applyFont="1" applyFill="1" applyAlignment="1">
      <alignment horizontal="left" vertical="center"/>
    </xf>
    <xf numFmtId="0" fontId="12" fillId="0" borderId="0" xfId="0" applyFont="1" applyAlignment="1">
      <alignment horizontal="left"/>
    </xf>
    <xf numFmtId="0" fontId="12" fillId="0" borderId="0" xfId="0" applyFont="1"/>
    <xf numFmtId="0" fontId="12" fillId="0" borderId="0" xfId="0" applyFont="1" applyAlignment="1">
      <alignment horizontal="center"/>
    </xf>
    <xf numFmtId="0" fontId="11" fillId="0" borderId="0" xfId="0" applyFont="1" applyAlignment="1">
      <alignment horizontal="center"/>
    </xf>
    <xf numFmtId="1" fontId="11" fillId="0" borderId="0" xfId="0" applyNumberFormat="1" applyFont="1" applyAlignment="1">
      <alignment horizontal="center"/>
    </xf>
    <xf numFmtId="0" fontId="9" fillId="0" borderId="0" xfId="2" applyAlignment="1">
      <alignment horizontal="left"/>
    </xf>
    <xf numFmtId="0" fontId="0" fillId="0" borderId="0" xfId="0" applyAlignment="1">
      <alignment horizontal="left" vertical="center" wrapText="1"/>
    </xf>
    <xf numFmtId="0" fontId="10"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3" fillId="0" borderId="0" xfId="0" applyFont="1" applyAlignment="1">
      <alignment vertical="center" wrapText="1"/>
    </xf>
    <xf numFmtId="1" fontId="2" fillId="3" borderId="0" xfId="0" applyNumberFormat="1" applyFont="1" applyFill="1" applyAlignment="1">
      <alignment horizontal="center"/>
    </xf>
    <xf numFmtId="1" fontId="2" fillId="3" borderId="3" xfId="0" applyNumberFormat="1" applyFont="1" applyFill="1" applyBorder="1" applyAlignment="1">
      <alignment horizontal="center"/>
    </xf>
    <xf numFmtId="1" fontId="2" fillId="3" borderId="2" xfId="0" applyNumberFormat="1" applyFont="1" applyFill="1" applyBorder="1" applyAlignment="1">
      <alignment horizontal="center"/>
    </xf>
    <xf numFmtId="1" fontId="2" fillId="0" borderId="0" xfId="0" applyNumberFormat="1" applyFont="1" applyAlignment="1">
      <alignment horizontal="center"/>
    </xf>
    <xf numFmtId="164" fontId="2" fillId="3" borderId="3" xfId="0" applyNumberFormat="1" applyFont="1" applyFill="1" applyBorder="1" applyAlignment="1">
      <alignment horizontal="center"/>
    </xf>
    <xf numFmtId="164" fontId="2" fillId="3" borderId="2" xfId="0" applyNumberFormat="1" applyFont="1" applyFill="1" applyBorder="1" applyAlignment="1">
      <alignment horizontal="center"/>
    </xf>
    <xf numFmtId="164" fontId="2" fillId="3" borderId="0" xfId="0" applyNumberFormat="1" applyFont="1" applyFill="1" applyAlignment="1">
      <alignment horizontal="center"/>
    </xf>
    <xf numFmtId="1" fontId="0" fillId="0" borderId="0" xfId="0" applyNumberFormat="1"/>
    <xf numFmtId="164" fontId="0" fillId="0" borderId="0" xfId="0" applyNumberFormat="1"/>
    <xf numFmtId="0" fontId="0" fillId="0" borderId="0" xfId="0" applyAlignment="1">
      <alignment horizontal="right"/>
    </xf>
    <xf numFmtId="0" fontId="14" fillId="3" borderId="3" xfId="0" applyFont="1" applyFill="1" applyBorder="1" applyAlignment="1">
      <alignment horizontal="center" vertical="center"/>
    </xf>
    <xf numFmtId="0" fontId="0" fillId="3" borderId="2" xfId="0" applyFill="1" applyBorder="1" applyAlignment="1">
      <alignment horizontal="center"/>
    </xf>
    <xf numFmtId="0" fontId="0" fillId="3" borderId="2" xfId="0" applyFill="1" applyBorder="1"/>
    <xf numFmtId="0" fontId="14" fillId="3" borderId="2" xfId="0" applyFont="1" applyFill="1" applyBorder="1" applyAlignment="1">
      <alignment horizontal="center" vertical="center"/>
    </xf>
    <xf numFmtId="1" fontId="0" fillId="3" borderId="0" xfId="0" applyNumberFormat="1" applyFill="1"/>
    <xf numFmtId="164" fontId="0" fillId="3" borderId="0" xfId="0" applyNumberFormat="1" applyFill="1"/>
    <xf numFmtId="0" fontId="0" fillId="3" borderId="2" xfId="0" applyFill="1" applyBorder="1" applyAlignment="1">
      <alignment horizontal="left"/>
    </xf>
    <xf numFmtId="1" fontId="0" fillId="3" borderId="2" xfId="0" applyNumberFormat="1" applyFill="1" applyBorder="1"/>
    <xf numFmtId="164" fontId="0" fillId="3" borderId="2" xfId="0" applyNumberFormat="1" applyFill="1" applyBorder="1"/>
    <xf numFmtId="0" fontId="0" fillId="3" borderId="0" xfId="0" applyFill="1" applyAlignment="1">
      <alignment horizontal="center" vertical="top" wrapText="1"/>
    </xf>
    <xf numFmtId="0" fontId="16" fillId="3" borderId="1" xfId="0" applyFont="1" applyFill="1" applyBorder="1" applyAlignment="1">
      <alignment horizontal="center" vertical="center" wrapText="1"/>
    </xf>
    <xf numFmtId="0" fontId="0" fillId="3" borderId="0" xfId="0" applyFill="1" applyAlignment="1">
      <alignment wrapText="1"/>
    </xf>
    <xf numFmtId="164" fontId="0" fillId="3" borderId="0" xfId="0" applyNumberFormat="1" applyFill="1" applyAlignment="1">
      <alignment horizontal="center"/>
    </xf>
    <xf numFmtId="0" fontId="14" fillId="3" borderId="0" xfId="0" applyFont="1" applyFill="1" applyAlignment="1">
      <alignment vertical="top" wrapText="1"/>
    </xf>
    <xf numFmtId="0" fontId="0" fillId="3" borderId="0" xfId="0" applyFill="1" applyAlignment="1">
      <alignment vertical="top" wrapText="1"/>
    </xf>
    <xf numFmtId="0" fontId="0" fillId="3" borderId="2" xfId="0" applyFill="1" applyBorder="1" applyAlignment="1">
      <alignment vertical="top" wrapText="1"/>
    </xf>
    <xf numFmtId="0" fontId="0" fillId="3" borderId="0" xfId="0" applyFill="1" applyAlignment="1">
      <alignment horizontal="left" vertical="top" wrapText="1"/>
    </xf>
    <xf numFmtId="164" fontId="0" fillId="3" borderId="0" xfId="0" applyNumberFormat="1" applyFill="1" applyAlignment="1">
      <alignment horizontal="center" vertical="top" wrapText="1"/>
    </xf>
    <xf numFmtId="1" fontId="0" fillId="3" borderId="0" xfId="0" applyNumberFormat="1" applyFill="1" applyAlignment="1">
      <alignment horizontal="center" vertical="top" wrapText="1"/>
    </xf>
    <xf numFmtId="164" fontId="0" fillId="3" borderId="0" xfId="0" applyNumberFormat="1" applyFill="1" applyAlignment="1">
      <alignment vertical="top" wrapText="1"/>
    </xf>
    <xf numFmtId="0" fontId="0" fillId="3" borderId="2" xfId="0" applyFill="1" applyBorder="1" applyAlignment="1">
      <alignment horizontal="left" vertical="top" wrapText="1"/>
    </xf>
    <xf numFmtId="0" fontId="0" fillId="3" borderId="2" xfId="0" applyFill="1" applyBorder="1" applyAlignment="1">
      <alignment horizontal="center" vertical="top" wrapText="1"/>
    </xf>
    <xf numFmtId="1" fontId="0" fillId="3" borderId="2" xfId="0" applyNumberFormat="1" applyFill="1" applyBorder="1" applyAlignment="1">
      <alignment horizontal="center" vertical="top" wrapText="1"/>
    </xf>
    <xf numFmtId="164" fontId="0" fillId="3" borderId="2" xfId="0" applyNumberFormat="1" applyFill="1" applyBorder="1" applyAlignment="1">
      <alignment horizontal="center" vertical="top" wrapText="1"/>
    </xf>
    <xf numFmtId="0" fontId="16" fillId="3" borderId="1" xfId="0" applyFont="1" applyFill="1" applyBorder="1" applyAlignment="1">
      <alignment horizontal="left" vertical="center" wrapText="1"/>
    </xf>
    <xf numFmtId="1" fontId="2" fillId="3" borderId="2" xfId="0" applyNumberFormat="1" applyFont="1" applyFill="1" applyBorder="1" applyAlignment="1">
      <alignment horizontal="center"/>
    </xf>
    <xf numFmtId="0" fontId="0" fillId="3" borderId="0" xfId="0" applyFill="1" applyAlignment="1">
      <alignment vertical="center"/>
    </xf>
    <xf numFmtId="0" fontId="10" fillId="3" borderId="0" xfId="0" applyFont="1" applyFill="1" applyAlignment="1">
      <alignmen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utorado\FSP\Qualifica&#231;&#227;o\LCA\Barilla\BCFN-DATABASE-FOR-DOUBLE-PYRAMID-2015-DEF.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76502\Posdoutorado\Samela%20Klein\2021\EBOOK%202021%20-%20planilhas%20de%20trabalho%20e%20textos%20novos\finalizadas\&#250;ltimas%20trabalhadas%20e%20tabelas%20finais\Os%20coeficientes%20vers&#227;o%202021_POF2017_20210504.xlsx" TargetMode="External"/><Relationship Id="rId1" Type="http://schemas.openxmlformats.org/officeDocument/2006/relationships/externalLinkPath" Target="/76502/Posdoutorado/Samela%20Klein/2021/EBOOK%202021%20-%20planilhas%20de%20trabalho%20e%20textos%20novos/finalizadas/&#250;ltimas%20trabalhadas%20e%20tabelas%20finais/Os%20coeficientes%20vers&#227;o%202021_POF2017_202105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BASE"/>
    </sheetNames>
    <sheetDataSet>
      <sheetData sheetId="0"/>
      <sheetData sheetId="1">
        <row r="3">
          <cell r="R3">
            <v>2010</v>
          </cell>
        </row>
        <row r="4">
          <cell r="R4" t="str">
            <v>2010 not used</v>
          </cell>
        </row>
        <row r="5">
          <cell r="R5">
            <v>2011</v>
          </cell>
        </row>
        <row r="6">
          <cell r="R6" t="str">
            <v>2011 not used</v>
          </cell>
        </row>
        <row r="7">
          <cell r="R7">
            <v>2012</v>
          </cell>
        </row>
        <row r="8">
          <cell r="R8" t="str">
            <v>2012 not used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icio"/>
      <sheetName val="Memória x"/>
      <sheetName val="Base_referencias"/>
      <sheetName val="2008-2009 versão 2015"/>
      <sheetName val="alinhamento ING_Compras"/>
      <sheetName val="Cod_preparação_2008"/>
      <sheetName val="Cod_NCM_HS"/>
      <sheetName val="Cod_POF_18"/>
      <sheetName val="Cod_Ingred_18"/>
      <sheetName val="Base_Pegadas_18"/>
      <sheetName val="Calc_Coef _18"/>
      <sheetName val="Percentil_CF_18"/>
      <sheetName val="Percentil_WF_18"/>
      <sheetName val="Percentil_EF_18"/>
      <sheetName val="REL_avg_item_CO2_18"/>
      <sheetName val="REL_Avg_subposi_CO2_18"/>
      <sheetName val="REL_Avg_cinco_CO2_18"/>
      <sheetName val="REL_Avg_posi_CO2_18"/>
      <sheetName val="Rel_Avg_Tres_CO2_18"/>
      <sheetName val="Rel_Avg_Capitulo_CO2_18"/>
      <sheetName val="REL_avg_item_WF_18"/>
      <sheetName val="REL_Avg_subposi_WF_18"/>
      <sheetName val="REL_Avg_posi_WF_18"/>
      <sheetName val="REL_Avg_cinco_WF_18"/>
      <sheetName val="Rel_Avg_Tres_WF_18"/>
      <sheetName val="Rel_Avg_Capitulo_WF_18"/>
      <sheetName val="REL_avg_item_EF_18"/>
      <sheetName val="REL_Avg_subposi_EF_18"/>
      <sheetName val="REL_Avg_cinco_EF_18"/>
      <sheetName val="REL_Avg_posi_EF_18"/>
      <sheetName val="Rel_Avg_Tres_EF_18"/>
      <sheetName val="Rel_Avg_Capitulo_EF_18"/>
      <sheetName val="REL_avg_Section_EF_18"/>
    </sheetNames>
    <sheetDataSet>
      <sheetData sheetId="0"/>
      <sheetData sheetId="1"/>
      <sheetData sheetId="2">
        <row r="353">
          <cell r="A353" t="str">
            <v>Maciel, 2016a</v>
          </cell>
        </row>
      </sheetData>
      <sheetData sheetId="3"/>
      <sheetData sheetId="4"/>
      <sheetData sheetId="5"/>
      <sheetData sheetId="6"/>
      <sheetData sheetId="7"/>
      <sheetData sheetId="8">
        <row r="2">
          <cell r="A2">
            <v>65010</v>
          </cell>
          <cell r="B2" t="str">
            <v>FARINHA DE TRIGO</v>
          </cell>
          <cell r="C2">
            <v>99</v>
          </cell>
          <cell r="D2" t="str">
            <v>nao se aplica</v>
          </cell>
          <cell r="G2">
            <v>0</v>
          </cell>
          <cell r="H2">
            <v>65010</v>
          </cell>
          <cell r="I2" t="str">
            <v>110100</v>
          </cell>
          <cell r="J2" t="str">
            <v>11010</v>
          </cell>
          <cell r="K2" t="str">
            <v>1101</v>
          </cell>
          <cell r="L2" t="str">
            <v>110</v>
          </cell>
          <cell r="M2" t="str">
            <v>11</v>
          </cell>
          <cell r="N2">
            <v>2</v>
          </cell>
          <cell r="O2">
            <v>1</v>
          </cell>
        </row>
        <row r="3">
          <cell r="A3">
            <v>65011</v>
          </cell>
          <cell r="B3" t="str">
            <v>FARINHA DE ROSCA</v>
          </cell>
          <cell r="C3">
            <v>99</v>
          </cell>
          <cell r="D3" t="str">
            <v>nao se aplica</v>
          </cell>
          <cell r="G3">
            <v>0</v>
          </cell>
          <cell r="H3">
            <v>65011</v>
          </cell>
          <cell r="I3" t="str">
            <v>110100</v>
          </cell>
          <cell r="J3" t="str">
            <v>11010</v>
          </cell>
          <cell r="K3" t="str">
            <v>1101</v>
          </cell>
          <cell r="L3" t="str">
            <v>110</v>
          </cell>
          <cell r="M3" t="str">
            <v>11</v>
          </cell>
          <cell r="N3" t="str">
            <v>2</v>
          </cell>
          <cell r="O3" t="str">
            <v>3</v>
          </cell>
        </row>
        <row r="4">
          <cell r="A4">
            <v>70006</v>
          </cell>
          <cell r="B4" t="str">
            <v>FERMENTO EM PÓ</v>
          </cell>
          <cell r="C4">
            <v>99</v>
          </cell>
          <cell r="D4" t="str">
            <v>nao se aplica</v>
          </cell>
          <cell r="G4">
            <v>0</v>
          </cell>
          <cell r="H4">
            <v>70006</v>
          </cell>
          <cell r="I4">
            <v>210230</v>
          </cell>
          <cell r="J4" t="str">
            <v>21023</v>
          </cell>
          <cell r="K4" t="str">
            <v>2102</v>
          </cell>
          <cell r="L4" t="str">
            <v>210</v>
          </cell>
          <cell r="M4" t="str">
            <v>21</v>
          </cell>
          <cell r="N4" t="str">
            <v>4</v>
          </cell>
          <cell r="O4" t="str">
            <v>2</v>
          </cell>
        </row>
        <row r="5">
          <cell r="A5">
            <v>6300101</v>
          </cell>
          <cell r="B5" t="str">
            <v>ARROZ (POLIDO, PARBOILIZADO, AGULHA, AGULHINHA, ETC)</v>
          </cell>
          <cell r="C5">
            <v>99</v>
          </cell>
          <cell r="D5" t="str">
            <v>nao se aplica</v>
          </cell>
          <cell r="E5"/>
          <cell r="F5" t="str">
            <v/>
          </cell>
          <cell r="G5">
            <v>0</v>
          </cell>
          <cell r="H5">
            <v>6300101</v>
          </cell>
          <cell r="I5" t="str">
            <v>100630</v>
          </cell>
          <cell r="J5" t="str">
            <v>10063</v>
          </cell>
          <cell r="K5" t="str">
            <v>1006</v>
          </cell>
          <cell r="L5" t="str">
            <v>100</v>
          </cell>
          <cell r="M5" t="str">
            <v>10</v>
          </cell>
          <cell r="N5">
            <v>2</v>
          </cell>
          <cell r="O5">
            <v>1</v>
          </cell>
        </row>
        <row r="6">
          <cell r="A6">
            <v>6300201</v>
          </cell>
          <cell r="B6" t="str">
            <v>ARROZ INTEGRAL</v>
          </cell>
          <cell r="C6">
            <v>99</v>
          </cell>
          <cell r="D6" t="str">
            <v>nao se aplica</v>
          </cell>
          <cell r="E6"/>
          <cell r="F6" t="str">
            <v/>
          </cell>
          <cell r="G6">
            <v>0</v>
          </cell>
          <cell r="H6">
            <v>6300201</v>
          </cell>
          <cell r="I6">
            <v>100620</v>
          </cell>
          <cell r="J6" t="str">
            <v>10062</v>
          </cell>
          <cell r="K6" t="str">
            <v>1006</v>
          </cell>
          <cell r="L6" t="str">
            <v>100</v>
          </cell>
          <cell r="M6" t="str">
            <v>10</v>
          </cell>
          <cell r="N6">
            <v>2</v>
          </cell>
          <cell r="O6">
            <v>1</v>
          </cell>
        </row>
        <row r="7">
          <cell r="A7">
            <v>6300701</v>
          </cell>
          <cell r="B7" t="str">
            <v>MILHO (EM GRAO)</v>
          </cell>
          <cell r="C7">
            <v>99</v>
          </cell>
          <cell r="D7" t="str">
            <v>nao se aplica</v>
          </cell>
          <cell r="G7">
            <v>0</v>
          </cell>
          <cell r="H7">
            <v>0</v>
          </cell>
          <cell r="I7">
            <v>100590</v>
          </cell>
          <cell r="J7" t="str">
            <v>10059</v>
          </cell>
          <cell r="K7" t="str">
            <v>1005</v>
          </cell>
          <cell r="L7" t="str">
            <v>100</v>
          </cell>
          <cell r="M7" t="str">
            <v>10</v>
          </cell>
          <cell r="N7">
            <v>2</v>
          </cell>
          <cell r="O7">
            <v>1</v>
          </cell>
        </row>
        <row r="8">
          <cell r="A8">
            <v>6300706</v>
          </cell>
          <cell r="B8" t="str">
            <v>CANJIQUINHA DE MILHO EM GRAO</v>
          </cell>
          <cell r="C8">
            <v>99</v>
          </cell>
          <cell r="D8" t="str">
            <v>nao se aplica</v>
          </cell>
          <cell r="E8"/>
          <cell r="F8" t="str">
            <v/>
          </cell>
          <cell r="G8">
            <v>0</v>
          </cell>
          <cell r="H8">
            <v>6300706</v>
          </cell>
          <cell r="I8" t="str">
            <v>110313</v>
          </cell>
          <cell r="J8" t="str">
            <v>11031</v>
          </cell>
          <cell r="K8" t="str">
            <v>1103</v>
          </cell>
          <cell r="L8" t="str">
            <v>110</v>
          </cell>
          <cell r="M8" t="str">
            <v>11</v>
          </cell>
          <cell r="N8">
            <v>2</v>
          </cell>
          <cell r="O8">
            <v>1</v>
          </cell>
        </row>
        <row r="9">
          <cell r="A9">
            <v>6300901</v>
          </cell>
          <cell r="B9" t="str">
            <v>TRIGO EM GRAO</v>
          </cell>
          <cell r="C9">
            <v>99</v>
          </cell>
          <cell r="D9" t="str">
            <v>nao se aplica</v>
          </cell>
          <cell r="E9"/>
          <cell r="F9" t="str">
            <v/>
          </cell>
          <cell r="G9">
            <v>0</v>
          </cell>
          <cell r="H9">
            <v>6300901</v>
          </cell>
          <cell r="I9">
            <v>100110</v>
          </cell>
          <cell r="J9" t="str">
            <v>10011</v>
          </cell>
          <cell r="K9" t="str">
            <v>1001</v>
          </cell>
          <cell r="L9" t="str">
            <v>100</v>
          </cell>
          <cell r="M9" t="str">
            <v>10</v>
          </cell>
          <cell r="N9">
            <v>2</v>
          </cell>
          <cell r="O9">
            <v>1</v>
          </cell>
        </row>
        <row r="10">
          <cell r="A10">
            <v>6301001</v>
          </cell>
          <cell r="B10" t="str">
            <v>AMENDOIM (EM GRAO) (IN NATURA)</v>
          </cell>
          <cell r="C10">
            <v>99</v>
          </cell>
          <cell r="D10" t="str">
            <v>nao se aplica</v>
          </cell>
          <cell r="E10">
            <v>30</v>
          </cell>
          <cell r="F10" t="str">
            <v>Nozes e sementes (inclui amendoim)</v>
          </cell>
          <cell r="G10">
            <v>0</v>
          </cell>
          <cell r="H10">
            <v>6301001</v>
          </cell>
          <cell r="I10" t="str">
            <v>120241</v>
          </cell>
          <cell r="J10" t="str">
            <v>12024</v>
          </cell>
          <cell r="K10" t="str">
            <v>1202</v>
          </cell>
          <cell r="L10" t="str">
            <v>120</v>
          </cell>
          <cell r="M10" t="str">
            <v>12</v>
          </cell>
          <cell r="N10">
            <v>2</v>
          </cell>
          <cell r="O10">
            <v>1</v>
          </cell>
        </row>
        <row r="11">
          <cell r="A11">
            <v>6301101</v>
          </cell>
          <cell r="B11" t="str">
            <v>ERVILHA EM GRAO</v>
          </cell>
          <cell r="C11">
            <v>99</v>
          </cell>
          <cell r="D11" t="str">
            <v>nao se aplica</v>
          </cell>
          <cell r="E11"/>
          <cell r="F11" t="str">
            <v/>
          </cell>
          <cell r="G11">
            <v>0</v>
          </cell>
          <cell r="H11">
            <v>6301101</v>
          </cell>
          <cell r="I11" t="str">
            <v>070810</v>
          </cell>
          <cell r="J11" t="str">
            <v>07081</v>
          </cell>
          <cell r="K11" t="str">
            <v>0708</v>
          </cell>
          <cell r="L11" t="str">
            <v>070</v>
          </cell>
          <cell r="M11" t="str">
            <v>07</v>
          </cell>
          <cell r="N11">
            <v>2</v>
          </cell>
          <cell r="O11">
            <v>1</v>
          </cell>
        </row>
        <row r="12">
          <cell r="A12">
            <v>6301201</v>
          </cell>
          <cell r="B12" t="str">
            <v>FAVA (EM GRAO)</v>
          </cell>
          <cell r="C12">
            <v>99</v>
          </cell>
          <cell r="D12" t="str">
            <v>nao se aplica</v>
          </cell>
          <cell r="E12"/>
          <cell r="F12" t="str">
            <v/>
          </cell>
          <cell r="G12">
            <v>0</v>
          </cell>
          <cell r="H12">
            <v>6301201</v>
          </cell>
          <cell r="I12" t="str">
            <v>071350</v>
          </cell>
          <cell r="J12" t="str">
            <v>07135</v>
          </cell>
          <cell r="K12" t="str">
            <v>0713</v>
          </cell>
          <cell r="L12" t="str">
            <v>071</v>
          </cell>
          <cell r="M12" t="str">
            <v>07</v>
          </cell>
          <cell r="N12">
            <v>2</v>
          </cell>
          <cell r="O12">
            <v>1</v>
          </cell>
        </row>
        <row r="13">
          <cell r="A13">
            <v>6301214</v>
          </cell>
          <cell r="B13" t="str">
            <v>MANGALO</v>
          </cell>
          <cell r="C13">
            <v>99</v>
          </cell>
          <cell r="D13" t="str">
            <v>nao se aplica</v>
          </cell>
          <cell r="E13"/>
          <cell r="F13" t="str">
            <v/>
          </cell>
          <cell r="G13">
            <v>0</v>
          </cell>
          <cell r="H13">
            <v>6301214</v>
          </cell>
          <cell r="I13" t="str">
            <v>071350</v>
          </cell>
          <cell r="J13" t="str">
            <v>07135</v>
          </cell>
          <cell r="K13" t="str">
            <v>0713</v>
          </cell>
          <cell r="L13" t="str">
            <v>071</v>
          </cell>
          <cell r="M13" t="str">
            <v>07</v>
          </cell>
          <cell r="N13">
            <v>2</v>
          </cell>
          <cell r="O13">
            <v>1</v>
          </cell>
        </row>
        <row r="14">
          <cell r="A14">
            <v>6301603</v>
          </cell>
          <cell r="B14" t="str">
            <v>FEIJAO DE CORDA</v>
          </cell>
          <cell r="C14">
            <v>99</v>
          </cell>
          <cell r="D14" t="str">
            <v>nao se aplica</v>
          </cell>
          <cell r="E14"/>
          <cell r="F14" t="str">
            <v/>
          </cell>
          <cell r="G14">
            <v>0</v>
          </cell>
          <cell r="H14">
            <v>6301603</v>
          </cell>
          <cell r="I14" t="str">
            <v>071333</v>
          </cell>
          <cell r="J14" t="str">
            <v>07133</v>
          </cell>
          <cell r="K14" t="str">
            <v>0713</v>
          </cell>
          <cell r="L14" t="str">
            <v>071</v>
          </cell>
          <cell r="M14" t="str">
            <v>07</v>
          </cell>
          <cell r="N14">
            <v>2</v>
          </cell>
          <cell r="O14">
            <v>1</v>
          </cell>
        </row>
        <row r="15">
          <cell r="A15">
            <v>6302001</v>
          </cell>
          <cell r="B15" t="str">
            <v>SEMENTE DE LINHACA</v>
          </cell>
          <cell r="C15">
            <v>99</v>
          </cell>
          <cell r="D15" t="str">
            <v>nao se aplica</v>
          </cell>
          <cell r="E15">
            <v>30</v>
          </cell>
          <cell r="F15" t="str">
            <v>Nozes e sementes (inclui amendoim)</v>
          </cell>
          <cell r="G15">
            <v>0</v>
          </cell>
          <cell r="H15">
            <v>6302001</v>
          </cell>
          <cell r="I15" t="str">
            <v>120400</v>
          </cell>
          <cell r="J15" t="str">
            <v>12040</v>
          </cell>
          <cell r="K15" t="str">
            <v>1204</v>
          </cell>
          <cell r="L15" t="str">
            <v>120</v>
          </cell>
          <cell r="M15" t="str">
            <v>12</v>
          </cell>
          <cell r="N15">
            <v>2</v>
          </cell>
          <cell r="O15">
            <v>1</v>
          </cell>
        </row>
        <row r="16">
          <cell r="A16">
            <v>6302002</v>
          </cell>
          <cell r="B16" t="str">
            <v>LINHACA NAO ESPECIFICADA</v>
          </cell>
          <cell r="C16">
            <v>99</v>
          </cell>
          <cell r="D16" t="str">
            <v>nao se aplica</v>
          </cell>
          <cell r="E16">
            <v>30</v>
          </cell>
          <cell r="F16" t="str">
            <v>Nozes e sementes (inclui amendoim)</v>
          </cell>
          <cell r="G16">
            <v>0</v>
          </cell>
          <cell r="H16" t="e">
            <v>#N/A</v>
          </cell>
          <cell r="I16">
            <v>120400</v>
          </cell>
          <cell r="J16" t="str">
            <v>12040</v>
          </cell>
          <cell r="K16" t="str">
            <v>1204</v>
          </cell>
          <cell r="L16" t="str">
            <v>120</v>
          </cell>
          <cell r="M16" t="str">
            <v>12</v>
          </cell>
          <cell r="N16">
            <v>2</v>
          </cell>
          <cell r="O16">
            <v>1</v>
          </cell>
        </row>
        <row r="17">
          <cell r="A17">
            <v>6302602</v>
          </cell>
          <cell r="B17" t="str">
            <v>ANDU</v>
          </cell>
          <cell r="C17">
            <v>99</v>
          </cell>
          <cell r="D17" t="str">
            <v>nao se aplica</v>
          </cell>
          <cell r="E17"/>
          <cell r="F17" t="str">
            <v/>
          </cell>
          <cell r="G17">
            <v>0</v>
          </cell>
          <cell r="H17">
            <v>6302602</v>
          </cell>
          <cell r="I17" t="str">
            <v>071360</v>
          </cell>
          <cell r="J17" t="str">
            <v>07136</v>
          </cell>
          <cell r="K17" t="str">
            <v>0713</v>
          </cell>
          <cell r="L17" t="str">
            <v>071</v>
          </cell>
          <cell r="M17" t="str">
            <v>07</v>
          </cell>
          <cell r="N17">
            <v>2</v>
          </cell>
          <cell r="O17">
            <v>1</v>
          </cell>
        </row>
        <row r="18">
          <cell r="A18">
            <v>6302801</v>
          </cell>
          <cell r="B18" t="str">
            <v>GRAO DE BICO</v>
          </cell>
          <cell r="C18">
            <v>99</v>
          </cell>
          <cell r="D18" t="str">
            <v>nao se aplica</v>
          </cell>
          <cell r="E18"/>
          <cell r="F18" t="str">
            <v/>
          </cell>
          <cell r="G18">
            <v>0</v>
          </cell>
          <cell r="H18">
            <v>6302801</v>
          </cell>
          <cell r="I18" t="str">
            <v>071320</v>
          </cell>
          <cell r="J18" t="str">
            <v>07132</v>
          </cell>
          <cell r="K18" t="str">
            <v>0713</v>
          </cell>
          <cell r="L18" t="str">
            <v>071</v>
          </cell>
          <cell r="M18" t="str">
            <v>07</v>
          </cell>
          <cell r="N18">
            <v>2</v>
          </cell>
          <cell r="O18">
            <v>1</v>
          </cell>
        </row>
        <row r="19">
          <cell r="A19">
            <v>6302901</v>
          </cell>
          <cell r="B19" t="str">
            <v>LENTILHA</v>
          </cell>
          <cell r="C19">
            <v>99</v>
          </cell>
          <cell r="D19" t="str">
            <v>nao se aplica</v>
          </cell>
          <cell r="E19"/>
          <cell r="F19" t="str">
            <v/>
          </cell>
          <cell r="G19">
            <v>0</v>
          </cell>
          <cell r="H19">
            <v>6302901</v>
          </cell>
          <cell r="I19" t="str">
            <v>071340</v>
          </cell>
          <cell r="J19" t="str">
            <v>07134</v>
          </cell>
          <cell r="K19" t="str">
            <v>0713</v>
          </cell>
          <cell r="L19" t="str">
            <v>071</v>
          </cell>
          <cell r="M19" t="str">
            <v>07</v>
          </cell>
          <cell r="N19">
            <v>2</v>
          </cell>
          <cell r="O19">
            <v>1</v>
          </cell>
        </row>
        <row r="20">
          <cell r="A20">
            <v>6303001</v>
          </cell>
          <cell r="B20" t="str">
            <v>SOJA EM GRAO</v>
          </cell>
          <cell r="C20">
            <v>99</v>
          </cell>
          <cell r="D20" t="str">
            <v>nao se aplica</v>
          </cell>
          <cell r="E20"/>
          <cell r="F20" t="str">
            <v/>
          </cell>
          <cell r="G20">
            <v>0</v>
          </cell>
          <cell r="H20">
            <v>6303001</v>
          </cell>
          <cell r="I20" t="str">
            <v>120190</v>
          </cell>
          <cell r="J20" t="str">
            <v>12019</v>
          </cell>
          <cell r="K20" t="str">
            <v>1201</v>
          </cell>
          <cell r="L20" t="str">
            <v>120</v>
          </cell>
          <cell r="M20" t="str">
            <v>12</v>
          </cell>
          <cell r="N20">
            <v>2</v>
          </cell>
          <cell r="O20">
            <v>1</v>
          </cell>
        </row>
        <row r="21">
          <cell r="A21">
            <v>6303102</v>
          </cell>
          <cell r="B21" t="str">
            <v>FEIJAO (PRETO, MULATINHO, ROXO, ROSINHA, ETC)</v>
          </cell>
          <cell r="C21">
            <v>99</v>
          </cell>
          <cell r="D21" t="str">
            <v>nao se aplica</v>
          </cell>
          <cell r="E21"/>
          <cell r="F21" t="str">
            <v/>
          </cell>
          <cell r="G21">
            <v>0</v>
          </cell>
          <cell r="H21">
            <v>6303102</v>
          </cell>
          <cell r="I21" t="str">
            <v>071333</v>
          </cell>
          <cell r="J21" t="str">
            <v>07133</v>
          </cell>
          <cell r="K21" t="str">
            <v>0713</v>
          </cell>
          <cell r="L21" t="str">
            <v>071</v>
          </cell>
          <cell r="M21" t="str">
            <v>07</v>
          </cell>
          <cell r="N21">
            <v>2</v>
          </cell>
          <cell r="O21">
            <v>1</v>
          </cell>
        </row>
        <row r="22">
          <cell r="A22">
            <v>6303201</v>
          </cell>
          <cell r="B22" t="str">
            <v>SEMENTES DE ABOBORA</v>
          </cell>
          <cell r="C22">
            <v>99</v>
          </cell>
          <cell r="D22" t="str">
            <v>nao se aplica</v>
          </cell>
          <cell r="E22">
            <v>30</v>
          </cell>
          <cell r="F22" t="str">
            <v>Nozes e sementes (inclui amendoim)</v>
          </cell>
          <cell r="G22">
            <v>0</v>
          </cell>
          <cell r="H22">
            <v>6303201</v>
          </cell>
          <cell r="I22">
            <v>120799</v>
          </cell>
          <cell r="J22" t="str">
            <v>12079</v>
          </cell>
          <cell r="K22" t="str">
            <v>1207</v>
          </cell>
          <cell r="L22" t="str">
            <v>120</v>
          </cell>
          <cell r="M22" t="str">
            <v>12</v>
          </cell>
          <cell r="N22">
            <v>2</v>
          </cell>
          <cell r="O22">
            <v>1</v>
          </cell>
        </row>
        <row r="23">
          <cell r="A23">
            <v>6304101</v>
          </cell>
          <cell r="B23" t="str">
            <v>FEIJAO ORGANICO</v>
          </cell>
          <cell r="C23">
            <v>99</v>
          </cell>
          <cell r="D23" t="str">
            <v>nao se aplica</v>
          </cell>
          <cell r="G23">
            <v>0</v>
          </cell>
          <cell r="H23">
            <v>0</v>
          </cell>
          <cell r="I23" t="str">
            <v>071333</v>
          </cell>
          <cell r="J23" t="str">
            <v>07133</v>
          </cell>
          <cell r="K23" t="str">
            <v>0713</v>
          </cell>
          <cell r="L23" t="str">
            <v>071</v>
          </cell>
          <cell r="M23" t="str">
            <v>07</v>
          </cell>
          <cell r="N23">
            <v>2</v>
          </cell>
          <cell r="O23">
            <v>1</v>
          </cell>
        </row>
        <row r="24">
          <cell r="A24">
            <v>6304201</v>
          </cell>
          <cell r="B24" t="str">
            <v>PIPOCA LIGHT</v>
          </cell>
          <cell r="C24">
            <v>99</v>
          </cell>
          <cell r="D24" t="str">
            <v>nao se aplica</v>
          </cell>
          <cell r="E24">
            <v>13</v>
          </cell>
          <cell r="F24" t="str">
            <v>Salgadinho</v>
          </cell>
          <cell r="G24">
            <v>0</v>
          </cell>
          <cell r="H24">
            <v>6304201</v>
          </cell>
          <cell r="I24" t="str">
            <v>100590</v>
          </cell>
          <cell r="J24" t="str">
            <v>10059</v>
          </cell>
          <cell r="K24" t="str">
            <v>1005</v>
          </cell>
          <cell r="L24" t="str">
            <v>100</v>
          </cell>
          <cell r="M24" t="str">
            <v>10</v>
          </cell>
          <cell r="N24">
            <v>2</v>
          </cell>
          <cell r="O24">
            <v>4</v>
          </cell>
        </row>
        <row r="25">
          <cell r="A25">
            <v>6304301</v>
          </cell>
          <cell r="B25" t="str">
            <v>ARROZ ORGANICO</v>
          </cell>
          <cell r="C25">
            <v>99</v>
          </cell>
          <cell r="D25" t="str">
            <v>nao se aplica</v>
          </cell>
          <cell r="G25">
            <v>0</v>
          </cell>
          <cell r="H25">
            <v>0</v>
          </cell>
          <cell r="I25">
            <v>100630</v>
          </cell>
          <cell r="J25" t="str">
            <v>10063</v>
          </cell>
          <cell r="K25" t="str">
            <v>1006</v>
          </cell>
          <cell r="L25" t="str">
            <v>100</v>
          </cell>
          <cell r="M25" t="str">
            <v>10</v>
          </cell>
          <cell r="N25">
            <v>2</v>
          </cell>
          <cell r="O25">
            <v>1</v>
          </cell>
        </row>
        <row r="26">
          <cell r="A26">
            <v>6304901</v>
          </cell>
          <cell r="B26" t="str">
            <v>QUINOA</v>
          </cell>
          <cell r="C26">
            <v>99</v>
          </cell>
          <cell r="D26" t="str">
            <v>nao se aplica</v>
          </cell>
          <cell r="E26"/>
          <cell r="F26" t="str">
            <v/>
          </cell>
          <cell r="G26">
            <v>0</v>
          </cell>
          <cell r="H26">
            <v>6304901</v>
          </cell>
          <cell r="I26" t="str">
            <v>071390</v>
          </cell>
          <cell r="J26" t="str">
            <v>07139</v>
          </cell>
          <cell r="K26" t="str">
            <v>0713</v>
          </cell>
          <cell r="L26" t="str">
            <v>071</v>
          </cell>
          <cell r="M26" t="str">
            <v>07</v>
          </cell>
          <cell r="N26">
            <v>2</v>
          </cell>
          <cell r="O26">
            <v>1</v>
          </cell>
        </row>
        <row r="27">
          <cell r="A27">
            <v>6305001</v>
          </cell>
          <cell r="B27" t="str">
            <v>CHIA</v>
          </cell>
          <cell r="C27">
            <v>99</v>
          </cell>
          <cell r="D27" t="str">
            <v>nao se aplica</v>
          </cell>
          <cell r="E27">
            <v>30</v>
          </cell>
          <cell r="F27" t="str">
            <v>Nozes e sementes (inclui amendoim)</v>
          </cell>
          <cell r="G27">
            <v>0</v>
          </cell>
          <cell r="H27">
            <v>6305001</v>
          </cell>
          <cell r="I27">
            <v>120799</v>
          </cell>
          <cell r="J27" t="str">
            <v>12079</v>
          </cell>
          <cell r="K27" t="str">
            <v>1207</v>
          </cell>
          <cell r="L27" t="str">
            <v>120</v>
          </cell>
          <cell r="M27" t="str">
            <v>12</v>
          </cell>
          <cell r="N27">
            <v>2</v>
          </cell>
          <cell r="O27">
            <v>1</v>
          </cell>
        </row>
        <row r="28">
          <cell r="A28">
            <v>6380001</v>
          </cell>
          <cell r="B28" t="str">
            <v>SEMENTES DE GIRASSOL</v>
          </cell>
          <cell r="C28">
            <v>99</v>
          </cell>
          <cell r="D28" t="str">
            <v>nao se aplica</v>
          </cell>
          <cell r="E28">
            <v>30</v>
          </cell>
          <cell r="F28" t="str">
            <v>Nozes e sementes (inclui amendoim)</v>
          </cell>
          <cell r="G28">
            <v>0</v>
          </cell>
          <cell r="H28">
            <v>6380001</v>
          </cell>
          <cell r="I28">
            <v>120600</v>
          </cell>
          <cell r="J28" t="str">
            <v>12060</v>
          </cell>
          <cell r="K28" t="str">
            <v>1206</v>
          </cell>
          <cell r="L28" t="str">
            <v>120</v>
          </cell>
          <cell r="M28" t="str">
            <v>12</v>
          </cell>
          <cell r="N28">
            <v>2</v>
          </cell>
          <cell r="O28">
            <v>1</v>
          </cell>
        </row>
        <row r="29">
          <cell r="A29">
            <v>6400101</v>
          </cell>
          <cell r="B29" t="str">
            <v>BATATA-INGLESA</v>
          </cell>
          <cell r="C29">
            <v>1</v>
          </cell>
          <cell r="D29" t="str">
            <v>assado(a)</v>
          </cell>
          <cell r="E29">
            <v>23</v>
          </cell>
          <cell r="F29" t="str">
            <v>Raizes e tuberculos</v>
          </cell>
          <cell r="G29">
            <v>0</v>
          </cell>
          <cell r="H29">
            <v>6400101</v>
          </cell>
          <cell r="I29" t="str">
            <v>070190</v>
          </cell>
          <cell r="J29" t="str">
            <v>07019</v>
          </cell>
          <cell r="K29" t="str">
            <v>0701</v>
          </cell>
          <cell r="L29" t="str">
            <v>070</v>
          </cell>
          <cell r="M29" t="str">
            <v>07</v>
          </cell>
          <cell r="N29">
            <v>2</v>
          </cell>
          <cell r="O29">
            <v>1</v>
          </cell>
        </row>
        <row r="30">
          <cell r="A30">
            <v>6400303</v>
          </cell>
          <cell r="B30" t="str">
            <v>MANDIOQUINHA SALSA (BATATA BAROA)</v>
          </cell>
          <cell r="C30">
            <v>1</v>
          </cell>
          <cell r="D30" t="str">
            <v>assado(a)</v>
          </cell>
          <cell r="E30">
            <v>23</v>
          </cell>
          <cell r="F30" t="str">
            <v>Raizes e tuberculos</v>
          </cell>
          <cell r="G30">
            <v>0</v>
          </cell>
          <cell r="H30">
            <v>6400303</v>
          </cell>
          <cell r="I30" t="str">
            <v>070610</v>
          </cell>
          <cell r="J30" t="str">
            <v>07061</v>
          </cell>
          <cell r="K30" t="str">
            <v>0706</v>
          </cell>
          <cell r="L30" t="str">
            <v>070</v>
          </cell>
          <cell r="M30" t="str">
            <v>07</v>
          </cell>
          <cell r="N30">
            <v>2</v>
          </cell>
          <cell r="O30">
            <v>1</v>
          </cell>
        </row>
        <row r="31">
          <cell r="A31">
            <v>6400304</v>
          </cell>
          <cell r="B31" t="str">
            <v>CENOURA AMARELA (BATATA BAROA)</v>
          </cell>
          <cell r="C31">
            <v>3</v>
          </cell>
          <cell r="D31" t="str">
            <v>cozido(a) sem gordura</v>
          </cell>
          <cell r="E31">
            <v>23</v>
          </cell>
          <cell r="F31" t="str">
            <v>Raizes e tuberculos</v>
          </cell>
          <cell r="G31">
            <v>0</v>
          </cell>
          <cell r="H31" t="e">
            <v>#N/A</v>
          </cell>
          <cell r="I31" t="str">
            <v>070610</v>
          </cell>
          <cell r="J31" t="str">
            <v>07061</v>
          </cell>
          <cell r="K31" t="str">
            <v>0706</v>
          </cell>
          <cell r="L31" t="str">
            <v>070</v>
          </cell>
          <cell r="M31" t="str">
            <v>07</v>
          </cell>
          <cell r="N31">
            <v>2</v>
          </cell>
          <cell r="O31">
            <v>1</v>
          </cell>
        </row>
        <row r="32">
          <cell r="A32">
            <v>6400401</v>
          </cell>
          <cell r="B32" t="str">
            <v>BATATA DOCE</v>
          </cell>
          <cell r="C32">
            <v>1</v>
          </cell>
          <cell r="D32" t="str">
            <v>assado(a)</v>
          </cell>
          <cell r="E32">
            <v>23</v>
          </cell>
          <cell r="F32" t="str">
            <v>Raizes e tuberculos</v>
          </cell>
          <cell r="G32">
            <v>0</v>
          </cell>
          <cell r="H32">
            <v>6400401</v>
          </cell>
          <cell r="I32" t="str">
            <v>071420</v>
          </cell>
          <cell r="J32" t="str">
            <v>07142</v>
          </cell>
          <cell r="K32" t="str">
            <v>0714</v>
          </cell>
          <cell r="L32" t="str">
            <v>071</v>
          </cell>
          <cell r="M32" t="str">
            <v>07</v>
          </cell>
          <cell r="N32">
            <v>2</v>
          </cell>
          <cell r="O32">
            <v>1</v>
          </cell>
        </row>
        <row r="33">
          <cell r="A33">
            <v>6400501</v>
          </cell>
          <cell r="B33" t="str">
            <v>INHAME</v>
          </cell>
          <cell r="C33">
            <v>1</v>
          </cell>
          <cell r="D33" t="str">
            <v>assado(a)</v>
          </cell>
          <cell r="E33">
            <v>23</v>
          </cell>
          <cell r="F33" t="str">
            <v>Raizes e tuberculos</v>
          </cell>
          <cell r="G33">
            <v>0</v>
          </cell>
          <cell r="H33">
            <v>6400501</v>
          </cell>
          <cell r="I33" t="str">
            <v>071490</v>
          </cell>
          <cell r="J33" t="str">
            <v>07149</v>
          </cell>
          <cell r="K33" t="str">
            <v>0714</v>
          </cell>
          <cell r="L33" t="str">
            <v>071</v>
          </cell>
          <cell r="M33" t="str">
            <v>07</v>
          </cell>
          <cell r="N33">
            <v>2</v>
          </cell>
          <cell r="O33">
            <v>1</v>
          </cell>
        </row>
        <row r="34">
          <cell r="A34">
            <v>6400601</v>
          </cell>
          <cell r="B34" t="str">
            <v>MANDIOCA</v>
          </cell>
          <cell r="C34">
            <v>1</v>
          </cell>
          <cell r="D34" t="str">
            <v>assado(a)</v>
          </cell>
          <cell r="E34">
            <v>23</v>
          </cell>
          <cell r="F34" t="str">
            <v>Raizes e tuberculos</v>
          </cell>
          <cell r="G34">
            <v>0</v>
          </cell>
          <cell r="H34">
            <v>6400601</v>
          </cell>
          <cell r="I34" t="str">
            <v>071410</v>
          </cell>
          <cell r="J34" t="str">
            <v>07141</v>
          </cell>
          <cell r="K34" t="str">
            <v>0714</v>
          </cell>
          <cell r="L34" t="str">
            <v>071</v>
          </cell>
          <cell r="M34" t="str">
            <v>07</v>
          </cell>
          <cell r="N34">
            <v>2</v>
          </cell>
          <cell r="O34">
            <v>1</v>
          </cell>
        </row>
        <row r="35">
          <cell r="A35">
            <v>6400609</v>
          </cell>
          <cell r="B35" t="str">
            <v>AIPIM</v>
          </cell>
          <cell r="C35">
            <v>1</v>
          </cell>
          <cell r="D35" t="str">
            <v>assado(a)</v>
          </cell>
          <cell r="E35">
            <v>23</v>
          </cell>
          <cell r="F35" t="str">
            <v>Raizes e tuberculos</v>
          </cell>
          <cell r="G35">
            <v>0</v>
          </cell>
          <cell r="H35" t="e">
            <v>#N/A</v>
          </cell>
          <cell r="I35" t="str">
            <v>071410</v>
          </cell>
          <cell r="J35" t="str">
            <v>07141</v>
          </cell>
          <cell r="K35" t="str">
            <v>0714</v>
          </cell>
          <cell r="L35" t="str">
            <v>071</v>
          </cell>
          <cell r="M35" t="str">
            <v>07</v>
          </cell>
          <cell r="N35">
            <v>2</v>
          </cell>
          <cell r="O35">
            <v>1</v>
          </cell>
        </row>
        <row r="36">
          <cell r="A36">
            <v>6400610</v>
          </cell>
          <cell r="B36" t="str">
            <v>MACAXEIRA</v>
          </cell>
          <cell r="C36">
            <v>1</v>
          </cell>
          <cell r="D36" t="str">
            <v>assado(a)</v>
          </cell>
          <cell r="E36">
            <v>23</v>
          </cell>
          <cell r="F36" t="str">
            <v>Raizes e tuberculos</v>
          </cell>
          <cell r="G36">
            <v>0</v>
          </cell>
          <cell r="H36" t="e">
            <v>#N/A</v>
          </cell>
          <cell r="I36" t="str">
            <v>071410</v>
          </cell>
          <cell r="J36" t="str">
            <v>07141</v>
          </cell>
          <cell r="K36" t="str">
            <v>0714</v>
          </cell>
          <cell r="L36" t="str">
            <v>071</v>
          </cell>
          <cell r="M36" t="str">
            <v>07</v>
          </cell>
          <cell r="N36">
            <v>2</v>
          </cell>
          <cell r="O36">
            <v>1</v>
          </cell>
        </row>
        <row r="37">
          <cell r="A37">
            <v>6400701</v>
          </cell>
          <cell r="B37" t="str">
            <v>CARA</v>
          </cell>
          <cell r="C37">
            <v>1</v>
          </cell>
          <cell r="D37" t="str">
            <v>assado(a)</v>
          </cell>
          <cell r="E37">
            <v>23</v>
          </cell>
          <cell r="F37" t="str">
            <v>Raizes e tuberculos</v>
          </cell>
          <cell r="G37">
            <v>0</v>
          </cell>
          <cell r="H37">
            <v>6400701</v>
          </cell>
          <cell r="I37" t="str">
            <v>071490</v>
          </cell>
          <cell r="J37" t="str">
            <v>07149</v>
          </cell>
          <cell r="K37" t="str">
            <v>0714</v>
          </cell>
          <cell r="L37" t="str">
            <v>071</v>
          </cell>
          <cell r="M37" t="str">
            <v>07</v>
          </cell>
          <cell r="N37">
            <v>2</v>
          </cell>
          <cell r="O37">
            <v>1</v>
          </cell>
        </row>
        <row r="38">
          <cell r="A38">
            <v>6400713</v>
          </cell>
          <cell r="B38" t="str">
            <v>INHAME CARAQUENTO (CARA)</v>
          </cell>
          <cell r="C38">
            <v>1</v>
          </cell>
          <cell r="D38" t="str">
            <v>assado(a)</v>
          </cell>
          <cell r="E38">
            <v>23</v>
          </cell>
          <cell r="F38" t="str">
            <v>Raizes e tuberculos</v>
          </cell>
          <cell r="G38">
            <v>0</v>
          </cell>
          <cell r="H38" t="e">
            <v>#N/A</v>
          </cell>
          <cell r="I38" t="str">
            <v>071490</v>
          </cell>
          <cell r="J38" t="str">
            <v>07149</v>
          </cell>
          <cell r="K38" t="str">
            <v>0714</v>
          </cell>
          <cell r="L38" t="str">
            <v>071</v>
          </cell>
          <cell r="M38" t="str">
            <v>07</v>
          </cell>
          <cell r="N38">
            <v>2</v>
          </cell>
          <cell r="O38">
            <v>1</v>
          </cell>
        </row>
        <row r="39">
          <cell r="A39">
            <v>6400802</v>
          </cell>
          <cell r="B39" t="str">
            <v>BATATA (NÃO ESPECIFICADA)</v>
          </cell>
          <cell r="C39">
            <v>1</v>
          </cell>
          <cell r="D39" t="str">
            <v>assado(a)</v>
          </cell>
          <cell r="E39">
            <v>23</v>
          </cell>
          <cell r="F39" t="str">
            <v>Raizes e tuberculos</v>
          </cell>
          <cell r="G39">
            <v>0</v>
          </cell>
          <cell r="H39" t="e">
            <v>#N/A</v>
          </cell>
          <cell r="I39" t="str">
            <v>070190</v>
          </cell>
          <cell r="J39" t="str">
            <v>07019</v>
          </cell>
          <cell r="K39" t="str">
            <v>0701</v>
          </cell>
          <cell r="L39" t="str">
            <v>070</v>
          </cell>
          <cell r="M39" t="str">
            <v>07</v>
          </cell>
          <cell r="N39">
            <v>2</v>
          </cell>
          <cell r="O39">
            <v>1</v>
          </cell>
        </row>
        <row r="40">
          <cell r="A40">
            <v>6400908</v>
          </cell>
          <cell r="B40" t="str">
            <v>MANDIOQUINHA</v>
          </cell>
          <cell r="C40">
            <v>1</v>
          </cell>
          <cell r="D40" t="str">
            <v>assado(a)</v>
          </cell>
          <cell r="E40">
            <v>23</v>
          </cell>
          <cell r="F40" t="str">
            <v>Raizes e tuberculos</v>
          </cell>
          <cell r="G40">
            <v>0</v>
          </cell>
          <cell r="H40">
            <v>6400908</v>
          </cell>
          <cell r="I40" t="str">
            <v>070610</v>
          </cell>
          <cell r="J40" t="str">
            <v>07061</v>
          </cell>
          <cell r="K40" t="str">
            <v>0706</v>
          </cell>
          <cell r="L40" t="str">
            <v>070</v>
          </cell>
          <cell r="M40" t="str">
            <v>07</v>
          </cell>
          <cell r="N40">
            <v>2</v>
          </cell>
          <cell r="O40">
            <v>1</v>
          </cell>
        </row>
        <row r="41">
          <cell r="A41">
            <v>6401001</v>
          </cell>
          <cell r="B41" t="str">
            <v>RABANETE</v>
          </cell>
          <cell r="C41">
            <v>3</v>
          </cell>
          <cell r="D41" t="str">
            <v>cozido(a) sem gordura</v>
          </cell>
          <cell r="E41">
            <v>22</v>
          </cell>
          <cell r="F41" t="str">
            <v>Legumes e verduras</v>
          </cell>
          <cell r="G41">
            <v>0</v>
          </cell>
          <cell r="H41">
            <v>6401001</v>
          </cell>
          <cell r="I41" t="str">
            <v>070690</v>
          </cell>
          <cell r="J41" t="str">
            <v>07069</v>
          </cell>
          <cell r="K41" t="str">
            <v>0706</v>
          </cell>
          <cell r="L41" t="str">
            <v>070</v>
          </cell>
          <cell r="M41" t="str">
            <v>07</v>
          </cell>
          <cell r="N41">
            <v>2</v>
          </cell>
          <cell r="O41">
            <v>1</v>
          </cell>
        </row>
        <row r="42">
          <cell r="A42">
            <v>6401101</v>
          </cell>
          <cell r="B42" t="str">
            <v>BETERRABA</v>
          </cell>
          <cell r="C42">
            <v>1</v>
          </cell>
          <cell r="D42" t="str">
            <v>assado(a)</v>
          </cell>
          <cell r="E42">
            <v>22</v>
          </cell>
          <cell r="F42" t="str">
            <v>Legumes e verduras</v>
          </cell>
          <cell r="G42">
            <v>0</v>
          </cell>
          <cell r="H42">
            <v>6401101</v>
          </cell>
          <cell r="I42" t="str">
            <v>070690</v>
          </cell>
          <cell r="J42" t="str">
            <v>07069</v>
          </cell>
          <cell r="K42" t="str">
            <v>0706</v>
          </cell>
          <cell r="L42" t="str">
            <v>070</v>
          </cell>
          <cell r="M42" t="str">
            <v>07</v>
          </cell>
          <cell r="N42">
            <v>2</v>
          </cell>
          <cell r="O42">
            <v>1</v>
          </cell>
        </row>
        <row r="43">
          <cell r="A43">
            <v>6401201</v>
          </cell>
          <cell r="B43" t="str">
            <v>CENOURA</v>
          </cell>
          <cell r="C43">
            <v>1</v>
          </cell>
          <cell r="D43" t="str">
            <v>assado(a)</v>
          </cell>
          <cell r="E43">
            <v>22</v>
          </cell>
          <cell r="F43" t="str">
            <v>Legumes e verduras</v>
          </cell>
          <cell r="G43">
            <v>0</v>
          </cell>
          <cell r="H43">
            <v>6401201</v>
          </cell>
          <cell r="I43" t="str">
            <v>070610</v>
          </cell>
          <cell r="J43" t="str">
            <v>07061</v>
          </cell>
          <cell r="K43" t="str">
            <v>0706</v>
          </cell>
          <cell r="L43" t="str">
            <v>070</v>
          </cell>
          <cell r="M43" t="str">
            <v>07</v>
          </cell>
          <cell r="N43">
            <v>2</v>
          </cell>
          <cell r="O43">
            <v>1</v>
          </cell>
        </row>
        <row r="44">
          <cell r="A44">
            <v>6401301</v>
          </cell>
          <cell r="B44" t="str">
            <v>NABO</v>
          </cell>
          <cell r="C44">
            <v>3</v>
          </cell>
          <cell r="D44" t="str">
            <v>cozido(a) sem gordura</v>
          </cell>
          <cell r="E44">
            <v>23</v>
          </cell>
          <cell r="F44" t="str">
            <v>Raizes e tuberculos</v>
          </cell>
          <cell r="G44">
            <v>0</v>
          </cell>
          <cell r="H44">
            <v>6401301</v>
          </cell>
          <cell r="I44" t="str">
            <v>070610</v>
          </cell>
          <cell r="J44" t="str">
            <v>07061</v>
          </cell>
          <cell r="K44" t="str">
            <v>0706</v>
          </cell>
          <cell r="L44" t="str">
            <v>070</v>
          </cell>
          <cell r="M44" t="str">
            <v>07</v>
          </cell>
          <cell r="N44">
            <v>2</v>
          </cell>
          <cell r="O44">
            <v>1</v>
          </cell>
        </row>
        <row r="45">
          <cell r="A45">
            <v>6401601</v>
          </cell>
          <cell r="B45" t="str">
            <v>ACAFRAO</v>
          </cell>
          <cell r="C45">
            <v>99</v>
          </cell>
          <cell r="D45" t="str">
            <v>nao se aplica</v>
          </cell>
          <cell r="E45">
            <v>23</v>
          </cell>
          <cell r="F45" t="str">
            <v>Raízes e tubérculos</v>
          </cell>
          <cell r="G45">
            <v>0</v>
          </cell>
          <cell r="H45">
            <v>6401601</v>
          </cell>
          <cell r="I45" t="str">
            <v>091030</v>
          </cell>
          <cell r="J45" t="str">
            <v>09103</v>
          </cell>
          <cell r="K45" t="str">
            <v>0910</v>
          </cell>
          <cell r="L45" t="str">
            <v>091</v>
          </cell>
          <cell r="M45" t="str">
            <v>09</v>
          </cell>
          <cell r="N45">
            <v>2</v>
          </cell>
          <cell r="O45">
            <v>1</v>
          </cell>
        </row>
        <row r="46">
          <cell r="A46">
            <v>6401801</v>
          </cell>
          <cell r="B46" t="str">
            <v>BATATA INGLESA ORGANICA</v>
          </cell>
          <cell r="C46">
            <v>99</v>
          </cell>
          <cell r="D46" t="str">
            <v>nao se aplica</v>
          </cell>
          <cell r="G46">
            <v>0</v>
          </cell>
          <cell r="H46">
            <v>0</v>
          </cell>
          <cell r="I46" t="str">
            <v>070190</v>
          </cell>
          <cell r="J46" t="str">
            <v>07019</v>
          </cell>
          <cell r="K46" t="str">
            <v>0701</v>
          </cell>
          <cell r="L46" t="str">
            <v>070</v>
          </cell>
          <cell r="M46" t="str">
            <v>07</v>
          </cell>
          <cell r="N46">
            <v>2</v>
          </cell>
          <cell r="O46">
            <v>1</v>
          </cell>
        </row>
        <row r="47">
          <cell r="A47">
            <v>6480001</v>
          </cell>
          <cell r="B47" t="str">
            <v>GENGIBRE</v>
          </cell>
          <cell r="C47">
            <v>99</v>
          </cell>
          <cell r="D47" t="str">
            <v>nao se aplica</v>
          </cell>
          <cell r="E47">
            <v>23</v>
          </cell>
          <cell r="F47" t="str">
            <v>Raízes e tubérculos</v>
          </cell>
          <cell r="G47">
            <v>0</v>
          </cell>
          <cell r="H47">
            <v>6480001</v>
          </cell>
          <cell r="I47" t="str">
            <v>091010</v>
          </cell>
          <cell r="J47" t="str">
            <v>09101</v>
          </cell>
          <cell r="K47" t="str">
            <v>0910</v>
          </cell>
          <cell r="L47" t="str">
            <v>091</v>
          </cell>
          <cell r="M47" t="str">
            <v>09</v>
          </cell>
          <cell r="N47">
            <v>2</v>
          </cell>
          <cell r="O47">
            <v>1</v>
          </cell>
        </row>
        <row r="48">
          <cell r="A48">
            <v>6500101</v>
          </cell>
          <cell r="B48" t="str">
            <v>CREME DE ARROZ</v>
          </cell>
          <cell r="C48">
            <v>99</v>
          </cell>
          <cell r="D48" t="str">
            <v>nao se aplica</v>
          </cell>
          <cell r="E48">
            <v>8</v>
          </cell>
          <cell r="F48" t="str">
            <v>Outros doces</v>
          </cell>
          <cell r="G48">
            <v>0</v>
          </cell>
          <cell r="H48">
            <v>6500101</v>
          </cell>
          <cell r="I48">
            <v>200799</v>
          </cell>
          <cell r="J48" t="str">
            <v>20079</v>
          </cell>
          <cell r="K48" t="str">
            <v>2007</v>
          </cell>
          <cell r="L48" t="str">
            <v>200</v>
          </cell>
          <cell r="M48" t="str">
            <v>20</v>
          </cell>
          <cell r="N48">
            <v>4</v>
          </cell>
          <cell r="O48">
            <v>3</v>
          </cell>
        </row>
        <row r="49">
          <cell r="A49">
            <v>6500105</v>
          </cell>
          <cell r="B49" t="str">
            <v>MUCILON</v>
          </cell>
          <cell r="C49">
            <v>99</v>
          </cell>
          <cell r="D49" t="str">
            <v>nao se aplica</v>
          </cell>
          <cell r="E49">
            <v>7</v>
          </cell>
          <cell r="F49" t="str">
            <v>Cereais Matinais</v>
          </cell>
          <cell r="G49">
            <v>0</v>
          </cell>
          <cell r="H49">
            <v>6500105</v>
          </cell>
          <cell r="I49" t="str">
            <v>190420</v>
          </cell>
          <cell r="J49" t="str">
            <v>19042</v>
          </cell>
          <cell r="K49" t="str">
            <v>1904</v>
          </cell>
          <cell r="L49" t="str">
            <v>190</v>
          </cell>
          <cell r="M49" t="str">
            <v>19</v>
          </cell>
          <cell r="N49">
            <v>4</v>
          </cell>
          <cell r="O49">
            <v>4</v>
          </cell>
        </row>
        <row r="50">
          <cell r="A50">
            <v>6500201</v>
          </cell>
          <cell r="B50" t="str">
            <v>FLOCOS, ARROZ</v>
          </cell>
          <cell r="C50">
            <v>99</v>
          </cell>
          <cell r="D50" t="str">
            <v>nao se aplica</v>
          </cell>
          <cell r="E50">
            <v>15</v>
          </cell>
          <cell r="F50" t="str">
            <v>Arroz polido/branco</v>
          </cell>
          <cell r="G50">
            <v>0</v>
          </cell>
          <cell r="H50" t="e">
            <v>#N/A</v>
          </cell>
          <cell r="I50" t="str">
            <v>190420</v>
          </cell>
          <cell r="J50" t="str">
            <v>19042</v>
          </cell>
          <cell r="K50" t="str">
            <v>1904</v>
          </cell>
          <cell r="L50" t="str">
            <v>190</v>
          </cell>
          <cell r="M50" t="str">
            <v>19</v>
          </cell>
          <cell r="N50">
            <v>4</v>
          </cell>
          <cell r="O50">
            <v>3</v>
          </cell>
        </row>
        <row r="51">
          <cell r="A51">
            <v>6500202</v>
          </cell>
          <cell r="B51" t="str">
            <v>CROQUINHOS DE ARROZ</v>
          </cell>
          <cell r="C51">
            <v>99</v>
          </cell>
          <cell r="D51" t="str">
            <v>nao se aplica</v>
          </cell>
          <cell r="E51">
            <v>7</v>
          </cell>
          <cell r="F51" t="str">
            <v>Cereais Matinais</v>
          </cell>
          <cell r="G51">
            <v>0</v>
          </cell>
          <cell r="H51" t="e">
            <v>#N/A</v>
          </cell>
          <cell r="I51" t="str">
            <v>190220</v>
          </cell>
          <cell r="J51" t="str">
            <v>19022</v>
          </cell>
          <cell r="K51" t="str">
            <v>1902</v>
          </cell>
          <cell r="L51" t="str">
            <v>190</v>
          </cell>
          <cell r="M51" t="str">
            <v>19</v>
          </cell>
          <cell r="N51">
            <v>4</v>
          </cell>
          <cell r="O51">
            <v>3</v>
          </cell>
        </row>
        <row r="52">
          <cell r="A52">
            <v>6500301</v>
          </cell>
          <cell r="B52" t="str">
            <v>FARINHA DE AVEIA</v>
          </cell>
          <cell r="C52">
            <v>99</v>
          </cell>
          <cell r="D52" t="str">
            <v>nao se aplica</v>
          </cell>
          <cell r="E52">
            <v>94</v>
          </cell>
          <cell r="F52" t="str">
            <v>Outras farinhas</v>
          </cell>
          <cell r="G52">
            <v>0</v>
          </cell>
          <cell r="H52">
            <v>6500301</v>
          </cell>
          <cell r="I52" t="str">
            <v>110412</v>
          </cell>
          <cell r="J52" t="str">
            <v>11041</v>
          </cell>
          <cell r="K52" t="str">
            <v>1104</v>
          </cell>
          <cell r="L52" t="str">
            <v>110</v>
          </cell>
          <cell r="M52" t="str">
            <v>11</v>
          </cell>
          <cell r="N52">
            <v>2</v>
          </cell>
          <cell r="O52">
            <v>1</v>
          </cell>
        </row>
        <row r="53">
          <cell r="A53">
            <v>6500401</v>
          </cell>
          <cell r="B53" t="str">
            <v>AVEIA EM FLOCOS</v>
          </cell>
          <cell r="C53">
            <v>99</v>
          </cell>
          <cell r="D53" t="str">
            <v>nao se aplica</v>
          </cell>
          <cell r="E53"/>
          <cell r="F53" t="str">
            <v/>
          </cell>
          <cell r="G53">
            <v>0</v>
          </cell>
          <cell r="H53">
            <v>6500401</v>
          </cell>
          <cell r="I53" t="str">
            <v>110412</v>
          </cell>
          <cell r="J53" t="str">
            <v>11041</v>
          </cell>
          <cell r="K53" t="str">
            <v>1104</v>
          </cell>
          <cell r="L53" t="str">
            <v>110</v>
          </cell>
          <cell r="M53" t="str">
            <v>11</v>
          </cell>
          <cell r="N53">
            <v>2</v>
          </cell>
          <cell r="O53">
            <v>1</v>
          </cell>
        </row>
        <row r="54">
          <cell r="A54">
            <v>6500601</v>
          </cell>
          <cell r="B54" t="str">
            <v>FUBA DE MILHO</v>
          </cell>
          <cell r="C54">
            <v>99</v>
          </cell>
          <cell r="D54" t="str">
            <v>nao se aplica</v>
          </cell>
          <cell r="G54">
            <v>0</v>
          </cell>
          <cell r="H54">
            <v>0</v>
          </cell>
          <cell r="I54">
            <v>110313</v>
          </cell>
          <cell r="J54" t="str">
            <v>11031</v>
          </cell>
          <cell r="K54" t="str">
            <v>1103</v>
          </cell>
          <cell r="L54" t="str">
            <v>110</v>
          </cell>
          <cell r="M54" t="str">
            <v>11</v>
          </cell>
          <cell r="N54">
            <v>2</v>
          </cell>
          <cell r="O54">
            <v>1</v>
          </cell>
        </row>
        <row r="55">
          <cell r="A55">
            <v>6500603</v>
          </cell>
          <cell r="B55" t="str">
            <v>FARINHA DE MILHO</v>
          </cell>
          <cell r="C55">
            <v>99</v>
          </cell>
          <cell r="D55" t="str">
            <v>nao se aplica</v>
          </cell>
          <cell r="E55">
            <v>94</v>
          </cell>
          <cell r="F55" t="str">
            <v>Outras farinhas</v>
          </cell>
          <cell r="G55">
            <v>0</v>
          </cell>
          <cell r="H55">
            <v>6500603</v>
          </cell>
          <cell r="I55" t="str">
            <v>110220</v>
          </cell>
          <cell r="J55" t="str">
            <v>11022</v>
          </cell>
          <cell r="K55" t="str">
            <v>1102</v>
          </cell>
          <cell r="L55" t="str">
            <v>110</v>
          </cell>
          <cell r="M55" t="str">
            <v>11</v>
          </cell>
          <cell r="N55">
            <v>2</v>
          </cell>
          <cell r="O55">
            <v>1</v>
          </cell>
        </row>
        <row r="56">
          <cell r="A56">
            <v>6500609</v>
          </cell>
          <cell r="B56" t="str">
            <v>PUBA DE FUBA</v>
          </cell>
          <cell r="C56">
            <v>99</v>
          </cell>
          <cell r="D56" t="str">
            <v>nao se aplica</v>
          </cell>
          <cell r="G56">
            <v>0</v>
          </cell>
          <cell r="H56">
            <v>0</v>
          </cell>
          <cell r="I56">
            <v>190520</v>
          </cell>
          <cell r="J56" t="str">
            <v>19052</v>
          </cell>
          <cell r="K56" t="str">
            <v>1905</v>
          </cell>
          <cell r="L56" t="str">
            <v>190</v>
          </cell>
          <cell r="M56" t="str">
            <v>19</v>
          </cell>
          <cell r="N56">
            <v>2</v>
          </cell>
          <cell r="O56">
            <v>1</v>
          </cell>
        </row>
        <row r="57">
          <cell r="A57">
            <v>6500702</v>
          </cell>
          <cell r="B57" t="str">
            <v>AMIDO DE MILHO</v>
          </cell>
          <cell r="C57"/>
          <cell r="E57"/>
          <cell r="G57">
            <v>0</v>
          </cell>
          <cell r="H57">
            <v>6500702</v>
          </cell>
          <cell r="I57" t="str">
            <v>110812</v>
          </cell>
          <cell r="J57" t="str">
            <v>11081</v>
          </cell>
          <cell r="K57" t="str">
            <v>1108</v>
          </cell>
          <cell r="L57" t="str">
            <v>110</v>
          </cell>
          <cell r="M57" t="str">
            <v>11</v>
          </cell>
          <cell r="N57">
            <v>2</v>
          </cell>
          <cell r="O57">
            <v>1</v>
          </cell>
        </row>
        <row r="58">
          <cell r="A58">
            <v>6500801</v>
          </cell>
          <cell r="B58" t="str">
            <v>CREMOGEMA</v>
          </cell>
          <cell r="C58">
            <v>99</v>
          </cell>
          <cell r="D58" t="str">
            <v>nao se aplica</v>
          </cell>
          <cell r="E58">
            <v>7</v>
          </cell>
          <cell r="F58" t="str">
            <v>Cereais Matinais</v>
          </cell>
          <cell r="G58">
            <v>0</v>
          </cell>
          <cell r="H58" t="e">
            <v>#N/A</v>
          </cell>
          <cell r="I58" t="str">
            <v>190420</v>
          </cell>
          <cell r="J58" t="str">
            <v>19042</v>
          </cell>
          <cell r="K58" t="str">
            <v>1904</v>
          </cell>
          <cell r="L58" t="str">
            <v>190</v>
          </cell>
          <cell r="M58" t="str">
            <v>19</v>
          </cell>
          <cell r="N58">
            <v>4</v>
          </cell>
          <cell r="O58">
            <v>4</v>
          </cell>
        </row>
        <row r="59">
          <cell r="A59">
            <v>6500802</v>
          </cell>
          <cell r="B59" t="str">
            <v>VITAMILHO</v>
          </cell>
          <cell r="C59">
            <v>99</v>
          </cell>
          <cell r="D59" t="str">
            <v>nao se aplica</v>
          </cell>
          <cell r="E59"/>
          <cell r="F59" t="str">
            <v/>
          </cell>
          <cell r="G59">
            <v>0</v>
          </cell>
          <cell r="H59">
            <v>6500802</v>
          </cell>
          <cell r="I59" t="str">
            <v>190420</v>
          </cell>
          <cell r="J59" t="str">
            <v>19042</v>
          </cell>
          <cell r="K59" t="str">
            <v>1904</v>
          </cell>
          <cell r="L59" t="str">
            <v>190</v>
          </cell>
          <cell r="M59" t="str">
            <v>19</v>
          </cell>
          <cell r="N59">
            <v>4</v>
          </cell>
          <cell r="O59">
            <v>4</v>
          </cell>
        </row>
        <row r="60">
          <cell r="A60">
            <v>6500902</v>
          </cell>
          <cell r="B60" t="str">
            <v>SUCRILHOS DE MILHO</v>
          </cell>
          <cell r="C60">
            <v>99</v>
          </cell>
          <cell r="D60" t="str">
            <v>nao se aplica</v>
          </cell>
          <cell r="E60">
            <v>7</v>
          </cell>
          <cell r="F60" t="str">
            <v>Cereais Matinais</v>
          </cell>
          <cell r="G60">
            <v>0</v>
          </cell>
          <cell r="H60">
            <v>6500902</v>
          </cell>
          <cell r="I60" t="str">
            <v>190420</v>
          </cell>
          <cell r="J60" t="str">
            <v>19042</v>
          </cell>
          <cell r="K60" t="str">
            <v>1904</v>
          </cell>
          <cell r="L60" t="str">
            <v>190</v>
          </cell>
          <cell r="M60" t="str">
            <v>19</v>
          </cell>
          <cell r="N60">
            <v>4</v>
          </cell>
          <cell r="O60">
            <v>4</v>
          </cell>
        </row>
        <row r="61">
          <cell r="A61">
            <v>6500903</v>
          </cell>
          <cell r="B61" t="str">
            <v>CEREAL MATINAL DE MILHO EM FLOCOS</v>
          </cell>
          <cell r="C61">
            <v>99</v>
          </cell>
          <cell r="D61" t="str">
            <v>nao se aplica</v>
          </cell>
          <cell r="E61">
            <v>7</v>
          </cell>
          <cell r="F61" t="str">
            <v>Cereais Matinais</v>
          </cell>
          <cell r="G61">
            <v>0</v>
          </cell>
          <cell r="H61">
            <v>6500903</v>
          </cell>
          <cell r="I61" t="str">
            <v>190420</v>
          </cell>
          <cell r="J61" t="str">
            <v>19042</v>
          </cell>
          <cell r="K61" t="str">
            <v>1904</v>
          </cell>
          <cell r="L61" t="str">
            <v>190</v>
          </cell>
          <cell r="M61" t="str">
            <v>19</v>
          </cell>
          <cell r="N61">
            <v>4</v>
          </cell>
          <cell r="O61">
            <v>4</v>
          </cell>
        </row>
        <row r="62">
          <cell r="A62">
            <v>6501301</v>
          </cell>
          <cell r="B62" t="str">
            <v>GERME DE TRIGO</v>
          </cell>
          <cell r="C62">
            <v>99</v>
          </cell>
          <cell r="D62" t="str">
            <v>nao se aplica</v>
          </cell>
          <cell r="E62">
            <v>16</v>
          </cell>
          <cell r="F62" t="str">
            <v>Outros cereais</v>
          </cell>
          <cell r="G62">
            <v>0</v>
          </cell>
          <cell r="H62">
            <v>6501301</v>
          </cell>
          <cell r="I62" t="str">
            <v>110430</v>
          </cell>
          <cell r="J62" t="str">
            <v>11043</v>
          </cell>
          <cell r="K62" t="str">
            <v>1104</v>
          </cell>
          <cell r="L62" t="str">
            <v>110</v>
          </cell>
          <cell r="M62" t="str">
            <v>11</v>
          </cell>
          <cell r="N62">
            <v>2</v>
          </cell>
          <cell r="O62">
            <v>1</v>
          </cell>
        </row>
        <row r="63">
          <cell r="A63">
            <v>6501303</v>
          </cell>
          <cell r="B63" t="str">
            <v>FIBRA DE TRIGO</v>
          </cell>
          <cell r="C63">
            <v>99</v>
          </cell>
          <cell r="D63" t="str">
            <v>nao se aplica</v>
          </cell>
          <cell r="E63">
            <v>16</v>
          </cell>
          <cell r="F63" t="str">
            <v>Outros cereais</v>
          </cell>
          <cell r="G63">
            <v>0</v>
          </cell>
          <cell r="H63" t="e">
            <v>#N/A</v>
          </cell>
          <cell r="I63" t="str">
            <v>110430</v>
          </cell>
          <cell r="J63" t="str">
            <v>11043</v>
          </cell>
          <cell r="K63" t="str">
            <v>1104</v>
          </cell>
          <cell r="L63" t="str">
            <v>110</v>
          </cell>
          <cell r="M63" t="str">
            <v>11</v>
          </cell>
          <cell r="N63">
            <v>2</v>
          </cell>
          <cell r="O63">
            <v>1</v>
          </cell>
        </row>
        <row r="64">
          <cell r="A64">
            <v>6501304</v>
          </cell>
          <cell r="B64" t="str">
            <v>FIBRA DE CEREAL TRIGO</v>
          </cell>
          <cell r="C64">
            <v>99</v>
          </cell>
          <cell r="D64" t="str">
            <v>nao se aplica</v>
          </cell>
          <cell r="E64">
            <v>16</v>
          </cell>
          <cell r="F64" t="str">
            <v>Outros cereais</v>
          </cell>
          <cell r="G64">
            <v>0</v>
          </cell>
          <cell r="H64" t="e">
            <v>#N/A</v>
          </cell>
          <cell r="I64" t="str">
            <v>110430</v>
          </cell>
          <cell r="J64" t="str">
            <v>11043</v>
          </cell>
          <cell r="K64" t="str">
            <v>1104</v>
          </cell>
          <cell r="L64" t="str">
            <v>110</v>
          </cell>
          <cell r="M64" t="str">
            <v>11</v>
          </cell>
          <cell r="N64">
            <v>2</v>
          </cell>
          <cell r="O64">
            <v>1</v>
          </cell>
        </row>
        <row r="65">
          <cell r="A65">
            <v>6501401</v>
          </cell>
          <cell r="B65" t="str">
            <v>FARINHA DE MANDIOCA</v>
          </cell>
          <cell r="C65">
            <v>99</v>
          </cell>
          <cell r="D65" t="str">
            <v>nao se aplica</v>
          </cell>
          <cell r="E65">
            <v>93</v>
          </cell>
          <cell r="F65" t="str">
            <v>Farinha de mandioca</v>
          </cell>
          <cell r="G65">
            <v>0</v>
          </cell>
          <cell r="H65">
            <v>6501401</v>
          </cell>
          <cell r="I65" t="str">
            <v>110620</v>
          </cell>
          <cell r="J65" t="str">
            <v>11062</v>
          </cell>
          <cell r="K65" t="str">
            <v>1106</v>
          </cell>
          <cell r="L65" t="str">
            <v>110</v>
          </cell>
          <cell r="M65" t="str">
            <v>11</v>
          </cell>
          <cell r="N65">
            <v>2</v>
          </cell>
          <cell r="O65">
            <v>1</v>
          </cell>
        </row>
        <row r="66">
          <cell r="A66">
            <v>6501410</v>
          </cell>
          <cell r="B66" t="str">
            <v>FARINHA DE COPIOBA</v>
          </cell>
          <cell r="C66">
            <v>99</v>
          </cell>
          <cell r="D66" t="str">
            <v>nao se aplica</v>
          </cell>
          <cell r="E66">
            <v>94</v>
          </cell>
          <cell r="F66" t="str">
            <v>Outras farinhas</v>
          </cell>
          <cell r="G66">
            <v>0</v>
          </cell>
          <cell r="H66" t="e">
            <v>#N/A</v>
          </cell>
          <cell r="I66" t="str">
            <v>110620</v>
          </cell>
          <cell r="J66" t="str">
            <v>11062</v>
          </cell>
          <cell r="K66" t="str">
            <v>1106</v>
          </cell>
          <cell r="L66" t="str">
            <v>110</v>
          </cell>
          <cell r="M66" t="str">
            <v>11</v>
          </cell>
          <cell r="N66">
            <v>2</v>
          </cell>
          <cell r="O66">
            <v>1</v>
          </cell>
        </row>
        <row r="67">
          <cell r="A67">
            <v>6501415</v>
          </cell>
          <cell r="B67" t="str">
            <v>FARINHA DE AGUA</v>
          </cell>
          <cell r="C67">
            <v>99</v>
          </cell>
          <cell r="D67" t="str">
            <v>nao se aplica</v>
          </cell>
          <cell r="E67">
            <v>93</v>
          </cell>
          <cell r="F67" t="str">
            <v>Farinha de mandioca</v>
          </cell>
          <cell r="G67">
            <v>0</v>
          </cell>
          <cell r="H67" t="e">
            <v>#N/A</v>
          </cell>
          <cell r="I67" t="str">
            <v>110620</v>
          </cell>
          <cell r="J67" t="str">
            <v>11062</v>
          </cell>
          <cell r="K67" t="str">
            <v>1106</v>
          </cell>
          <cell r="L67" t="str">
            <v>110</v>
          </cell>
          <cell r="M67" t="str">
            <v>11</v>
          </cell>
          <cell r="N67">
            <v>2</v>
          </cell>
          <cell r="O67">
            <v>1</v>
          </cell>
        </row>
        <row r="68">
          <cell r="A68">
            <v>6501510</v>
          </cell>
          <cell r="B68" t="str">
            <v>FARINHA DE TAPIOCA</v>
          </cell>
          <cell r="C68">
            <v>99</v>
          </cell>
          <cell r="D68" t="str">
            <v>nao se aplica</v>
          </cell>
          <cell r="G68">
            <v>0</v>
          </cell>
          <cell r="H68">
            <v>0</v>
          </cell>
          <cell r="I68" t="str">
            <v>110620</v>
          </cell>
          <cell r="J68" t="str">
            <v>11062</v>
          </cell>
          <cell r="K68" t="str">
            <v>1106</v>
          </cell>
          <cell r="L68" t="str">
            <v>110</v>
          </cell>
          <cell r="M68" t="str">
            <v>11</v>
          </cell>
          <cell r="N68">
            <v>2</v>
          </cell>
          <cell r="O68">
            <v>1</v>
          </cell>
        </row>
        <row r="69">
          <cell r="A69">
            <v>6501515</v>
          </cell>
          <cell r="B69" t="str">
            <v>SAGU DE TAPIOCA</v>
          </cell>
          <cell r="C69">
            <v>99</v>
          </cell>
          <cell r="D69" t="str">
            <v>nao se aplica</v>
          </cell>
          <cell r="E69"/>
          <cell r="F69" t="str">
            <v/>
          </cell>
          <cell r="G69">
            <v>0</v>
          </cell>
          <cell r="H69">
            <v>6501515</v>
          </cell>
          <cell r="I69" t="str">
            <v>110620</v>
          </cell>
          <cell r="J69" t="str">
            <v>11062</v>
          </cell>
          <cell r="K69" t="str">
            <v>1106</v>
          </cell>
          <cell r="L69" t="str">
            <v>110</v>
          </cell>
          <cell r="M69" t="str">
            <v>11</v>
          </cell>
          <cell r="N69">
            <v>2</v>
          </cell>
          <cell r="O69">
            <v>1</v>
          </cell>
        </row>
        <row r="70">
          <cell r="A70">
            <v>6501516</v>
          </cell>
          <cell r="B70" t="str">
            <v>TAPIOCA DE GOMA</v>
          </cell>
          <cell r="C70">
            <v>99</v>
          </cell>
          <cell r="D70" t="str">
            <v>nao se aplica</v>
          </cell>
          <cell r="E70"/>
          <cell r="F70" t="str">
            <v/>
          </cell>
          <cell r="G70">
            <v>0</v>
          </cell>
          <cell r="H70">
            <v>6501516</v>
          </cell>
          <cell r="I70" t="str">
            <v>110620</v>
          </cell>
          <cell r="J70" t="str">
            <v>11062</v>
          </cell>
          <cell r="K70" t="str">
            <v>1106</v>
          </cell>
          <cell r="L70" t="str">
            <v>110</v>
          </cell>
          <cell r="M70" t="str">
            <v>11</v>
          </cell>
          <cell r="N70">
            <v>2</v>
          </cell>
          <cell r="O70">
            <v>1</v>
          </cell>
        </row>
        <row r="71">
          <cell r="A71">
            <v>6502001</v>
          </cell>
          <cell r="B71" t="str">
            <v>FARINHA LACTEA</v>
          </cell>
          <cell r="C71">
            <v>99</v>
          </cell>
          <cell r="D71" t="str">
            <v>nao se aplica</v>
          </cell>
          <cell r="E71">
            <v>7</v>
          </cell>
          <cell r="F71" t="str">
            <v>Cereais Matinais</v>
          </cell>
          <cell r="G71">
            <v>0</v>
          </cell>
          <cell r="H71">
            <v>6502001</v>
          </cell>
          <cell r="I71" t="str">
            <v>190420</v>
          </cell>
          <cell r="J71" t="str">
            <v>19042</v>
          </cell>
          <cell r="K71" t="str">
            <v>1904</v>
          </cell>
          <cell r="L71" t="str">
            <v>190</v>
          </cell>
          <cell r="M71" t="str">
            <v>19</v>
          </cell>
          <cell r="N71">
            <v>4</v>
          </cell>
          <cell r="O71">
            <v>4</v>
          </cell>
        </row>
        <row r="72">
          <cell r="A72">
            <v>6502101</v>
          </cell>
          <cell r="B72" t="str">
            <v>NESTON</v>
          </cell>
          <cell r="C72">
            <v>99</v>
          </cell>
          <cell r="D72" t="str">
            <v>nao se aplica</v>
          </cell>
          <cell r="E72">
            <v>7</v>
          </cell>
          <cell r="F72" t="str">
            <v>Cereais Matinais</v>
          </cell>
          <cell r="G72">
            <v>0</v>
          </cell>
          <cell r="H72">
            <v>6502101</v>
          </cell>
          <cell r="I72" t="str">
            <v>190420</v>
          </cell>
          <cell r="J72" t="str">
            <v>19042</v>
          </cell>
          <cell r="K72" t="str">
            <v>1904</v>
          </cell>
          <cell r="L72" t="str">
            <v>190</v>
          </cell>
          <cell r="M72" t="str">
            <v>19</v>
          </cell>
          <cell r="N72">
            <v>4</v>
          </cell>
          <cell r="O72">
            <v>4</v>
          </cell>
        </row>
        <row r="73">
          <cell r="A73">
            <v>6502102</v>
          </cell>
          <cell r="B73" t="str">
            <v>FLOCOS DE CEREAIS</v>
          </cell>
          <cell r="C73">
            <v>99</v>
          </cell>
          <cell r="D73" t="str">
            <v>nao se aplica</v>
          </cell>
          <cell r="E73"/>
          <cell r="F73" t="str">
            <v/>
          </cell>
          <cell r="G73">
            <v>0</v>
          </cell>
          <cell r="H73">
            <v>6502102</v>
          </cell>
          <cell r="I73" t="str">
            <v>190420</v>
          </cell>
          <cell r="J73" t="str">
            <v>19042</v>
          </cell>
          <cell r="K73" t="str">
            <v>1904</v>
          </cell>
          <cell r="L73" t="str">
            <v>190</v>
          </cell>
          <cell r="M73" t="str">
            <v>19</v>
          </cell>
          <cell r="N73">
            <v>4</v>
          </cell>
          <cell r="O73">
            <v>1</v>
          </cell>
        </row>
        <row r="74">
          <cell r="A74">
            <v>6502403</v>
          </cell>
          <cell r="B74" t="str">
            <v>MINI PIZZA SEMIPRONTA</v>
          </cell>
          <cell r="C74">
            <v>99</v>
          </cell>
          <cell r="D74" t="str">
            <v>nao se aplica</v>
          </cell>
          <cell r="G74">
            <v>0</v>
          </cell>
          <cell r="H74">
            <v>0</v>
          </cell>
          <cell r="I74">
            <v>190590</v>
          </cell>
          <cell r="J74" t="str">
            <v>19059</v>
          </cell>
          <cell r="K74" t="str">
            <v>1905</v>
          </cell>
          <cell r="L74" t="str">
            <v>190</v>
          </cell>
          <cell r="M74" t="str">
            <v>19</v>
          </cell>
          <cell r="N74">
            <v>4</v>
          </cell>
          <cell r="O74">
            <v>4</v>
          </cell>
        </row>
        <row r="75">
          <cell r="A75">
            <v>6502501</v>
          </cell>
          <cell r="B75" t="str">
            <v>FIBRA DE SOJA</v>
          </cell>
          <cell r="C75">
            <v>99</v>
          </cell>
          <cell r="D75" t="str">
            <v>nao se aplica</v>
          </cell>
          <cell r="E75"/>
          <cell r="F75" t="str">
            <v/>
          </cell>
          <cell r="G75">
            <v>0</v>
          </cell>
          <cell r="H75">
            <v>6502501</v>
          </cell>
          <cell r="I75">
            <v>200510</v>
          </cell>
          <cell r="J75" t="str">
            <v>20051</v>
          </cell>
          <cell r="K75" t="str">
            <v>2005</v>
          </cell>
          <cell r="L75" t="str">
            <v>200</v>
          </cell>
          <cell r="M75" t="str">
            <v>20</v>
          </cell>
          <cell r="N75">
            <v>2</v>
          </cell>
          <cell r="O75">
            <v>4</v>
          </cell>
        </row>
        <row r="76">
          <cell r="A76">
            <v>6503401</v>
          </cell>
          <cell r="B76" t="str">
            <v>MACARRAO</v>
          </cell>
          <cell r="C76">
            <v>3</v>
          </cell>
          <cell r="D76" t="str">
            <v>cozido(a) sem gordura</v>
          </cell>
          <cell r="E76">
            <v>20</v>
          </cell>
          <cell r="F76" t="str">
            <v>Macarrao</v>
          </cell>
          <cell r="G76">
            <v>0</v>
          </cell>
          <cell r="H76">
            <v>6503401</v>
          </cell>
          <cell r="I76">
            <v>190211</v>
          </cell>
          <cell r="J76" t="str">
            <v>19021</v>
          </cell>
          <cell r="K76" t="str">
            <v>1902</v>
          </cell>
          <cell r="L76" t="str">
            <v>190</v>
          </cell>
          <cell r="M76" t="str">
            <v>19</v>
          </cell>
          <cell r="N76">
            <v>4</v>
          </cell>
          <cell r="O76">
            <v>1</v>
          </cell>
        </row>
        <row r="77">
          <cell r="A77">
            <v>6503502</v>
          </cell>
          <cell r="B77" t="str">
            <v>PURE DE ABOBORA / JERIMUM / GERIMUM</v>
          </cell>
          <cell r="C77">
            <v>99</v>
          </cell>
          <cell r="D77" t="str">
            <v>nao se aplica</v>
          </cell>
          <cell r="E77"/>
          <cell r="F77" t="str">
            <v/>
          </cell>
          <cell r="G77">
            <v>0</v>
          </cell>
          <cell r="H77">
            <v>6503502</v>
          </cell>
          <cell r="I77" t="str">
            <v>070993</v>
          </cell>
          <cell r="J77" t="str">
            <v>07099</v>
          </cell>
          <cell r="K77" t="str">
            <v>0709</v>
          </cell>
          <cell r="L77" t="str">
            <v>070</v>
          </cell>
          <cell r="M77" t="str">
            <v>07</v>
          </cell>
          <cell r="N77">
            <v>2</v>
          </cell>
          <cell r="O77">
            <v>1</v>
          </cell>
        </row>
        <row r="78">
          <cell r="A78">
            <v>6503601</v>
          </cell>
          <cell r="B78" t="str">
            <v>BIFE VEGETAL</v>
          </cell>
          <cell r="C78">
            <v>99</v>
          </cell>
          <cell r="D78" t="str">
            <v>nao se aplica</v>
          </cell>
          <cell r="G78">
            <v>0</v>
          </cell>
          <cell r="H78">
            <v>0</v>
          </cell>
          <cell r="I78">
            <v>200510</v>
          </cell>
          <cell r="J78" t="str">
            <v>20051</v>
          </cell>
          <cell r="K78" t="str">
            <v>2005</v>
          </cell>
          <cell r="L78" t="str">
            <v>200</v>
          </cell>
          <cell r="M78" t="str">
            <v>20</v>
          </cell>
          <cell r="N78">
            <v>2</v>
          </cell>
          <cell r="O78">
            <v>3</v>
          </cell>
        </row>
        <row r="79">
          <cell r="A79">
            <v>6503603</v>
          </cell>
          <cell r="B79" t="str">
            <v>CARNE VEGETAL</v>
          </cell>
          <cell r="C79">
            <v>8</v>
          </cell>
          <cell r="D79" t="str">
            <v>grelhado(a)/brasa/churrasco</v>
          </cell>
          <cell r="E79">
            <v>27</v>
          </cell>
          <cell r="F79" t="str">
            <v>Outras leguminosas</v>
          </cell>
          <cell r="G79">
            <v>0</v>
          </cell>
          <cell r="H79" t="e">
            <v>#N/A</v>
          </cell>
          <cell r="I79">
            <v>200510</v>
          </cell>
          <cell r="J79" t="str">
            <v>20051</v>
          </cell>
          <cell r="K79" t="str">
            <v>2005</v>
          </cell>
          <cell r="L79" t="str">
            <v>200</v>
          </cell>
          <cell r="M79" t="str">
            <v>20</v>
          </cell>
          <cell r="N79">
            <v>2</v>
          </cell>
          <cell r="O79">
            <v>4</v>
          </cell>
        </row>
        <row r="80">
          <cell r="A80">
            <v>6503604</v>
          </cell>
          <cell r="B80" t="str">
            <v>PASTA DE SOJA</v>
          </cell>
          <cell r="C80"/>
          <cell r="E80"/>
          <cell r="G80">
            <v>0</v>
          </cell>
          <cell r="H80">
            <v>6503604</v>
          </cell>
          <cell r="I80">
            <v>200510</v>
          </cell>
          <cell r="J80" t="str">
            <v>20051</v>
          </cell>
          <cell r="K80" t="str">
            <v>2005</v>
          </cell>
          <cell r="L80" t="str">
            <v>200</v>
          </cell>
          <cell r="M80" t="str">
            <v>20</v>
          </cell>
          <cell r="N80">
            <v>2</v>
          </cell>
          <cell r="O80">
            <v>4</v>
          </cell>
        </row>
        <row r="81">
          <cell r="A81">
            <v>6503605</v>
          </cell>
          <cell r="B81" t="str">
            <v>CARNE DE SOJA</v>
          </cell>
          <cell r="C81">
            <v>99</v>
          </cell>
          <cell r="D81" t="str">
            <v>nao se aplica</v>
          </cell>
          <cell r="G81">
            <v>0</v>
          </cell>
          <cell r="H81">
            <v>0</v>
          </cell>
          <cell r="I81">
            <v>200510</v>
          </cell>
          <cell r="J81" t="str">
            <v>20051</v>
          </cell>
          <cell r="K81" t="str">
            <v>2005</v>
          </cell>
          <cell r="L81" t="str">
            <v>200</v>
          </cell>
          <cell r="M81" t="str">
            <v>20</v>
          </cell>
          <cell r="N81">
            <v>2</v>
          </cell>
          <cell r="O81">
            <v>4</v>
          </cell>
        </row>
        <row r="82">
          <cell r="A82">
            <v>6503702</v>
          </cell>
          <cell r="B82" t="str">
            <v>AMENDOIM MOIDO</v>
          </cell>
          <cell r="C82">
            <v>99</v>
          </cell>
          <cell r="D82" t="str">
            <v>nao se aplica</v>
          </cell>
          <cell r="E82">
            <v>30</v>
          </cell>
          <cell r="F82" t="str">
            <v>Nozes e sementes (inclui amendoim)</v>
          </cell>
          <cell r="G82">
            <v>0</v>
          </cell>
          <cell r="H82">
            <v>6503702</v>
          </cell>
          <cell r="I82" t="str">
            <v>120242</v>
          </cell>
          <cell r="J82" t="str">
            <v>12024</v>
          </cell>
          <cell r="K82" t="str">
            <v>1202</v>
          </cell>
          <cell r="L82" t="str">
            <v>120</v>
          </cell>
          <cell r="M82" t="str">
            <v>12</v>
          </cell>
          <cell r="N82">
            <v>2</v>
          </cell>
          <cell r="O82">
            <v>1</v>
          </cell>
        </row>
        <row r="83">
          <cell r="A83">
            <v>6504101</v>
          </cell>
          <cell r="B83" t="str">
            <v>GRANOLA</v>
          </cell>
          <cell r="C83">
            <v>99</v>
          </cell>
          <cell r="D83" t="str">
            <v>nao se aplica</v>
          </cell>
          <cell r="E83">
            <v>7</v>
          </cell>
          <cell r="F83" t="str">
            <v>Cereais Matinais</v>
          </cell>
          <cell r="G83">
            <v>0</v>
          </cell>
          <cell r="H83" t="e">
            <v>#N/A</v>
          </cell>
          <cell r="I83" t="str">
            <v>190420</v>
          </cell>
          <cell r="J83" t="str">
            <v>19042</v>
          </cell>
          <cell r="K83" t="str">
            <v>1904</v>
          </cell>
          <cell r="L83" t="str">
            <v>190</v>
          </cell>
          <cell r="M83" t="str">
            <v>19</v>
          </cell>
          <cell r="N83">
            <v>4</v>
          </cell>
          <cell r="O83">
            <v>4</v>
          </cell>
        </row>
        <row r="84">
          <cell r="A84">
            <v>6504701</v>
          </cell>
          <cell r="B84" t="str">
            <v>MIX DE CEREAIS</v>
          </cell>
          <cell r="C84">
            <v>99</v>
          </cell>
          <cell r="D84" t="str">
            <v>nao se aplica</v>
          </cell>
          <cell r="E84">
            <v>7</v>
          </cell>
          <cell r="F84" t="str">
            <v>Cereais Matinais</v>
          </cell>
          <cell r="G84">
            <v>0</v>
          </cell>
          <cell r="H84" t="e">
            <v>#N/A</v>
          </cell>
          <cell r="I84" t="str">
            <v>190420</v>
          </cell>
          <cell r="J84" t="str">
            <v>19042</v>
          </cell>
          <cell r="K84" t="str">
            <v>1904</v>
          </cell>
          <cell r="L84" t="str">
            <v>190</v>
          </cell>
          <cell r="M84" t="str">
            <v>19</v>
          </cell>
          <cell r="N84">
            <v>4</v>
          </cell>
          <cell r="O84">
            <v>4</v>
          </cell>
        </row>
        <row r="85">
          <cell r="A85">
            <v>6504801</v>
          </cell>
          <cell r="B85" t="str">
            <v>MIOJO</v>
          </cell>
          <cell r="C85">
            <v>99</v>
          </cell>
          <cell r="D85" t="str">
            <v>nao se aplica</v>
          </cell>
          <cell r="E85">
            <v>77</v>
          </cell>
          <cell r="F85" t="str">
            <v>Macarrao instantaneo</v>
          </cell>
          <cell r="G85">
            <v>0</v>
          </cell>
          <cell r="H85" t="e">
            <v>#N/A</v>
          </cell>
          <cell r="I85" t="str">
            <v>190230</v>
          </cell>
          <cell r="J85" t="str">
            <v>19023</v>
          </cell>
          <cell r="K85" t="str">
            <v>1902</v>
          </cell>
          <cell r="L85" t="str">
            <v>190</v>
          </cell>
          <cell r="M85" t="str">
            <v>19</v>
          </cell>
          <cell r="N85">
            <v>4</v>
          </cell>
          <cell r="O85">
            <v>4</v>
          </cell>
        </row>
        <row r="86">
          <cell r="A86">
            <v>6504802</v>
          </cell>
          <cell r="B86" t="str">
            <v>MACARRAO INSTANTANEO</v>
          </cell>
          <cell r="C86">
            <v>99</v>
          </cell>
          <cell r="D86" t="str">
            <v>nao se aplica</v>
          </cell>
          <cell r="E86">
            <v>77</v>
          </cell>
          <cell r="F86" t="str">
            <v>Macarrao instantaneo</v>
          </cell>
          <cell r="G86">
            <v>0</v>
          </cell>
          <cell r="H86">
            <v>6504802</v>
          </cell>
          <cell r="I86">
            <v>190219</v>
          </cell>
          <cell r="J86" t="str">
            <v>19021</v>
          </cell>
          <cell r="K86" t="str">
            <v>1902</v>
          </cell>
          <cell r="L86" t="str">
            <v>190</v>
          </cell>
          <cell r="M86" t="str">
            <v>19</v>
          </cell>
          <cell r="N86">
            <v>4</v>
          </cell>
          <cell r="O86">
            <v>4</v>
          </cell>
        </row>
        <row r="87">
          <cell r="A87">
            <v>6505101</v>
          </cell>
          <cell r="B87" t="str">
            <v>SUSTAGEM</v>
          </cell>
          <cell r="C87">
            <v>99</v>
          </cell>
          <cell r="D87" t="str">
            <v>nao se aplica</v>
          </cell>
          <cell r="E87">
            <v>89</v>
          </cell>
          <cell r="F87" t="str">
            <v>Fórmulas e suplementos</v>
          </cell>
          <cell r="G87">
            <v>0</v>
          </cell>
          <cell r="H87">
            <v>6505101</v>
          </cell>
          <cell r="I87">
            <v>220290</v>
          </cell>
          <cell r="J87" t="str">
            <v>22029</v>
          </cell>
          <cell r="K87" t="str">
            <v>2202</v>
          </cell>
          <cell r="L87" t="str">
            <v>220</v>
          </cell>
          <cell r="M87" t="str">
            <v>22</v>
          </cell>
          <cell r="N87">
            <v>4</v>
          </cell>
          <cell r="O87">
            <v>4</v>
          </cell>
        </row>
        <row r="88">
          <cell r="A88">
            <v>6505102</v>
          </cell>
          <cell r="B88" t="str">
            <v>NUTREN, ENSURE, SUSTEN</v>
          </cell>
          <cell r="C88">
            <v>99</v>
          </cell>
          <cell r="D88" t="str">
            <v>nao se aplica</v>
          </cell>
          <cell r="E88">
            <v>89</v>
          </cell>
          <cell r="F88" t="str">
            <v>Formulas e suplementos</v>
          </cell>
          <cell r="G88">
            <v>0</v>
          </cell>
          <cell r="H88" t="e">
            <v>#N/A</v>
          </cell>
          <cell r="I88">
            <v>220290</v>
          </cell>
          <cell r="J88" t="str">
            <v>22029</v>
          </cell>
          <cell r="K88" t="str">
            <v>2202</v>
          </cell>
          <cell r="L88" t="str">
            <v>220</v>
          </cell>
          <cell r="M88" t="str">
            <v>22</v>
          </cell>
          <cell r="N88">
            <v>4</v>
          </cell>
          <cell r="O88">
            <v>4</v>
          </cell>
        </row>
        <row r="89">
          <cell r="A89">
            <v>6505601</v>
          </cell>
          <cell r="B89" t="str">
            <v>PROTEINA DE SOJA</v>
          </cell>
          <cell r="C89">
            <v>99</v>
          </cell>
          <cell r="D89" t="str">
            <v>nao se aplica</v>
          </cell>
          <cell r="E89"/>
          <cell r="F89" t="str">
            <v/>
          </cell>
          <cell r="G89">
            <v>0</v>
          </cell>
          <cell r="H89">
            <v>6505601</v>
          </cell>
          <cell r="I89">
            <v>200510</v>
          </cell>
          <cell r="J89" t="str">
            <v>20051</v>
          </cell>
          <cell r="K89" t="str">
            <v>2005</v>
          </cell>
          <cell r="L89" t="str">
            <v>200</v>
          </cell>
          <cell r="M89" t="str">
            <v>20</v>
          </cell>
          <cell r="N89">
            <v>2</v>
          </cell>
          <cell r="O89">
            <v>4</v>
          </cell>
        </row>
        <row r="90">
          <cell r="A90">
            <v>6505701</v>
          </cell>
          <cell r="B90" t="str">
            <v>COMPLEMENTO ALIMENTAR DE QUALQUER SABOR</v>
          </cell>
          <cell r="C90">
            <v>99</v>
          </cell>
          <cell r="D90" t="str">
            <v>nao se aplica</v>
          </cell>
          <cell r="E90">
            <v>89</v>
          </cell>
          <cell r="F90" t="str">
            <v>Fórmulas e suplementos</v>
          </cell>
          <cell r="G90">
            <v>0</v>
          </cell>
          <cell r="H90">
            <v>6505701</v>
          </cell>
          <cell r="I90">
            <v>220290</v>
          </cell>
          <cell r="J90" t="str">
            <v>22029</v>
          </cell>
          <cell r="K90" t="str">
            <v>2202</v>
          </cell>
          <cell r="L90" t="str">
            <v>220</v>
          </cell>
          <cell r="M90" t="str">
            <v>22</v>
          </cell>
          <cell r="N90">
            <v>4</v>
          </cell>
          <cell r="O90">
            <v>4</v>
          </cell>
        </row>
        <row r="91">
          <cell r="A91">
            <v>6506003</v>
          </cell>
          <cell r="B91" t="str">
            <v>MINI PIZZA SEMIPRONTA LIGHT</v>
          </cell>
          <cell r="C91">
            <v>99</v>
          </cell>
          <cell r="D91" t="str">
            <v>nao se aplica</v>
          </cell>
          <cell r="G91">
            <v>0</v>
          </cell>
          <cell r="H91">
            <v>0</v>
          </cell>
          <cell r="I91">
            <v>190590</v>
          </cell>
          <cell r="J91" t="str">
            <v>19059</v>
          </cell>
          <cell r="K91" t="str">
            <v>1905</v>
          </cell>
          <cell r="L91" t="str">
            <v>190</v>
          </cell>
          <cell r="M91" t="str">
            <v>19</v>
          </cell>
          <cell r="N91">
            <v>4</v>
          </cell>
          <cell r="O91">
            <v>4</v>
          </cell>
        </row>
        <row r="92">
          <cell r="A92">
            <v>6506302</v>
          </cell>
          <cell r="B92" t="str">
            <v>MACARRAO INSTANTANEO LIGHT</v>
          </cell>
          <cell r="C92">
            <v>99</v>
          </cell>
          <cell r="D92" t="str">
            <v>nao se aplica</v>
          </cell>
          <cell r="E92">
            <v>77</v>
          </cell>
          <cell r="F92" t="str">
            <v>Macarrao instantaneo</v>
          </cell>
          <cell r="G92">
            <v>0</v>
          </cell>
          <cell r="H92" t="e">
            <v>#N/A</v>
          </cell>
          <cell r="I92">
            <v>190219</v>
          </cell>
          <cell r="J92" t="str">
            <v>19021</v>
          </cell>
          <cell r="K92" t="str">
            <v>1902</v>
          </cell>
          <cell r="L92" t="str">
            <v>190</v>
          </cell>
          <cell r="M92" t="str">
            <v>19</v>
          </cell>
          <cell r="N92">
            <v>4</v>
          </cell>
          <cell r="O92">
            <v>4</v>
          </cell>
        </row>
        <row r="93">
          <cell r="A93">
            <v>6573242</v>
          </cell>
          <cell r="B93" t="str">
            <v>MASSA / MACARRAO, INTEGRAL</v>
          </cell>
          <cell r="C93">
            <v>99</v>
          </cell>
          <cell r="D93" t="str">
            <v>nao se aplica</v>
          </cell>
          <cell r="E93"/>
          <cell r="F93" t="str">
            <v/>
          </cell>
          <cell r="G93">
            <v>0</v>
          </cell>
          <cell r="H93">
            <v>6573242</v>
          </cell>
          <cell r="I93">
            <v>190211</v>
          </cell>
          <cell r="J93" t="str">
            <v>19021</v>
          </cell>
          <cell r="K93" t="str">
            <v>1902</v>
          </cell>
          <cell r="L93" t="str">
            <v>190</v>
          </cell>
          <cell r="M93" t="str">
            <v>19</v>
          </cell>
          <cell r="N93">
            <v>4</v>
          </cell>
          <cell r="O93">
            <v>1</v>
          </cell>
        </row>
        <row r="94">
          <cell r="A94">
            <v>6580001</v>
          </cell>
          <cell r="B94" t="str">
            <v>SUPLEMENTO PROTEICO E OUTROS</v>
          </cell>
          <cell r="C94">
            <v>99</v>
          </cell>
          <cell r="D94" t="str">
            <v>nao se aplica</v>
          </cell>
          <cell r="E94">
            <v>89</v>
          </cell>
          <cell r="F94" t="str">
            <v>Formulas e suplementos</v>
          </cell>
          <cell r="G94">
            <v>0</v>
          </cell>
          <cell r="H94">
            <v>6580001</v>
          </cell>
          <cell r="I94">
            <v>220290</v>
          </cell>
          <cell r="J94" t="str">
            <v>22029</v>
          </cell>
          <cell r="K94" t="str">
            <v>2202</v>
          </cell>
          <cell r="L94" t="str">
            <v>220</v>
          </cell>
          <cell r="M94" t="str">
            <v>22</v>
          </cell>
          <cell r="N94">
            <v>4</v>
          </cell>
          <cell r="O94">
            <v>4</v>
          </cell>
        </row>
        <row r="95">
          <cell r="A95">
            <v>6580101</v>
          </cell>
          <cell r="B95" t="str">
            <v>VITAMINAS, MINERAIS E OUTROS</v>
          </cell>
          <cell r="C95">
            <v>99</v>
          </cell>
          <cell r="D95" t="str">
            <v>nao se aplica</v>
          </cell>
          <cell r="E95">
            <v>89</v>
          </cell>
          <cell r="F95" t="str">
            <v>Formulas e suplementos</v>
          </cell>
          <cell r="G95">
            <v>0</v>
          </cell>
          <cell r="H95" t="e">
            <v>#N/A</v>
          </cell>
          <cell r="I95">
            <v>220290</v>
          </cell>
          <cell r="J95" t="str">
            <v>22029</v>
          </cell>
          <cell r="K95" t="str">
            <v>2202</v>
          </cell>
          <cell r="L95" t="str">
            <v>220</v>
          </cell>
          <cell r="M95" t="str">
            <v>22</v>
          </cell>
          <cell r="N95">
            <v>4</v>
          </cell>
          <cell r="O95">
            <v>4</v>
          </cell>
        </row>
        <row r="96">
          <cell r="A96">
            <v>6600101</v>
          </cell>
          <cell r="B96" t="str">
            <v>COCO DA BAHIA (SECO OU VERDE)</v>
          </cell>
          <cell r="C96">
            <v>99</v>
          </cell>
          <cell r="D96" t="str">
            <v>nao se aplica</v>
          </cell>
          <cell r="E96">
            <v>21</v>
          </cell>
          <cell r="F96" t="str">
            <v>Fruta</v>
          </cell>
          <cell r="G96">
            <v>0</v>
          </cell>
          <cell r="H96">
            <v>6600101</v>
          </cell>
          <cell r="I96" t="str">
            <v>080119</v>
          </cell>
          <cell r="J96" t="str">
            <v>08011</v>
          </cell>
          <cell r="K96" t="str">
            <v>0801</v>
          </cell>
          <cell r="L96" t="str">
            <v>080</v>
          </cell>
          <cell r="M96" t="str">
            <v>08</v>
          </cell>
          <cell r="N96">
            <v>2</v>
          </cell>
          <cell r="O96">
            <v>1</v>
          </cell>
        </row>
        <row r="97">
          <cell r="A97">
            <v>6600104</v>
          </cell>
          <cell r="B97" t="str">
            <v>COCO SECO</v>
          </cell>
          <cell r="C97">
            <v>99</v>
          </cell>
          <cell r="D97" t="str">
            <v>nao se aplica</v>
          </cell>
          <cell r="E97">
            <v>21</v>
          </cell>
          <cell r="F97" t="str">
            <v>Fruta</v>
          </cell>
          <cell r="G97">
            <v>0</v>
          </cell>
          <cell r="H97" t="e">
            <v>#N/A</v>
          </cell>
          <cell r="I97" t="str">
            <v>080119</v>
          </cell>
          <cell r="J97" t="str">
            <v>08011</v>
          </cell>
          <cell r="K97" t="str">
            <v>0801</v>
          </cell>
          <cell r="L97" t="str">
            <v>080</v>
          </cell>
          <cell r="M97" t="str">
            <v>08</v>
          </cell>
          <cell r="N97">
            <v>2</v>
          </cell>
          <cell r="O97">
            <v>1</v>
          </cell>
        </row>
        <row r="98">
          <cell r="A98">
            <v>6600105</v>
          </cell>
          <cell r="B98" t="str">
            <v>COCO VERDE</v>
          </cell>
          <cell r="C98">
            <v>99</v>
          </cell>
          <cell r="D98" t="str">
            <v>nao se aplica</v>
          </cell>
          <cell r="E98">
            <v>21</v>
          </cell>
          <cell r="F98" t="str">
            <v>Fruta</v>
          </cell>
          <cell r="G98">
            <v>0</v>
          </cell>
          <cell r="H98" t="e">
            <v>#N/A</v>
          </cell>
          <cell r="I98" t="str">
            <v>080119</v>
          </cell>
          <cell r="J98" t="str">
            <v>08011</v>
          </cell>
          <cell r="K98" t="str">
            <v>0801</v>
          </cell>
          <cell r="L98" t="str">
            <v>080</v>
          </cell>
          <cell r="M98" t="str">
            <v>08</v>
          </cell>
          <cell r="N98">
            <v>2</v>
          </cell>
          <cell r="O98">
            <v>1</v>
          </cell>
        </row>
        <row r="99">
          <cell r="A99">
            <v>6600301</v>
          </cell>
          <cell r="B99" t="str">
            <v>CASTANHA PORTUGUESA</v>
          </cell>
          <cell r="C99">
            <v>99</v>
          </cell>
          <cell r="D99" t="str">
            <v>nao se aplica</v>
          </cell>
          <cell r="E99">
            <v>30</v>
          </cell>
          <cell r="F99" t="str">
            <v>Nozes e sementes (inclui amendoim)</v>
          </cell>
          <cell r="G99">
            <v>0</v>
          </cell>
          <cell r="H99">
            <v>6600301</v>
          </cell>
          <cell r="I99" t="str">
            <v>080240</v>
          </cell>
          <cell r="J99" t="str">
            <v>08024</v>
          </cell>
          <cell r="K99" t="str">
            <v>0802</v>
          </cell>
          <cell r="L99" t="str">
            <v>080</v>
          </cell>
          <cell r="M99" t="str">
            <v>08</v>
          </cell>
          <cell r="N99">
            <v>2</v>
          </cell>
          <cell r="O99">
            <v>1</v>
          </cell>
        </row>
        <row r="100">
          <cell r="A100">
            <v>6600401</v>
          </cell>
          <cell r="B100" t="str">
            <v>PINHAO</v>
          </cell>
          <cell r="C100">
            <v>99</v>
          </cell>
          <cell r="D100" t="str">
            <v>nao se aplica</v>
          </cell>
          <cell r="E100">
            <v>30</v>
          </cell>
          <cell r="F100" t="str">
            <v>Nozes e sementes (inclui amendoim)</v>
          </cell>
          <cell r="G100">
            <v>0</v>
          </cell>
          <cell r="H100" t="e">
            <v>#N/A</v>
          </cell>
          <cell r="I100" t="str">
            <v>080290</v>
          </cell>
          <cell r="J100" t="str">
            <v>08029</v>
          </cell>
          <cell r="K100" t="str">
            <v>0802</v>
          </cell>
          <cell r="L100" t="str">
            <v>080</v>
          </cell>
          <cell r="M100" t="str">
            <v>08</v>
          </cell>
          <cell r="N100">
            <v>2</v>
          </cell>
          <cell r="O100">
            <v>1</v>
          </cell>
        </row>
        <row r="101">
          <cell r="A101">
            <v>6600501</v>
          </cell>
          <cell r="B101" t="str">
            <v>AMENDOA</v>
          </cell>
          <cell r="C101">
            <v>99</v>
          </cell>
          <cell r="D101" t="str">
            <v>nao se aplica</v>
          </cell>
          <cell r="E101">
            <v>30</v>
          </cell>
          <cell r="F101" t="str">
            <v>Nozes e sementes (inclui amendoim)</v>
          </cell>
          <cell r="G101">
            <v>0</v>
          </cell>
          <cell r="H101">
            <v>6600501</v>
          </cell>
          <cell r="I101" t="str">
            <v>080212</v>
          </cell>
          <cell r="J101" t="str">
            <v>08021</v>
          </cell>
          <cell r="K101" t="str">
            <v>0802</v>
          </cell>
          <cell r="L101" t="str">
            <v>080</v>
          </cell>
          <cell r="M101" t="str">
            <v>08</v>
          </cell>
          <cell r="N101">
            <v>2</v>
          </cell>
          <cell r="O101">
            <v>1</v>
          </cell>
        </row>
        <row r="102">
          <cell r="A102">
            <v>6600601</v>
          </cell>
          <cell r="B102" t="str">
            <v>AVELA</v>
          </cell>
          <cell r="C102">
            <v>99</v>
          </cell>
          <cell r="D102" t="str">
            <v>nao se aplica</v>
          </cell>
          <cell r="E102">
            <v>30</v>
          </cell>
          <cell r="F102" t="str">
            <v>Nozes e sementes (inclui amendoim)</v>
          </cell>
          <cell r="G102">
            <v>0</v>
          </cell>
          <cell r="H102">
            <v>6600601</v>
          </cell>
          <cell r="I102" t="str">
            <v>080222</v>
          </cell>
          <cell r="J102" t="str">
            <v>08022</v>
          </cell>
          <cell r="K102" t="str">
            <v>0802</v>
          </cell>
          <cell r="L102" t="str">
            <v>080</v>
          </cell>
          <cell r="M102" t="str">
            <v>08</v>
          </cell>
          <cell r="N102">
            <v>2</v>
          </cell>
          <cell r="O102">
            <v>1</v>
          </cell>
        </row>
        <row r="103">
          <cell r="A103">
            <v>6600701</v>
          </cell>
          <cell r="B103" t="str">
            <v>CASTANHA DO PARA</v>
          </cell>
          <cell r="C103">
            <v>99</v>
          </cell>
          <cell r="D103" t="str">
            <v>nao se aplica</v>
          </cell>
          <cell r="E103">
            <v>30</v>
          </cell>
          <cell r="F103" t="str">
            <v>Nozes e sementes (inclui amendoim)</v>
          </cell>
          <cell r="G103">
            <v>0</v>
          </cell>
          <cell r="H103">
            <v>6600701</v>
          </cell>
          <cell r="I103" t="str">
            <v>080121</v>
          </cell>
          <cell r="J103" t="str">
            <v>08012</v>
          </cell>
          <cell r="K103" t="str">
            <v>0801</v>
          </cell>
          <cell r="L103" t="str">
            <v>080</v>
          </cell>
          <cell r="M103" t="str">
            <v>08</v>
          </cell>
          <cell r="N103">
            <v>2</v>
          </cell>
          <cell r="O103">
            <v>1</v>
          </cell>
        </row>
        <row r="104">
          <cell r="A104">
            <v>6600702</v>
          </cell>
          <cell r="B104" t="str">
            <v>CASTANHA DO BRASIL</v>
          </cell>
          <cell r="C104">
            <v>99</v>
          </cell>
          <cell r="D104" t="str">
            <v>nao se aplica</v>
          </cell>
          <cell r="E104">
            <v>30</v>
          </cell>
          <cell r="F104" t="str">
            <v>Nozes e sementes (inclui amendoim)</v>
          </cell>
          <cell r="G104">
            <v>0</v>
          </cell>
          <cell r="H104" t="e">
            <v>#N/A</v>
          </cell>
          <cell r="I104" t="str">
            <v>080121</v>
          </cell>
          <cell r="J104" t="str">
            <v>08012</v>
          </cell>
          <cell r="K104" t="str">
            <v>0801</v>
          </cell>
          <cell r="L104" t="str">
            <v>080</v>
          </cell>
          <cell r="M104" t="str">
            <v>08</v>
          </cell>
          <cell r="N104">
            <v>2</v>
          </cell>
          <cell r="O104">
            <v>1</v>
          </cell>
        </row>
        <row r="105">
          <cell r="A105">
            <v>6600703</v>
          </cell>
          <cell r="B105" t="str">
            <v>NOZES DO PARA</v>
          </cell>
          <cell r="C105">
            <v>99</v>
          </cell>
          <cell r="D105" t="str">
            <v>nao se aplica</v>
          </cell>
          <cell r="E105">
            <v>30</v>
          </cell>
          <cell r="F105" t="str">
            <v>Nozes e sementes (inclui amendoim)</v>
          </cell>
          <cell r="G105">
            <v>0</v>
          </cell>
          <cell r="H105" t="e">
            <v>#N/A</v>
          </cell>
          <cell r="I105" t="str">
            <v>080121</v>
          </cell>
          <cell r="J105" t="str">
            <v>08012</v>
          </cell>
          <cell r="K105" t="str">
            <v>0801</v>
          </cell>
          <cell r="L105" t="str">
            <v>080</v>
          </cell>
          <cell r="M105" t="str">
            <v>08</v>
          </cell>
          <cell r="N105">
            <v>2</v>
          </cell>
          <cell r="O105">
            <v>1</v>
          </cell>
        </row>
        <row r="106">
          <cell r="A106">
            <v>6600801</v>
          </cell>
          <cell r="B106" t="str">
            <v>CASTANHA DE CAJU</v>
          </cell>
          <cell r="C106">
            <v>99</v>
          </cell>
          <cell r="D106" t="str">
            <v>nao se aplica</v>
          </cell>
          <cell r="E106">
            <v>30</v>
          </cell>
          <cell r="F106" t="str">
            <v>Nozes e sementes (inclui amendoim)</v>
          </cell>
          <cell r="G106">
            <v>0</v>
          </cell>
          <cell r="H106">
            <v>6600801</v>
          </cell>
          <cell r="I106" t="str">
            <v>080131</v>
          </cell>
          <cell r="J106" t="str">
            <v>08013</v>
          </cell>
          <cell r="K106" t="str">
            <v>0801</v>
          </cell>
          <cell r="L106" t="str">
            <v>080</v>
          </cell>
          <cell r="M106" t="str">
            <v>08</v>
          </cell>
          <cell r="N106">
            <v>2</v>
          </cell>
          <cell r="O106">
            <v>1</v>
          </cell>
        </row>
        <row r="107">
          <cell r="A107">
            <v>6600901</v>
          </cell>
          <cell r="B107" t="str">
            <v>COCO OURICURI</v>
          </cell>
          <cell r="C107">
            <v>99</v>
          </cell>
          <cell r="D107" t="str">
            <v>nao se aplica</v>
          </cell>
          <cell r="E107">
            <v>30</v>
          </cell>
          <cell r="F107" t="str">
            <v>Nozes e sementes (inclui amendoim)</v>
          </cell>
          <cell r="G107">
            <v>0</v>
          </cell>
          <cell r="H107" t="e">
            <v>#N/A</v>
          </cell>
          <cell r="I107" t="str">
            <v>080131</v>
          </cell>
          <cell r="J107" t="str">
            <v>08013</v>
          </cell>
          <cell r="K107" t="str">
            <v>0801</v>
          </cell>
          <cell r="L107" t="str">
            <v>080</v>
          </cell>
          <cell r="M107" t="str">
            <v>08</v>
          </cell>
          <cell r="N107">
            <v>2</v>
          </cell>
          <cell r="O107">
            <v>1</v>
          </cell>
        </row>
        <row r="108">
          <cell r="A108">
            <v>6600912</v>
          </cell>
          <cell r="B108" t="str">
            <v>BUTIA</v>
          </cell>
          <cell r="C108">
            <v>99</v>
          </cell>
          <cell r="D108" t="str">
            <v>nao se aplica</v>
          </cell>
          <cell r="E108">
            <v>30</v>
          </cell>
          <cell r="F108" t="str">
            <v>Nozes e sementes (inclui amendoim)</v>
          </cell>
          <cell r="G108">
            <v>0</v>
          </cell>
          <cell r="H108">
            <v>6600912</v>
          </cell>
          <cell r="I108" t="str">
            <v>080112</v>
          </cell>
          <cell r="J108" t="str">
            <v>08011</v>
          </cell>
          <cell r="K108" t="str">
            <v>0801</v>
          </cell>
          <cell r="L108" t="str">
            <v>080</v>
          </cell>
          <cell r="M108" t="str">
            <v>08</v>
          </cell>
          <cell r="N108">
            <v>2</v>
          </cell>
          <cell r="O108">
            <v>1</v>
          </cell>
        </row>
        <row r="109">
          <cell r="A109">
            <v>6600913</v>
          </cell>
          <cell r="B109" t="str">
            <v>LICURI</v>
          </cell>
          <cell r="C109">
            <v>99</v>
          </cell>
          <cell r="D109" t="str">
            <v>nao se aplica</v>
          </cell>
          <cell r="E109">
            <v>30</v>
          </cell>
          <cell r="F109" t="str">
            <v>Nozes e sementes (inclui amendoim)</v>
          </cell>
          <cell r="G109">
            <v>0</v>
          </cell>
          <cell r="H109" t="e">
            <v>#N/A</v>
          </cell>
          <cell r="I109" t="str">
            <v>080131</v>
          </cell>
          <cell r="J109" t="str">
            <v>08013</v>
          </cell>
          <cell r="K109" t="str">
            <v>0801</v>
          </cell>
          <cell r="L109" t="str">
            <v>080</v>
          </cell>
          <cell r="M109" t="str">
            <v>08</v>
          </cell>
          <cell r="N109">
            <v>2</v>
          </cell>
          <cell r="O109">
            <v>1</v>
          </cell>
        </row>
        <row r="110">
          <cell r="A110">
            <v>6601002</v>
          </cell>
          <cell r="B110" t="str">
            <v>COCO BABACU</v>
          </cell>
          <cell r="C110">
            <v>99</v>
          </cell>
          <cell r="D110" t="str">
            <v>nao se aplica</v>
          </cell>
          <cell r="E110">
            <v>30</v>
          </cell>
          <cell r="F110" t="str">
            <v>Nozes e sementes (inclui amendoim)</v>
          </cell>
          <cell r="G110">
            <v>0</v>
          </cell>
          <cell r="H110" t="e">
            <v>#N/A</v>
          </cell>
          <cell r="I110" t="str">
            <v>080131</v>
          </cell>
          <cell r="J110" t="str">
            <v>08013</v>
          </cell>
          <cell r="K110" t="str">
            <v>0801</v>
          </cell>
          <cell r="L110" t="str">
            <v>080</v>
          </cell>
          <cell r="M110" t="str">
            <v>08</v>
          </cell>
          <cell r="N110">
            <v>2</v>
          </cell>
          <cell r="O110">
            <v>1</v>
          </cell>
        </row>
        <row r="111">
          <cell r="A111">
            <v>6601108</v>
          </cell>
          <cell r="B111" t="str">
            <v>TUCUMA</v>
          </cell>
          <cell r="C111">
            <v>99</v>
          </cell>
          <cell r="D111" t="str">
            <v>nao se aplica</v>
          </cell>
          <cell r="E111">
            <v>30</v>
          </cell>
          <cell r="F111" t="str">
            <v>Nozes e sementes (inclui amendoim)</v>
          </cell>
          <cell r="G111">
            <v>0</v>
          </cell>
          <cell r="H111">
            <v>6601108</v>
          </cell>
          <cell r="I111" t="str">
            <v>080112</v>
          </cell>
          <cell r="J111" t="str">
            <v>08011</v>
          </cell>
          <cell r="K111" t="str">
            <v>0801</v>
          </cell>
          <cell r="L111" t="str">
            <v>080</v>
          </cell>
          <cell r="M111" t="str">
            <v>08</v>
          </cell>
          <cell r="N111">
            <v>2</v>
          </cell>
          <cell r="O111">
            <v>1</v>
          </cell>
        </row>
        <row r="112">
          <cell r="A112">
            <v>6601213</v>
          </cell>
          <cell r="B112" t="str">
            <v>BOCAIUVA</v>
          </cell>
          <cell r="C112">
            <v>99</v>
          </cell>
          <cell r="D112" t="str">
            <v>nao se aplica</v>
          </cell>
          <cell r="E112">
            <v>30</v>
          </cell>
          <cell r="F112" t="str">
            <v>Nozes e sementes (inclui amendoim)</v>
          </cell>
          <cell r="G112">
            <v>0</v>
          </cell>
          <cell r="H112">
            <v>6601213</v>
          </cell>
          <cell r="I112" t="str">
            <v>080112</v>
          </cell>
          <cell r="J112" t="str">
            <v>08011</v>
          </cell>
          <cell r="K112" t="str">
            <v>0801</v>
          </cell>
          <cell r="L112" t="str">
            <v>080</v>
          </cell>
          <cell r="M112" t="str">
            <v>08</v>
          </cell>
          <cell r="N112">
            <v>2</v>
          </cell>
          <cell r="O112">
            <v>1</v>
          </cell>
        </row>
        <row r="113">
          <cell r="A113">
            <v>6601501</v>
          </cell>
          <cell r="B113" t="str">
            <v>NOZ (NOGUEIRA)</v>
          </cell>
          <cell r="C113">
            <v>99</v>
          </cell>
          <cell r="D113" t="str">
            <v>nao se aplica</v>
          </cell>
          <cell r="E113">
            <v>30</v>
          </cell>
          <cell r="F113" t="str">
            <v>Nozes e sementes (inclui amendoim)</v>
          </cell>
          <cell r="G113">
            <v>0</v>
          </cell>
          <cell r="H113">
            <v>6601501</v>
          </cell>
          <cell r="I113" t="str">
            <v>080232</v>
          </cell>
          <cell r="J113" t="str">
            <v>08023</v>
          </cell>
          <cell r="K113" t="str">
            <v>0802</v>
          </cell>
          <cell r="L113" t="str">
            <v>080</v>
          </cell>
          <cell r="M113" t="str">
            <v>08</v>
          </cell>
          <cell r="N113">
            <v>2</v>
          </cell>
          <cell r="O113">
            <v>1</v>
          </cell>
        </row>
        <row r="114">
          <cell r="A114">
            <v>6601707</v>
          </cell>
          <cell r="B114" t="str">
            <v>JUCARA</v>
          </cell>
          <cell r="C114">
            <v>99</v>
          </cell>
          <cell r="D114" t="str">
            <v>nao se aplica</v>
          </cell>
          <cell r="E114">
            <v>30</v>
          </cell>
          <cell r="F114" t="str">
            <v>Nozes e sementes (inclui amendoim)</v>
          </cell>
          <cell r="G114">
            <v>0</v>
          </cell>
          <cell r="H114">
            <v>6601707</v>
          </cell>
          <cell r="I114" t="str">
            <v>080112</v>
          </cell>
          <cell r="J114" t="str">
            <v>08011</v>
          </cell>
          <cell r="K114" t="str">
            <v>0801</v>
          </cell>
          <cell r="L114" t="str">
            <v>080</v>
          </cell>
          <cell r="M114" t="str">
            <v>08</v>
          </cell>
          <cell r="N114">
            <v>2</v>
          </cell>
          <cell r="O114">
            <v>1</v>
          </cell>
        </row>
        <row r="115">
          <cell r="A115">
            <v>6601709</v>
          </cell>
          <cell r="B115" t="str">
            <v>UACAI</v>
          </cell>
          <cell r="C115">
            <v>99</v>
          </cell>
          <cell r="D115" t="str">
            <v>nao se aplica</v>
          </cell>
          <cell r="E115">
            <v>30</v>
          </cell>
          <cell r="F115" t="str">
            <v>Nozes e sementes (inclui amendoim)</v>
          </cell>
          <cell r="G115">
            <v>0</v>
          </cell>
          <cell r="H115">
            <v>6601709</v>
          </cell>
          <cell r="I115" t="str">
            <v>080112</v>
          </cell>
          <cell r="J115" t="str">
            <v>08011</v>
          </cell>
          <cell r="K115" t="str">
            <v>0801</v>
          </cell>
          <cell r="L115" t="str">
            <v>080</v>
          </cell>
          <cell r="M115" t="str">
            <v>08</v>
          </cell>
          <cell r="N115">
            <v>2</v>
          </cell>
          <cell r="O115">
            <v>1</v>
          </cell>
        </row>
        <row r="116">
          <cell r="A116">
            <v>6601712</v>
          </cell>
          <cell r="B116" t="str">
            <v>JUSSARA</v>
          </cell>
          <cell r="C116">
            <v>99</v>
          </cell>
          <cell r="D116" t="str">
            <v>nao se aplica</v>
          </cell>
          <cell r="E116">
            <v>30</v>
          </cell>
          <cell r="F116" t="str">
            <v>Nozes e sementes (inclui amendoim)</v>
          </cell>
          <cell r="G116">
            <v>0</v>
          </cell>
          <cell r="H116" t="e">
            <v>#N/A</v>
          </cell>
          <cell r="I116" t="str">
            <v>080112</v>
          </cell>
          <cell r="J116" t="str">
            <v>08011</v>
          </cell>
          <cell r="K116" t="str">
            <v>0801</v>
          </cell>
          <cell r="L116" t="str">
            <v>080</v>
          </cell>
          <cell r="M116" t="str">
            <v>08</v>
          </cell>
          <cell r="N116">
            <v>2</v>
          </cell>
          <cell r="O116">
            <v>1</v>
          </cell>
        </row>
        <row r="117">
          <cell r="A117">
            <v>6601803</v>
          </cell>
          <cell r="B117" t="str">
            <v>COCO PUPUNHA</v>
          </cell>
          <cell r="C117">
            <v>99</v>
          </cell>
          <cell r="D117" t="str">
            <v>nao se aplica</v>
          </cell>
          <cell r="E117">
            <v>30</v>
          </cell>
          <cell r="F117" t="str">
            <v>Nozes e sementes (inclui amendoim)</v>
          </cell>
          <cell r="G117">
            <v>0</v>
          </cell>
          <cell r="H117" t="e">
            <v>#N/A</v>
          </cell>
          <cell r="I117" t="str">
            <v>080112</v>
          </cell>
          <cell r="J117" t="str">
            <v>08011</v>
          </cell>
          <cell r="K117" t="str">
            <v>0801</v>
          </cell>
          <cell r="L117" t="str">
            <v>080</v>
          </cell>
          <cell r="M117" t="str">
            <v>08</v>
          </cell>
          <cell r="N117">
            <v>2</v>
          </cell>
          <cell r="O117">
            <v>1</v>
          </cell>
        </row>
        <row r="118">
          <cell r="A118">
            <v>6601805</v>
          </cell>
          <cell r="B118" t="str">
            <v>PUPUNHA</v>
          </cell>
          <cell r="C118">
            <v>99</v>
          </cell>
          <cell r="D118" t="str">
            <v>nao se aplica</v>
          </cell>
          <cell r="E118">
            <v>30</v>
          </cell>
          <cell r="F118" t="str">
            <v>Nozes e sementes (inclui amendoim)</v>
          </cell>
          <cell r="G118">
            <v>0</v>
          </cell>
          <cell r="H118">
            <v>6601805</v>
          </cell>
          <cell r="I118" t="str">
            <v>080112</v>
          </cell>
          <cell r="J118" t="str">
            <v>08011</v>
          </cell>
          <cell r="K118" t="str">
            <v>0801</v>
          </cell>
          <cell r="L118" t="str">
            <v>080</v>
          </cell>
          <cell r="M118" t="str">
            <v>08</v>
          </cell>
          <cell r="N118">
            <v>2</v>
          </cell>
          <cell r="O118">
            <v>1</v>
          </cell>
        </row>
        <row r="119">
          <cell r="A119">
            <v>6601902</v>
          </cell>
          <cell r="B119" t="str">
            <v>BACABA</v>
          </cell>
          <cell r="C119">
            <v>99</v>
          </cell>
          <cell r="D119" t="str">
            <v>nao se aplica</v>
          </cell>
          <cell r="E119">
            <v>30</v>
          </cell>
          <cell r="F119" t="str">
            <v>Nozes e sementes (inclui amendoim)</v>
          </cell>
          <cell r="G119">
            <v>0</v>
          </cell>
          <cell r="H119" t="e">
            <v>#N/A</v>
          </cell>
          <cell r="I119" t="str">
            <v>080112</v>
          </cell>
          <cell r="J119" t="str">
            <v>08011</v>
          </cell>
          <cell r="K119" t="str">
            <v>0801</v>
          </cell>
          <cell r="L119" t="str">
            <v>080</v>
          </cell>
          <cell r="M119" t="str">
            <v>08</v>
          </cell>
          <cell r="N119">
            <v>2</v>
          </cell>
          <cell r="O119">
            <v>1</v>
          </cell>
        </row>
        <row r="120">
          <cell r="A120">
            <v>6602001</v>
          </cell>
          <cell r="B120" t="str">
            <v>CASTANHA DA INDIA</v>
          </cell>
          <cell r="C120">
            <v>99</v>
          </cell>
          <cell r="D120" t="str">
            <v>nao se aplica</v>
          </cell>
          <cell r="E120">
            <v>30</v>
          </cell>
          <cell r="F120" t="str">
            <v>Nozes e sementes (inclui amendoim)</v>
          </cell>
          <cell r="G120">
            <v>0</v>
          </cell>
          <cell r="H120" t="e">
            <v>#N/A</v>
          </cell>
          <cell r="I120" t="str">
            <v>080112</v>
          </cell>
          <cell r="J120" t="str">
            <v>08011</v>
          </cell>
          <cell r="K120" t="str">
            <v>0801</v>
          </cell>
          <cell r="L120" t="str">
            <v>080</v>
          </cell>
          <cell r="M120" t="str">
            <v>08</v>
          </cell>
          <cell r="N120">
            <v>2</v>
          </cell>
          <cell r="O120">
            <v>1</v>
          </cell>
        </row>
        <row r="121">
          <cell r="A121">
            <v>6602201</v>
          </cell>
          <cell r="B121" t="str">
            <v>PISTACHE</v>
          </cell>
          <cell r="C121">
            <v>99</v>
          </cell>
          <cell r="D121" t="str">
            <v>nao se aplica</v>
          </cell>
          <cell r="E121">
            <v>30</v>
          </cell>
          <cell r="F121" t="str">
            <v>Nozes e sementes (inclui amendoim)</v>
          </cell>
          <cell r="G121">
            <v>0</v>
          </cell>
          <cell r="H121">
            <v>6602201</v>
          </cell>
          <cell r="I121" t="str">
            <v>080250</v>
          </cell>
          <cell r="J121" t="str">
            <v>08025</v>
          </cell>
          <cell r="K121" t="str">
            <v>0802</v>
          </cell>
          <cell r="L121" t="str">
            <v>080</v>
          </cell>
          <cell r="M121" t="str">
            <v>08</v>
          </cell>
          <cell r="N121">
            <v>2</v>
          </cell>
          <cell r="O121">
            <v>1</v>
          </cell>
        </row>
        <row r="122">
          <cell r="A122">
            <v>6602301</v>
          </cell>
          <cell r="B122" t="str">
            <v>BURITI</v>
          </cell>
          <cell r="C122">
            <v>99</v>
          </cell>
          <cell r="D122" t="str">
            <v>nao se aplica</v>
          </cell>
          <cell r="E122">
            <v>30</v>
          </cell>
          <cell r="F122" t="str">
            <v>Nozes e sementes (inclui amendoim)</v>
          </cell>
          <cell r="G122">
            <v>0</v>
          </cell>
          <cell r="H122" t="e">
            <v>#N/A</v>
          </cell>
          <cell r="I122" t="str">
            <v>080112</v>
          </cell>
          <cell r="J122" t="str">
            <v>08011</v>
          </cell>
          <cell r="K122" t="str">
            <v>0801</v>
          </cell>
          <cell r="L122" t="str">
            <v>080</v>
          </cell>
          <cell r="M122" t="str">
            <v>08</v>
          </cell>
          <cell r="N122">
            <v>2</v>
          </cell>
          <cell r="O122">
            <v>1</v>
          </cell>
        </row>
        <row r="123">
          <cell r="A123">
            <v>6602401</v>
          </cell>
          <cell r="B123" t="str">
            <v>COCO</v>
          </cell>
          <cell r="C123">
            <v>99</v>
          </cell>
          <cell r="D123" t="str">
            <v>nao se aplica</v>
          </cell>
          <cell r="E123">
            <v>21</v>
          </cell>
          <cell r="F123" t="str">
            <v>Fruta</v>
          </cell>
          <cell r="G123">
            <v>0</v>
          </cell>
          <cell r="H123" t="e">
            <v>#N/A</v>
          </cell>
          <cell r="I123" t="str">
            <v>080119</v>
          </cell>
          <cell r="J123" t="str">
            <v>08011</v>
          </cell>
          <cell r="K123" t="str">
            <v>0801</v>
          </cell>
          <cell r="L123" t="str">
            <v>080</v>
          </cell>
          <cell r="M123" t="str">
            <v>08</v>
          </cell>
          <cell r="N123">
            <v>2</v>
          </cell>
          <cell r="O123">
            <v>1</v>
          </cell>
        </row>
        <row r="124">
          <cell r="A124">
            <v>6602501</v>
          </cell>
          <cell r="B124" t="str">
            <v>CASTANHAS NAO ESPECIFICADAS</v>
          </cell>
          <cell r="C124">
            <v>99</v>
          </cell>
          <cell r="D124" t="str">
            <v>nao se aplica</v>
          </cell>
          <cell r="E124">
            <v>30</v>
          </cell>
          <cell r="F124" t="str">
            <v>Nozes e sementes (inclui amendoim)</v>
          </cell>
          <cell r="G124">
            <v>0</v>
          </cell>
          <cell r="H124" t="e">
            <v>#N/A</v>
          </cell>
          <cell r="I124" t="str">
            <v>080232</v>
          </cell>
          <cell r="J124" t="str">
            <v>08023</v>
          </cell>
          <cell r="K124" t="str">
            <v>0802</v>
          </cell>
          <cell r="L124" t="str">
            <v>080</v>
          </cell>
          <cell r="M124" t="str">
            <v>08</v>
          </cell>
          <cell r="N124">
            <v>2</v>
          </cell>
          <cell r="O124">
            <v>1</v>
          </cell>
        </row>
        <row r="125">
          <cell r="A125">
            <v>6602502</v>
          </cell>
          <cell r="B125" t="str">
            <v>CASTANHAS E SEMENTES, MISTURA</v>
          </cell>
          <cell r="C125">
            <v>99</v>
          </cell>
          <cell r="D125" t="str">
            <v>nao se aplica</v>
          </cell>
          <cell r="E125">
            <v>30</v>
          </cell>
          <cell r="F125" t="str">
            <v>Nozes e sementes (inclui amendoim)</v>
          </cell>
          <cell r="G125">
            <v>0</v>
          </cell>
          <cell r="H125" t="e">
            <v>#N/A</v>
          </cell>
          <cell r="I125" t="str">
            <v>080232</v>
          </cell>
          <cell r="J125" t="str">
            <v>08023</v>
          </cell>
          <cell r="K125" t="str">
            <v>0802</v>
          </cell>
          <cell r="L125" t="str">
            <v>080</v>
          </cell>
          <cell r="M125" t="str">
            <v>08</v>
          </cell>
          <cell r="N125">
            <v>2</v>
          </cell>
          <cell r="O125">
            <v>1</v>
          </cell>
        </row>
        <row r="126">
          <cell r="A126">
            <v>6602601</v>
          </cell>
          <cell r="B126" t="str">
            <v>PATAUA</v>
          </cell>
          <cell r="C126">
            <v>99</v>
          </cell>
          <cell r="D126" t="str">
            <v>nao se aplica</v>
          </cell>
          <cell r="E126">
            <v>30</v>
          </cell>
          <cell r="F126" t="str">
            <v>Nozes e sementes (inclui amendoim)</v>
          </cell>
          <cell r="G126">
            <v>0</v>
          </cell>
          <cell r="H126" t="e">
            <v>#N/A</v>
          </cell>
          <cell r="I126" t="str">
            <v>080112</v>
          </cell>
          <cell r="J126" t="str">
            <v>08011</v>
          </cell>
          <cell r="K126" t="str">
            <v>0801</v>
          </cell>
          <cell r="L126" t="str">
            <v>080</v>
          </cell>
          <cell r="M126" t="str">
            <v>08</v>
          </cell>
          <cell r="N126">
            <v>2</v>
          </cell>
          <cell r="O126">
            <v>1</v>
          </cell>
        </row>
        <row r="127">
          <cell r="A127">
            <v>6603001</v>
          </cell>
          <cell r="B127" t="str">
            <v>NOZ PECAN</v>
          </cell>
          <cell r="C127">
            <v>99</v>
          </cell>
          <cell r="D127" t="str">
            <v>nao se aplica</v>
          </cell>
          <cell r="E127">
            <v>30</v>
          </cell>
          <cell r="F127" t="str">
            <v>Nozes e sementes (inclui amendoim)</v>
          </cell>
          <cell r="G127">
            <v>0</v>
          </cell>
          <cell r="H127">
            <v>6603001</v>
          </cell>
          <cell r="I127" t="str">
            <v>080232</v>
          </cell>
          <cell r="J127" t="str">
            <v>08023</v>
          </cell>
          <cell r="K127" t="str">
            <v>0802</v>
          </cell>
          <cell r="L127" t="str">
            <v>080</v>
          </cell>
          <cell r="M127" t="str">
            <v>08</v>
          </cell>
          <cell r="N127">
            <v>2</v>
          </cell>
          <cell r="O127">
            <v>1</v>
          </cell>
        </row>
        <row r="128">
          <cell r="A128">
            <v>6603201</v>
          </cell>
          <cell r="B128" t="str">
            <v>TAHINI, PASTA</v>
          </cell>
          <cell r="C128">
            <v>99</v>
          </cell>
          <cell r="D128" t="str">
            <v>nao se aplica</v>
          </cell>
          <cell r="E128">
            <v>30</v>
          </cell>
          <cell r="F128" t="str">
            <v>Nozes e sementes (inclui amendoim)</v>
          </cell>
          <cell r="G128">
            <v>0</v>
          </cell>
          <cell r="H128">
            <v>6603201</v>
          </cell>
          <cell r="I128">
            <v>151550</v>
          </cell>
          <cell r="J128" t="str">
            <v>15155</v>
          </cell>
          <cell r="K128" t="str">
            <v>1515</v>
          </cell>
          <cell r="L128" t="str">
            <v>151</v>
          </cell>
          <cell r="M128" t="str">
            <v>15</v>
          </cell>
          <cell r="N128">
            <v>3</v>
          </cell>
          <cell r="O128">
            <v>3</v>
          </cell>
        </row>
        <row r="129">
          <cell r="A129">
            <v>6700101</v>
          </cell>
          <cell r="B129" t="str">
            <v>ALFACE</v>
          </cell>
          <cell r="C129">
            <v>1</v>
          </cell>
          <cell r="D129" t="str">
            <v>assado(a)</v>
          </cell>
          <cell r="E129">
            <v>22</v>
          </cell>
          <cell r="F129" t="str">
            <v>Legumes e verduras</v>
          </cell>
          <cell r="G129">
            <v>0</v>
          </cell>
          <cell r="H129">
            <v>6700101</v>
          </cell>
          <cell r="I129" t="str">
            <v>070519</v>
          </cell>
          <cell r="J129" t="str">
            <v>07051</v>
          </cell>
          <cell r="K129" t="str">
            <v>0705</v>
          </cell>
          <cell r="L129" t="str">
            <v>070</v>
          </cell>
          <cell r="M129" t="str">
            <v>07</v>
          </cell>
          <cell r="N129">
            <v>2</v>
          </cell>
          <cell r="O129">
            <v>1</v>
          </cell>
        </row>
        <row r="130">
          <cell r="A130">
            <v>6700301</v>
          </cell>
          <cell r="B130" t="str">
            <v>CHICORIA</v>
          </cell>
          <cell r="C130">
            <v>3</v>
          </cell>
          <cell r="D130" t="str">
            <v>cozido(a) sem gordura</v>
          </cell>
          <cell r="E130">
            <v>22</v>
          </cell>
          <cell r="F130" t="str">
            <v>Legumes e verduras</v>
          </cell>
          <cell r="G130">
            <v>0</v>
          </cell>
          <cell r="H130">
            <v>6700301</v>
          </cell>
          <cell r="I130" t="str">
            <v>070529</v>
          </cell>
          <cell r="J130" t="str">
            <v>07052</v>
          </cell>
          <cell r="K130" t="str">
            <v>0705</v>
          </cell>
          <cell r="L130" t="str">
            <v>070</v>
          </cell>
          <cell r="M130" t="str">
            <v>07</v>
          </cell>
          <cell r="N130">
            <v>2</v>
          </cell>
          <cell r="O130">
            <v>1</v>
          </cell>
        </row>
        <row r="131">
          <cell r="A131">
            <v>6700304</v>
          </cell>
          <cell r="B131" t="str">
            <v>ESCAROLA</v>
          </cell>
          <cell r="C131">
            <v>3</v>
          </cell>
          <cell r="D131" t="str">
            <v>cozido(a) sem gordura</v>
          </cell>
          <cell r="E131">
            <v>22</v>
          </cell>
          <cell r="F131" t="str">
            <v>Legumes e verduras</v>
          </cell>
          <cell r="G131">
            <v>0</v>
          </cell>
          <cell r="H131" t="e">
            <v>#N/A</v>
          </cell>
          <cell r="I131" t="str">
            <v>070529</v>
          </cell>
          <cell r="J131" t="str">
            <v>07052</v>
          </cell>
          <cell r="K131" t="str">
            <v>0705</v>
          </cell>
          <cell r="L131" t="str">
            <v>070</v>
          </cell>
          <cell r="M131" t="str">
            <v>07</v>
          </cell>
          <cell r="N131">
            <v>2</v>
          </cell>
          <cell r="O131">
            <v>1</v>
          </cell>
        </row>
        <row r="132">
          <cell r="A132">
            <v>6700305</v>
          </cell>
          <cell r="B132" t="str">
            <v>ENDIVIA</v>
          </cell>
          <cell r="C132">
            <v>99</v>
          </cell>
          <cell r="D132" t="str">
            <v>nao se aplica</v>
          </cell>
          <cell r="E132">
            <v>22</v>
          </cell>
          <cell r="F132" t="str">
            <v>Legumes e verduras</v>
          </cell>
          <cell r="G132">
            <v>0</v>
          </cell>
          <cell r="H132" t="e">
            <v>#N/A</v>
          </cell>
          <cell r="I132" t="str">
            <v>070529</v>
          </cell>
          <cell r="J132" t="str">
            <v>07052</v>
          </cell>
          <cell r="K132" t="str">
            <v>0705</v>
          </cell>
          <cell r="L132" t="str">
            <v>070</v>
          </cell>
          <cell r="M132" t="str">
            <v>07</v>
          </cell>
          <cell r="N132">
            <v>2</v>
          </cell>
          <cell r="O132">
            <v>1</v>
          </cell>
        </row>
        <row r="133">
          <cell r="A133">
            <v>6700501</v>
          </cell>
          <cell r="B133" t="str">
            <v>COUVE</v>
          </cell>
          <cell r="C133">
            <v>1</v>
          </cell>
          <cell r="D133" t="str">
            <v>assado(a)</v>
          </cell>
          <cell r="E133">
            <v>22</v>
          </cell>
          <cell r="F133" t="str">
            <v>Legumes e verduras</v>
          </cell>
          <cell r="G133">
            <v>0</v>
          </cell>
          <cell r="H133">
            <v>6700501</v>
          </cell>
          <cell r="I133" t="str">
            <v>070410</v>
          </cell>
          <cell r="J133" t="str">
            <v>07041</v>
          </cell>
          <cell r="K133" t="str">
            <v>0704</v>
          </cell>
          <cell r="L133" t="str">
            <v>070</v>
          </cell>
          <cell r="M133" t="str">
            <v>07</v>
          </cell>
          <cell r="N133">
            <v>2</v>
          </cell>
          <cell r="O133">
            <v>1</v>
          </cell>
        </row>
        <row r="134">
          <cell r="A134">
            <v>6700601</v>
          </cell>
          <cell r="B134" t="str">
            <v>COUVE FLOR</v>
          </cell>
          <cell r="C134">
            <v>3</v>
          </cell>
          <cell r="D134" t="str">
            <v>cozido(a) sem gordura</v>
          </cell>
          <cell r="E134">
            <v>22</v>
          </cell>
          <cell r="F134" t="str">
            <v>Legumes e verduras</v>
          </cell>
          <cell r="G134">
            <v>0</v>
          </cell>
          <cell r="H134">
            <v>6700601</v>
          </cell>
          <cell r="I134" t="str">
            <v>070410</v>
          </cell>
          <cell r="J134" t="str">
            <v>07041</v>
          </cell>
          <cell r="K134" t="str">
            <v>0704</v>
          </cell>
          <cell r="L134" t="str">
            <v>070</v>
          </cell>
          <cell r="M134" t="str">
            <v>07</v>
          </cell>
          <cell r="N134">
            <v>2</v>
          </cell>
          <cell r="O134">
            <v>1</v>
          </cell>
        </row>
        <row r="135">
          <cell r="A135">
            <v>6700701</v>
          </cell>
          <cell r="B135" t="str">
            <v>ESPINAFRE</v>
          </cell>
          <cell r="C135">
            <v>3</v>
          </cell>
          <cell r="D135" t="str">
            <v>cozido(a) sem gordura</v>
          </cell>
          <cell r="E135">
            <v>22</v>
          </cell>
          <cell r="F135" t="str">
            <v>Legumes e verduras</v>
          </cell>
          <cell r="G135">
            <v>0</v>
          </cell>
          <cell r="H135">
            <v>6700701</v>
          </cell>
          <cell r="I135" t="str">
            <v>070970</v>
          </cell>
          <cell r="J135" t="str">
            <v>07097</v>
          </cell>
          <cell r="K135" t="str">
            <v>0709</v>
          </cell>
          <cell r="L135" t="str">
            <v>070</v>
          </cell>
          <cell r="M135" t="str">
            <v>07</v>
          </cell>
          <cell r="N135">
            <v>2</v>
          </cell>
          <cell r="O135">
            <v>1</v>
          </cell>
        </row>
        <row r="136">
          <cell r="A136">
            <v>6700801</v>
          </cell>
          <cell r="B136" t="str">
            <v>MOSTARDA (VERDURA)</v>
          </cell>
          <cell r="C136">
            <v>4</v>
          </cell>
          <cell r="D136" t="str">
            <v>cru(a)</v>
          </cell>
          <cell r="E136">
            <v>22</v>
          </cell>
          <cell r="F136" t="str">
            <v>Legumes e verduras</v>
          </cell>
          <cell r="G136">
            <v>0</v>
          </cell>
          <cell r="H136">
            <v>6700801</v>
          </cell>
          <cell r="I136" t="str">
            <v>070490</v>
          </cell>
          <cell r="J136" t="str">
            <v>07049</v>
          </cell>
          <cell r="K136" t="str">
            <v>0704</v>
          </cell>
          <cell r="L136" t="str">
            <v>070</v>
          </cell>
          <cell r="M136" t="str">
            <v>07</v>
          </cell>
          <cell r="N136">
            <v>2</v>
          </cell>
          <cell r="O136">
            <v>1</v>
          </cell>
        </row>
        <row r="137">
          <cell r="A137">
            <v>6700901</v>
          </cell>
          <cell r="B137" t="str">
            <v>REPOLHO</v>
          </cell>
          <cell r="C137">
            <v>3</v>
          </cell>
          <cell r="D137" t="str">
            <v>cozido(a) sem gordura</v>
          </cell>
          <cell r="E137">
            <v>22</v>
          </cell>
          <cell r="F137" t="str">
            <v>Legumes e verduras</v>
          </cell>
          <cell r="G137">
            <v>0</v>
          </cell>
          <cell r="H137">
            <v>6700901</v>
          </cell>
          <cell r="I137" t="str">
            <v>070490</v>
          </cell>
          <cell r="J137" t="str">
            <v>07049</v>
          </cell>
          <cell r="K137" t="str">
            <v>0704</v>
          </cell>
          <cell r="L137" t="str">
            <v>070</v>
          </cell>
          <cell r="M137" t="str">
            <v>07</v>
          </cell>
          <cell r="N137">
            <v>2</v>
          </cell>
          <cell r="O137">
            <v>1</v>
          </cell>
        </row>
        <row r="138">
          <cell r="A138">
            <v>6700903</v>
          </cell>
          <cell r="B138" t="str">
            <v>REPOLHO ROXO</v>
          </cell>
          <cell r="C138">
            <v>3</v>
          </cell>
          <cell r="D138" t="str">
            <v>cozido(a) sem gordura</v>
          </cell>
          <cell r="E138">
            <v>22</v>
          </cell>
          <cell r="F138" t="str">
            <v>Legumes e verduras</v>
          </cell>
          <cell r="G138">
            <v>0</v>
          </cell>
          <cell r="H138">
            <v>6700903</v>
          </cell>
          <cell r="I138" t="str">
            <v>070490</v>
          </cell>
          <cell r="J138" t="str">
            <v>07049</v>
          </cell>
          <cell r="K138" t="str">
            <v>0704</v>
          </cell>
          <cell r="L138" t="str">
            <v>070</v>
          </cell>
          <cell r="M138" t="str">
            <v>07</v>
          </cell>
          <cell r="N138">
            <v>2</v>
          </cell>
          <cell r="O138">
            <v>1</v>
          </cell>
        </row>
        <row r="139">
          <cell r="A139">
            <v>6700904</v>
          </cell>
          <cell r="B139" t="str">
            <v>REPOLHO VERDE</v>
          </cell>
          <cell r="C139">
            <v>3</v>
          </cell>
          <cell r="D139" t="str">
            <v>cozido(a) sem gordura</v>
          </cell>
          <cell r="E139">
            <v>22</v>
          </cell>
          <cell r="F139" t="str">
            <v>Legumes e verduras</v>
          </cell>
          <cell r="G139">
            <v>0</v>
          </cell>
          <cell r="H139" t="e">
            <v>#N/A</v>
          </cell>
          <cell r="I139" t="str">
            <v>070490</v>
          </cell>
          <cell r="J139" t="str">
            <v>07049</v>
          </cell>
          <cell r="K139" t="str">
            <v>0704</v>
          </cell>
          <cell r="L139" t="str">
            <v>070</v>
          </cell>
          <cell r="M139" t="str">
            <v>07</v>
          </cell>
          <cell r="N139">
            <v>2</v>
          </cell>
          <cell r="O139">
            <v>1</v>
          </cell>
        </row>
        <row r="140">
          <cell r="A140">
            <v>6701101</v>
          </cell>
          <cell r="B140" t="str">
            <v>CEBOLINHA</v>
          </cell>
          <cell r="C140">
            <v>3</v>
          </cell>
          <cell r="D140" t="str">
            <v>cozido(a) sem gordura</v>
          </cell>
          <cell r="E140">
            <v>22</v>
          </cell>
          <cell r="F140" t="str">
            <v>Legumes e verduras</v>
          </cell>
          <cell r="G140">
            <v>0</v>
          </cell>
          <cell r="H140">
            <v>6701101</v>
          </cell>
          <cell r="I140" t="str">
            <v>070390</v>
          </cell>
          <cell r="J140" t="str">
            <v>07039</v>
          </cell>
          <cell r="K140" t="str">
            <v>0703</v>
          </cell>
          <cell r="L140" t="str">
            <v>070</v>
          </cell>
          <cell r="M140" t="str">
            <v>07</v>
          </cell>
          <cell r="N140">
            <v>2</v>
          </cell>
          <cell r="O140">
            <v>1</v>
          </cell>
        </row>
        <row r="141">
          <cell r="A141">
            <v>6701301</v>
          </cell>
          <cell r="B141" t="str">
            <v>AGRIAO</v>
          </cell>
          <cell r="C141">
            <v>4</v>
          </cell>
          <cell r="D141" t="str">
            <v>cru(a)</v>
          </cell>
          <cell r="E141">
            <v>22</v>
          </cell>
          <cell r="F141" t="str">
            <v>Legumes e verduras</v>
          </cell>
          <cell r="G141">
            <v>0</v>
          </cell>
          <cell r="H141">
            <v>6701301</v>
          </cell>
          <cell r="I141" t="str">
            <v>070490</v>
          </cell>
          <cell r="J141" t="str">
            <v>07049</v>
          </cell>
          <cell r="K141" t="str">
            <v>0704</v>
          </cell>
          <cell r="L141" t="str">
            <v>070</v>
          </cell>
          <cell r="M141" t="str">
            <v>07</v>
          </cell>
          <cell r="N141">
            <v>2</v>
          </cell>
          <cell r="O141">
            <v>1</v>
          </cell>
        </row>
        <row r="142">
          <cell r="A142">
            <v>6701401</v>
          </cell>
          <cell r="B142" t="str">
            <v>TAIOBA</v>
          </cell>
          <cell r="C142">
            <v>3</v>
          </cell>
          <cell r="D142" t="str">
            <v>cozido(a) sem gordura</v>
          </cell>
          <cell r="E142">
            <v>22</v>
          </cell>
          <cell r="F142" t="str">
            <v>Legumes e verduras</v>
          </cell>
          <cell r="G142">
            <v>0</v>
          </cell>
          <cell r="H142">
            <v>6701401</v>
          </cell>
          <cell r="I142" t="str">
            <v>071490</v>
          </cell>
          <cell r="J142" t="str">
            <v>07149</v>
          </cell>
          <cell r="K142" t="str">
            <v>0714</v>
          </cell>
          <cell r="L142" t="str">
            <v>071</v>
          </cell>
          <cell r="M142" t="str">
            <v>07</v>
          </cell>
          <cell r="N142">
            <v>2</v>
          </cell>
          <cell r="O142">
            <v>1</v>
          </cell>
        </row>
        <row r="143">
          <cell r="A143">
            <v>6701501</v>
          </cell>
          <cell r="B143" t="str">
            <v>ACELGA</v>
          </cell>
          <cell r="C143">
            <v>3</v>
          </cell>
          <cell r="D143" t="str">
            <v>cozido(a) sem gordura</v>
          </cell>
          <cell r="E143">
            <v>22</v>
          </cell>
          <cell r="F143" t="str">
            <v>Legumes e verduras</v>
          </cell>
          <cell r="G143">
            <v>0</v>
          </cell>
          <cell r="H143">
            <v>6701501</v>
          </cell>
          <cell r="I143" t="str">
            <v>070519</v>
          </cell>
          <cell r="J143" t="str">
            <v>07051</v>
          </cell>
          <cell r="K143" t="str">
            <v>0705</v>
          </cell>
          <cell r="L143" t="str">
            <v>070</v>
          </cell>
          <cell r="M143" t="str">
            <v>07</v>
          </cell>
          <cell r="N143">
            <v>2</v>
          </cell>
          <cell r="O143">
            <v>1</v>
          </cell>
        </row>
        <row r="144">
          <cell r="A144">
            <v>6701505</v>
          </cell>
          <cell r="B144" t="str">
            <v>BETERRABA BRANCA (ACELGA)</v>
          </cell>
          <cell r="C144">
            <v>4</v>
          </cell>
          <cell r="D144" t="str">
            <v>cru(a)</v>
          </cell>
          <cell r="E144">
            <v>22</v>
          </cell>
          <cell r="F144" t="str">
            <v>Legumes e verduras</v>
          </cell>
          <cell r="G144">
            <v>0</v>
          </cell>
          <cell r="H144" t="e">
            <v>#N/A</v>
          </cell>
          <cell r="I144" t="str">
            <v>070519</v>
          </cell>
          <cell r="J144" t="str">
            <v>07051</v>
          </cell>
          <cell r="K144" t="str">
            <v>0705</v>
          </cell>
          <cell r="L144" t="str">
            <v>070</v>
          </cell>
          <cell r="M144" t="str">
            <v>07</v>
          </cell>
          <cell r="N144">
            <v>2</v>
          </cell>
          <cell r="O144">
            <v>1</v>
          </cell>
        </row>
        <row r="145">
          <cell r="A145">
            <v>6701601</v>
          </cell>
          <cell r="B145" t="str">
            <v>ALMEIRAO</v>
          </cell>
          <cell r="C145">
            <v>3</v>
          </cell>
          <cell r="D145" t="str">
            <v>cozido(a) sem gordura</v>
          </cell>
          <cell r="E145">
            <v>22</v>
          </cell>
          <cell r="F145" t="str">
            <v>Legumes e verduras</v>
          </cell>
          <cell r="G145">
            <v>0</v>
          </cell>
          <cell r="H145">
            <v>6701601</v>
          </cell>
          <cell r="I145" t="str">
            <v>070529</v>
          </cell>
          <cell r="J145" t="str">
            <v>07052</v>
          </cell>
          <cell r="K145" t="str">
            <v>0705</v>
          </cell>
          <cell r="L145" t="str">
            <v>070</v>
          </cell>
          <cell r="M145" t="str">
            <v>07</v>
          </cell>
          <cell r="N145">
            <v>2</v>
          </cell>
          <cell r="O145">
            <v>1</v>
          </cell>
        </row>
        <row r="146">
          <cell r="A146">
            <v>6701602</v>
          </cell>
          <cell r="B146" t="str">
            <v>RADITE</v>
          </cell>
          <cell r="C146">
            <v>3</v>
          </cell>
          <cell r="D146" t="str">
            <v>cozido(a) sem gordura</v>
          </cell>
          <cell r="E146">
            <v>22</v>
          </cell>
          <cell r="F146" t="str">
            <v>Legumes e verduras</v>
          </cell>
          <cell r="G146">
            <v>0</v>
          </cell>
          <cell r="H146" t="e">
            <v>#N/A</v>
          </cell>
          <cell r="I146" t="str">
            <v>070529</v>
          </cell>
          <cell r="J146" t="str">
            <v>07052</v>
          </cell>
          <cell r="K146" t="str">
            <v>0705</v>
          </cell>
          <cell r="L146" t="str">
            <v>070</v>
          </cell>
          <cell r="M146" t="str">
            <v>07</v>
          </cell>
          <cell r="N146">
            <v>2</v>
          </cell>
          <cell r="O146">
            <v>1</v>
          </cell>
        </row>
        <row r="147">
          <cell r="A147">
            <v>6701704</v>
          </cell>
          <cell r="B147" t="str">
            <v>BROCOLIS</v>
          </cell>
          <cell r="C147">
            <v>1</v>
          </cell>
          <cell r="D147" t="str">
            <v>assado(a)</v>
          </cell>
          <cell r="E147">
            <v>22</v>
          </cell>
          <cell r="F147" t="str">
            <v>Legumes e verduras</v>
          </cell>
          <cell r="G147">
            <v>0</v>
          </cell>
          <cell r="H147">
            <v>6701704</v>
          </cell>
          <cell r="I147" t="str">
            <v>070410</v>
          </cell>
          <cell r="J147" t="str">
            <v>07041</v>
          </cell>
          <cell r="K147" t="str">
            <v>0704</v>
          </cell>
          <cell r="L147" t="str">
            <v>070</v>
          </cell>
          <cell r="M147" t="str">
            <v>07</v>
          </cell>
          <cell r="N147">
            <v>2</v>
          </cell>
          <cell r="O147">
            <v>1</v>
          </cell>
        </row>
        <row r="148">
          <cell r="A148">
            <v>6701801</v>
          </cell>
          <cell r="B148" t="str">
            <v>SERRALHA</v>
          </cell>
          <cell r="C148">
            <v>4</v>
          </cell>
          <cell r="D148" t="str">
            <v>cru(a)</v>
          </cell>
          <cell r="E148">
            <v>22</v>
          </cell>
          <cell r="F148" t="str">
            <v>Legumes e verduras</v>
          </cell>
          <cell r="G148">
            <v>0</v>
          </cell>
          <cell r="H148">
            <v>6701801</v>
          </cell>
          <cell r="I148" t="str">
            <v>070490</v>
          </cell>
          <cell r="J148" t="str">
            <v>07049</v>
          </cell>
          <cell r="K148" t="str">
            <v>0704</v>
          </cell>
          <cell r="L148" t="str">
            <v>070</v>
          </cell>
          <cell r="M148" t="str">
            <v>07</v>
          </cell>
          <cell r="N148">
            <v>2</v>
          </cell>
          <cell r="O148">
            <v>1</v>
          </cell>
        </row>
        <row r="149">
          <cell r="A149">
            <v>6701901</v>
          </cell>
          <cell r="B149" t="str">
            <v>CARURU</v>
          </cell>
          <cell r="C149">
            <v>2</v>
          </cell>
          <cell r="D149" t="str">
            <v>cozido(a) com gordura</v>
          </cell>
          <cell r="E149"/>
          <cell r="F149" t="str">
            <v/>
          </cell>
          <cell r="G149">
            <v>0</v>
          </cell>
          <cell r="H149">
            <v>6701901</v>
          </cell>
          <cell r="I149" t="str">
            <v>070490</v>
          </cell>
          <cell r="J149" t="str">
            <v>07049</v>
          </cell>
          <cell r="K149" t="str">
            <v>0704</v>
          </cell>
          <cell r="L149" t="str">
            <v>070</v>
          </cell>
          <cell r="M149" t="str">
            <v>07</v>
          </cell>
          <cell r="N149">
            <v>2</v>
          </cell>
          <cell r="O149">
            <v>1</v>
          </cell>
        </row>
        <row r="150">
          <cell r="A150">
            <v>6701906</v>
          </cell>
          <cell r="B150" t="str">
            <v>CUXA</v>
          </cell>
          <cell r="C150">
            <v>99</v>
          </cell>
          <cell r="D150" t="str">
            <v>nao se aplica</v>
          </cell>
          <cell r="E150">
            <v>22</v>
          </cell>
          <cell r="F150" t="str">
            <v>Legumes e verduras</v>
          </cell>
          <cell r="G150">
            <v>0</v>
          </cell>
          <cell r="H150" t="e">
            <v>#N/A</v>
          </cell>
          <cell r="I150" t="str">
            <v>070490</v>
          </cell>
          <cell r="J150" t="str">
            <v>07049</v>
          </cell>
          <cell r="K150" t="str">
            <v>0704</v>
          </cell>
          <cell r="L150" t="str">
            <v>070</v>
          </cell>
          <cell r="M150" t="str">
            <v>07</v>
          </cell>
          <cell r="N150">
            <v>2</v>
          </cell>
          <cell r="O150">
            <v>1</v>
          </cell>
        </row>
        <row r="151">
          <cell r="A151">
            <v>6701913</v>
          </cell>
          <cell r="B151" t="str">
            <v>CARIRU</v>
          </cell>
          <cell r="C151">
            <v>4</v>
          </cell>
          <cell r="D151" t="str">
            <v>cru(a)</v>
          </cell>
          <cell r="E151">
            <v>22</v>
          </cell>
          <cell r="F151" t="str">
            <v>Legumes e verduras</v>
          </cell>
          <cell r="G151">
            <v>0</v>
          </cell>
          <cell r="H151">
            <v>6701913</v>
          </cell>
          <cell r="I151" t="str">
            <v>070490</v>
          </cell>
          <cell r="J151" t="str">
            <v>07049</v>
          </cell>
          <cell r="K151" t="str">
            <v>0704</v>
          </cell>
          <cell r="L151" t="str">
            <v>070</v>
          </cell>
          <cell r="M151" t="str">
            <v>07</v>
          </cell>
          <cell r="N151">
            <v>2</v>
          </cell>
          <cell r="O151">
            <v>1</v>
          </cell>
        </row>
        <row r="152">
          <cell r="A152">
            <v>6702001</v>
          </cell>
          <cell r="B152" t="str">
            <v>RUCULA</v>
          </cell>
          <cell r="C152">
            <v>3</v>
          </cell>
          <cell r="D152" t="str">
            <v>cozido(a) sem gordura</v>
          </cell>
          <cell r="E152">
            <v>22</v>
          </cell>
          <cell r="F152" t="str">
            <v>Legumes e verduras</v>
          </cell>
          <cell r="G152">
            <v>0</v>
          </cell>
          <cell r="H152">
            <v>6702001</v>
          </cell>
          <cell r="I152" t="str">
            <v>070490</v>
          </cell>
          <cell r="J152" t="str">
            <v>07049</v>
          </cell>
          <cell r="K152" t="str">
            <v>0704</v>
          </cell>
          <cell r="L152" t="str">
            <v>070</v>
          </cell>
          <cell r="M152" t="str">
            <v>07</v>
          </cell>
          <cell r="N152">
            <v>2</v>
          </cell>
          <cell r="O152">
            <v>1</v>
          </cell>
        </row>
        <row r="153">
          <cell r="A153">
            <v>6702105</v>
          </cell>
          <cell r="B153" t="str">
            <v>JAMBU</v>
          </cell>
          <cell r="C153">
            <v>4</v>
          </cell>
          <cell r="D153" t="str">
            <v>cru(a)</v>
          </cell>
          <cell r="E153">
            <v>22</v>
          </cell>
          <cell r="F153" t="str">
            <v>Legumes e verduras</v>
          </cell>
          <cell r="G153">
            <v>0</v>
          </cell>
          <cell r="H153">
            <v>6702105</v>
          </cell>
          <cell r="I153" t="str">
            <v>070490</v>
          </cell>
          <cell r="J153" t="str">
            <v>07049</v>
          </cell>
          <cell r="K153" t="str">
            <v>0704</v>
          </cell>
          <cell r="L153" t="str">
            <v>070</v>
          </cell>
          <cell r="M153" t="str">
            <v>07</v>
          </cell>
          <cell r="N153">
            <v>2</v>
          </cell>
          <cell r="O153">
            <v>1</v>
          </cell>
        </row>
        <row r="154">
          <cell r="A154">
            <v>6702201</v>
          </cell>
          <cell r="B154" t="str">
            <v>LINGUA DE VACA (VERDURA)</v>
          </cell>
          <cell r="C154">
            <v>7</v>
          </cell>
          <cell r="D154" t="str">
            <v>frito(a)</v>
          </cell>
          <cell r="E154"/>
          <cell r="F154" t="str">
            <v/>
          </cell>
          <cell r="G154">
            <v>0</v>
          </cell>
          <cell r="H154">
            <v>6702201</v>
          </cell>
          <cell r="I154" t="str">
            <v>070490</v>
          </cell>
          <cell r="J154" t="str">
            <v>07049</v>
          </cell>
          <cell r="K154" t="str">
            <v>0704</v>
          </cell>
          <cell r="L154" t="str">
            <v>070</v>
          </cell>
          <cell r="M154" t="str">
            <v>07</v>
          </cell>
          <cell r="N154">
            <v>2</v>
          </cell>
          <cell r="O154">
            <v>1</v>
          </cell>
        </row>
        <row r="155">
          <cell r="A155">
            <v>6702301</v>
          </cell>
          <cell r="B155" t="str">
            <v>ALCACHOFRA</v>
          </cell>
          <cell r="C155">
            <v>99</v>
          </cell>
          <cell r="D155" t="str">
            <v>nao se aplica</v>
          </cell>
          <cell r="G155">
            <v>0</v>
          </cell>
          <cell r="H155">
            <v>0</v>
          </cell>
          <cell r="I155" t="str">
            <v>070490</v>
          </cell>
          <cell r="J155" t="str">
            <v>07049</v>
          </cell>
          <cell r="K155" t="str">
            <v>0704</v>
          </cell>
          <cell r="L155" t="str">
            <v>070</v>
          </cell>
          <cell r="M155" t="str">
            <v>07</v>
          </cell>
          <cell r="N155">
            <v>2</v>
          </cell>
          <cell r="O155">
            <v>1</v>
          </cell>
        </row>
        <row r="156">
          <cell r="A156">
            <v>6702501</v>
          </cell>
          <cell r="B156" t="str">
            <v>BREDO</v>
          </cell>
          <cell r="C156">
            <v>3</v>
          </cell>
          <cell r="D156" t="str">
            <v>cozido(a) sem gordura</v>
          </cell>
          <cell r="E156">
            <v>22</v>
          </cell>
          <cell r="F156" t="str">
            <v>Legumes e verduras</v>
          </cell>
          <cell r="G156">
            <v>0</v>
          </cell>
          <cell r="H156" t="e">
            <v>#N/A</v>
          </cell>
          <cell r="I156" t="str">
            <v>070490</v>
          </cell>
          <cell r="J156" t="str">
            <v>07049</v>
          </cell>
          <cell r="K156" t="str">
            <v>0704</v>
          </cell>
          <cell r="L156" t="str">
            <v>070</v>
          </cell>
          <cell r="M156" t="str">
            <v>07</v>
          </cell>
          <cell r="N156">
            <v>2</v>
          </cell>
          <cell r="O156">
            <v>1</v>
          </cell>
        </row>
        <row r="157">
          <cell r="A157">
            <v>6702604</v>
          </cell>
          <cell r="B157" t="str">
            <v>SALSAO (AIPO)</v>
          </cell>
          <cell r="C157">
            <v>3</v>
          </cell>
          <cell r="D157" t="str">
            <v>cozido(a) sem gordura</v>
          </cell>
          <cell r="E157">
            <v>22</v>
          </cell>
          <cell r="F157" t="str">
            <v>Legumes e verduras</v>
          </cell>
          <cell r="G157">
            <v>0</v>
          </cell>
          <cell r="H157">
            <v>6702604</v>
          </cell>
          <cell r="I157" t="str">
            <v>070519</v>
          </cell>
          <cell r="J157" t="str">
            <v>07051</v>
          </cell>
          <cell r="K157" t="str">
            <v>0705</v>
          </cell>
          <cell r="L157" t="str">
            <v>070</v>
          </cell>
          <cell r="M157" t="str">
            <v>07</v>
          </cell>
          <cell r="N157">
            <v>2</v>
          </cell>
          <cell r="O157">
            <v>1</v>
          </cell>
        </row>
        <row r="158">
          <cell r="A158">
            <v>6702701</v>
          </cell>
          <cell r="B158" t="str">
            <v>COUVE CHINESA</v>
          </cell>
          <cell r="C158">
            <v>4</v>
          </cell>
          <cell r="D158" t="str">
            <v>cru(a)</v>
          </cell>
          <cell r="E158">
            <v>22</v>
          </cell>
          <cell r="F158" t="str">
            <v>Legumes e verduras</v>
          </cell>
          <cell r="G158">
            <v>0</v>
          </cell>
          <cell r="H158" t="e">
            <v>#N/A</v>
          </cell>
          <cell r="I158" t="str">
            <v>070410</v>
          </cell>
          <cell r="J158" t="str">
            <v>07041</v>
          </cell>
          <cell r="K158" t="str">
            <v>0704</v>
          </cell>
          <cell r="L158" t="str">
            <v>070</v>
          </cell>
          <cell r="M158" t="str">
            <v>07</v>
          </cell>
          <cell r="N158">
            <v>2</v>
          </cell>
          <cell r="O158">
            <v>1</v>
          </cell>
        </row>
        <row r="159">
          <cell r="A159">
            <v>6702801</v>
          </cell>
          <cell r="B159" t="str">
            <v>ERVA DOCE</v>
          </cell>
          <cell r="C159">
            <v>99</v>
          </cell>
          <cell r="D159" t="str">
            <v>nao se aplica</v>
          </cell>
          <cell r="E159">
            <v>22</v>
          </cell>
          <cell r="F159" t="str">
            <v>Legumes e verduras</v>
          </cell>
          <cell r="G159">
            <v>0</v>
          </cell>
          <cell r="H159" t="e">
            <v>#N/A</v>
          </cell>
          <cell r="I159" t="str">
            <v>070519</v>
          </cell>
          <cell r="J159" t="str">
            <v>07051</v>
          </cell>
          <cell r="K159" t="str">
            <v>0705</v>
          </cell>
          <cell r="L159" t="str">
            <v>070</v>
          </cell>
          <cell r="M159" t="str">
            <v>07</v>
          </cell>
          <cell r="N159">
            <v>2</v>
          </cell>
          <cell r="O159">
            <v>1</v>
          </cell>
        </row>
        <row r="160">
          <cell r="A160">
            <v>6703101</v>
          </cell>
          <cell r="B160" t="str">
            <v>BROTO DE FEIJAO</v>
          </cell>
          <cell r="C160">
            <v>3</v>
          </cell>
          <cell r="D160" t="str">
            <v>cozido(a) sem gordura</v>
          </cell>
          <cell r="E160">
            <v>22</v>
          </cell>
          <cell r="F160" t="str">
            <v>Legumes e verduras</v>
          </cell>
          <cell r="G160">
            <v>0</v>
          </cell>
          <cell r="H160">
            <v>6703101</v>
          </cell>
          <cell r="I160" t="str">
            <v>071339</v>
          </cell>
          <cell r="J160" t="str">
            <v>07133</v>
          </cell>
          <cell r="K160" t="str">
            <v>0713</v>
          </cell>
          <cell r="L160" t="str">
            <v>071</v>
          </cell>
          <cell r="M160" t="str">
            <v>07</v>
          </cell>
          <cell r="N160">
            <v>2</v>
          </cell>
          <cell r="O160">
            <v>1</v>
          </cell>
        </row>
        <row r="161">
          <cell r="A161">
            <v>6703306</v>
          </cell>
          <cell r="B161" t="str">
            <v>MORANGA</v>
          </cell>
          <cell r="C161">
            <v>1</v>
          </cell>
          <cell r="D161" t="str">
            <v>assado(a)</v>
          </cell>
          <cell r="E161">
            <v>22</v>
          </cell>
          <cell r="F161" t="str">
            <v>Legumes e verduras</v>
          </cell>
          <cell r="G161">
            <v>0</v>
          </cell>
          <cell r="H161">
            <v>6703306</v>
          </cell>
          <cell r="I161" t="str">
            <v>070993</v>
          </cell>
          <cell r="J161" t="str">
            <v>07099</v>
          </cell>
          <cell r="K161" t="str">
            <v>0709</v>
          </cell>
          <cell r="L161" t="str">
            <v>070</v>
          </cell>
          <cell r="M161" t="str">
            <v>07</v>
          </cell>
          <cell r="N161">
            <v>2</v>
          </cell>
          <cell r="O161">
            <v>1</v>
          </cell>
        </row>
        <row r="162">
          <cell r="A162">
            <v>6703701</v>
          </cell>
          <cell r="B162" t="str">
            <v>ABOBRINHA</v>
          </cell>
          <cell r="C162">
            <v>1</v>
          </cell>
          <cell r="D162" t="str">
            <v>assado(a)</v>
          </cell>
          <cell r="E162">
            <v>22</v>
          </cell>
          <cell r="F162" t="str">
            <v>Legumes e verduras</v>
          </cell>
          <cell r="G162">
            <v>0</v>
          </cell>
          <cell r="H162">
            <v>6703701</v>
          </cell>
          <cell r="I162" t="str">
            <v>070993</v>
          </cell>
          <cell r="J162" t="str">
            <v>07099</v>
          </cell>
          <cell r="K162" t="str">
            <v>0709</v>
          </cell>
          <cell r="L162" t="str">
            <v>070</v>
          </cell>
          <cell r="M162" t="str">
            <v>07</v>
          </cell>
          <cell r="N162">
            <v>2</v>
          </cell>
          <cell r="O162">
            <v>1</v>
          </cell>
        </row>
        <row r="163">
          <cell r="A163">
            <v>6703805</v>
          </cell>
          <cell r="B163" t="str">
            <v>JERIMUM</v>
          </cell>
          <cell r="C163">
            <v>3</v>
          </cell>
          <cell r="D163" t="str">
            <v>cozido(a) sem gordura</v>
          </cell>
          <cell r="E163">
            <v>22</v>
          </cell>
          <cell r="F163" t="str">
            <v>Legumes e verduras</v>
          </cell>
          <cell r="G163">
            <v>0</v>
          </cell>
          <cell r="H163">
            <v>6703805</v>
          </cell>
          <cell r="I163" t="str">
            <v>070993</v>
          </cell>
          <cell r="J163" t="str">
            <v>07099</v>
          </cell>
          <cell r="K163" t="str">
            <v>0709</v>
          </cell>
          <cell r="L163" t="str">
            <v>070</v>
          </cell>
          <cell r="M163" t="str">
            <v>07</v>
          </cell>
          <cell r="N163">
            <v>2</v>
          </cell>
          <cell r="O163">
            <v>1</v>
          </cell>
        </row>
        <row r="164">
          <cell r="A164">
            <v>6703901</v>
          </cell>
          <cell r="B164" t="str">
            <v>ABOBORA</v>
          </cell>
          <cell r="C164">
            <v>1</v>
          </cell>
          <cell r="D164" t="str">
            <v>assado(a)</v>
          </cell>
          <cell r="E164">
            <v>22</v>
          </cell>
          <cell r="F164" t="str">
            <v>Legumes e verduras</v>
          </cell>
          <cell r="G164">
            <v>0</v>
          </cell>
          <cell r="H164">
            <v>6703901</v>
          </cell>
          <cell r="I164" t="str">
            <v>070993</v>
          </cell>
          <cell r="J164" t="str">
            <v>07099</v>
          </cell>
          <cell r="K164" t="str">
            <v>0709</v>
          </cell>
          <cell r="L164" t="str">
            <v>070</v>
          </cell>
          <cell r="M164" t="str">
            <v>07</v>
          </cell>
          <cell r="N164">
            <v>2</v>
          </cell>
          <cell r="O164">
            <v>1</v>
          </cell>
        </row>
        <row r="165">
          <cell r="A165">
            <v>6704001</v>
          </cell>
          <cell r="B165" t="str">
            <v>PEPINO</v>
          </cell>
          <cell r="C165">
            <v>3</v>
          </cell>
          <cell r="D165" t="str">
            <v>cozido(a) sem gordura</v>
          </cell>
          <cell r="E165">
            <v>22</v>
          </cell>
          <cell r="F165" t="str">
            <v>Legumes e verduras</v>
          </cell>
          <cell r="G165">
            <v>0</v>
          </cell>
          <cell r="H165">
            <v>6704001</v>
          </cell>
          <cell r="I165" t="str">
            <v>070700</v>
          </cell>
          <cell r="J165" t="str">
            <v>07070</v>
          </cell>
          <cell r="K165" t="str">
            <v>0707</v>
          </cell>
          <cell r="L165" t="str">
            <v>070</v>
          </cell>
          <cell r="M165" t="str">
            <v>07</v>
          </cell>
          <cell r="N165">
            <v>2</v>
          </cell>
          <cell r="O165">
            <v>1</v>
          </cell>
        </row>
        <row r="166">
          <cell r="A166">
            <v>6704101</v>
          </cell>
          <cell r="B166" t="str">
            <v>CHUCHU</v>
          </cell>
          <cell r="C166">
            <v>3</v>
          </cell>
          <cell r="D166" t="str">
            <v>cozido(a) sem gordura</v>
          </cell>
          <cell r="E166">
            <v>22</v>
          </cell>
          <cell r="F166" t="str">
            <v>Legumes e verduras</v>
          </cell>
          <cell r="G166">
            <v>0</v>
          </cell>
          <cell r="H166">
            <v>6704101</v>
          </cell>
          <cell r="I166" t="str">
            <v>070999</v>
          </cell>
          <cell r="J166" t="str">
            <v>07099</v>
          </cell>
          <cell r="K166" t="str">
            <v>0709</v>
          </cell>
          <cell r="L166" t="str">
            <v>070</v>
          </cell>
          <cell r="M166" t="str">
            <v>07</v>
          </cell>
          <cell r="N166">
            <v>2</v>
          </cell>
          <cell r="O166">
            <v>1</v>
          </cell>
        </row>
        <row r="167">
          <cell r="A167">
            <v>6704201</v>
          </cell>
          <cell r="B167" t="str">
            <v>JILO</v>
          </cell>
          <cell r="C167">
            <v>3</v>
          </cell>
          <cell r="D167" t="str">
            <v>cozido(a) sem gordura</v>
          </cell>
          <cell r="E167">
            <v>22</v>
          </cell>
          <cell r="F167" t="str">
            <v>Legumes e verduras</v>
          </cell>
          <cell r="G167">
            <v>0</v>
          </cell>
          <cell r="H167">
            <v>6704201</v>
          </cell>
          <cell r="I167" t="str">
            <v>070930</v>
          </cell>
          <cell r="J167" t="str">
            <v>07093</v>
          </cell>
          <cell r="K167" t="str">
            <v>0709</v>
          </cell>
          <cell r="L167" t="str">
            <v>070</v>
          </cell>
          <cell r="M167" t="str">
            <v>07</v>
          </cell>
          <cell r="N167">
            <v>2</v>
          </cell>
          <cell r="O167">
            <v>1</v>
          </cell>
        </row>
        <row r="168">
          <cell r="A168">
            <v>6704301</v>
          </cell>
          <cell r="B168" t="str">
            <v>MAXIXE</v>
          </cell>
          <cell r="C168">
            <v>3</v>
          </cell>
          <cell r="D168" t="str">
            <v>cozido(a) sem gordura</v>
          </cell>
          <cell r="E168">
            <v>22</v>
          </cell>
          <cell r="F168" t="str">
            <v>Legumes e verduras</v>
          </cell>
          <cell r="G168">
            <v>0</v>
          </cell>
          <cell r="H168">
            <v>6704301</v>
          </cell>
          <cell r="I168" t="str">
            <v>070999</v>
          </cell>
          <cell r="J168" t="str">
            <v>07099</v>
          </cell>
          <cell r="K168" t="str">
            <v>0709</v>
          </cell>
          <cell r="L168" t="str">
            <v>070</v>
          </cell>
          <cell r="M168" t="str">
            <v>07</v>
          </cell>
          <cell r="N168">
            <v>2</v>
          </cell>
          <cell r="O168">
            <v>1</v>
          </cell>
        </row>
        <row r="169">
          <cell r="A169">
            <v>6704306</v>
          </cell>
          <cell r="B169" t="str">
            <v>PEPININHO (MAXIXE)</v>
          </cell>
          <cell r="C169">
            <v>4</v>
          </cell>
          <cell r="D169" t="str">
            <v>cru(a)</v>
          </cell>
          <cell r="E169">
            <v>22</v>
          </cell>
          <cell r="F169" t="str">
            <v>Legumes e verduras</v>
          </cell>
          <cell r="G169">
            <v>0</v>
          </cell>
          <cell r="H169" t="e">
            <v>#N/A</v>
          </cell>
          <cell r="I169" t="str">
            <v>070999</v>
          </cell>
          <cell r="J169" t="str">
            <v>07099</v>
          </cell>
          <cell r="K169" t="str">
            <v>0709</v>
          </cell>
          <cell r="L169" t="str">
            <v>070</v>
          </cell>
          <cell r="M169" t="str">
            <v>07</v>
          </cell>
          <cell r="N169">
            <v>2</v>
          </cell>
          <cell r="O169">
            <v>1</v>
          </cell>
        </row>
        <row r="170">
          <cell r="A170">
            <v>6704401</v>
          </cell>
          <cell r="B170" t="str">
            <v>PALMITO IN NATURA</v>
          </cell>
          <cell r="C170">
            <v>3</v>
          </cell>
          <cell r="D170" t="str">
            <v>cozido(a) sem gordura</v>
          </cell>
          <cell r="E170">
            <v>22</v>
          </cell>
          <cell r="F170" t="str">
            <v>Legumes e verduras</v>
          </cell>
          <cell r="G170">
            <v>0</v>
          </cell>
          <cell r="H170">
            <v>6704401</v>
          </cell>
          <cell r="I170" t="str">
            <v>071080</v>
          </cell>
          <cell r="J170" t="str">
            <v>07108</v>
          </cell>
          <cell r="K170" t="str">
            <v>0710</v>
          </cell>
          <cell r="L170" t="str">
            <v>071</v>
          </cell>
          <cell r="M170" t="str">
            <v>07</v>
          </cell>
          <cell r="N170">
            <v>2</v>
          </cell>
          <cell r="O170">
            <v>1</v>
          </cell>
        </row>
        <row r="171">
          <cell r="A171">
            <v>6704409</v>
          </cell>
          <cell r="B171" t="str">
            <v>GUARIROBA (PALMITO IN NATURA)</v>
          </cell>
          <cell r="C171">
            <v>3</v>
          </cell>
          <cell r="D171" t="str">
            <v>cozido(a) sem gordura</v>
          </cell>
          <cell r="E171">
            <v>22</v>
          </cell>
          <cell r="F171" t="str">
            <v>Legumes e verduras</v>
          </cell>
          <cell r="G171">
            <v>0</v>
          </cell>
          <cell r="H171">
            <v>6704409</v>
          </cell>
          <cell r="I171" t="str">
            <v>071080</v>
          </cell>
          <cell r="J171" t="str">
            <v>07108</v>
          </cell>
          <cell r="K171" t="str">
            <v>0710</v>
          </cell>
          <cell r="L171" t="str">
            <v>071</v>
          </cell>
          <cell r="M171" t="str">
            <v>07</v>
          </cell>
          <cell r="N171">
            <v>2</v>
          </cell>
          <cell r="O171">
            <v>1</v>
          </cell>
        </row>
        <row r="172">
          <cell r="A172">
            <v>6704410</v>
          </cell>
          <cell r="B172" t="str">
            <v>GUEROBA / GUEIROBA (PALMITO IN NATURA)</v>
          </cell>
          <cell r="C172">
            <v>4</v>
          </cell>
          <cell r="D172" t="str">
            <v>cru(a)</v>
          </cell>
          <cell r="E172">
            <v>22</v>
          </cell>
          <cell r="F172" t="str">
            <v>Legumes e verduras</v>
          </cell>
          <cell r="G172">
            <v>0</v>
          </cell>
          <cell r="H172">
            <v>6704410</v>
          </cell>
          <cell r="I172" t="str">
            <v>071080</v>
          </cell>
          <cell r="J172" t="str">
            <v>07108</v>
          </cell>
          <cell r="K172" t="str">
            <v>0710</v>
          </cell>
          <cell r="L172" t="str">
            <v>071</v>
          </cell>
          <cell r="M172" t="str">
            <v>07</v>
          </cell>
          <cell r="N172">
            <v>2</v>
          </cell>
          <cell r="O172">
            <v>1</v>
          </cell>
        </row>
        <row r="173">
          <cell r="A173">
            <v>6704501</v>
          </cell>
          <cell r="B173" t="str">
            <v>PIMENTAO</v>
          </cell>
          <cell r="C173">
            <v>1</v>
          </cell>
          <cell r="D173" t="str">
            <v>assado(a)</v>
          </cell>
          <cell r="E173">
            <v>22</v>
          </cell>
          <cell r="F173" t="str">
            <v>Legumes e verduras</v>
          </cell>
          <cell r="G173">
            <v>0</v>
          </cell>
          <cell r="H173">
            <v>6704501</v>
          </cell>
          <cell r="I173" t="str">
            <v>070960</v>
          </cell>
          <cell r="J173" t="str">
            <v>07096</v>
          </cell>
          <cell r="K173" t="str">
            <v>0709</v>
          </cell>
          <cell r="L173" t="str">
            <v>070</v>
          </cell>
          <cell r="M173" t="str">
            <v>07</v>
          </cell>
          <cell r="N173">
            <v>2</v>
          </cell>
          <cell r="O173">
            <v>1</v>
          </cell>
        </row>
        <row r="174">
          <cell r="A174">
            <v>6704601</v>
          </cell>
          <cell r="B174" t="str">
            <v>PIMENTA MALAGUETA</v>
          </cell>
          <cell r="C174">
            <v>4</v>
          </cell>
          <cell r="D174" t="str">
            <v>cru(a)</v>
          </cell>
          <cell r="E174">
            <v>22</v>
          </cell>
          <cell r="F174" t="str">
            <v>Legumes e verduras</v>
          </cell>
          <cell r="G174">
            <v>0</v>
          </cell>
          <cell r="H174">
            <v>6704601</v>
          </cell>
          <cell r="I174" t="str">
            <v>090411</v>
          </cell>
          <cell r="J174" t="str">
            <v>09041</v>
          </cell>
          <cell r="K174" t="str">
            <v>0904</v>
          </cell>
          <cell r="L174" t="str">
            <v>090</v>
          </cell>
          <cell r="M174" t="str">
            <v>09</v>
          </cell>
          <cell r="N174">
            <v>2</v>
          </cell>
          <cell r="O174">
            <v>1</v>
          </cell>
        </row>
        <row r="175">
          <cell r="A175">
            <v>6705001</v>
          </cell>
          <cell r="B175" t="str">
            <v>QUIABO</v>
          </cell>
          <cell r="C175">
            <v>3</v>
          </cell>
          <cell r="D175" t="str">
            <v>cozido(a) sem gordura</v>
          </cell>
          <cell r="E175">
            <v>22</v>
          </cell>
          <cell r="F175" t="str">
            <v>Legumes e verduras</v>
          </cell>
          <cell r="G175">
            <v>0</v>
          </cell>
          <cell r="H175">
            <v>6705001</v>
          </cell>
          <cell r="I175" t="str">
            <v>070990</v>
          </cell>
          <cell r="J175" t="str">
            <v>07099</v>
          </cell>
          <cell r="K175" t="str">
            <v>0709</v>
          </cell>
          <cell r="L175" t="str">
            <v>070</v>
          </cell>
          <cell r="M175" t="str">
            <v>07</v>
          </cell>
          <cell r="N175">
            <v>2</v>
          </cell>
          <cell r="O175">
            <v>1</v>
          </cell>
        </row>
        <row r="176">
          <cell r="A176">
            <v>6705101</v>
          </cell>
          <cell r="B176" t="str">
            <v>TOMATE</v>
          </cell>
          <cell r="C176">
            <v>1</v>
          </cell>
          <cell r="D176" t="str">
            <v>assado(a)</v>
          </cell>
          <cell r="E176">
            <v>22</v>
          </cell>
          <cell r="F176" t="str">
            <v>Legumes e verduras</v>
          </cell>
          <cell r="G176">
            <v>0</v>
          </cell>
          <cell r="H176">
            <v>6705101</v>
          </cell>
          <cell r="I176" t="str">
            <v>070200</v>
          </cell>
          <cell r="J176" t="str">
            <v>07020</v>
          </cell>
          <cell r="K176" t="str">
            <v>0702</v>
          </cell>
          <cell r="L176" t="str">
            <v>070</v>
          </cell>
          <cell r="M176" t="str">
            <v>07</v>
          </cell>
          <cell r="N176">
            <v>2</v>
          </cell>
          <cell r="O176">
            <v>1</v>
          </cell>
        </row>
        <row r="177">
          <cell r="A177">
            <v>6705201</v>
          </cell>
          <cell r="B177" t="str">
            <v>VAGEM</v>
          </cell>
          <cell r="C177">
            <v>1</v>
          </cell>
          <cell r="D177" t="str">
            <v>assado(a)</v>
          </cell>
          <cell r="E177">
            <v>22</v>
          </cell>
          <cell r="F177" t="str">
            <v>Legumes e verduras</v>
          </cell>
          <cell r="G177">
            <v>0</v>
          </cell>
          <cell r="H177">
            <v>6705201</v>
          </cell>
          <cell r="I177" t="str">
            <v>070820</v>
          </cell>
          <cell r="J177" t="str">
            <v>07082</v>
          </cell>
          <cell r="K177" t="str">
            <v>0708</v>
          </cell>
          <cell r="L177" t="str">
            <v>070</v>
          </cell>
          <cell r="M177" t="str">
            <v>07</v>
          </cell>
          <cell r="N177">
            <v>2</v>
          </cell>
          <cell r="O177">
            <v>1</v>
          </cell>
        </row>
        <row r="178">
          <cell r="A178">
            <v>6705301</v>
          </cell>
          <cell r="B178" t="str">
            <v>COGUMELO IN NATURA</v>
          </cell>
          <cell r="C178">
            <v>3</v>
          </cell>
          <cell r="D178" t="str">
            <v>cozido(a) sem gordura</v>
          </cell>
          <cell r="E178">
            <v>97</v>
          </cell>
          <cell r="F178" t="str">
            <v>Fungos</v>
          </cell>
          <cell r="G178">
            <v>0</v>
          </cell>
          <cell r="H178">
            <v>6705301</v>
          </cell>
          <cell r="I178" t="str">
            <v>070959</v>
          </cell>
          <cell r="J178" t="str">
            <v>07095</v>
          </cell>
          <cell r="K178" t="str">
            <v>0709</v>
          </cell>
          <cell r="L178" t="str">
            <v>070</v>
          </cell>
          <cell r="M178" t="str">
            <v>07</v>
          </cell>
          <cell r="N178">
            <v>2</v>
          </cell>
          <cell r="O178">
            <v>1</v>
          </cell>
        </row>
        <row r="179">
          <cell r="A179">
            <v>6705401</v>
          </cell>
          <cell r="B179" t="str">
            <v>BERINJELA</v>
          </cell>
          <cell r="C179">
            <v>1</v>
          </cell>
          <cell r="D179" t="str">
            <v>assado(a)</v>
          </cell>
          <cell r="E179">
            <v>22</v>
          </cell>
          <cell r="F179" t="str">
            <v>Legumes e verduras</v>
          </cell>
          <cell r="G179">
            <v>0</v>
          </cell>
          <cell r="H179">
            <v>6705401</v>
          </cell>
          <cell r="I179" t="str">
            <v>070930</v>
          </cell>
          <cell r="J179" t="str">
            <v>07093</v>
          </cell>
          <cell r="K179" t="str">
            <v>0709</v>
          </cell>
          <cell r="L179" t="str">
            <v>070</v>
          </cell>
          <cell r="M179" t="str">
            <v>07</v>
          </cell>
          <cell r="N179">
            <v>2</v>
          </cell>
          <cell r="O179">
            <v>1</v>
          </cell>
        </row>
        <row r="180">
          <cell r="A180">
            <v>6705501</v>
          </cell>
          <cell r="B180" t="str">
            <v>ERVILHA EM VAGEM</v>
          </cell>
          <cell r="C180">
            <v>3</v>
          </cell>
          <cell r="D180" t="str">
            <v>cozido(a) sem gordura</v>
          </cell>
          <cell r="E180">
            <v>22</v>
          </cell>
          <cell r="F180" t="str">
            <v>Legumes e verduras</v>
          </cell>
          <cell r="G180">
            <v>0</v>
          </cell>
          <cell r="H180">
            <v>6705501</v>
          </cell>
          <cell r="I180" t="str">
            <v>070810</v>
          </cell>
          <cell r="J180" t="str">
            <v>07081</v>
          </cell>
          <cell r="K180" t="str">
            <v>0708</v>
          </cell>
          <cell r="L180" t="str">
            <v>070</v>
          </cell>
          <cell r="M180" t="str">
            <v>07</v>
          </cell>
          <cell r="N180">
            <v>2</v>
          </cell>
          <cell r="O180">
            <v>1</v>
          </cell>
        </row>
        <row r="181">
          <cell r="A181">
            <v>6705701</v>
          </cell>
          <cell r="B181" t="str">
            <v>CEBOLA</v>
          </cell>
          <cell r="C181">
            <v>1</v>
          </cell>
          <cell r="D181" t="str">
            <v>assado(a)</v>
          </cell>
          <cell r="E181">
            <v>22</v>
          </cell>
          <cell r="F181" t="str">
            <v>Legumes e verduras</v>
          </cell>
          <cell r="G181">
            <v>0</v>
          </cell>
          <cell r="H181">
            <v>6705701</v>
          </cell>
          <cell r="I181" t="str">
            <v>070310</v>
          </cell>
          <cell r="J181" t="str">
            <v>07031</v>
          </cell>
          <cell r="K181" t="str">
            <v>0703</v>
          </cell>
          <cell r="L181" t="str">
            <v>070</v>
          </cell>
          <cell r="M181" t="str">
            <v>07</v>
          </cell>
          <cell r="N181">
            <v>2</v>
          </cell>
          <cell r="O181">
            <v>1</v>
          </cell>
        </row>
        <row r="182">
          <cell r="A182">
            <v>6705704</v>
          </cell>
          <cell r="B182" t="str">
            <v>CEBOLA ROXA</v>
          </cell>
          <cell r="C182">
            <v>4</v>
          </cell>
          <cell r="D182" t="str">
            <v>cru(a)</v>
          </cell>
          <cell r="E182">
            <v>22</v>
          </cell>
          <cell r="F182" t="str">
            <v>Legumes e verduras</v>
          </cell>
          <cell r="G182">
            <v>0</v>
          </cell>
          <cell r="H182" t="e">
            <v>#N/A</v>
          </cell>
          <cell r="I182" t="str">
            <v>070310</v>
          </cell>
          <cell r="J182" t="str">
            <v>07031</v>
          </cell>
          <cell r="K182" t="str">
            <v>0703</v>
          </cell>
          <cell r="L182" t="str">
            <v>070</v>
          </cell>
          <cell r="M182" t="str">
            <v>07</v>
          </cell>
          <cell r="N182">
            <v>2</v>
          </cell>
          <cell r="O182">
            <v>1</v>
          </cell>
        </row>
        <row r="183">
          <cell r="A183">
            <v>6706101</v>
          </cell>
          <cell r="B183" t="str">
            <v>JARDINEIRA (SELETA)</v>
          </cell>
          <cell r="C183">
            <v>4</v>
          </cell>
          <cell r="D183" t="str">
            <v>cru(a)</v>
          </cell>
          <cell r="E183"/>
          <cell r="F183" t="str">
            <v/>
          </cell>
          <cell r="G183">
            <v>0</v>
          </cell>
          <cell r="H183">
            <v>6706101</v>
          </cell>
          <cell r="I183" t="str">
            <v>200540</v>
          </cell>
          <cell r="J183" t="str">
            <v>20054</v>
          </cell>
          <cell r="K183" t="str">
            <v>2005</v>
          </cell>
          <cell r="L183" t="str">
            <v>200</v>
          </cell>
          <cell r="M183" t="str">
            <v>20</v>
          </cell>
          <cell r="N183">
            <v>2</v>
          </cell>
          <cell r="O183">
            <v>1</v>
          </cell>
        </row>
        <row r="184">
          <cell r="A184">
            <v>6706102</v>
          </cell>
          <cell r="B184" t="str">
            <v>SELETA (JARDINEIRA)</v>
          </cell>
          <cell r="C184">
            <v>99</v>
          </cell>
          <cell r="D184" t="str">
            <v>nao se aplica</v>
          </cell>
          <cell r="E184">
            <v>28</v>
          </cell>
          <cell r="F184" t="str">
            <v>Conserva verdura/legume</v>
          </cell>
          <cell r="G184">
            <v>0</v>
          </cell>
          <cell r="H184" t="e">
            <v>#N/A</v>
          </cell>
          <cell r="I184" t="str">
            <v>200540</v>
          </cell>
          <cell r="J184" t="str">
            <v>20054</v>
          </cell>
          <cell r="K184" t="str">
            <v>2005</v>
          </cell>
          <cell r="L184" t="str">
            <v>200</v>
          </cell>
          <cell r="M184" t="str">
            <v>20</v>
          </cell>
          <cell r="N184">
            <v>4</v>
          </cell>
          <cell r="O184">
            <v>3</v>
          </cell>
        </row>
        <row r="185">
          <cell r="A185">
            <v>6706201</v>
          </cell>
          <cell r="B185" t="str">
            <v>ALHO</v>
          </cell>
          <cell r="C185">
            <v>4</v>
          </cell>
          <cell r="D185" t="str">
            <v>cru(a)</v>
          </cell>
          <cell r="E185">
            <v>22</v>
          </cell>
          <cell r="F185" t="str">
            <v>Legumes e verduras</v>
          </cell>
          <cell r="G185">
            <v>0</v>
          </cell>
          <cell r="H185">
            <v>6706201</v>
          </cell>
          <cell r="I185" t="str">
            <v>070320</v>
          </cell>
          <cell r="J185" t="str">
            <v>07032</v>
          </cell>
          <cell r="K185" t="str">
            <v>0703</v>
          </cell>
          <cell r="L185" t="str">
            <v>070</v>
          </cell>
          <cell r="M185" t="str">
            <v>07</v>
          </cell>
          <cell r="N185">
            <v>2</v>
          </cell>
          <cell r="O185">
            <v>1</v>
          </cell>
        </row>
        <row r="186">
          <cell r="A186">
            <v>6706301</v>
          </cell>
          <cell r="B186" t="str">
            <v>ALHO PORO</v>
          </cell>
          <cell r="C186">
            <v>4</v>
          </cell>
          <cell r="D186" t="str">
            <v>cru(a)</v>
          </cell>
          <cell r="E186">
            <v>22</v>
          </cell>
          <cell r="F186" t="str">
            <v>Legumes e verduras</v>
          </cell>
          <cell r="G186">
            <v>0</v>
          </cell>
          <cell r="H186">
            <v>6706301</v>
          </cell>
          <cell r="I186" t="str">
            <v>070390</v>
          </cell>
          <cell r="J186" t="str">
            <v>07039</v>
          </cell>
          <cell r="K186" t="str">
            <v>0703</v>
          </cell>
          <cell r="L186" t="str">
            <v>070</v>
          </cell>
          <cell r="M186" t="str">
            <v>07</v>
          </cell>
          <cell r="N186">
            <v>2</v>
          </cell>
          <cell r="O186">
            <v>1</v>
          </cell>
        </row>
        <row r="187">
          <cell r="A187">
            <v>6707301</v>
          </cell>
          <cell r="B187" t="str">
            <v>BROTO DE ALFAFA</v>
          </cell>
          <cell r="C187">
            <v>3</v>
          </cell>
          <cell r="D187" t="str">
            <v>cozido(a) sem gordura</v>
          </cell>
          <cell r="E187">
            <v>22</v>
          </cell>
          <cell r="F187" t="str">
            <v>Legumes e verduras</v>
          </cell>
          <cell r="G187">
            <v>0</v>
          </cell>
          <cell r="H187">
            <v>6707301</v>
          </cell>
          <cell r="I187" t="str">
            <v>071390</v>
          </cell>
          <cell r="J187" t="str">
            <v>07139</v>
          </cell>
          <cell r="K187" t="str">
            <v>0713</v>
          </cell>
          <cell r="L187" t="str">
            <v>071</v>
          </cell>
          <cell r="M187" t="str">
            <v>07</v>
          </cell>
          <cell r="N187">
            <v>2</v>
          </cell>
          <cell r="O187">
            <v>1</v>
          </cell>
        </row>
        <row r="188">
          <cell r="A188">
            <v>6707901</v>
          </cell>
          <cell r="B188" t="str">
            <v>TOMATE ORGANICO</v>
          </cell>
          <cell r="C188">
            <v>99</v>
          </cell>
          <cell r="D188" t="str">
            <v>nao se aplica</v>
          </cell>
          <cell r="G188">
            <v>0</v>
          </cell>
          <cell r="H188">
            <v>0</v>
          </cell>
          <cell r="I188" t="str">
            <v>070200</v>
          </cell>
          <cell r="J188" t="str">
            <v>07020</v>
          </cell>
          <cell r="K188" t="str">
            <v>0702</v>
          </cell>
          <cell r="L188" t="str">
            <v>070</v>
          </cell>
          <cell r="M188" t="str">
            <v>07</v>
          </cell>
          <cell r="N188">
            <v>2</v>
          </cell>
          <cell r="O188">
            <v>1</v>
          </cell>
        </row>
        <row r="189">
          <cell r="A189">
            <v>6709701</v>
          </cell>
          <cell r="B189" t="str">
            <v>OREGANO</v>
          </cell>
          <cell r="C189">
            <v>1</v>
          </cell>
          <cell r="D189" t="str">
            <v>assado(a)</v>
          </cell>
          <cell r="E189">
            <v>22</v>
          </cell>
          <cell r="F189" t="str">
            <v>Legumes e verduras</v>
          </cell>
          <cell r="G189">
            <v>0</v>
          </cell>
          <cell r="H189">
            <v>6709701</v>
          </cell>
          <cell r="I189" t="str">
            <v>070519</v>
          </cell>
          <cell r="J189" t="str">
            <v>07051</v>
          </cell>
          <cell r="K189" t="str">
            <v>0705</v>
          </cell>
          <cell r="L189" t="str">
            <v>070</v>
          </cell>
          <cell r="M189" t="str">
            <v>07</v>
          </cell>
          <cell r="N189">
            <v>2</v>
          </cell>
          <cell r="O189">
            <v>1</v>
          </cell>
        </row>
        <row r="190">
          <cell r="A190">
            <v>6709901</v>
          </cell>
          <cell r="B190" t="str">
            <v>ASPARGOS FRESCO</v>
          </cell>
          <cell r="C190">
            <v>8</v>
          </cell>
          <cell r="D190" t="str">
            <v>grelhado(a)/brasa/churrasco</v>
          </cell>
          <cell r="E190">
            <v>22</v>
          </cell>
          <cell r="F190" t="str">
            <v>Legumes e verduras</v>
          </cell>
          <cell r="G190">
            <v>0</v>
          </cell>
          <cell r="H190">
            <v>6709901</v>
          </cell>
          <cell r="I190" t="str">
            <v>070920</v>
          </cell>
          <cell r="J190" t="str">
            <v>07092</v>
          </cell>
          <cell r="K190" t="str">
            <v>0709</v>
          </cell>
          <cell r="L190" t="str">
            <v>070</v>
          </cell>
          <cell r="M190" t="str">
            <v>07</v>
          </cell>
          <cell r="N190">
            <v>2</v>
          </cell>
          <cell r="O190">
            <v>1</v>
          </cell>
        </row>
        <row r="191">
          <cell r="A191">
            <v>6710101</v>
          </cell>
          <cell r="B191" t="str">
            <v>MASTRUZ</v>
          </cell>
          <cell r="C191">
            <v>4</v>
          </cell>
          <cell r="D191" t="str">
            <v>cru(a)</v>
          </cell>
          <cell r="E191">
            <v>22</v>
          </cell>
          <cell r="F191" t="str">
            <v>Legumes e verduras</v>
          </cell>
          <cell r="G191">
            <v>0</v>
          </cell>
          <cell r="H191" t="e">
            <v>#N/A</v>
          </cell>
          <cell r="I191" t="str">
            <v>070490</v>
          </cell>
          <cell r="J191" t="str">
            <v>07049</v>
          </cell>
          <cell r="K191" t="str">
            <v>0704</v>
          </cell>
          <cell r="L191" t="str">
            <v>070</v>
          </cell>
          <cell r="M191" t="str">
            <v>07</v>
          </cell>
          <cell r="N191">
            <v>2</v>
          </cell>
          <cell r="O191">
            <v>1</v>
          </cell>
        </row>
        <row r="192">
          <cell r="A192">
            <v>6710701</v>
          </cell>
          <cell r="B192" t="str">
            <v>ORA-PRO-NOBIS</v>
          </cell>
          <cell r="C192">
            <v>3</v>
          </cell>
          <cell r="D192" t="str">
            <v>cozido(a) sem gordura</v>
          </cell>
          <cell r="E192">
            <v>22</v>
          </cell>
          <cell r="F192" t="str">
            <v>Legumes e verduras</v>
          </cell>
          <cell r="G192">
            <v>0</v>
          </cell>
          <cell r="H192" t="e">
            <v>#N/A</v>
          </cell>
          <cell r="I192" t="str">
            <v>070490</v>
          </cell>
          <cell r="J192" t="str">
            <v>07049</v>
          </cell>
          <cell r="K192" t="str">
            <v>0704</v>
          </cell>
          <cell r="L192" t="str">
            <v>070</v>
          </cell>
          <cell r="M192" t="str">
            <v>07</v>
          </cell>
          <cell r="N192">
            <v>2</v>
          </cell>
          <cell r="O192">
            <v>1</v>
          </cell>
        </row>
        <row r="193">
          <cell r="A193">
            <v>6711001</v>
          </cell>
          <cell r="B193" t="str">
            <v>VEGETAIS FOLHOSOS NAO ESPECIFICADOS</v>
          </cell>
          <cell r="C193">
            <v>4</v>
          </cell>
          <cell r="D193" t="str">
            <v>cru(a)</v>
          </cell>
          <cell r="E193">
            <v>22</v>
          </cell>
          <cell r="F193" t="str">
            <v>Legumes e verduras</v>
          </cell>
          <cell r="G193">
            <v>0</v>
          </cell>
          <cell r="H193" t="e">
            <v>#N/A</v>
          </cell>
          <cell r="I193" t="str">
            <v>070490</v>
          </cell>
          <cell r="J193" t="str">
            <v>07049</v>
          </cell>
          <cell r="K193" t="str">
            <v>0704</v>
          </cell>
          <cell r="L193" t="str">
            <v>070</v>
          </cell>
          <cell r="M193" t="str">
            <v>07</v>
          </cell>
          <cell r="N193">
            <v>2</v>
          </cell>
          <cell r="O193">
            <v>1</v>
          </cell>
        </row>
        <row r="194">
          <cell r="A194">
            <v>6711101</v>
          </cell>
          <cell r="B194" t="str">
            <v>VEGETAIS NAO ESPECIFICADOS</v>
          </cell>
          <cell r="C194">
            <v>3</v>
          </cell>
          <cell r="D194" t="str">
            <v>cozido(a) sem gordura</v>
          </cell>
          <cell r="E194">
            <v>22</v>
          </cell>
          <cell r="F194" t="str">
            <v>Legumes e verduras</v>
          </cell>
          <cell r="G194">
            <v>0</v>
          </cell>
          <cell r="H194" t="e">
            <v>#N/A</v>
          </cell>
          <cell r="I194" t="str">
            <v>070490</v>
          </cell>
          <cell r="J194" t="str">
            <v>07049</v>
          </cell>
          <cell r="K194" t="str">
            <v>0704</v>
          </cell>
          <cell r="L194" t="str">
            <v>070</v>
          </cell>
          <cell r="M194" t="str">
            <v>07</v>
          </cell>
          <cell r="N194">
            <v>2</v>
          </cell>
          <cell r="O194">
            <v>1</v>
          </cell>
        </row>
        <row r="195">
          <cell r="A195">
            <v>6711201</v>
          </cell>
          <cell r="B195" t="str">
            <v>ALCAPARRAS</v>
          </cell>
          <cell r="C195">
            <v>4</v>
          </cell>
          <cell r="D195" t="str">
            <v>cru(a)</v>
          </cell>
          <cell r="E195">
            <v>22</v>
          </cell>
          <cell r="F195" t="str">
            <v>Legumes e verduras</v>
          </cell>
          <cell r="G195">
            <v>0</v>
          </cell>
          <cell r="H195">
            <v>6711201</v>
          </cell>
          <cell r="I195" t="str">
            <v>200540</v>
          </cell>
          <cell r="J195" t="str">
            <v>20054</v>
          </cell>
          <cell r="K195" t="str">
            <v>2005</v>
          </cell>
          <cell r="L195" t="str">
            <v>200</v>
          </cell>
          <cell r="M195" t="str">
            <v>20</v>
          </cell>
          <cell r="N195">
            <v>4</v>
          </cell>
          <cell r="O195">
            <v>3</v>
          </cell>
        </row>
        <row r="196">
          <cell r="A196">
            <v>6711401</v>
          </cell>
          <cell r="B196" t="str">
            <v>ALGAS</v>
          </cell>
          <cell r="C196">
            <v>9</v>
          </cell>
          <cell r="D196" t="str">
            <v>refogado(a)</v>
          </cell>
          <cell r="E196"/>
          <cell r="F196" t="str">
            <v/>
          </cell>
          <cell r="G196">
            <v>0</v>
          </cell>
          <cell r="H196">
            <v>6711401</v>
          </cell>
          <cell r="I196">
            <v>121221</v>
          </cell>
          <cell r="J196" t="str">
            <v>12122</v>
          </cell>
          <cell r="K196" t="str">
            <v>1212</v>
          </cell>
          <cell r="L196" t="str">
            <v>121</v>
          </cell>
          <cell r="M196" t="str">
            <v>12</v>
          </cell>
          <cell r="N196">
            <v>2</v>
          </cell>
          <cell r="O196">
            <v>1</v>
          </cell>
        </row>
        <row r="197">
          <cell r="A197">
            <v>6800701</v>
          </cell>
          <cell r="B197" t="str">
            <v>BANANA-ROXA</v>
          </cell>
          <cell r="C197">
            <v>3</v>
          </cell>
          <cell r="D197" t="str">
            <v>cozido(a) sem gordura</v>
          </cell>
          <cell r="E197">
            <v>21</v>
          </cell>
          <cell r="F197" t="str">
            <v>Fruta</v>
          </cell>
          <cell r="G197">
            <v>0</v>
          </cell>
          <cell r="H197" t="e">
            <v>#N/A</v>
          </cell>
          <cell r="I197" t="str">
            <v>080300</v>
          </cell>
          <cell r="J197" t="str">
            <v>08030</v>
          </cell>
          <cell r="K197" t="str">
            <v>0803</v>
          </cell>
          <cell r="L197" t="str">
            <v>080</v>
          </cell>
          <cell r="M197" t="str">
            <v>08</v>
          </cell>
          <cell r="N197">
            <v>2</v>
          </cell>
          <cell r="O197">
            <v>1</v>
          </cell>
        </row>
        <row r="198">
          <cell r="A198">
            <v>6800901</v>
          </cell>
          <cell r="B198" t="str">
            <v>BANANA-SAO-TOME</v>
          </cell>
          <cell r="C198">
            <v>4</v>
          </cell>
          <cell r="D198" t="str">
            <v>cru(a)</v>
          </cell>
          <cell r="E198">
            <v>21</v>
          </cell>
          <cell r="F198" t="str">
            <v>Fruta</v>
          </cell>
          <cell r="G198">
            <v>0</v>
          </cell>
          <cell r="H198" t="e">
            <v>#N/A</v>
          </cell>
          <cell r="I198" t="str">
            <v>080300</v>
          </cell>
          <cell r="J198" t="str">
            <v>08030</v>
          </cell>
          <cell r="K198" t="str">
            <v>0803</v>
          </cell>
          <cell r="L198" t="str">
            <v>080</v>
          </cell>
          <cell r="M198" t="str">
            <v>08</v>
          </cell>
          <cell r="N198">
            <v>2</v>
          </cell>
          <cell r="O198">
            <v>1</v>
          </cell>
        </row>
        <row r="199">
          <cell r="A199">
            <v>6801001</v>
          </cell>
          <cell r="B199" t="str">
            <v>BANANA DA TERRA</v>
          </cell>
          <cell r="C199">
            <v>1</v>
          </cell>
          <cell r="D199" t="str">
            <v>assado(a)</v>
          </cell>
          <cell r="E199">
            <v>21</v>
          </cell>
          <cell r="F199" t="str">
            <v>Fruta</v>
          </cell>
          <cell r="G199">
            <v>0</v>
          </cell>
          <cell r="H199" t="e">
            <v>#N/A</v>
          </cell>
          <cell r="I199" t="str">
            <v>080300</v>
          </cell>
          <cell r="J199" t="str">
            <v>08030</v>
          </cell>
          <cell r="K199" t="str">
            <v>0803</v>
          </cell>
          <cell r="L199" t="str">
            <v>080</v>
          </cell>
          <cell r="M199" t="str">
            <v>08</v>
          </cell>
          <cell r="N199">
            <v>2</v>
          </cell>
          <cell r="O199">
            <v>1</v>
          </cell>
        </row>
        <row r="200">
          <cell r="A200">
            <v>6801002</v>
          </cell>
          <cell r="B200" t="str">
            <v>BANANA-PACOVA</v>
          </cell>
          <cell r="C200">
            <v>1</v>
          </cell>
          <cell r="D200" t="str">
            <v>assado(a)</v>
          </cell>
          <cell r="E200">
            <v>21</v>
          </cell>
          <cell r="F200" t="str">
            <v>Fruta</v>
          </cell>
          <cell r="G200">
            <v>0</v>
          </cell>
          <cell r="H200" t="e">
            <v>#N/A</v>
          </cell>
          <cell r="I200" t="str">
            <v>080300</v>
          </cell>
          <cell r="J200" t="str">
            <v>08030</v>
          </cell>
          <cell r="K200" t="str">
            <v>0803</v>
          </cell>
          <cell r="L200" t="str">
            <v>080</v>
          </cell>
          <cell r="M200" t="str">
            <v>08</v>
          </cell>
          <cell r="N200">
            <v>2</v>
          </cell>
          <cell r="O200">
            <v>1</v>
          </cell>
        </row>
        <row r="201">
          <cell r="A201">
            <v>6801101</v>
          </cell>
          <cell r="B201" t="str">
            <v>BANANA (OURO, PRATA, D´ÁGUA, DA TERRA, ETC)</v>
          </cell>
          <cell r="C201">
            <v>99</v>
          </cell>
          <cell r="D201" t="str">
            <v>nao se aplica</v>
          </cell>
          <cell r="E201">
            <v>21</v>
          </cell>
          <cell r="F201" t="str">
            <v>Fruta</v>
          </cell>
          <cell r="G201">
            <v>0</v>
          </cell>
          <cell r="H201">
            <v>6801101</v>
          </cell>
          <cell r="I201" t="str">
            <v>080300</v>
          </cell>
          <cell r="J201" t="str">
            <v>08030</v>
          </cell>
          <cell r="K201" t="str">
            <v>0803</v>
          </cell>
          <cell r="L201" t="str">
            <v>080</v>
          </cell>
          <cell r="M201" t="str">
            <v>08</v>
          </cell>
          <cell r="N201">
            <v>2</v>
          </cell>
          <cell r="O201">
            <v>1</v>
          </cell>
        </row>
        <row r="202">
          <cell r="A202">
            <v>6801801</v>
          </cell>
          <cell r="B202" t="str">
            <v>LARANJA (PERA, SELETA, LIMA, DA TERRA, ETC)</v>
          </cell>
          <cell r="C202">
            <v>99</v>
          </cell>
          <cell r="D202" t="str">
            <v>nao se aplica</v>
          </cell>
          <cell r="E202">
            <v>21</v>
          </cell>
          <cell r="F202" t="str">
            <v>Fruta</v>
          </cell>
          <cell r="G202">
            <v>0</v>
          </cell>
          <cell r="H202">
            <v>6801801</v>
          </cell>
          <cell r="I202" t="str">
            <v>080590</v>
          </cell>
          <cell r="J202" t="str">
            <v>08059</v>
          </cell>
          <cell r="K202" t="str">
            <v>0805</v>
          </cell>
          <cell r="L202" t="str">
            <v>080</v>
          </cell>
          <cell r="M202" t="str">
            <v>08</v>
          </cell>
          <cell r="N202">
            <v>2</v>
          </cell>
          <cell r="O202">
            <v>1</v>
          </cell>
        </row>
        <row r="203">
          <cell r="A203">
            <v>6801901</v>
          </cell>
          <cell r="B203" t="str">
            <v>LIMA</v>
          </cell>
          <cell r="C203">
            <v>99</v>
          </cell>
          <cell r="D203" t="str">
            <v>nao se aplica</v>
          </cell>
          <cell r="E203">
            <v>21</v>
          </cell>
          <cell r="F203" t="str">
            <v>Fruta</v>
          </cell>
          <cell r="G203">
            <v>0</v>
          </cell>
          <cell r="H203">
            <v>6801901</v>
          </cell>
          <cell r="I203" t="str">
            <v>080530</v>
          </cell>
          <cell r="J203" t="str">
            <v>08053</v>
          </cell>
          <cell r="K203" t="str">
            <v>0805</v>
          </cell>
          <cell r="L203" t="str">
            <v>080</v>
          </cell>
          <cell r="M203" t="str">
            <v>08</v>
          </cell>
          <cell r="N203">
            <v>2</v>
          </cell>
          <cell r="O203">
            <v>1</v>
          </cell>
        </row>
        <row r="204">
          <cell r="A204">
            <v>6802001</v>
          </cell>
          <cell r="B204" t="str">
            <v>LIMAO (COMUM, GALEGO, ETC)</v>
          </cell>
          <cell r="C204">
            <v>99</v>
          </cell>
          <cell r="D204" t="str">
            <v>nao se aplica</v>
          </cell>
          <cell r="E204">
            <v>21</v>
          </cell>
          <cell r="F204" t="str">
            <v>Fruta</v>
          </cell>
          <cell r="G204">
            <v>0</v>
          </cell>
          <cell r="H204">
            <v>6802001</v>
          </cell>
          <cell r="I204" t="str">
            <v>080530</v>
          </cell>
          <cell r="J204" t="str">
            <v>08053</v>
          </cell>
          <cell r="K204" t="str">
            <v>0805</v>
          </cell>
          <cell r="L204" t="str">
            <v>080</v>
          </cell>
          <cell r="M204" t="str">
            <v>08</v>
          </cell>
          <cell r="N204">
            <v>2</v>
          </cell>
          <cell r="O204">
            <v>1</v>
          </cell>
        </row>
        <row r="205">
          <cell r="A205">
            <v>6802201</v>
          </cell>
          <cell r="B205" t="str">
            <v>TANGERINA</v>
          </cell>
          <cell r="C205">
            <v>99</v>
          </cell>
          <cell r="D205" t="str">
            <v>nao se aplica</v>
          </cell>
          <cell r="E205">
            <v>21</v>
          </cell>
          <cell r="F205" t="str">
            <v>Fruta</v>
          </cell>
          <cell r="G205">
            <v>0</v>
          </cell>
          <cell r="H205">
            <v>6802201</v>
          </cell>
          <cell r="I205" t="str">
            <v>080520</v>
          </cell>
          <cell r="J205" t="str">
            <v>08052</v>
          </cell>
          <cell r="K205" t="str">
            <v>0805</v>
          </cell>
          <cell r="L205" t="str">
            <v>080</v>
          </cell>
          <cell r="M205" t="str">
            <v>08</v>
          </cell>
          <cell r="N205">
            <v>2</v>
          </cell>
          <cell r="O205">
            <v>1</v>
          </cell>
        </row>
        <row r="206">
          <cell r="A206">
            <v>6802202</v>
          </cell>
          <cell r="B206" t="str">
            <v>MEXERICA</v>
          </cell>
          <cell r="C206">
            <v>99</v>
          </cell>
          <cell r="D206" t="str">
            <v>nao se aplica</v>
          </cell>
          <cell r="E206">
            <v>21</v>
          </cell>
          <cell r="F206" t="str">
            <v>Fruta</v>
          </cell>
          <cell r="G206">
            <v>0</v>
          </cell>
          <cell r="H206" t="e">
            <v>#N/A</v>
          </cell>
          <cell r="I206" t="str">
            <v>080520</v>
          </cell>
          <cell r="J206" t="str">
            <v>08052</v>
          </cell>
          <cell r="K206" t="str">
            <v>0805</v>
          </cell>
          <cell r="L206" t="str">
            <v>080</v>
          </cell>
          <cell r="M206" t="str">
            <v>08</v>
          </cell>
          <cell r="N206">
            <v>2</v>
          </cell>
          <cell r="O206">
            <v>1</v>
          </cell>
        </row>
        <row r="207">
          <cell r="A207">
            <v>6802217</v>
          </cell>
          <cell r="B207" t="str">
            <v>BERGAMOTA</v>
          </cell>
          <cell r="C207">
            <v>99</v>
          </cell>
          <cell r="D207" t="str">
            <v>nao se aplica</v>
          </cell>
          <cell r="E207">
            <v>21</v>
          </cell>
          <cell r="F207" t="str">
            <v>Fruta</v>
          </cell>
          <cell r="G207">
            <v>0</v>
          </cell>
          <cell r="H207" t="e">
            <v>#N/A</v>
          </cell>
          <cell r="I207" t="str">
            <v>080520</v>
          </cell>
          <cell r="J207" t="str">
            <v>08052</v>
          </cell>
          <cell r="K207" t="str">
            <v>0805</v>
          </cell>
          <cell r="L207" t="str">
            <v>080</v>
          </cell>
          <cell r="M207" t="str">
            <v>08</v>
          </cell>
          <cell r="N207">
            <v>2</v>
          </cell>
          <cell r="O207">
            <v>1</v>
          </cell>
        </row>
        <row r="208">
          <cell r="A208">
            <v>6802218</v>
          </cell>
          <cell r="B208" t="str">
            <v>MIMOSA</v>
          </cell>
          <cell r="C208">
            <v>99</v>
          </cell>
          <cell r="D208" t="str">
            <v>nao se aplica</v>
          </cell>
          <cell r="E208">
            <v>21</v>
          </cell>
          <cell r="F208" t="str">
            <v>Fruta</v>
          </cell>
          <cell r="G208">
            <v>0</v>
          </cell>
          <cell r="H208" t="e">
            <v>#N/A</v>
          </cell>
          <cell r="I208" t="str">
            <v>080520</v>
          </cell>
          <cell r="J208" t="str">
            <v>08052</v>
          </cell>
          <cell r="K208" t="str">
            <v>0805</v>
          </cell>
          <cell r="L208" t="str">
            <v>080</v>
          </cell>
          <cell r="M208" t="str">
            <v>08</v>
          </cell>
          <cell r="N208">
            <v>2</v>
          </cell>
          <cell r="O208">
            <v>1</v>
          </cell>
        </row>
        <row r="209">
          <cell r="A209">
            <v>6802223</v>
          </cell>
          <cell r="B209" t="str">
            <v>TANJA</v>
          </cell>
          <cell r="C209">
            <v>99</v>
          </cell>
          <cell r="D209" t="str">
            <v>nao se aplica</v>
          </cell>
          <cell r="E209">
            <v>21</v>
          </cell>
          <cell r="F209" t="str">
            <v>Fruta</v>
          </cell>
          <cell r="G209">
            <v>0</v>
          </cell>
          <cell r="H209" t="e">
            <v>#N/A</v>
          </cell>
          <cell r="I209" t="str">
            <v>080520</v>
          </cell>
          <cell r="J209" t="str">
            <v>08052</v>
          </cell>
          <cell r="K209" t="str">
            <v>0805</v>
          </cell>
          <cell r="L209" t="str">
            <v>080</v>
          </cell>
          <cell r="M209" t="str">
            <v>08</v>
          </cell>
          <cell r="N209">
            <v>2</v>
          </cell>
          <cell r="O209">
            <v>1</v>
          </cell>
        </row>
        <row r="210">
          <cell r="A210">
            <v>6802227</v>
          </cell>
          <cell r="B210" t="str">
            <v>MARICOTA</v>
          </cell>
          <cell r="C210">
            <v>99</v>
          </cell>
          <cell r="D210" t="str">
            <v>nao se aplica</v>
          </cell>
          <cell r="E210">
            <v>21</v>
          </cell>
          <cell r="F210" t="str">
            <v>Fruta</v>
          </cell>
          <cell r="G210">
            <v>0</v>
          </cell>
          <cell r="H210" t="e">
            <v>#N/A</v>
          </cell>
          <cell r="I210" t="str">
            <v>080520</v>
          </cell>
          <cell r="J210" t="str">
            <v>08052</v>
          </cell>
          <cell r="K210" t="str">
            <v>0805</v>
          </cell>
          <cell r="L210" t="str">
            <v>080</v>
          </cell>
          <cell r="M210" t="str">
            <v>08</v>
          </cell>
          <cell r="N210">
            <v>2</v>
          </cell>
          <cell r="O210">
            <v>1</v>
          </cell>
        </row>
        <row r="211">
          <cell r="A211">
            <v>6802305</v>
          </cell>
          <cell r="B211" t="str">
            <v>GRAPEFRUIT / TORANJA</v>
          </cell>
          <cell r="C211">
            <v>99</v>
          </cell>
          <cell r="D211" t="str">
            <v>nao se aplica</v>
          </cell>
          <cell r="E211">
            <v>21</v>
          </cell>
          <cell r="F211" t="str">
            <v>Fruta</v>
          </cell>
          <cell r="G211">
            <v>0</v>
          </cell>
          <cell r="H211" t="e">
            <v>#N/A</v>
          </cell>
          <cell r="I211" t="str">
            <v>080520</v>
          </cell>
          <cell r="J211" t="str">
            <v>08052</v>
          </cell>
          <cell r="K211" t="str">
            <v>0805</v>
          </cell>
          <cell r="L211" t="str">
            <v>080</v>
          </cell>
          <cell r="M211" t="str">
            <v>08</v>
          </cell>
          <cell r="N211">
            <v>2</v>
          </cell>
          <cell r="O211">
            <v>1</v>
          </cell>
        </row>
        <row r="212">
          <cell r="A212">
            <v>6802407</v>
          </cell>
          <cell r="B212" t="str">
            <v>LARANJINHA JAPONESA</v>
          </cell>
          <cell r="C212">
            <v>99</v>
          </cell>
          <cell r="D212" t="str">
            <v>nao se aplica</v>
          </cell>
          <cell r="E212">
            <v>21</v>
          </cell>
          <cell r="F212" t="str">
            <v>Fruta</v>
          </cell>
          <cell r="G212">
            <v>0</v>
          </cell>
          <cell r="H212" t="e">
            <v>#N/A</v>
          </cell>
          <cell r="I212" t="str">
            <v>080590</v>
          </cell>
          <cell r="J212" t="str">
            <v>08059</v>
          </cell>
          <cell r="K212" t="str">
            <v>0805</v>
          </cell>
          <cell r="L212" t="str">
            <v>080</v>
          </cell>
          <cell r="M212" t="str">
            <v>08</v>
          </cell>
          <cell r="N212">
            <v>2</v>
          </cell>
          <cell r="O212">
            <v>1</v>
          </cell>
        </row>
        <row r="213">
          <cell r="A213">
            <v>6802501</v>
          </cell>
          <cell r="B213" t="str">
            <v>CANA DE ACUCAR</v>
          </cell>
          <cell r="C213">
            <v>99</v>
          </cell>
          <cell r="D213" t="str">
            <v>nao se aplica</v>
          </cell>
          <cell r="E213">
            <v>21</v>
          </cell>
          <cell r="F213" t="str">
            <v>Fruta</v>
          </cell>
          <cell r="G213">
            <v>0</v>
          </cell>
          <cell r="H213">
            <v>6802501</v>
          </cell>
          <cell r="I213">
            <v>170111</v>
          </cell>
          <cell r="J213" t="str">
            <v>17011</v>
          </cell>
          <cell r="K213" t="str">
            <v>1701</v>
          </cell>
          <cell r="L213" t="str">
            <v>170</v>
          </cell>
          <cell r="M213" t="str">
            <v>17</v>
          </cell>
          <cell r="N213">
            <v>4</v>
          </cell>
          <cell r="O213">
            <v>1</v>
          </cell>
        </row>
        <row r="214">
          <cell r="A214">
            <v>6802601</v>
          </cell>
          <cell r="B214" t="str">
            <v>ABACAXI</v>
          </cell>
          <cell r="C214">
            <v>1</v>
          </cell>
          <cell r="D214" t="str">
            <v>assado(a)</v>
          </cell>
          <cell r="E214">
            <v>21</v>
          </cell>
          <cell r="F214" t="str">
            <v>Fruta</v>
          </cell>
          <cell r="G214">
            <v>0</v>
          </cell>
          <cell r="H214">
            <v>6802601</v>
          </cell>
          <cell r="I214" t="str">
            <v>080430</v>
          </cell>
          <cell r="J214" t="str">
            <v>08043</v>
          </cell>
          <cell r="K214" t="str">
            <v>0804</v>
          </cell>
          <cell r="L214" t="str">
            <v>080</v>
          </cell>
          <cell r="M214" t="str">
            <v>08</v>
          </cell>
          <cell r="N214">
            <v>2</v>
          </cell>
          <cell r="O214">
            <v>1</v>
          </cell>
        </row>
        <row r="215">
          <cell r="A215">
            <v>6802602</v>
          </cell>
          <cell r="B215" t="str">
            <v>ANANAS</v>
          </cell>
          <cell r="C215">
            <v>99</v>
          </cell>
          <cell r="D215" t="str">
            <v>nao se aplica</v>
          </cell>
          <cell r="G215">
            <v>0</v>
          </cell>
          <cell r="H215">
            <v>0</v>
          </cell>
          <cell r="I215" t="str">
            <v>081090</v>
          </cell>
          <cell r="J215" t="str">
            <v>08109</v>
          </cell>
          <cell r="K215" t="str">
            <v>0810</v>
          </cell>
          <cell r="L215" t="str">
            <v>081</v>
          </cell>
          <cell r="M215" t="str">
            <v>08</v>
          </cell>
          <cell r="N215">
            <v>2</v>
          </cell>
          <cell r="O215">
            <v>1</v>
          </cell>
        </row>
        <row r="216">
          <cell r="A216">
            <v>6802701</v>
          </cell>
          <cell r="B216" t="str">
            <v>ABACATE</v>
          </cell>
          <cell r="C216">
            <v>99</v>
          </cell>
          <cell r="D216" t="str">
            <v>nao se aplica</v>
          </cell>
          <cell r="E216">
            <v>21</v>
          </cell>
          <cell r="F216" t="str">
            <v>Fruta</v>
          </cell>
          <cell r="G216">
            <v>0</v>
          </cell>
          <cell r="H216">
            <v>6802701</v>
          </cell>
          <cell r="I216" t="str">
            <v>080440</v>
          </cell>
          <cell r="J216" t="str">
            <v>08044</v>
          </cell>
          <cell r="K216" t="str">
            <v>0804</v>
          </cell>
          <cell r="L216" t="str">
            <v>080</v>
          </cell>
          <cell r="M216" t="str">
            <v>08</v>
          </cell>
          <cell r="N216">
            <v>2</v>
          </cell>
          <cell r="O216">
            <v>1</v>
          </cell>
        </row>
        <row r="217">
          <cell r="A217">
            <v>6802801</v>
          </cell>
          <cell r="B217" t="str">
            <v>CAQUI</v>
          </cell>
          <cell r="C217">
            <v>99</v>
          </cell>
          <cell r="D217" t="str">
            <v>nao se aplica</v>
          </cell>
          <cell r="E217">
            <v>21</v>
          </cell>
          <cell r="F217" t="str">
            <v>Fruta</v>
          </cell>
          <cell r="G217">
            <v>0</v>
          </cell>
          <cell r="H217">
            <v>6802801</v>
          </cell>
          <cell r="I217" t="str">
            <v>081090</v>
          </cell>
          <cell r="J217" t="str">
            <v>08109</v>
          </cell>
          <cell r="K217" t="str">
            <v>0810</v>
          </cell>
          <cell r="L217" t="str">
            <v>081</v>
          </cell>
          <cell r="M217" t="str">
            <v>08</v>
          </cell>
          <cell r="N217">
            <v>2</v>
          </cell>
          <cell r="O217">
            <v>1</v>
          </cell>
        </row>
        <row r="218">
          <cell r="A218">
            <v>6802901</v>
          </cell>
          <cell r="B218" t="str">
            <v>FIGO</v>
          </cell>
          <cell r="C218">
            <v>99</v>
          </cell>
          <cell r="D218" t="str">
            <v>nao se aplica</v>
          </cell>
          <cell r="E218">
            <v>21</v>
          </cell>
          <cell r="F218" t="str">
            <v>Fruta</v>
          </cell>
          <cell r="G218">
            <v>0</v>
          </cell>
          <cell r="H218">
            <v>6802901</v>
          </cell>
          <cell r="I218" t="str">
            <v>080420</v>
          </cell>
          <cell r="J218" t="str">
            <v>08042</v>
          </cell>
          <cell r="K218" t="str">
            <v>0804</v>
          </cell>
          <cell r="L218" t="str">
            <v>080</v>
          </cell>
          <cell r="M218" t="str">
            <v>08</v>
          </cell>
          <cell r="N218">
            <v>2</v>
          </cell>
          <cell r="O218">
            <v>1</v>
          </cell>
        </row>
        <row r="219">
          <cell r="A219">
            <v>6803001</v>
          </cell>
          <cell r="B219" t="str">
            <v>MACA</v>
          </cell>
          <cell r="C219">
            <v>1</v>
          </cell>
          <cell r="D219" t="str">
            <v>assado(a)</v>
          </cell>
          <cell r="E219">
            <v>21</v>
          </cell>
          <cell r="F219" t="str">
            <v>Fruta</v>
          </cell>
          <cell r="G219">
            <v>0</v>
          </cell>
          <cell r="H219">
            <v>6803001</v>
          </cell>
          <cell r="I219" t="str">
            <v>080810</v>
          </cell>
          <cell r="J219" t="str">
            <v>08081</v>
          </cell>
          <cell r="K219" t="str">
            <v>0808</v>
          </cell>
          <cell r="L219" t="str">
            <v>080</v>
          </cell>
          <cell r="M219" t="str">
            <v>08</v>
          </cell>
          <cell r="N219">
            <v>2</v>
          </cell>
          <cell r="O219">
            <v>1</v>
          </cell>
        </row>
        <row r="220">
          <cell r="A220">
            <v>6803101</v>
          </cell>
          <cell r="B220" t="str">
            <v>MAMAO</v>
          </cell>
          <cell r="C220">
            <v>99</v>
          </cell>
          <cell r="D220" t="str">
            <v>nao se aplica</v>
          </cell>
          <cell r="E220">
            <v>21</v>
          </cell>
          <cell r="F220" t="str">
            <v>Fruta</v>
          </cell>
          <cell r="G220">
            <v>0</v>
          </cell>
          <cell r="H220">
            <v>6803101</v>
          </cell>
          <cell r="I220" t="str">
            <v>080720</v>
          </cell>
          <cell r="J220" t="str">
            <v>08072</v>
          </cell>
          <cell r="K220" t="str">
            <v>0807</v>
          </cell>
          <cell r="L220" t="str">
            <v>080</v>
          </cell>
          <cell r="M220" t="str">
            <v>08</v>
          </cell>
          <cell r="N220">
            <v>2</v>
          </cell>
          <cell r="O220">
            <v>1</v>
          </cell>
        </row>
        <row r="221">
          <cell r="A221">
            <v>6803108</v>
          </cell>
          <cell r="B221" t="str">
            <v>PAPAIA</v>
          </cell>
          <cell r="C221">
            <v>99</v>
          </cell>
          <cell r="D221" t="str">
            <v>nao se aplica</v>
          </cell>
          <cell r="E221">
            <v>21</v>
          </cell>
          <cell r="F221" t="str">
            <v>Fruta</v>
          </cell>
          <cell r="G221">
            <v>0</v>
          </cell>
          <cell r="H221">
            <v>6803108</v>
          </cell>
          <cell r="I221" t="str">
            <v>080720</v>
          </cell>
          <cell r="J221" t="str">
            <v>08072</v>
          </cell>
          <cell r="K221" t="str">
            <v>0807</v>
          </cell>
          <cell r="L221" t="str">
            <v>080</v>
          </cell>
          <cell r="M221" t="str">
            <v>08</v>
          </cell>
          <cell r="N221">
            <v>2</v>
          </cell>
          <cell r="O221">
            <v>1</v>
          </cell>
        </row>
        <row r="222">
          <cell r="A222">
            <v>6803201</v>
          </cell>
          <cell r="B222" t="str">
            <v>MANGA</v>
          </cell>
          <cell r="C222">
            <v>99</v>
          </cell>
          <cell r="D222" t="str">
            <v>nao se aplica</v>
          </cell>
          <cell r="E222">
            <v>21</v>
          </cell>
          <cell r="F222" t="str">
            <v>Fruta</v>
          </cell>
          <cell r="G222">
            <v>0</v>
          </cell>
          <cell r="H222">
            <v>6803201</v>
          </cell>
          <cell r="I222" t="str">
            <v>080450</v>
          </cell>
          <cell r="J222" t="str">
            <v>08045</v>
          </cell>
          <cell r="K222" t="str">
            <v>0804</v>
          </cell>
          <cell r="L222" t="str">
            <v>080</v>
          </cell>
          <cell r="M222" t="str">
            <v>08</v>
          </cell>
          <cell r="N222">
            <v>2</v>
          </cell>
          <cell r="O222">
            <v>1</v>
          </cell>
        </row>
        <row r="223">
          <cell r="A223">
            <v>6803301</v>
          </cell>
          <cell r="B223" t="str">
            <v>MARACUJA</v>
          </cell>
          <cell r="C223">
            <v>99</v>
          </cell>
          <cell r="D223" t="str">
            <v>nao se aplica</v>
          </cell>
          <cell r="E223">
            <v>21</v>
          </cell>
          <cell r="F223" t="str">
            <v>Fruta</v>
          </cell>
          <cell r="G223">
            <v>0</v>
          </cell>
          <cell r="H223">
            <v>6803301</v>
          </cell>
          <cell r="I223" t="str">
            <v>081090</v>
          </cell>
          <cell r="J223" t="str">
            <v>08109</v>
          </cell>
          <cell r="K223" t="str">
            <v>0810</v>
          </cell>
          <cell r="L223" t="str">
            <v>081</v>
          </cell>
          <cell r="M223" t="str">
            <v>08</v>
          </cell>
          <cell r="N223">
            <v>2</v>
          </cell>
          <cell r="O223">
            <v>1</v>
          </cell>
        </row>
        <row r="224">
          <cell r="A224">
            <v>6803401</v>
          </cell>
          <cell r="B224" t="str">
            <v>MELANCIA</v>
          </cell>
          <cell r="C224">
            <v>99</v>
          </cell>
          <cell r="D224" t="str">
            <v>nao se aplica</v>
          </cell>
          <cell r="E224">
            <v>21</v>
          </cell>
          <cell r="F224" t="str">
            <v>Fruta</v>
          </cell>
          <cell r="G224">
            <v>0</v>
          </cell>
          <cell r="H224">
            <v>6803401</v>
          </cell>
          <cell r="I224" t="str">
            <v>080711</v>
          </cell>
          <cell r="J224" t="str">
            <v>08071</v>
          </cell>
          <cell r="K224" t="str">
            <v>0807</v>
          </cell>
          <cell r="L224" t="str">
            <v>080</v>
          </cell>
          <cell r="M224" t="str">
            <v>08</v>
          </cell>
          <cell r="N224">
            <v>2</v>
          </cell>
          <cell r="O224">
            <v>1</v>
          </cell>
        </row>
        <row r="225">
          <cell r="A225">
            <v>6803501</v>
          </cell>
          <cell r="B225" t="str">
            <v>MELAO</v>
          </cell>
          <cell r="C225">
            <v>99</v>
          </cell>
          <cell r="D225" t="str">
            <v>nao se aplica</v>
          </cell>
          <cell r="E225">
            <v>21</v>
          </cell>
          <cell r="F225" t="str">
            <v>Fruta</v>
          </cell>
          <cell r="G225">
            <v>0</v>
          </cell>
          <cell r="H225">
            <v>6803501</v>
          </cell>
          <cell r="I225" t="str">
            <v>080719</v>
          </cell>
          <cell r="J225" t="str">
            <v>08071</v>
          </cell>
          <cell r="K225" t="str">
            <v>0807</v>
          </cell>
          <cell r="L225" t="str">
            <v>080</v>
          </cell>
          <cell r="M225" t="str">
            <v>08</v>
          </cell>
          <cell r="N225">
            <v>2</v>
          </cell>
          <cell r="O225">
            <v>1</v>
          </cell>
        </row>
        <row r="226">
          <cell r="A226">
            <v>6803601</v>
          </cell>
          <cell r="B226" t="str">
            <v>PERA</v>
          </cell>
          <cell r="C226">
            <v>4</v>
          </cell>
          <cell r="D226" t="str">
            <v>cru(a)</v>
          </cell>
          <cell r="E226">
            <v>21</v>
          </cell>
          <cell r="F226" t="str">
            <v>Fruta</v>
          </cell>
          <cell r="G226">
            <v>0</v>
          </cell>
          <cell r="H226">
            <v>6803601</v>
          </cell>
          <cell r="I226" t="str">
            <v>080820</v>
          </cell>
          <cell r="J226" t="str">
            <v>08082</v>
          </cell>
          <cell r="K226" t="str">
            <v>0808</v>
          </cell>
          <cell r="L226" t="str">
            <v>080</v>
          </cell>
          <cell r="M226" t="str">
            <v>08</v>
          </cell>
          <cell r="N226">
            <v>2</v>
          </cell>
          <cell r="O226">
            <v>1</v>
          </cell>
        </row>
        <row r="227">
          <cell r="A227">
            <v>6803701</v>
          </cell>
          <cell r="B227" t="str">
            <v>PESSEGO</v>
          </cell>
          <cell r="C227">
            <v>99</v>
          </cell>
          <cell r="D227" t="str">
            <v>nao se aplica</v>
          </cell>
          <cell r="E227">
            <v>21</v>
          </cell>
          <cell r="F227" t="str">
            <v>Fruta</v>
          </cell>
          <cell r="G227">
            <v>0</v>
          </cell>
          <cell r="H227">
            <v>6803701</v>
          </cell>
          <cell r="I227" t="str">
            <v>080930</v>
          </cell>
          <cell r="J227" t="str">
            <v>08093</v>
          </cell>
          <cell r="K227" t="str">
            <v>0809</v>
          </cell>
          <cell r="L227" t="str">
            <v>080</v>
          </cell>
          <cell r="M227" t="str">
            <v>08</v>
          </cell>
          <cell r="N227">
            <v>2</v>
          </cell>
          <cell r="O227">
            <v>1</v>
          </cell>
        </row>
        <row r="228">
          <cell r="A228">
            <v>6803801</v>
          </cell>
          <cell r="B228" t="str">
            <v>FRUTA DE CONDE</v>
          </cell>
          <cell r="C228">
            <v>99</v>
          </cell>
          <cell r="D228" t="str">
            <v>nao se aplica</v>
          </cell>
          <cell r="E228">
            <v>21</v>
          </cell>
          <cell r="F228" t="str">
            <v>Fruta</v>
          </cell>
          <cell r="G228">
            <v>0</v>
          </cell>
          <cell r="H228">
            <v>6803801</v>
          </cell>
          <cell r="I228" t="str">
            <v>081090</v>
          </cell>
          <cell r="J228" t="str">
            <v>08109</v>
          </cell>
          <cell r="K228" t="str">
            <v>0810</v>
          </cell>
          <cell r="L228" t="str">
            <v>081</v>
          </cell>
          <cell r="M228" t="str">
            <v>08</v>
          </cell>
          <cell r="N228">
            <v>2</v>
          </cell>
          <cell r="O228">
            <v>1</v>
          </cell>
        </row>
        <row r="229">
          <cell r="A229">
            <v>6803802</v>
          </cell>
          <cell r="B229" t="str">
            <v>PINHA (FRUTA DE CONDE)</v>
          </cell>
          <cell r="C229">
            <v>99</v>
          </cell>
          <cell r="D229" t="str">
            <v>nao se aplica</v>
          </cell>
          <cell r="E229">
            <v>21</v>
          </cell>
          <cell r="F229" t="str">
            <v>Fruta</v>
          </cell>
          <cell r="G229">
            <v>0</v>
          </cell>
          <cell r="H229" t="e">
            <v>#N/A</v>
          </cell>
          <cell r="I229" t="str">
            <v>081090</v>
          </cell>
          <cell r="J229" t="str">
            <v>08109</v>
          </cell>
          <cell r="K229" t="str">
            <v>0810</v>
          </cell>
          <cell r="L229" t="str">
            <v>081</v>
          </cell>
          <cell r="M229" t="str">
            <v>08</v>
          </cell>
          <cell r="N229">
            <v>2</v>
          </cell>
          <cell r="O229">
            <v>1</v>
          </cell>
        </row>
        <row r="230">
          <cell r="A230">
            <v>6803803</v>
          </cell>
          <cell r="B230" t="str">
            <v>ATA</v>
          </cell>
          <cell r="C230">
            <v>99</v>
          </cell>
          <cell r="D230" t="str">
            <v>nao se aplica</v>
          </cell>
          <cell r="E230">
            <v>21</v>
          </cell>
          <cell r="F230" t="str">
            <v>Fruta</v>
          </cell>
          <cell r="G230">
            <v>0</v>
          </cell>
          <cell r="H230" t="e">
            <v>#N/A</v>
          </cell>
          <cell r="I230" t="str">
            <v>081090</v>
          </cell>
          <cell r="J230" t="str">
            <v>08109</v>
          </cell>
          <cell r="K230" t="str">
            <v>0810</v>
          </cell>
          <cell r="L230" t="str">
            <v>081</v>
          </cell>
          <cell r="M230" t="str">
            <v>08</v>
          </cell>
          <cell r="N230">
            <v>2</v>
          </cell>
          <cell r="O230">
            <v>1</v>
          </cell>
        </row>
        <row r="231">
          <cell r="A231">
            <v>6803901</v>
          </cell>
          <cell r="B231" t="str">
            <v>UVA</v>
          </cell>
          <cell r="C231">
            <v>99</v>
          </cell>
          <cell r="D231" t="str">
            <v>nao se aplica</v>
          </cell>
          <cell r="E231">
            <v>21</v>
          </cell>
          <cell r="F231" t="str">
            <v>Fruta</v>
          </cell>
          <cell r="G231">
            <v>0</v>
          </cell>
          <cell r="H231">
            <v>6803901</v>
          </cell>
          <cell r="I231" t="str">
            <v>080610</v>
          </cell>
          <cell r="J231" t="str">
            <v>08061</v>
          </cell>
          <cell r="K231" t="str">
            <v>0806</v>
          </cell>
          <cell r="L231" t="str">
            <v>080</v>
          </cell>
          <cell r="M231" t="str">
            <v>08</v>
          </cell>
          <cell r="N231">
            <v>2</v>
          </cell>
          <cell r="O231">
            <v>1</v>
          </cell>
        </row>
        <row r="232">
          <cell r="A232">
            <v>6803912</v>
          </cell>
          <cell r="B232" t="str">
            <v>UVA PASSA</v>
          </cell>
          <cell r="C232">
            <v>99</v>
          </cell>
          <cell r="D232" t="str">
            <v>nao se aplica</v>
          </cell>
          <cell r="E232">
            <v>21</v>
          </cell>
          <cell r="F232" t="str">
            <v>Fruta</v>
          </cell>
          <cell r="G232">
            <v>0</v>
          </cell>
          <cell r="H232">
            <v>6803912</v>
          </cell>
          <cell r="I232" t="str">
            <v>080620</v>
          </cell>
          <cell r="J232" t="str">
            <v>08062</v>
          </cell>
          <cell r="K232" t="str">
            <v>0806</v>
          </cell>
          <cell r="L232" t="str">
            <v>080</v>
          </cell>
          <cell r="M232" t="str">
            <v>08</v>
          </cell>
          <cell r="N232">
            <v>2</v>
          </cell>
          <cell r="O232">
            <v>1</v>
          </cell>
        </row>
        <row r="233">
          <cell r="A233">
            <v>6804001</v>
          </cell>
          <cell r="B233" t="str">
            <v>JENIPAPO</v>
          </cell>
          <cell r="C233">
            <v>99</v>
          </cell>
          <cell r="D233" t="str">
            <v>nao se aplica</v>
          </cell>
          <cell r="E233">
            <v>21</v>
          </cell>
          <cell r="F233" t="str">
            <v>Fruta</v>
          </cell>
          <cell r="G233">
            <v>0</v>
          </cell>
          <cell r="H233">
            <v>6804001</v>
          </cell>
          <cell r="I233" t="str">
            <v>081090</v>
          </cell>
          <cell r="J233" t="str">
            <v>08109</v>
          </cell>
          <cell r="K233" t="str">
            <v>0810</v>
          </cell>
          <cell r="L233" t="str">
            <v>081</v>
          </cell>
          <cell r="M233" t="str">
            <v>08</v>
          </cell>
          <cell r="N233">
            <v>2</v>
          </cell>
          <cell r="O233">
            <v>1</v>
          </cell>
        </row>
        <row r="234">
          <cell r="A234">
            <v>6804101</v>
          </cell>
          <cell r="B234" t="str">
            <v>JACA</v>
          </cell>
          <cell r="C234">
            <v>99</v>
          </cell>
          <cell r="D234" t="str">
            <v>nao se aplica</v>
          </cell>
          <cell r="E234">
            <v>21</v>
          </cell>
          <cell r="F234" t="str">
            <v>Fruta</v>
          </cell>
          <cell r="G234">
            <v>0</v>
          </cell>
          <cell r="H234">
            <v>6804101</v>
          </cell>
          <cell r="I234" t="str">
            <v>081090</v>
          </cell>
          <cell r="J234" t="str">
            <v>08109</v>
          </cell>
          <cell r="K234" t="str">
            <v>0810</v>
          </cell>
          <cell r="L234" t="str">
            <v>081</v>
          </cell>
          <cell r="M234" t="str">
            <v>08</v>
          </cell>
          <cell r="N234">
            <v>2</v>
          </cell>
          <cell r="O234">
            <v>1</v>
          </cell>
        </row>
        <row r="235">
          <cell r="A235">
            <v>6804201</v>
          </cell>
          <cell r="B235" t="str">
            <v>GOIABA</v>
          </cell>
          <cell r="C235">
            <v>99</v>
          </cell>
          <cell r="D235" t="str">
            <v>nao se aplica</v>
          </cell>
          <cell r="E235">
            <v>21</v>
          </cell>
          <cell r="F235" t="str">
            <v>Fruta</v>
          </cell>
          <cell r="G235">
            <v>0</v>
          </cell>
          <cell r="H235">
            <v>6804201</v>
          </cell>
          <cell r="I235" t="str">
            <v>080450</v>
          </cell>
          <cell r="J235" t="str">
            <v>08045</v>
          </cell>
          <cell r="K235" t="str">
            <v>0804</v>
          </cell>
          <cell r="L235" t="str">
            <v>080</v>
          </cell>
          <cell r="M235" t="str">
            <v>08</v>
          </cell>
          <cell r="N235">
            <v>2</v>
          </cell>
          <cell r="O235">
            <v>1</v>
          </cell>
        </row>
        <row r="236">
          <cell r="A236">
            <v>6804203</v>
          </cell>
          <cell r="B236" t="str">
            <v>ARACA ACU (GOIABA)</v>
          </cell>
          <cell r="C236">
            <v>99</v>
          </cell>
          <cell r="D236" t="str">
            <v>nao se aplica</v>
          </cell>
          <cell r="E236">
            <v>21</v>
          </cell>
          <cell r="F236" t="str">
            <v>Fruta</v>
          </cell>
          <cell r="G236">
            <v>0</v>
          </cell>
          <cell r="H236" t="e">
            <v>#N/A</v>
          </cell>
          <cell r="I236" t="str">
            <v>081090</v>
          </cell>
          <cell r="J236" t="str">
            <v>08109</v>
          </cell>
          <cell r="K236" t="str">
            <v>0810</v>
          </cell>
          <cell r="L236" t="str">
            <v>081</v>
          </cell>
          <cell r="M236" t="str">
            <v>08</v>
          </cell>
          <cell r="N236">
            <v>2</v>
          </cell>
          <cell r="O236">
            <v>1</v>
          </cell>
        </row>
        <row r="237">
          <cell r="A237">
            <v>6804301</v>
          </cell>
          <cell r="B237" t="str">
            <v>AMEIXA</v>
          </cell>
          <cell r="C237">
            <v>99</v>
          </cell>
          <cell r="D237" t="str">
            <v>nao se aplica</v>
          </cell>
          <cell r="E237">
            <v>21</v>
          </cell>
          <cell r="F237" t="str">
            <v>Fruta</v>
          </cell>
          <cell r="G237">
            <v>0</v>
          </cell>
          <cell r="H237">
            <v>6804301</v>
          </cell>
          <cell r="I237" t="str">
            <v>080940</v>
          </cell>
          <cell r="J237" t="str">
            <v>08094</v>
          </cell>
          <cell r="K237" t="str">
            <v>0809</v>
          </cell>
          <cell r="L237" t="str">
            <v>080</v>
          </cell>
          <cell r="M237" t="str">
            <v>08</v>
          </cell>
          <cell r="N237">
            <v>2</v>
          </cell>
          <cell r="O237">
            <v>1</v>
          </cell>
        </row>
        <row r="238">
          <cell r="A238">
            <v>6804401</v>
          </cell>
          <cell r="B238" t="str">
            <v>CAJU</v>
          </cell>
          <cell r="C238">
            <v>99</v>
          </cell>
          <cell r="D238" t="str">
            <v>nao se aplica</v>
          </cell>
          <cell r="E238">
            <v>21</v>
          </cell>
          <cell r="F238" t="str">
            <v>Fruta</v>
          </cell>
          <cell r="G238">
            <v>0</v>
          </cell>
          <cell r="H238">
            <v>6804401</v>
          </cell>
          <cell r="I238" t="str">
            <v>081090</v>
          </cell>
          <cell r="J238" t="str">
            <v>08109</v>
          </cell>
          <cell r="K238" t="str">
            <v>0810</v>
          </cell>
          <cell r="L238" t="str">
            <v>081</v>
          </cell>
          <cell r="M238" t="str">
            <v>08</v>
          </cell>
          <cell r="N238">
            <v>2</v>
          </cell>
          <cell r="O238">
            <v>1</v>
          </cell>
        </row>
        <row r="239">
          <cell r="A239">
            <v>6804501</v>
          </cell>
          <cell r="B239" t="str">
            <v>CEREJA</v>
          </cell>
          <cell r="C239">
            <v>99</v>
          </cell>
          <cell r="D239" t="str">
            <v>nao se aplica</v>
          </cell>
          <cell r="E239">
            <v>21</v>
          </cell>
          <cell r="F239" t="str">
            <v>Fruta</v>
          </cell>
          <cell r="G239">
            <v>0</v>
          </cell>
          <cell r="H239">
            <v>6804501</v>
          </cell>
          <cell r="I239" t="str">
            <v>080920</v>
          </cell>
          <cell r="J239" t="str">
            <v>08092</v>
          </cell>
          <cell r="K239" t="str">
            <v>0809</v>
          </cell>
          <cell r="L239" t="str">
            <v>080</v>
          </cell>
          <cell r="M239" t="str">
            <v>08</v>
          </cell>
          <cell r="N239">
            <v>2</v>
          </cell>
          <cell r="O239">
            <v>1</v>
          </cell>
        </row>
        <row r="240">
          <cell r="A240">
            <v>6804601</v>
          </cell>
          <cell r="B240" t="str">
            <v>CAJA MANGA</v>
          </cell>
          <cell r="C240">
            <v>99</v>
          </cell>
          <cell r="D240" t="str">
            <v>nao se aplica</v>
          </cell>
          <cell r="E240">
            <v>21</v>
          </cell>
          <cell r="F240" t="str">
            <v>Fruta</v>
          </cell>
          <cell r="G240">
            <v>0</v>
          </cell>
          <cell r="H240">
            <v>6804601</v>
          </cell>
          <cell r="I240" t="str">
            <v>081090</v>
          </cell>
          <cell r="J240" t="str">
            <v>08109</v>
          </cell>
          <cell r="K240" t="str">
            <v>0810</v>
          </cell>
          <cell r="L240" t="str">
            <v>081</v>
          </cell>
          <cell r="M240" t="str">
            <v>08</v>
          </cell>
          <cell r="N240">
            <v>2</v>
          </cell>
          <cell r="O240">
            <v>1</v>
          </cell>
        </row>
        <row r="241">
          <cell r="A241">
            <v>6804602</v>
          </cell>
          <cell r="B241" t="str">
            <v>CAJARANA</v>
          </cell>
          <cell r="C241">
            <v>99</v>
          </cell>
          <cell r="D241" t="str">
            <v>nao se aplica</v>
          </cell>
          <cell r="E241">
            <v>21</v>
          </cell>
          <cell r="F241" t="str">
            <v>Fruta</v>
          </cell>
          <cell r="G241">
            <v>0</v>
          </cell>
          <cell r="H241" t="e">
            <v>#N/A</v>
          </cell>
          <cell r="I241" t="str">
            <v>081090</v>
          </cell>
          <cell r="J241" t="str">
            <v>08109</v>
          </cell>
          <cell r="K241" t="str">
            <v>0810</v>
          </cell>
          <cell r="L241" t="str">
            <v>081</v>
          </cell>
          <cell r="M241" t="str">
            <v>08</v>
          </cell>
          <cell r="N241">
            <v>2</v>
          </cell>
          <cell r="O241">
            <v>1</v>
          </cell>
        </row>
        <row r="242">
          <cell r="A242">
            <v>6804701</v>
          </cell>
          <cell r="B242" t="str">
            <v>TAPEREBA</v>
          </cell>
          <cell r="C242">
            <v>99</v>
          </cell>
          <cell r="D242" t="str">
            <v>nao se aplica</v>
          </cell>
          <cell r="E242">
            <v>21</v>
          </cell>
          <cell r="F242" t="str">
            <v>Fruta</v>
          </cell>
          <cell r="G242">
            <v>0</v>
          </cell>
          <cell r="H242" t="e">
            <v>#N/A</v>
          </cell>
          <cell r="I242" t="str">
            <v>081090</v>
          </cell>
          <cell r="J242" t="str">
            <v>08109</v>
          </cell>
          <cell r="K242" t="str">
            <v>0810</v>
          </cell>
          <cell r="L242" t="str">
            <v>081</v>
          </cell>
          <cell r="M242" t="str">
            <v>08</v>
          </cell>
          <cell r="N242">
            <v>2</v>
          </cell>
          <cell r="O242">
            <v>1</v>
          </cell>
        </row>
        <row r="243">
          <cell r="A243">
            <v>6804705</v>
          </cell>
          <cell r="B243" t="str">
            <v>CAJA</v>
          </cell>
          <cell r="C243">
            <v>99</v>
          </cell>
          <cell r="D243" t="str">
            <v>nao se aplica</v>
          </cell>
          <cell r="E243">
            <v>21</v>
          </cell>
          <cell r="F243" t="str">
            <v>Fruta</v>
          </cell>
          <cell r="G243">
            <v>0</v>
          </cell>
          <cell r="H243">
            <v>6804705</v>
          </cell>
          <cell r="I243" t="str">
            <v>081090</v>
          </cell>
          <cell r="J243" t="str">
            <v>08109</v>
          </cell>
          <cell r="K243" t="str">
            <v>0810</v>
          </cell>
          <cell r="L243" t="str">
            <v>081</v>
          </cell>
          <cell r="M243" t="str">
            <v>08</v>
          </cell>
          <cell r="N243">
            <v>2</v>
          </cell>
          <cell r="O243">
            <v>1</v>
          </cell>
        </row>
        <row r="244">
          <cell r="A244">
            <v>6804801</v>
          </cell>
          <cell r="B244" t="str">
            <v>CARAMBOLA</v>
          </cell>
          <cell r="C244">
            <v>99</v>
          </cell>
          <cell r="D244" t="str">
            <v>nao se aplica</v>
          </cell>
          <cell r="E244">
            <v>21</v>
          </cell>
          <cell r="F244" t="str">
            <v>Fruta</v>
          </cell>
          <cell r="G244">
            <v>0</v>
          </cell>
          <cell r="H244">
            <v>6804801</v>
          </cell>
          <cell r="I244" t="str">
            <v>081090</v>
          </cell>
          <cell r="J244" t="str">
            <v>08109</v>
          </cell>
          <cell r="K244" t="str">
            <v>0810</v>
          </cell>
          <cell r="L244" t="str">
            <v>081</v>
          </cell>
          <cell r="M244" t="str">
            <v>08</v>
          </cell>
          <cell r="N244">
            <v>2</v>
          </cell>
          <cell r="O244">
            <v>1</v>
          </cell>
        </row>
        <row r="245">
          <cell r="A245">
            <v>6804908</v>
          </cell>
          <cell r="B245" t="str">
            <v>JABUTICABA / JABOTICABA</v>
          </cell>
          <cell r="C245">
            <v>99</v>
          </cell>
          <cell r="D245" t="str">
            <v>nao se aplica</v>
          </cell>
          <cell r="E245">
            <v>21</v>
          </cell>
          <cell r="F245" t="str">
            <v>Fruta</v>
          </cell>
          <cell r="G245">
            <v>0</v>
          </cell>
          <cell r="H245">
            <v>6804908</v>
          </cell>
          <cell r="I245" t="str">
            <v>081090</v>
          </cell>
          <cell r="J245" t="str">
            <v>08109</v>
          </cell>
          <cell r="K245" t="str">
            <v>0810</v>
          </cell>
          <cell r="L245" t="str">
            <v>081</v>
          </cell>
          <cell r="M245" t="str">
            <v>08</v>
          </cell>
          <cell r="N245">
            <v>2</v>
          </cell>
          <cell r="O245">
            <v>1</v>
          </cell>
        </row>
        <row r="246">
          <cell r="A246">
            <v>6805001</v>
          </cell>
          <cell r="B246" t="str">
            <v>GRAVIOLA</v>
          </cell>
          <cell r="C246">
            <v>99</v>
          </cell>
          <cell r="D246" t="str">
            <v>nao se aplica</v>
          </cell>
          <cell r="E246">
            <v>21</v>
          </cell>
          <cell r="F246" t="str">
            <v>Fruta</v>
          </cell>
          <cell r="G246">
            <v>0</v>
          </cell>
          <cell r="H246">
            <v>6805001</v>
          </cell>
          <cell r="I246" t="str">
            <v>081090</v>
          </cell>
          <cell r="J246" t="str">
            <v>08109</v>
          </cell>
          <cell r="K246" t="str">
            <v>0810</v>
          </cell>
          <cell r="L246" t="str">
            <v>081</v>
          </cell>
          <cell r="M246" t="str">
            <v>08</v>
          </cell>
          <cell r="N246">
            <v>2</v>
          </cell>
          <cell r="O246">
            <v>1</v>
          </cell>
        </row>
        <row r="247">
          <cell r="A247">
            <v>6805101</v>
          </cell>
          <cell r="B247" t="str">
            <v>ARATICUM</v>
          </cell>
          <cell r="C247">
            <v>99</v>
          </cell>
          <cell r="D247" t="str">
            <v>nao se aplica</v>
          </cell>
          <cell r="E247">
            <v>21</v>
          </cell>
          <cell r="F247" t="str">
            <v>Fruta</v>
          </cell>
          <cell r="G247">
            <v>0</v>
          </cell>
          <cell r="H247" t="e">
            <v>#N/A</v>
          </cell>
          <cell r="I247" t="str">
            <v>081090</v>
          </cell>
          <cell r="J247" t="str">
            <v>08109</v>
          </cell>
          <cell r="K247" t="str">
            <v>0810</v>
          </cell>
          <cell r="L247" t="str">
            <v>081</v>
          </cell>
          <cell r="M247" t="str">
            <v>08</v>
          </cell>
          <cell r="N247">
            <v>2</v>
          </cell>
          <cell r="O247">
            <v>1</v>
          </cell>
        </row>
        <row r="248">
          <cell r="A248">
            <v>6805201</v>
          </cell>
          <cell r="B248" t="str">
            <v>MORANGO</v>
          </cell>
          <cell r="C248">
            <v>99</v>
          </cell>
          <cell r="D248" t="str">
            <v>nao se aplica</v>
          </cell>
          <cell r="E248">
            <v>21</v>
          </cell>
          <cell r="F248" t="str">
            <v>Fruta</v>
          </cell>
          <cell r="G248">
            <v>0</v>
          </cell>
          <cell r="H248">
            <v>6805201</v>
          </cell>
          <cell r="I248" t="str">
            <v>081010</v>
          </cell>
          <cell r="J248" t="str">
            <v>08101</v>
          </cell>
          <cell r="K248" t="str">
            <v>0810</v>
          </cell>
          <cell r="L248" t="str">
            <v>081</v>
          </cell>
          <cell r="M248" t="str">
            <v>08</v>
          </cell>
          <cell r="N248">
            <v>2</v>
          </cell>
          <cell r="O248">
            <v>1</v>
          </cell>
        </row>
        <row r="249">
          <cell r="A249">
            <v>6805301</v>
          </cell>
          <cell r="B249" t="str">
            <v>JAMBO</v>
          </cell>
          <cell r="C249">
            <v>99</v>
          </cell>
          <cell r="D249" t="str">
            <v>nao se aplica</v>
          </cell>
          <cell r="E249">
            <v>21</v>
          </cell>
          <cell r="F249" t="str">
            <v>Fruta</v>
          </cell>
          <cell r="G249">
            <v>0</v>
          </cell>
          <cell r="H249">
            <v>6805301</v>
          </cell>
          <cell r="I249" t="str">
            <v>081090</v>
          </cell>
          <cell r="J249" t="str">
            <v>08109</v>
          </cell>
          <cell r="K249" t="str">
            <v>0810</v>
          </cell>
          <cell r="L249" t="str">
            <v>081</v>
          </cell>
          <cell r="M249" t="str">
            <v>08</v>
          </cell>
          <cell r="N249">
            <v>2</v>
          </cell>
          <cell r="O249">
            <v>1</v>
          </cell>
        </row>
        <row r="250">
          <cell r="A250">
            <v>6805401</v>
          </cell>
          <cell r="B250" t="str">
            <v>ATEMOIA</v>
          </cell>
          <cell r="C250">
            <v>99</v>
          </cell>
          <cell r="D250" t="str">
            <v>nao se aplica</v>
          </cell>
          <cell r="E250">
            <v>21</v>
          </cell>
          <cell r="F250" t="str">
            <v>Fruta</v>
          </cell>
          <cell r="G250">
            <v>0</v>
          </cell>
          <cell r="H250">
            <v>6805401</v>
          </cell>
          <cell r="I250" t="str">
            <v>081090</v>
          </cell>
          <cell r="J250" t="str">
            <v>08109</v>
          </cell>
          <cell r="K250" t="str">
            <v>0810</v>
          </cell>
          <cell r="L250" t="str">
            <v>081</v>
          </cell>
          <cell r="M250" t="str">
            <v>08</v>
          </cell>
          <cell r="N250">
            <v>2</v>
          </cell>
          <cell r="O250">
            <v>1</v>
          </cell>
        </row>
        <row r="251">
          <cell r="A251">
            <v>6805501</v>
          </cell>
          <cell r="B251" t="str">
            <v>GROSELHA</v>
          </cell>
          <cell r="C251">
            <v>99</v>
          </cell>
          <cell r="D251" t="str">
            <v>nao se aplica</v>
          </cell>
          <cell r="E251">
            <v>21</v>
          </cell>
          <cell r="F251" t="str">
            <v>Fruta</v>
          </cell>
          <cell r="G251">
            <v>0</v>
          </cell>
          <cell r="H251" t="e">
            <v>#N/A</v>
          </cell>
          <cell r="I251" t="str">
            <v>081090</v>
          </cell>
          <cell r="J251" t="str">
            <v>08109</v>
          </cell>
          <cell r="K251" t="str">
            <v>0810</v>
          </cell>
          <cell r="L251" t="str">
            <v>081</v>
          </cell>
          <cell r="M251" t="str">
            <v>08</v>
          </cell>
          <cell r="N251">
            <v>2</v>
          </cell>
          <cell r="O251">
            <v>1</v>
          </cell>
        </row>
        <row r="252">
          <cell r="A252">
            <v>6805601</v>
          </cell>
          <cell r="B252" t="str">
            <v>MANGABA</v>
          </cell>
          <cell r="C252">
            <v>99</v>
          </cell>
          <cell r="D252" t="str">
            <v>nao se aplica</v>
          </cell>
          <cell r="E252">
            <v>21</v>
          </cell>
          <cell r="F252" t="str">
            <v>Fruta</v>
          </cell>
          <cell r="G252">
            <v>0</v>
          </cell>
          <cell r="H252">
            <v>6805601</v>
          </cell>
          <cell r="I252" t="str">
            <v>081090</v>
          </cell>
          <cell r="J252" t="str">
            <v>08109</v>
          </cell>
          <cell r="K252" t="str">
            <v>0810</v>
          </cell>
          <cell r="L252" t="str">
            <v>081</v>
          </cell>
          <cell r="M252" t="str">
            <v>08</v>
          </cell>
          <cell r="N252">
            <v>2</v>
          </cell>
          <cell r="O252">
            <v>1</v>
          </cell>
        </row>
        <row r="253">
          <cell r="A253">
            <v>6805701</v>
          </cell>
          <cell r="B253" t="str">
            <v>ARACA</v>
          </cell>
          <cell r="C253">
            <v>99</v>
          </cell>
          <cell r="D253" t="str">
            <v>nao se aplica</v>
          </cell>
          <cell r="E253">
            <v>21</v>
          </cell>
          <cell r="F253" t="str">
            <v>Fruta</v>
          </cell>
          <cell r="G253">
            <v>0</v>
          </cell>
          <cell r="H253" t="e">
            <v>#N/A</v>
          </cell>
          <cell r="I253" t="str">
            <v>081090</v>
          </cell>
          <cell r="J253" t="str">
            <v>08109</v>
          </cell>
          <cell r="K253" t="str">
            <v>0810</v>
          </cell>
          <cell r="L253" t="str">
            <v>081</v>
          </cell>
          <cell r="M253" t="str">
            <v>08</v>
          </cell>
          <cell r="N253">
            <v>2</v>
          </cell>
          <cell r="O253">
            <v>1</v>
          </cell>
        </row>
        <row r="254">
          <cell r="A254">
            <v>6805901</v>
          </cell>
          <cell r="B254" t="str">
            <v>FRUTA PAO</v>
          </cell>
          <cell r="C254">
            <v>3</v>
          </cell>
          <cell r="D254" t="str">
            <v>cozido(a) sem gordura</v>
          </cell>
          <cell r="E254">
            <v>21</v>
          </cell>
          <cell r="F254" t="str">
            <v>Fruta</v>
          </cell>
          <cell r="G254">
            <v>0</v>
          </cell>
          <cell r="H254">
            <v>6805901</v>
          </cell>
          <cell r="I254" t="str">
            <v>081090</v>
          </cell>
          <cell r="J254" t="str">
            <v>08109</v>
          </cell>
          <cell r="K254" t="str">
            <v>0810</v>
          </cell>
          <cell r="L254" t="str">
            <v>081</v>
          </cell>
          <cell r="M254" t="str">
            <v>08</v>
          </cell>
          <cell r="N254">
            <v>2</v>
          </cell>
          <cell r="O254">
            <v>1</v>
          </cell>
        </row>
        <row r="255">
          <cell r="A255">
            <v>6806001</v>
          </cell>
          <cell r="B255" t="str">
            <v>SAPOTI</v>
          </cell>
          <cell r="C255">
            <v>99</v>
          </cell>
          <cell r="D255" t="str">
            <v>nao se aplica</v>
          </cell>
          <cell r="E255">
            <v>21</v>
          </cell>
          <cell r="F255" t="str">
            <v>Fruta</v>
          </cell>
          <cell r="G255">
            <v>0</v>
          </cell>
          <cell r="H255" t="e">
            <v>#N/A</v>
          </cell>
          <cell r="I255" t="str">
            <v>081090</v>
          </cell>
          <cell r="J255" t="str">
            <v>08109</v>
          </cell>
          <cell r="K255" t="str">
            <v>0810</v>
          </cell>
          <cell r="L255" t="str">
            <v>081</v>
          </cell>
          <cell r="M255" t="str">
            <v>08</v>
          </cell>
          <cell r="N255">
            <v>2</v>
          </cell>
          <cell r="O255">
            <v>1</v>
          </cell>
        </row>
        <row r="256">
          <cell r="A256">
            <v>6806101</v>
          </cell>
          <cell r="B256" t="str">
            <v>UXI</v>
          </cell>
          <cell r="C256">
            <v>99</v>
          </cell>
          <cell r="D256" t="str">
            <v>nao se aplica</v>
          </cell>
          <cell r="E256">
            <v>21</v>
          </cell>
          <cell r="F256" t="str">
            <v>Fruta</v>
          </cell>
          <cell r="G256">
            <v>0</v>
          </cell>
          <cell r="H256" t="e">
            <v>#N/A</v>
          </cell>
          <cell r="I256" t="str">
            <v>081090</v>
          </cell>
          <cell r="J256" t="str">
            <v>08109</v>
          </cell>
          <cell r="K256" t="str">
            <v>0810</v>
          </cell>
          <cell r="L256" t="str">
            <v>081</v>
          </cell>
          <cell r="M256" t="str">
            <v>08</v>
          </cell>
          <cell r="N256">
            <v>2</v>
          </cell>
          <cell r="O256">
            <v>1</v>
          </cell>
        </row>
        <row r="257">
          <cell r="A257">
            <v>6806201</v>
          </cell>
          <cell r="B257" t="str">
            <v>TAMARINDO</v>
          </cell>
          <cell r="C257">
            <v>99</v>
          </cell>
          <cell r="D257" t="str">
            <v>nao se aplica</v>
          </cell>
          <cell r="E257">
            <v>21</v>
          </cell>
          <cell r="F257" t="str">
            <v>Fruta</v>
          </cell>
          <cell r="G257">
            <v>0</v>
          </cell>
          <cell r="H257">
            <v>6806201</v>
          </cell>
          <cell r="I257" t="str">
            <v>081090</v>
          </cell>
          <cell r="J257" t="str">
            <v>08109</v>
          </cell>
          <cell r="K257" t="str">
            <v>0810</v>
          </cell>
          <cell r="L257" t="str">
            <v>081</v>
          </cell>
          <cell r="M257" t="str">
            <v>08</v>
          </cell>
          <cell r="N257">
            <v>2</v>
          </cell>
          <cell r="O257">
            <v>1</v>
          </cell>
        </row>
        <row r="258">
          <cell r="A258">
            <v>6806301</v>
          </cell>
          <cell r="B258" t="str">
            <v>CACAU</v>
          </cell>
          <cell r="C258">
            <v>99</v>
          </cell>
          <cell r="D258" t="str">
            <v>nao se aplica</v>
          </cell>
          <cell r="E258">
            <v>21</v>
          </cell>
          <cell r="F258" t="str">
            <v>Fruta</v>
          </cell>
          <cell r="G258">
            <v>0</v>
          </cell>
          <cell r="H258">
            <v>6806301</v>
          </cell>
          <cell r="I258" t="str">
            <v>180100</v>
          </cell>
          <cell r="J258" t="str">
            <v>18010</v>
          </cell>
          <cell r="K258" t="str">
            <v>1801</v>
          </cell>
          <cell r="L258" t="str">
            <v>180</v>
          </cell>
          <cell r="M258" t="str">
            <v>18</v>
          </cell>
          <cell r="N258">
            <v>4</v>
          </cell>
          <cell r="O258">
            <v>1</v>
          </cell>
        </row>
        <row r="259">
          <cell r="A259">
            <v>6806401</v>
          </cell>
          <cell r="B259" t="str">
            <v>PITOMBA</v>
          </cell>
          <cell r="C259">
            <v>99</v>
          </cell>
          <cell r="D259" t="str">
            <v>nao se aplica</v>
          </cell>
          <cell r="E259">
            <v>21</v>
          </cell>
          <cell r="F259" t="str">
            <v>Fruta</v>
          </cell>
          <cell r="G259">
            <v>0</v>
          </cell>
          <cell r="H259" t="e">
            <v>#N/A</v>
          </cell>
          <cell r="I259" t="str">
            <v>081090</v>
          </cell>
          <cell r="J259" t="str">
            <v>08109</v>
          </cell>
          <cell r="K259" t="str">
            <v>0810</v>
          </cell>
          <cell r="L259" t="str">
            <v>081</v>
          </cell>
          <cell r="M259" t="str">
            <v>08</v>
          </cell>
          <cell r="N259">
            <v>2</v>
          </cell>
          <cell r="O259">
            <v>1</v>
          </cell>
        </row>
        <row r="260">
          <cell r="A260">
            <v>6806501</v>
          </cell>
          <cell r="B260" t="str">
            <v>BACURI</v>
          </cell>
          <cell r="C260">
            <v>99</v>
          </cell>
          <cell r="D260" t="str">
            <v>nao se aplica</v>
          </cell>
          <cell r="E260">
            <v>21</v>
          </cell>
          <cell r="F260" t="str">
            <v>Fruta</v>
          </cell>
          <cell r="G260">
            <v>0</v>
          </cell>
          <cell r="H260" t="e">
            <v>#N/A</v>
          </cell>
          <cell r="I260" t="str">
            <v>081090</v>
          </cell>
          <cell r="J260" t="str">
            <v>08109</v>
          </cell>
          <cell r="K260" t="str">
            <v>0810</v>
          </cell>
          <cell r="L260" t="str">
            <v>081</v>
          </cell>
          <cell r="M260" t="str">
            <v>08</v>
          </cell>
          <cell r="N260">
            <v>2</v>
          </cell>
          <cell r="O260">
            <v>1</v>
          </cell>
        </row>
        <row r="261">
          <cell r="A261">
            <v>6806601</v>
          </cell>
          <cell r="B261" t="str">
            <v>INGA</v>
          </cell>
          <cell r="C261">
            <v>99</v>
          </cell>
          <cell r="D261" t="str">
            <v>nao se aplica</v>
          </cell>
          <cell r="E261">
            <v>21</v>
          </cell>
          <cell r="F261" t="str">
            <v>Fruta</v>
          </cell>
          <cell r="G261">
            <v>0</v>
          </cell>
          <cell r="H261" t="e">
            <v>#N/A</v>
          </cell>
          <cell r="I261" t="str">
            <v>081090</v>
          </cell>
          <cell r="J261" t="str">
            <v>08109</v>
          </cell>
          <cell r="K261" t="str">
            <v>0810</v>
          </cell>
          <cell r="L261" t="str">
            <v>081</v>
          </cell>
          <cell r="M261" t="str">
            <v>08</v>
          </cell>
          <cell r="N261">
            <v>2</v>
          </cell>
          <cell r="O261">
            <v>1</v>
          </cell>
        </row>
        <row r="262">
          <cell r="A262">
            <v>6806701</v>
          </cell>
          <cell r="B262" t="str">
            <v>PEQUI</v>
          </cell>
          <cell r="C262">
            <v>3</v>
          </cell>
          <cell r="D262" t="str">
            <v>cozido(a) sem gordura</v>
          </cell>
          <cell r="E262">
            <v>21</v>
          </cell>
          <cell r="F262" t="str">
            <v>Fruta</v>
          </cell>
          <cell r="G262">
            <v>0</v>
          </cell>
          <cell r="H262">
            <v>6806701</v>
          </cell>
          <cell r="I262" t="str">
            <v>081090</v>
          </cell>
          <cell r="J262" t="str">
            <v>08109</v>
          </cell>
          <cell r="K262" t="str">
            <v>0810</v>
          </cell>
          <cell r="L262" t="str">
            <v>081</v>
          </cell>
          <cell r="M262" t="str">
            <v>08</v>
          </cell>
          <cell r="N262">
            <v>2</v>
          </cell>
          <cell r="O262">
            <v>1</v>
          </cell>
        </row>
        <row r="263">
          <cell r="A263">
            <v>6806704</v>
          </cell>
          <cell r="B263" t="str">
            <v>PIQUIA</v>
          </cell>
          <cell r="C263">
            <v>3</v>
          </cell>
          <cell r="D263" t="str">
            <v>cozido(a) sem gordura</v>
          </cell>
          <cell r="E263">
            <v>21</v>
          </cell>
          <cell r="F263" t="str">
            <v>Fruta</v>
          </cell>
          <cell r="G263">
            <v>0</v>
          </cell>
          <cell r="H263" t="e">
            <v>#N/A</v>
          </cell>
          <cell r="I263" t="str">
            <v>081090</v>
          </cell>
          <cell r="J263" t="str">
            <v>08109</v>
          </cell>
          <cell r="K263" t="str">
            <v>0810</v>
          </cell>
          <cell r="L263" t="str">
            <v>081</v>
          </cell>
          <cell r="M263" t="str">
            <v>08</v>
          </cell>
          <cell r="N263">
            <v>2</v>
          </cell>
          <cell r="O263">
            <v>1</v>
          </cell>
        </row>
        <row r="264">
          <cell r="A264">
            <v>6806801</v>
          </cell>
          <cell r="B264" t="str">
            <v>PITANGA</v>
          </cell>
          <cell r="C264">
            <v>99</v>
          </cell>
          <cell r="D264" t="str">
            <v>nao se aplica</v>
          </cell>
          <cell r="E264">
            <v>21</v>
          </cell>
          <cell r="F264" t="str">
            <v>Fruta</v>
          </cell>
          <cell r="G264">
            <v>0</v>
          </cell>
          <cell r="H264">
            <v>6806801</v>
          </cell>
          <cell r="I264" t="str">
            <v>081090</v>
          </cell>
          <cell r="J264" t="str">
            <v>08109</v>
          </cell>
          <cell r="K264" t="str">
            <v>0810</v>
          </cell>
          <cell r="L264" t="str">
            <v>081</v>
          </cell>
          <cell r="M264" t="str">
            <v>08</v>
          </cell>
          <cell r="N264">
            <v>2</v>
          </cell>
          <cell r="O264">
            <v>1</v>
          </cell>
        </row>
        <row r="265">
          <cell r="A265">
            <v>6806901</v>
          </cell>
          <cell r="B265" t="str">
            <v>CIRIGUELA</v>
          </cell>
          <cell r="C265">
            <v>99</v>
          </cell>
          <cell r="D265" t="str">
            <v>nao se aplica</v>
          </cell>
          <cell r="E265">
            <v>21</v>
          </cell>
          <cell r="F265" t="str">
            <v>Fruta</v>
          </cell>
          <cell r="G265">
            <v>0</v>
          </cell>
          <cell r="H265">
            <v>6806901</v>
          </cell>
          <cell r="I265" t="str">
            <v>081090</v>
          </cell>
          <cell r="J265" t="str">
            <v>08109</v>
          </cell>
          <cell r="K265" t="str">
            <v>0810</v>
          </cell>
          <cell r="L265" t="str">
            <v>081</v>
          </cell>
          <cell r="M265" t="str">
            <v>08</v>
          </cell>
          <cell r="N265">
            <v>2</v>
          </cell>
          <cell r="O265">
            <v>1</v>
          </cell>
        </row>
        <row r="266">
          <cell r="A266">
            <v>6806902</v>
          </cell>
          <cell r="B266" t="str">
            <v>CERIGUELA / SERIGUELA / SIRIGUELA</v>
          </cell>
          <cell r="C266">
            <v>99</v>
          </cell>
          <cell r="D266" t="str">
            <v>nao se aplica</v>
          </cell>
          <cell r="E266">
            <v>21</v>
          </cell>
          <cell r="F266" t="str">
            <v>Fruta</v>
          </cell>
          <cell r="G266">
            <v>0</v>
          </cell>
          <cell r="H266" t="e">
            <v>#N/A</v>
          </cell>
          <cell r="I266" t="str">
            <v>081090</v>
          </cell>
          <cell r="J266" t="str">
            <v>08109</v>
          </cell>
          <cell r="K266" t="str">
            <v>0810</v>
          </cell>
          <cell r="L266" t="str">
            <v>081</v>
          </cell>
          <cell r="M266" t="str">
            <v>08</v>
          </cell>
          <cell r="N266">
            <v>2</v>
          </cell>
          <cell r="O266">
            <v>1</v>
          </cell>
        </row>
        <row r="267">
          <cell r="A267">
            <v>6807001</v>
          </cell>
          <cell r="B267" t="str">
            <v>MURICI</v>
          </cell>
          <cell r="C267">
            <v>99</v>
          </cell>
          <cell r="D267" t="str">
            <v>nao se aplica</v>
          </cell>
          <cell r="E267">
            <v>21</v>
          </cell>
          <cell r="F267" t="str">
            <v>Fruta</v>
          </cell>
          <cell r="G267">
            <v>0</v>
          </cell>
          <cell r="H267" t="e">
            <v>#N/A</v>
          </cell>
          <cell r="I267" t="str">
            <v>081090</v>
          </cell>
          <cell r="J267" t="str">
            <v>08109</v>
          </cell>
          <cell r="K267" t="str">
            <v>0810</v>
          </cell>
          <cell r="L267" t="str">
            <v>081</v>
          </cell>
          <cell r="M267" t="str">
            <v>08</v>
          </cell>
          <cell r="N267">
            <v>2</v>
          </cell>
          <cell r="O267">
            <v>1</v>
          </cell>
        </row>
        <row r="268">
          <cell r="A268">
            <v>6807101</v>
          </cell>
          <cell r="B268" t="str">
            <v>UMBU</v>
          </cell>
          <cell r="C268">
            <v>99</v>
          </cell>
          <cell r="D268" t="str">
            <v>nao se aplica</v>
          </cell>
          <cell r="E268">
            <v>21</v>
          </cell>
          <cell r="F268" t="str">
            <v>Fruta</v>
          </cell>
          <cell r="G268">
            <v>0</v>
          </cell>
          <cell r="H268">
            <v>6807101</v>
          </cell>
          <cell r="I268" t="str">
            <v>081090</v>
          </cell>
          <cell r="J268" t="str">
            <v>08109</v>
          </cell>
          <cell r="K268" t="str">
            <v>0810</v>
          </cell>
          <cell r="L268" t="str">
            <v>081</v>
          </cell>
          <cell r="M268" t="str">
            <v>08</v>
          </cell>
          <cell r="N268">
            <v>2</v>
          </cell>
          <cell r="O268">
            <v>1</v>
          </cell>
        </row>
        <row r="269">
          <cell r="A269">
            <v>6807202</v>
          </cell>
          <cell r="B269" t="str">
            <v>BIRIBA</v>
          </cell>
          <cell r="C269">
            <v>99</v>
          </cell>
          <cell r="D269" t="str">
            <v>nao se aplica</v>
          </cell>
          <cell r="E269">
            <v>21</v>
          </cell>
          <cell r="F269" t="str">
            <v>Fruta</v>
          </cell>
          <cell r="G269">
            <v>0</v>
          </cell>
          <cell r="H269" t="e">
            <v>#N/A</v>
          </cell>
          <cell r="I269" t="str">
            <v>081090</v>
          </cell>
          <cell r="J269" t="str">
            <v>08109</v>
          </cell>
          <cell r="K269" t="str">
            <v>0810</v>
          </cell>
          <cell r="L269" t="str">
            <v>081</v>
          </cell>
          <cell r="M269" t="str">
            <v>08</v>
          </cell>
          <cell r="N269">
            <v>2</v>
          </cell>
          <cell r="O269">
            <v>1</v>
          </cell>
        </row>
        <row r="270">
          <cell r="A270">
            <v>6807301</v>
          </cell>
          <cell r="B270" t="str">
            <v>CUPUACU</v>
          </cell>
          <cell r="C270">
            <v>99</v>
          </cell>
          <cell r="D270" t="str">
            <v>nao se aplica</v>
          </cell>
          <cell r="E270">
            <v>21</v>
          </cell>
          <cell r="F270" t="str">
            <v>Fruta</v>
          </cell>
          <cell r="G270">
            <v>0</v>
          </cell>
          <cell r="H270">
            <v>6807301</v>
          </cell>
          <cell r="I270" t="str">
            <v>081090</v>
          </cell>
          <cell r="J270" t="str">
            <v>08109</v>
          </cell>
          <cell r="K270" t="str">
            <v>0810</v>
          </cell>
          <cell r="L270" t="str">
            <v>081</v>
          </cell>
          <cell r="M270" t="str">
            <v>08</v>
          </cell>
          <cell r="N270">
            <v>2</v>
          </cell>
          <cell r="O270">
            <v>1</v>
          </cell>
        </row>
        <row r="271">
          <cell r="A271">
            <v>6807401</v>
          </cell>
          <cell r="B271" t="str">
            <v>NECTARINA</v>
          </cell>
          <cell r="C271">
            <v>99</v>
          </cell>
          <cell r="D271" t="str">
            <v>nao se aplica</v>
          </cell>
          <cell r="E271">
            <v>21</v>
          </cell>
          <cell r="F271" t="str">
            <v>Fruta</v>
          </cell>
          <cell r="G271">
            <v>0</v>
          </cell>
          <cell r="H271" t="e">
            <v>#N/A</v>
          </cell>
          <cell r="I271" t="str">
            <v>080930</v>
          </cell>
          <cell r="J271" t="str">
            <v>08093</v>
          </cell>
          <cell r="K271" t="str">
            <v>0809</v>
          </cell>
          <cell r="L271" t="str">
            <v>080</v>
          </cell>
          <cell r="M271" t="str">
            <v>08</v>
          </cell>
          <cell r="N271">
            <v>2</v>
          </cell>
          <cell r="O271">
            <v>1</v>
          </cell>
        </row>
        <row r="272">
          <cell r="A272">
            <v>6807501</v>
          </cell>
          <cell r="B272" t="str">
            <v>MARI</v>
          </cell>
          <cell r="C272">
            <v>99</v>
          </cell>
          <cell r="D272" t="str">
            <v>nao se aplica</v>
          </cell>
          <cell r="E272">
            <v>21</v>
          </cell>
          <cell r="F272" t="str">
            <v>Fruta</v>
          </cell>
          <cell r="G272">
            <v>0</v>
          </cell>
          <cell r="H272" t="e">
            <v>#N/A</v>
          </cell>
          <cell r="I272" t="str">
            <v>081090</v>
          </cell>
          <cell r="J272" t="str">
            <v>08109</v>
          </cell>
          <cell r="K272" t="str">
            <v>0810</v>
          </cell>
          <cell r="L272" t="str">
            <v>081</v>
          </cell>
          <cell r="M272" t="str">
            <v>08</v>
          </cell>
          <cell r="N272">
            <v>2</v>
          </cell>
          <cell r="O272">
            <v>1</v>
          </cell>
        </row>
        <row r="273">
          <cell r="A273">
            <v>6807701</v>
          </cell>
          <cell r="B273" t="str">
            <v>ACEROLA</v>
          </cell>
          <cell r="C273">
            <v>99</v>
          </cell>
          <cell r="D273" t="str">
            <v>nao se aplica</v>
          </cell>
          <cell r="E273">
            <v>21</v>
          </cell>
          <cell r="F273" t="str">
            <v>Fruta</v>
          </cell>
          <cell r="G273">
            <v>0</v>
          </cell>
          <cell r="H273">
            <v>6807701</v>
          </cell>
          <cell r="I273" t="str">
            <v>081090</v>
          </cell>
          <cell r="J273" t="str">
            <v>08109</v>
          </cell>
          <cell r="K273" t="str">
            <v>0810</v>
          </cell>
          <cell r="L273" t="str">
            <v>081</v>
          </cell>
          <cell r="M273" t="str">
            <v>08</v>
          </cell>
          <cell r="N273">
            <v>2</v>
          </cell>
          <cell r="O273">
            <v>1</v>
          </cell>
        </row>
        <row r="274">
          <cell r="A274">
            <v>6807801</v>
          </cell>
          <cell r="B274" t="str">
            <v>KIWI</v>
          </cell>
          <cell r="C274">
            <v>99</v>
          </cell>
          <cell r="D274" t="str">
            <v>nao se aplica</v>
          </cell>
          <cell r="E274">
            <v>21</v>
          </cell>
          <cell r="F274" t="str">
            <v>Fruta</v>
          </cell>
          <cell r="G274">
            <v>0</v>
          </cell>
          <cell r="H274">
            <v>6807801</v>
          </cell>
          <cell r="I274" t="str">
            <v>081050</v>
          </cell>
          <cell r="J274" t="str">
            <v>08105</v>
          </cell>
          <cell r="K274" t="str">
            <v>0810</v>
          </cell>
          <cell r="L274" t="str">
            <v>081</v>
          </cell>
          <cell r="M274" t="str">
            <v>08</v>
          </cell>
          <cell r="N274">
            <v>2</v>
          </cell>
          <cell r="O274">
            <v>1</v>
          </cell>
        </row>
        <row r="275">
          <cell r="A275">
            <v>6808001</v>
          </cell>
          <cell r="B275" t="str">
            <v>ABIU</v>
          </cell>
          <cell r="C275">
            <v>99</v>
          </cell>
          <cell r="D275" t="str">
            <v>nao se aplica</v>
          </cell>
          <cell r="E275">
            <v>21</v>
          </cell>
          <cell r="F275" t="str">
            <v>Fruta</v>
          </cell>
          <cell r="G275">
            <v>0</v>
          </cell>
          <cell r="H275" t="e">
            <v>#N/A</v>
          </cell>
          <cell r="I275" t="str">
            <v>081090</v>
          </cell>
          <cell r="J275" t="str">
            <v>08109</v>
          </cell>
          <cell r="K275" t="str">
            <v>0810</v>
          </cell>
          <cell r="L275" t="str">
            <v>081</v>
          </cell>
          <cell r="M275" t="str">
            <v>08</v>
          </cell>
          <cell r="N275">
            <v>2</v>
          </cell>
          <cell r="O275">
            <v>1</v>
          </cell>
        </row>
        <row r="276">
          <cell r="A276">
            <v>6808101</v>
          </cell>
          <cell r="B276" t="str">
            <v>ABRICO</v>
          </cell>
          <cell r="C276">
            <v>99</v>
          </cell>
          <cell r="D276" t="str">
            <v>nao se aplica</v>
          </cell>
          <cell r="E276">
            <v>21</v>
          </cell>
          <cell r="F276" t="str">
            <v>Fruta</v>
          </cell>
          <cell r="G276">
            <v>0</v>
          </cell>
          <cell r="H276" t="e">
            <v>#N/A</v>
          </cell>
          <cell r="I276" t="str">
            <v>081090</v>
          </cell>
          <cell r="J276" t="str">
            <v>08109</v>
          </cell>
          <cell r="K276" t="str">
            <v>0810</v>
          </cell>
          <cell r="L276" t="str">
            <v>081</v>
          </cell>
          <cell r="M276" t="str">
            <v>08</v>
          </cell>
          <cell r="N276">
            <v>2</v>
          </cell>
          <cell r="O276">
            <v>1</v>
          </cell>
        </row>
        <row r="277">
          <cell r="A277">
            <v>6808201</v>
          </cell>
          <cell r="B277" t="str">
            <v>JURUBEBA</v>
          </cell>
          <cell r="C277">
            <v>99</v>
          </cell>
          <cell r="D277" t="str">
            <v>nao se aplica</v>
          </cell>
          <cell r="E277">
            <v>21</v>
          </cell>
          <cell r="F277" t="str">
            <v>Fruta</v>
          </cell>
          <cell r="G277">
            <v>0</v>
          </cell>
          <cell r="H277">
            <v>6808201</v>
          </cell>
          <cell r="I277" t="str">
            <v>081090</v>
          </cell>
          <cell r="J277" t="str">
            <v>08109</v>
          </cell>
          <cell r="K277" t="str">
            <v>0810</v>
          </cell>
          <cell r="L277" t="str">
            <v>081</v>
          </cell>
          <cell r="M277" t="str">
            <v>08</v>
          </cell>
          <cell r="N277">
            <v>2</v>
          </cell>
          <cell r="O277">
            <v>1</v>
          </cell>
        </row>
        <row r="278">
          <cell r="A278">
            <v>6808401</v>
          </cell>
          <cell r="B278" t="str">
            <v>FRUTA (NÃO ESPECIFICADA)</v>
          </cell>
          <cell r="C278">
            <v>99</v>
          </cell>
          <cell r="D278" t="str">
            <v>nao se aplica</v>
          </cell>
          <cell r="G278">
            <v>0</v>
          </cell>
          <cell r="H278">
            <v>0</v>
          </cell>
          <cell r="I278" t="str">
            <v>081090</v>
          </cell>
          <cell r="J278" t="str">
            <v>08109</v>
          </cell>
          <cell r="K278" t="str">
            <v>0810</v>
          </cell>
          <cell r="L278" t="str">
            <v>081</v>
          </cell>
          <cell r="M278" t="str">
            <v>08</v>
          </cell>
          <cell r="N278">
            <v>2</v>
          </cell>
          <cell r="O278">
            <v>1</v>
          </cell>
        </row>
        <row r="279">
          <cell r="A279">
            <v>6809901</v>
          </cell>
          <cell r="B279" t="str">
            <v>AMORA</v>
          </cell>
          <cell r="C279">
            <v>99</v>
          </cell>
          <cell r="D279" t="str">
            <v>nao se aplica</v>
          </cell>
          <cell r="E279">
            <v>21</v>
          </cell>
          <cell r="F279" t="str">
            <v>Fruta</v>
          </cell>
          <cell r="G279">
            <v>0</v>
          </cell>
          <cell r="H279">
            <v>6809901</v>
          </cell>
          <cell r="I279" t="str">
            <v>081090</v>
          </cell>
          <cell r="J279" t="str">
            <v>08109</v>
          </cell>
          <cell r="K279" t="str">
            <v>0810</v>
          </cell>
          <cell r="L279" t="str">
            <v>081</v>
          </cell>
          <cell r="M279" t="str">
            <v>08</v>
          </cell>
          <cell r="N279">
            <v>2</v>
          </cell>
          <cell r="O279">
            <v>1</v>
          </cell>
        </row>
        <row r="280">
          <cell r="A280">
            <v>6810001</v>
          </cell>
          <cell r="B280" t="str">
            <v>LICHIA</v>
          </cell>
          <cell r="C280">
            <v>99</v>
          </cell>
          <cell r="D280" t="str">
            <v>nao se aplica</v>
          </cell>
          <cell r="E280">
            <v>21</v>
          </cell>
          <cell r="F280" t="str">
            <v>Fruta</v>
          </cell>
          <cell r="G280">
            <v>0</v>
          </cell>
          <cell r="H280" t="e">
            <v>#N/A</v>
          </cell>
          <cell r="I280" t="str">
            <v>081090</v>
          </cell>
          <cell r="J280" t="str">
            <v>08109</v>
          </cell>
          <cell r="K280" t="str">
            <v>0810</v>
          </cell>
          <cell r="L280" t="str">
            <v>081</v>
          </cell>
          <cell r="M280" t="str">
            <v>08</v>
          </cell>
          <cell r="N280">
            <v>2</v>
          </cell>
          <cell r="O280">
            <v>1</v>
          </cell>
        </row>
        <row r="281">
          <cell r="A281">
            <v>6810201</v>
          </cell>
          <cell r="B281" t="str">
            <v>JAMELAO (JAMBURAO)</v>
          </cell>
          <cell r="C281">
            <v>99</v>
          </cell>
          <cell r="D281" t="str">
            <v>nao se aplica</v>
          </cell>
          <cell r="E281">
            <v>21</v>
          </cell>
          <cell r="F281" t="str">
            <v>Fruta</v>
          </cell>
          <cell r="G281">
            <v>0</v>
          </cell>
          <cell r="H281">
            <v>6810201</v>
          </cell>
          <cell r="I281" t="str">
            <v>081090</v>
          </cell>
          <cell r="J281" t="str">
            <v>08109</v>
          </cell>
          <cell r="K281" t="str">
            <v>0810</v>
          </cell>
          <cell r="L281" t="str">
            <v>081</v>
          </cell>
          <cell r="M281" t="str">
            <v>08</v>
          </cell>
          <cell r="N281">
            <v>2</v>
          </cell>
          <cell r="O281">
            <v>1</v>
          </cell>
        </row>
        <row r="282">
          <cell r="A282">
            <v>6810402</v>
          </cell>
          <cell r="B282" t="str">
            <v>FISALIS</v>
          </cell>
          <cell r="C282">
            <v>99</v>
          </cell>
          <cell r="D282" t="str">
            <v>nao se aplica</v>
          </cell>
          <cell r="E282">
            <v>21</v>
          </cell>
          <cell r="F282" t="str">
            <v>Fruta</v>
          </cell>
          <cell r="G282">
            <v>0</v>
          </cell>
          <cell r="H282" t="e">
            <v>#N/A</v>
          </cell>
          <cell r="I282" t="str">
            <v>081090</v>
          </cell>
          <cell r="J282" t="str">
            <v>08109</v>
          </cell>
          <cell r="K282" t="str">
            <v>0810</v>
          </cell>
          <cell r="L282" t="str">
            <v>081</v>
          </cell>
          <cell r="M282" t="str">
            <v>08</v>
          </cell>
          <cell r="N282">
            <v>2</v>
          </cell>
          <cell r="O282">
            <v>1</v>
          </cell>
        </row>
        <row r="283">
          <cell r="A283">
            <v>6810501</v>
          </cell>
          <cell r="B283" t="str">
            <v>CRANBERRY</v>
          </cell>
          <cell r="C283">
            <v>99</v>
          </cell>
          <cell r="D283" t="str">
            <v>nao se aplica</v>
          </cell>
          <cell r="E283">
            <v>21</v>
          </cell>
          <cell r="F283" t="str">
            <v>Fruta</v>
          </cell>
          <cell r="G283">
            <v>0</v>
          </cell>
          <cell r="H283" t="e">
            <v>#N/A</v>
          </cell>
          <cell r="I283" t="str">
            <v>081090</v>
          </cell>
          <cell r="J283" t="str">
            <v>08109</v>
          </cell>
          <cell r="K283" t="str">
            <v>0810</v>
          </cell>
          <cell r="L283" t="str">
            <v>081</v>
          </cell>
          <cell r="M283" t="str">
            <v>08</v>
          </cell>
          <cell r="N283">
            <v>2</v>
          </cell>
          <cell r="O283">
            <v>1</v>
          </cell>
        </row>
        <row r="284">
          <cell r="A284">
            <v>6810901</v>
          </cell>
          <cell r="B284" t="str">
            <v>TAMARA</v>
          </cell>
          <cell r="C284">
            <v>99</v>
          </cell>
          <cell r="D284" t="str">
            <v>nao se aplica</v>
          </cell>
          <cell r="E284">
            <v>21</v>
          </cell>
          <cell r="F284" t="str">
            <v>Fruta</v>
          </cell>
          <cell r="G284">
            <v>0</v>
          </cell>
          <cell r="H284" t="e">
            <v>#N/A</v>
          </cell>
          <cell r="I284" t="str">
            <v>081090</v>
          </cell>
          <cell r="J284" t="str">
            <v>08109</v>
          </cell>
          <cell r="K284" t="str">
            <v>0810</v>
          </cell>
          <cell r="L284" t="str">
            <v>081</v>
          </cell>
          <cell r="M284" t="str">
            <v>08</v>
          </cell>
          <cell r="N284">
            <v>2</v>
          </cell>
          <cell r="O284">
            <v>1</v>
          </cell>
        </row>
        <row r="285">
          <cell r="A285">
            <v>6811001</v>
          </cell>
          <cell r="B285" t="str">
            <v>DAMASCO</v>
          </cell>
          <cell r="C285">
            <v>99</v>
          </cell>
          <cell r="D285" t="str">
            <v>nao se aplica</v>
          </cell>
          <cell r="E285">
            <v>21</v>
          </cell>
          <cell r="F285" t="str">
            <v>Fruta</v>
          </cell>
          <cell r="G285">
            <v>0</v>
          </cell>
          <cell r="H285" t="e">
            <v>#N/A</v>
          </cell>
          <cell r="I285" t="str">
            <v>081090</v>
          </cell>
          <cell r="J285" t="str">
            <v>08109</v>
          </cell>
          <cell r="K285" t="str">
            <v>0810</v>
          </cell>
          <cell r="L285" t="str">
            <v>081</v>
          </cell>
          <cell r="M285" t="str">
            <v>08</v>
          </cell>
          <cell r="N285">
            <v>2</v>
          </cell>
          <cell r="O285">
            <v>1</v>
          </cell>
        </row>
        <row r="286">
          <cell r="A286">
            <v>6900301</v>
          </cell>
          <cell r="B286" t="str">
            <v>ACUCAR DEMERARA</v>
          </cell>
          <cell r="C286">
            <v>99</v>
          </cell>
          <cell r="D286" t="str">
            <v>nao se aplica</v>
          </cell>
          <cell r="E286">
            <v>40</v>
          </cell>
          <cell r="F286" t="str">
            <v>Acucares</v>
          </cell>
          <cell r="G286">
            <v>0</v>
          </cell>
          <cell r="H286" t="e">
            <v>#N/A</v>
          </cell>
          <cell r="I286" t="str">
            <v>081090</v>
          </cell>
          <cell r="J286" t="str">
            <v>08109</v>
          </cell>
          <cell r="K286" t="str">
            <v>0810</v>
          </cell>
          <cell r="L286" t="str">
            <v>081</v>
          </cell>
          <cell r="M286" t="str">
            <v>08</v>
          </cell>
          <cell r="N286">
            <v>2</v>
          </cell>
          <cell r="O286">
            <v>1</v>
          </cell>
        </row>
        <row r="287">
          <cell r="A287">
            <v>6900304</v>
          </cell>
          <cell r="B287" t="str">
            <v>ACUCAR MASCAVO</v>
          </cell>
          <cell r="C287">
            <v>99</v>
          </cell>
          <cell r="D287" t="str">
            <v>nao se aplica</v>
          </cell>
          <cell r="E287">
            <v>40</v>
          </cell>
          <cell r="F287" t="str">
            <v>Acucares</v>
          </cell>
          <cell r="G287">
            <v>0</v>
          </cell>
          <cell r="H287" t="e">
            <v>#N/A</v>
          </cell>
          <cell r="I287">
            <v>170111</v>
          </cell>
          <cell r="J287" t="str">
            <v>17011</v>
          </cell>
          <cell r="K287" t="str">
            <v>1701</v>
          </cell>
          <cell r="L287" t="str">
            <v>170</v>
          </cell>
          <cell r="M287" t="str">
            <v>17</v>
          </cell>
          <cell r="N287">
            <v>4</v>
          </cell>
          <cell r="O287">
            <v>2</v>
          </cell>
        </row>
        <row r="288">
          <cell r="A288">
            <v>6900401</v>
          </cell>
          <cell r="B288" t="str">
            <v>RAPADURA</v>
          </cell>
          <cell r="C288">
            <v>99</v>
          </cell>
          <cell r="D288" t="str">
            <v>nao se aplica</v>
          </cell>
          <cell r="E288">
            <v>40</v>
          </cell>
          <cell r="F288" t="str">
            <v>Acucares</v>
          </cell>
          <cell r="G288">
            <v>0</v>
          </cell>
          <cell r="H288">
            <v>6900401</v>
          </cell>
          <cell r="I288">
            <v>170191</v>
          </cell>
          <cell r="J288" t="str">
            <v>17019</v>
          </cell>
          <cell r="K288" t="str">
            <v>1701</v>
          </cell>
          <cell r="L288" t="str">
            <v>170</v>
          </cell>
          <cell r="M288" t="str">
            <v>17</v>
          </cell>
          <cell r="N288">
            <v>4</v>
          </cell>
          <cell r="O288">
            <v>2</v>
          </cell>
        </row>
        <row r="289">
          <cell r="A289">
            <v>6900402</v>
          </cell>
          <cell r="B289" t="str">
            <v>ALFENIM DE CANA</v>
          </cell>
          <cell r="C289">
            <v>99</v>
          </cell>
          <cell r="D289" t="str">
            <v>nao se aplica</v>
          </cell>
          <cell r="E289">
            <v>40</v>
          </cell>
          <cell r="F289" t="str">
            <v>Acucares</v>
          </cell>
          <cell r="G289">
            <v>0</v>
          </cell>
          <cell r="H289" t="e">
            <v>#N/A</v>
          </cell>
          <cell r="I289">
            <v>170191</v>
          </cell>
          <cell r="J289" t="str">
            <v>17019</v>
          </cell>
          <cell r="K289" t="str">
            <v>1701</v>
          </cell>
          <cell r="L289" t="str">
            <v>170</v>
          </cell>
          <cell r="M289" t="str">
            <v>17</v>
          </cell>
          <cell r="N289">
            <v>4</v>
          </cell>
          <cell r="O289">
            <v>2</v>
          </cell>
        </row>
        <row r="290">
          <cell r="A290">
            <v>6900403</v>
          </cell>
          <cell r="B290" t="str">
            <v>BATIDA (RAPADURA)</v>
          </cell>
          <cell r="C290">
            <v>99</v>
          </cell>
          <cell r="D290" t="str">
            <v>nao se aplica</v>
          </cell>
          <cell r="E290">
            <v>40</v>
          </cell>
          <cell r="F290" t="str">
            <v>Acucares</v>
          </cell>
          <cell r="G290">
            <v>0</v>
          </cell>
          <cell r="H290" t="e">
            <v>#N/A</v>
          </cell>
          <cell r="I290" t="str">
            <v>170111</v>
          </cell>
          <cell r="J290" t="str">
            <v>17011</v>
          </cell>
          <cell r="K290" t="str">
            <v>1701</v>
          </cell>
          <cell r="L290" t="str">
            <v>170</v>
          </cell>
          <cell r="M290" t="str">
            <v>17</v>
          </cell>
          <cell r="N290">
            <v>4</v>
          </cell>
          <cell r="O290">
            <v>2</v>
          </cell>
        </row>
        <row r="291">
          <cell r="A291">
            <v>6900501</v>
          </cell>
          <cell r="B291" t="str">
            <v>SORVETE DE QUALQUER SABOR INDUSTRIALIZADO</v>
          </cell>
          <cell r="C291">
            <v>99</v>
          </cell>
          <cell r="D291" t="str">
            <v>nao se aplica</v>
          </cell>
          <cell r="E291">
            <v>50</v>
          </cell>
          <cell r="F291" t="str">
            <v>Sorvete</v>
          </cell>
          <cell r="G291">
            <v>0</v>
          </cell>
          <cell r="H291">
            <v>6900501</v>
          </cell>
          <cell r="I291" t="str">
            <v>210500</v>
          </cell>
          <cell r="J291" t="str">
            <v>21050</v>
          </cell>
          <cell r="K291" t="str">
            <v>2105</v>
          </cell>
          <cell r="L291" t="str">
            <v>210</v>
          </cell>
          <cell r="M291" t="str">
            <v>21</v>
          </cell>
          <cell r="N291">
            <v>4</v>
          </cell>
          <cell r="O291">
            <v>4</v>
          </cell>
        </row>
        <row r="292">
          <cell r="A292">
            <v>6900502</v>
          </cell>
          <cell r="B292" t="str">
            <v>PICOLE DE QUALQUER SABOR INDUSTRIALIZADO</v>
          </cell>
          <cell r="C292">
            <v>99</v>
          </cell>
          <cell r="D292" t="str">
            <v>nao se aplica</v>
          </cell>
          <cell r="E292">
            <v>50</v>
          </cell>
          <cell r="F292" t="str">
            <v>Sorvete</v>
          </cell>
          <cell r="G292">
            <v>0</v>
          </cell>
          <cell r="H292">
            <v>6900502</v>
          </cell>
          <cell r="I292" t="str">
            <v>210500</v>
          </cell>
          <cell r="J292" t="str">
            <v>21050</v>
          </cell>
          <cell r="K292" t="str">
            <v>2105</v>
          </cell>
          <cell r="L292" t="str">
            <v>210</v>
          </cell>
          <cell r="M292" t="str">
            <v>21</v>
          </cell>
          <cell r="N292">
            <v>4</v>
          </cell>
          <cell r="O292">
            <v>4</v>
          </cell>
        </row>
        <row r="293">
          <cell r="A293">
            <v>6900507</v>
          </cell>
          <cell r="B293" t="str">
            <v>SORVETE DE PALITO</v>
          </cell>
          <cell r="C293">
            <v>99</v>
          </cell>
          <cell r="D293" t="str">
            <v>nao se aplica</v>
          </cell>
          <cell r="E293">
            <v>50</v>
          </cell>
          <cell r="F293" t="str">
            <v>Sorvete</v>
          </cell>
          <cell r="G293">
            <v>0</v>
          </cell>
          <cell r="H293" t="e">
            <v>#N/A</v>
          </cell>
          <cell r="I293" t="str">
            <v>210500</v>
          </cell>
          <cell r="J293" t="str">
            <v>21050</v>
          </cell>
          <cell r="K293" t="str">
            <v>2105</v>
          </cell>
          <cell r="L293" t="str">
            <v>210</v>
          </cell>
          <cell r="M293" t="str">
            <v>21</v>
          </cell>
          <cell r="N293">
            <v>4</v>
          </cell>
          <cell r="O293">
            <v>4</v>
          </cell>
        </row>
        <row r="294">
          <cell r="A294">
            <v>6900601</v>
          </cell>
          <cell r="B294" t="str">
            <v>CHICLETE</v>
          </cell>
          <cell r="C294">
            <v>99</v>
          </cell>
          <cell r="D294" t="str">
            <v>nao se aplica</v>
          </cell>
          <cell r="E294">
            <v>51</v>
          </cell>
          <cell r="F294" t="str">
            <v>Chocolate, bala e outras guloseimas</v>
          </cell>
          <cell r="G294">
            <v>0</v>
          </cell>
          <cell r="H294">
            <v>6900601</v>
          </cell>
          <cell r="I294">
            <v>170410</v>
          </cell>
          <cell r="J294" t="str">
            <v>17041</v>
          </cell>
          <cell r="K294" t="str">
            <v>1704</v>
          </cell>
          <cell r="L294" t="str">
            <v>170</v>
          </cell>
          <cell r="M294" t="str">
            <v>17</v>
          </cell>
          <cell r="N294">
            <v>4</v>
          </cell>
          <cell r="O294">
            <v>4</v>
          </cell>
        </row>
        <row r="295">
          <cell r="A295">
            <v>6900603</v>
          </cell>
          <cell r="B295" t="str">
            <v>BALA</v>
          </cell>
          <cell r="C295">
            <v>99</v>
          </cell>
          <cell r="D295" t="str">
            <v>nao se aplica</v>
          </cell>
          <cell r="E295">
            <v>51</v>
          </cell>
          <cell r="F295" t="str">
            <v>Chocolate, bala e outras guloseimas</v>
          </cell>
          <cell r="G295">
            <v>0</v>
          </cell>
          <cell r="H295">
            <v>6900603</v>
          </cell>
          <cell r="I295">
            <v>170490</v>
          </cell>
          <cell r="J295" t="str">
            <v>17049</v>
          </cell>
          <cell r="K295" t="str">
            <v>1704</v>
          </cell>
          <cell r="L295" t="str">
            <v>170</v>
          </cell>
          <cell r="M295" t="str">
            <v>17</v>
          </cell>
          <cell r="N295">
            <v>4</v>
          </cell>
          <cell r="O295">
            <v>4</v>
          </cell>
        </row>
        <row r="296">
          <cell r="A296">
            <v>6900604</v>
          </cell>
          <cell r="B296" t="str">
            <v>CARAMELO (BALA)</v>
          </cell>
          <cell r="C296">
            <v>99</v>
          </cell>
          <cell r="D296" t="str">
            <v>nao se aplica</v>
          </cell>
          <cell r="E296">
            <v>51</v>
          </cell>
          <cell r="F296" t="str">
            <v>Chocolate, bala e outras guloseimas</v>
          </cell>
          <cell r="G296">
            <v>0</v>
          </cell>
          <cell r="H296">
            <v>6900604</v>
          </cell>
          <cell r="I296">
            <v>170490</v>
          </cell>
          <cell r="J296" t="str">
            <v>17049</v>
          </cell>
          <cell r="K296" t="str">
            <v>1704</v>
          </cell>
          <cell r="L296" t="str">
            <v>170</v>
          </cell>
          <cell r="M296" t="str">
            <v>17</v>
          </cell>
          <cell r="N296">
            <v>4</v>
          </cell>
          <cell r="O296">
            <v>4</v>
          </cell>
        </row>
        <row r="297">
          <cell r="A297">
            <v>6900605</v>
          </cell>
          <cell r="B297" t="str">
            <v>DROPS</v>
          </cell>
          <cell r="C297">
            <v>99</v>
          </cell>
          <cell r="D297" t="str">
            <v>nao se aplica</v>
          </cell>
          <cell r="E297">
            <v>51</v>
          </cell>
          <cell r="F297" t="str">
            <v>Chocolate, bala e outras guloseimas</v>
          </cell>
          <cell r="G297">
            <v>0</v>
          </cell>
          <cell r="H297" t="e">
            <v>#N/A</v>
          </cell>
          <cell r="I297">
            <v>170490</v>
          </cell>
          <cell r="J297" t="str">
            <v>17049</v>
          </cell>
          <cell r="K297" t="str">
            <v>1704</v>
          </cell>
          <cell r="L297" t="str">
            <v>170</v>
          </cell>
          <cell r="M297" t="str">
            <v>17</v>
          </cell>
          <cell r="N297">
            <v>4</v>
          </cell>
          <cell r="O297">
            <v>4</v>
          </cell>
        </row>
        <row r="298">
          <cell r="A298">
            <v>6900606</v>
          </cell>
          <cell r="B298" t="str">
            <v>PASTILHA</v>
          </cell>
          <cell r="C298">
            <v>99</v>
          </cell>
          <cell r="D298" t="str">
            <v>nao se aplica</v>
          </cell>
          <cell r="E298">
            <v>51</v>
          </cell>
          <cell r="F298" t="str">
            <v>Chocolate, bala e outras guloseimas</v>
          </cell>
          <cell r="G298">
            <v>0</v>
          </cell>
          <cell r="H298" t="e">
            <v>#N/A</v>
          </cell>
          <cell r="I298">
            <v>170490</v>
          </cell>
          <cell r="J298" t="str">
            <v>17049</v>
          </cell>
          <cell r="K298" t="str">
            <v>1704</v>
          </cell>
          <cell r="L298" t="str">
            <v>170</v>
          </cell>
          <cell r="M298" t="str">
            <v>17</v>
          </cell>
          <cell r="N298">
            <v>4</v>
          </cell>
          <cell r="O298">
            <v>4</v>
          </cell>
        </row>
        <row r="299">
          <cell r="A299">
            <v>6900607</v>
          </cell>
          <cell r="B299" t="str">
            <v>PIRULITO</v>
          </cell>
          <cell r="C299">
            <v>99</v>
          </cell>
          <cell r="D299" t="str">
            <v>nao se aplica</v>
          </cell>
          <cell r="E299">
            <v>51</v>
          </cell>
          <cell r="F299" t="str">
            <v>Chocolate, bala e outras guloseimas</v>
          </cell>
          <cell r="G299">
            <v>0</v>
          </cell>
          <cell r="H299" t="e">
            <v>#N/A</v>
          </cell>
          <cell r="I299">
            <v>170490</v>
          </cell>
          <cell r="J299" t="str">
            <v>17049</v>
          </cell>
          <cell r="K299" t="str">
            <v>1704</v>
          </cell>
          <cell r="L299" t="str">
            <v>170</v>
          </cell>
          <cell r="M299" t="str">
            <v>17</v>
          </cell>
          <cell r="N299">
            <v>4</v>
          </cell>
          <cell r="O299">
            <v>4</v>
          </cell>
        </row>
        <row r="300">
          <cell r="A300">
            <v>6900609</v>
          </cell>
          <cell r="B300" t="str">
            <v>GOMA DE MASCAR</v>
          </cell>
          <cell r="C300">
            <v>99</v>
          </cell>
          <cell r="D300" t="str">
            <v>nao se aplica</v>
          </cell>
          <cell r="E300">
            <v>51</v>
          </cell>
          <cell r="F300" t="str">
            <v>Chocolate, bala e outras guloseimas</v>
          </cell>
          <cell r="G300">
            <v>0</v>
          </cell>
          <cell r="H300" t="e">
            <v>#N/A</v>
          </cell>
          <cell r="I300">
            <v>170410</v>
          </cell>
          <cell r="J300" t="str">
            <v>17041</v>
          </cell>
          <cell r="K300" t="str">
            <v>1704</v>
          </cell>
          <cell r="L300" t="str">
            <v>170</v>
          </cell>
          <cell r="M300" t="str">
            <v>17</v>
          </cell>
          <cell r="N300">
            <v>4</v>
          </cell>
          <cell r="O300">
            <v>4</v>
          </cell>
        </row>
        <row r="301">
          <cell r="A301">
            <v>6900610</v>
          </cell>
          <cell r="B301" t="str">
            <v>JUJUBA</v>
          </cell>
          <cell r="C301">
            <v>99</v>
          </cell>
          <cell r="D301" t="str">
            <v>nao se aplica</v>
          </cell>
          <cell r="E301">
            <v>51</v>
          </cell>
          <cell r="F301" t="str">
            <v>Chocolate, bala e outras guloseimas</v>
          </cell>
          <cell r="G301">
            <v>0</v>
          </cell>
          <cell r="H301" t="e">
            <v>#N/A</v>
          </cell>
          <cell r="I301">
            <v>170490</v>
          </cell>
          <cell r="J301" t="str">
            <v>17049</v>
          </cell>
          <cell r="K301" t="str">
            <v>1704</v>
          </cell>
          <cell r="L301" t="str">
            <v>170</v>
          </cell>
          <cell r="M301" t="str">
            <v>17</v>
          </cell>
          <cell r="N301">
            <v>4</v>
          </cell>
          <cell r="O301">
            <v>4</v>
          </cell>
        </row>
        <row r="302">
          <cell r="A302">
            <v>6900615</v>
          </cell>
          <cell r="B302" t="str">
            <v>BALA DE COCO</v>
          </cell>
          <cell r="C302">
            <v>99</v>
          </cell>
          <cell r="D302" t="str">
            <v>nao se aplica</v>
          </cell>
          <cell r="E302">
            <v>51</v>
          </cell>
          <cell r="F302" t="str">
            <v>Chocolate, bala e outras guloseimas</v>
          </cell>
          <cell r="G302">
            <v>0</v>
          </cell>
          <cell r="H302" t="e">
            <v>#N/A</v>
          </cell>
          <cell r="I302">
            <v>170490</v>
          </cell>
          <cell r="J302" t="str">
            <v>17049</v>
          </cell>
          <cell r="K302" t="str">
            <v>1704</v>
          </cell>
          <cell r="L302" t="str">
            <v>170</v>
          </cell>
          <cell r="M302" t="str">
            <v>17</v>
          </cell>
          <cell r="N302">
            <v>4</v>
          </cell>
          <cell r="O302">
            <v>4</v>
          </cell>
        </row>
        <row r="303">
          <cell r="A303">
            <v>6900616</v>
          </cell>
          <cell r="B303" t="str">
            <v>BALA DE GOMA</v>
          </cell>
          <cell r="C303">
            <v>99</v>
          </cell>
          <cell r="D303" t="str">
            <v>nao se aplica</v>
          </cell>
          <cell r="E303">
            <v>51</v>
          </cell>
          <cell r="F303" t="str">
            <v>Chocolate, bala e outras guloseimas</v>
          </cell>
          <cell r="G303">
            <v>0</v>
          </cell>
          <cell r="H303" t="e">
            <v>#N/A</v>
          </cell>
          <cell r="I303">
            <v>170490</v>
          </cell>
          <cell r="J303" t="str">
            <v>17049</v>
          </cell>
          <cell r="K303" t="str">
            <v>1704</v>
          </cell>
          <cell r="L303" t="str">
            <v>170</v>
          </cell>
          <cell r="M303" t="str">
            <v>17</v>
          </cell>
          <cell r="N303">
            <v>4</v>
          </cell>
          <cell r="O303">
            <v>4</v>
          </cell>
        </row>
        <row r="304">
          <cell r="A304">
            <v>6900617</v>
          </cell>
          <cell r="B304" t="str">
            <v>BALA DE FRUTA</v>
          </cell>
          <cell r="C304">
            <v>99</v>
          </cell>
          <cell r="D304" t="str">
            <v>nao se aplica</v>
          </cell>
          <cell r="E304">
            <v>51</v>
          </cell>
          <cell r="F304" t="str">
            <v>Chocolate, bala e outras guloseimas</v>
          </cell>
          <cell r="G304">
            <v>0</v>
          </cell>
          <cell r="H304" t="e">
            <v>#N/A</v>
          </cell>
          <cell r="I304">
            <v>170490</v>
          </cell>
          <cell r="J304" t="str">
            <v>17049</v>
          </cell>
          <cell r="K304" t="str">
            <v>1704</v>
          </cell>
          <cell r="L304" t="str">
            <v>170</v>
          </cell>
          <cell r="M304" t="str">
            <v>17</v>
          </cell>
          <cell r="N304">
            <v>4</v>
          </cell>
          <cell r="O304">
            <v>4</v>
          </cell>
        </row>
        <row r="305">
          <cell r="A305">
            <v>6900701</v>
          </cell>
          <cell r="B305" t="str">
            <v>TABLETE DE CHOCOLATE</v>
          </cell>
          <cell r="C305">
            <v>99</v>
          </cell>
          <cell r="D305" t="str">
            <v>nao se aplica</v>
          </cell>
          <cell r="E305">
            <v>51</v>
          </cell>
          <cell r="F305" t="str">
            <v>Chocolate, bala e outras guloseimas</v>
          </cell>
          <cell r="G305">
            <v>0</v>
          </cell>
          <cell r="H305">
            <v>6900701</v>
          </cell>
          <cell r="I305" t="str">
            <v>180500</v>
          </cell>
          <cell r="J305" t="str">
            <v>18050</v>
          </cell>
          <cell r="K305" t="str">
            <v>1805</v>
          </cell>
          <cell r="L305" t="str">
            <v>180</v>
          </cell>
          <cell r="M305" t="str">
            <v>18</v>
          </cell>
          <cell r="N305">
            <v>4</v>
          </cell>
          <cell r="O305">
            <v>4</v>
          </cell>
        </row>
        <row r="306">
          <cell r="A306">
            <v>6900702</v>
          </cell>
          <cell r="B306" t="str">
            <v>BARRA DE CHOCOLATE</v>
          </cell>
          <cell r="C306">
            <v>99</v>
          </cell>
          <cell r="D306" t="str">
            <v>nao se aplica</v>
          </cell>
          <cell r="E306">
            <v>51</v>
          </cell>
          <cell r="F306" t="str">
            <v>Chocolate, bala e outras guloseimas</v>
          </cell>
          <cell r="G306">
            <v>0</v>
          </cell>
          <cell r="H306" t="e">
            <v>#N/A</v>
          </cell>
          <cell r="I306" t="str">
            <v>180500</v>
          </cell>
          <cell r="J306" t="str">
            <v>18050</v>
          </cell>
          <cell r="K306" t="str">
            <v>1805</v>
          </cell>
          <cell r="L306" t="str">
            <v>180</v>
          </cell>
          <cell r="M306" t="str">
            <v>18</v>
          </cell>
          <cell r="N306">
            <v>4</v>
          </cell>
          <cell r="O306">
            <v>4</v>
          </cell>
        </row>
        <row r="307">
          <cell r="A307">
            <v>6900703</v>
          </cell>
          <cell r="B307" t="str">
            <v>CHOCOLATE, TABLETE NAO ESPECIFICADO</v>
          </cell>
          <cell r="C307">
            <v>99</v>
          </cell>
          <cell r="D307" t="str">
            <v>nao se aplica</v>
          </cell>
          <cell r="E307">
            <v>51</v>
          </cell>
          <cell r="F307" t="str">
            <v>Chocolate, bala e outras guloseimas</v>
          </cell>
          <cell r="G307">
            <v>0</v>
          </cell>
          <cell r="H307" t="e">
            <v>#N/A</v>
          </cell>
          <cell r="I307" t="str">
            <v>180500</v>
          </cell>
          <cell r="J307" t="str">
            <v>18050</v>
          </cell>
          <cell r="K307" t="str">
            <v>1805</v>
          </cell>
          <cell r="L307" t="str">
            <v>180</v>
          </cell>
          <cell r="M307" t="str">
            <v>18</v>
          </cell>
          <cell r="N307">
            <v>4</v>
          </cell>
          <cell r="O307">
            <v>4</v>
          </cell>
        </row>
        <row r="308">
          <cell r="A308">
            <v>6900706</v>
          </cell>
          <cell r="B308" t="str">
            <v>CONFETE</v>
          </cell>
          <cell r="C308">
            <v>99</v>
          </cell>
          <cell r="D308" t="str">
            <v>nao se aplica</v>
          </cell>
          <cell r="E308">
            <v>51</v>
          </cell>
          <cell r="F308" t="str">
            <v>Chocolate, bala e outras guloseimas</v>
          </cell>
          <cell r="G308">
            <v>0</v>
          </cell>
          <cell r="H308" t="e">
            <v>#N/A</v>
          </cell>
          <cell r="I308" t="str">
            <v>180500</v>
          </cell>
          <cell r="J308" t="str">
            <v>18050</v>
          </cell>
          <cell r="K308" t="str">
            <v>1805</v>
          </cell>
          <cell r="L308" t="str">
            <v>180</v>
          </cell>
          <cell r="M308" t="str">
            <v>18</v>
          </cell>
          <cell r="N308">
            <v>4</v>
          </cell>
          <cell r="O308">
            <v>4</v>
          </cell>
        </row>
        <row r="309">
          <cell r="A309">
            <v>6900710</v>
          </cell>
          <cell r="B309" t="str">
            <v>CHOCOLATE, TABLETE, AO LEITE</v>
          </cell>
          <cell r="C309">
            <v>99</v>
          </cell>
          <cell r="D309" t="str">
            <v>nao se aplica</v>
          </cell>
          <cell r="E309">
            <v>51</v>
          </cell>
          <cell r="F309" t="str">
            <v>Chocolate, bala e outras guloseimas</v>
          </cell>
          <cell r="G309">
            <v>0</v>
          </cell>
          <cell r="H309" t="e">
            <v>#N/A</v>
          </cell>
          <cell r="I309" t="str">
            <v>180500</v>
          </cell>
          <cell r="J309" t="str">
            <v>18050</v>
          </cell>
          <cell r="K309" t="str">
            <v>1805</v>
          </cell>
          <cell r="L309" t="str">
            <v>180</v>
          </cell>
          <cell r="M309" t="str">
            <v>18</v>
          </cell>
          <cell r="N309">
            <v>4</v>
          </cell>
          <cell r="O309">
            <v>4</v>
          </cell>
        </row>
        <row r="310">
          <cell r="A310">
            <v>6900711</v>
          </cell>
          <cell r="B310" t="str">
            <v>CHOCOLATE, TABLETE, AO LEITE, RECHEADO</v>
          </cell>
          <cell r="C310">
            <v>99</v>
          </cell>
          <cell r="D310" t="str">
            <v>nao se aplica</v>
          </cell>
          <cell r="E310">
            <v>51</v>
          </cell>
          <cell r="F310" t="str">
            <v>Chocolate, bala e outras guloseimas</v>
          </cell>
          <cell r="G310">
            <v>0</v>
          </cell>
          <cell r="H310" t="e">
            <v>#N/A</v>
          </cell>
          <cell r="I310" t="str">
            <v>180500</v>
          </cell>
          <cell r="J310" t="str">
            <v>18050</v>
          </cell>
          <cell r="K310" t="str">
            <v>1805</v>
          </cell>
          <cell r="L310" t="str">
            <v>180</v>
          </cell>
          <cell r="M310" t="str">
            <v>18</v>
          </cell>
          <cell r="N310">
            <v>4</v>
          </cell>
          <cell r="O310">
            <v>4</v>
          </cell>
        </row>
        <row r="311">
          <cell r="A311">
            <v>6900712</v>
          </cell>
          <cell r="B311" t="str">
            <v>CHOCOLATE, TABLETE, BRANCO</v>
          </cell>
          <cell r="C311">
            <v>99</v>
          </cell>
          <cell r="D311" t="str">
            <v>nao se aplica</v>
          </cell>
          <cell r="E311">
            <v>51</v>
          </cell>
          <cell r="F311" t="str">
            <v>Chocolate, bala e outras guloseimas</v>
          </cell>
          <cell r="G311">
            <v>0</v>
          </cell>
          <cell r="H311">
            <v>6900712</v>
          </cell>
          <cell r="I311" t="str">
            <v>180500</v>
          </cell>
          <cell r="J311" t="str">
            <v>18050</v>
          </cell>
          <cell r="K311" t="str">
            <v>1805</v>
          </cell>
          <cell r="L311" t="str">
            <v>180</v>
          </cell>
          <cell r="M311" t="str">
            <v>18</v>
          </cell>
          <cell r="N311">
            <v>4</v>
          </cell>
          <cell r="O311">
            <v>4</v>
          </cell>
        </row>
        <row r="312">
          <cell r="A312">
            <v>6900713</v>
          </cell>
          <cell r="B312" t="str">
            <v>CHOCOLATE, TABLETE, BRANCO, RECHEADO</v>
          </cell>
          <cell r="C312">
            <v>99</v>
          </cell>
          <cell r="D312" t="str">
            <v>nao se aplica</v>
          </cell>
          <cell r="E312">
            <v>51</v>
          </cell>
          <cell r="F312" t="str">
            <v>Chocolate, bala e outras guloseimas</v>
          </cell>
          <cell r="G312">
            <v>0</v>
          </cell>
          <cell r="H312" t="e">
            <v>#N/A</v>
          </cell>
          <cell r="I312" t="str">
            <v>180500</v>
          </cell>
          <cell r="J312" t="str">
            <v>18050</v>
          </cell>
          <cell r="K312" t="str">
            <v>1805</v>
          </cell>
          <cell r="L312" t="str">
            <v>180</v>
          </cell>
          <cell r="M312" t="str">
            <v>18</v>
          </cell>
          <cell r="N312">
            <v>4</v>
          </cell>
          <cell r="O312">
            <v>4</v>
          </cell>
        </row>
        <row r="313">
          <cell r="A313">
            <v>6900714</v>
          </cell>
          <cell r="B313" t="str">
            <v>CHOCOLATE, TABLETE, MEIO AMARGO</v>
          </cell>
          <cell r="C313">
            <v>99</v>
          </cell>
          <cell r="D313" t="str">
            <v>nao se aplica</v>
          </cell>
          <cell r="E313">
            <v>51</v>
          </cell>
          <cell r="F313" t="str">
            <v>Chocolate, bala e outras guloseimas</v>
          </cell>
          <cell r="G313">
            <v>0</v>
          </cell>
          <cell r="H313">
            <v>6900714</v>
          </cell>
          <cell r="I313" t="str">
            <v>180500</v>
          </cell>
          <cell r="J313" t="str">
            <v>18050</v>
          </cell>
          <cell r="K313" t="str">
            <v>1805</v>
          </cell>
          <cell r="L313" t="str">
            <v>180</v>
          </cell>
          <cell r="M313" t="str">
            <v>18</v>
          </cell>
          <cell r="N313">
            <v>4</v>
          </cell>
          <cell r="O313">
            <v>4</v>
          </cell>
        </row>
        <row r="314">
          <cell r="A314">
            <v>6900716</v>
          </cell>
          <cell r="B314" t="str">
            <v>CHOCOLATE, TABLETE, RECHEADO NAO ESPECIFICADO</v>
          </cell>
          <cell r="C314">
            <v>99</v>
          </cell>
          <cell r="D314" t="str">
            <v>nao se aplica</v>
          </cell>
          <cell r="E314">
            <v>51</v>
          </cell>
          <cell r="F314" t="str">
            <v>Chocolate, bala e outras guloseimas</v>
          </cell>
          <cell r="G314">
            <v>0</v>
          </cell>
          <cell r="H314" t="e">
            <v>#N/A</v>
          </cell>
          <cell r="I314" t="str">
            <v>180500</v>
          </cell>
          <cell r="J314" t="str">
            <v>18050</v>
          </cell>
          <cell r="K314" t="str">
            <v>1805</v>
          </cell>
          <cell r="L314" t="str">
            <v>180</v>
          </cell>
          <cell r="M314" t="str">
            <v>18</v>
          </cell>
          <cell r="N314">
            <v>4</v>
          </cell>
          <cell r="O314">
            <v>4</v>
          </cell>
        </row>
        <row r="315">
          <cell r="A315">
            <v>6900801</v>
          </cell>
          <cell r="B315" t="str">
            <v>CHOCOLATE EM PO DE QUALQUER MARCA</v>
          </cell>
          <cell r="C315">
            <v>99</v>
          </cell>
          <cell r="D315" t="str">
            <v>nao se aplica</v>
          </cell>
          <cell r="E315">
            <v>51</v>
          </cell>
          <cell r="F315" t="str">
            <v>Chocolate, bala e outras guloseimas</v>
          </cell>
          <cell r="G315">
            <v>0</v>
          </cell>
          <cell r="H315">
            <v>6900801</v>
          </cell>
          <cell r="I315">
            <v>220290</v>
          </cell>
          <cell r="J315" t="str">
            <v>22029</v>
          </cell>
          <cell r="K315" t="str">
            <v>2202</v>
          </cell>
          <cell r="L315" t="str">
            <v>220</v>
          </cell>
          <cell r="M315" t="str">
            <v>22</v>
          </cell>
          <cell r="N315">
            <v>4</v>
          </cell>
          <cell r="O315">
            <v>4</v>
          </cell>
        </row>
        <row r="316">
          <cell r="A316">
            <v>6900818</v>
          </cell>
          <cell r="B316" t="str">
            <v>OVOMALTINE</v>
          </cell>
          <cell r="C316">
            <v>99</v>
          </cell>
          <cell r="D316" t="str">
            <v>nao se aplica</v>
          </cell>
          <cell r="E316">
            <v>51</v>
          </cell>
          <cell r="F316" t="str">
            <v>Chocolate, bala e outras guloseimas</v>
          </cell>
          <cell r="G316">
            <v>0</v>
          </cell>
          <cell r="H316">
            <v>6900818</v>
          </cell>
          <cell r="I316">
            <v>220290</v>
          </cell>
          <cell r="J316" t="str">
            <v>22029</v>
          </cell>
          <cell r="K316" t="str">
            <v>2202</v>
          </cell>
          <cell r="L316" t="str">
            <v>220</v>
          </cell>
          <cell r="M316" t="str">
            <v>22</v>
          </cell>
          <cell r="N316">
            <v>4</v>
          </cell>
          <cell r="O316">
            <v>4</v>
          </cell>
        </row>
        <row r="317">
          <cell r="A317">
            <v>6900819</v>
          </cell>
          <cell r="B317" t="str">
            <v>OVOMALTINE EM PO</v>
          </cell>
          <cell r="C317">
            <v>99</v>
          </cell>
          <cell r="D317" t="str">
            <v>nao se aplica</v>
          </cell>
          <cell r="E317">
            <v>51</v>
          </cell>
          <cell r="F317" t="str">
            <v>Chocolate, bala e outras guloseimas</v>
          </cell>
          <cell r="G317">
            <v>0</v>
          </cell>
          <cell r="H317" t="e">
            <v>#N/A</v>
          </cell>
          <cell r="I317">
            <v>220290</v>
          </cell>
          <cell r="J317" t="str">
            <v>22029</v>
          </cell>
          <cell r="K317" t="str">
            <v>2202</v>
          </cell>
          <cell r="L317" t="str">
            <v>220</v>
          </cell>
          <cell r="M317" t="str">
            <v>22</v>
          </cell>
          <cell r="N317">
            <v>4</v>
          </cell>
          <cell r="O317">
            <v>4</v>
          </cell>
        </row>
        <row r="318">
          <cell r="A318">
            <v>6900821</v>
          </cell>
          <cell r="B318" t="str">
            <v>ACHOCOLATADO EM PO</v>
          </cell>
          <cell r="C318">
            <v>99</v>
          </cell>
          <cell r="D318" t="str">
            <v>nao se aplica</v>
          </cell>
          <cell r="E318">
            <v>51</v>
          </cell>
          <cell r="F318" t="str">
            <v>Chocolate, bala e outras guloseimas</v>
          </cell>
          <cell r="G318">
            <v>0</v>
          </cell>
          <cell r="H318">
            <v>6900821</v>
          </cell>
          <cell r="I318">
            <v>220290</v>
          </cell>
          <cell r="J318" t="str">
            <v>22029</v>
          </cell>
          <cell r="K318" t="str">
            <v>2202</v>
          </cell>
          <cell r="L318" t="str">
            <v>220</v>
          </cell>
          <cell r="M318" t="str">
            <v>22</v>
          </cell>
          <cell r="N318">
            <v>4</v>
          </cell>
          <cell r="O318">
            <v>4</v>
          </cell>
        </row>
        <row r="319">
          <cell r="A319">
            <v>6900822</v>
          </cell>
          <cell r="B319" t="str">
            <v>TODDYNHO</v>
          </cell>
          <cell r="C319">
            <v>99</v>
          </cell>
          <cell r="D319" t="str">
            <v>nao se aplica</v>
          </cell>
          <cell r="E319">
            <v>36</v>
          </cell>
          <cell r="F319" t="str">
            <v>Iogurtes e Bebidas lacteas</v>
          </cell>
          <cell r="G319">
            <v>0</v>
          </cell>
          <cell r="H319">
            <v>6900822</v>
          </cell>
          <cell r="I319">
            <v>220290</v>
          </cell>
          <cell r="J319" t="str">
            <v>22029</v>
          </cell>
          <cell r="K319" t="str">
            <v>2202</v>
          </cell>
          <cell r="L319" t="str">
            <v>220</v>
          </cell>
          <cell r="M319" t="str">
            <v>22</v>
          </cell>
          <cell r="N319">
            <v>4</v>
          </cell>
          <cell r="O319">
            <v>4</v>
          </cell>
        </row>
        <row r="320">
          <cell r="A320">
            <v>6900901</v>
          </cell>
          <cell r="B320" t="str">
            <v>BOMBOM DE QUALQUER MARCA</v>
          </cell>
          <cell r="C320">
            <v>99</v>
          </cell>
          <cell r="D320" t="str">
            <v>nao se aplica</v>
          </cell>
          <cell r="E320">
            <v>51</v>
          </cell>
          <cell r="F320" t="str">
            <v>Chocolate, bala e outras guloseimas</v>
          </cell>
          <cell r="G320">
            <v>0</v>
          </cell>
          <cell r="H320" t="e">
            <v>#N/A</v>
          </cell>
          <cell r="I320" t="str">
            <v>180500</v>
          </cell>
          <cell r="J320" t="str">
            <v>18050</v>
          </cell>
          <cell r="K320" t="str">
            <v>1805</v>
          </cell>
          <cell r="L320" t="str">
            <v>180</v>
          </cell>
          <cell r="M320" t="str">
            <v>18</v>
          </cell>
          <cell r="N320">
            <v>4</v>
          </cell>
          <cell r="O320">
            <v>4</v>
          </cell>
        </row>
        <row r="321">
          <cell r="A321">
            <v>6900904</v>
          </cell>
          <cell r="B321" t="str">
            <v>TRUFA</v>
          </cell>
          <cell r="C321">
            <v>99</v>
          </cell>
          <cell r="D321" t="str">
            <v>nao se aplica</v>
          </cell>
          <cell r="E321">
            <v>51</v>
          </cell>
          <cell r="F321" t="str">
            <v>Chocolate, bala e outras guloseimas</v>
          </cell>
          <cell r="G321">
            <v>0</v>
          </cell>
          <cell r="H321" t="e">
            <v>#N/A</v>
          </cell>
          <cell r="I321" t="str">
            <v>180500</v>
          </cell>
          <cell r="J321" t="str">
            <v>18050</v>
          </cell>
          <cell r="K321" t="str">
            <v>1805</v>
          </cell>
          <cell r="L321" t="str">
            <v>180</v>
          </cell>
          <cell r="M321" t="str">
            <v>18</v>
          </cell>
          <cell r="N321">
            <v>4</v>
          </cell>
          <cell r="O321">
            <v>4</v>
          </cell>
        </row>
        <row r="322">
          <cell r="A322">
            <v>6901001</v>
          </cell>
          <cell r="B322" t="str">
            <v>GELEIA DE FRUTAS DE QUALQUER MARCA OU SABOR</v>
          </cell>
          <cell r="C322">
            <v>99</v>
          </cell>
          <cell r="D322" t="str">
            <v>nao se aplica</v>
          </cell>
          <cell r="E322">
            <v>52</v>
          </cell>
          <cell r="F322" t="str">
            <v>Doce de fruta</v>
          </cell>
          <cell r="G322">
            <v>0</v>
          </cell>
          <cell r="H322">
            <v>6901001</v>
          </cell>
          <cell r="I322">
            <v>200799</v>
          </cell>
          <cell r="J322" t="str">
            <v>20079</v>
          </cell>
          <cell r="K322" t="str">
            <v>2007</v>
          </cell>
          <cell r="L322" t="str">
            <v>200</v>
          </cell>
          <cell r="M322" t="str">
            <v>20</v>
          </cell>
          <cell r="N322">
            <v>4</v>
          </cell>
          <cell r="O322">
            <v>4</v>
          </cell>
        </row>
        <row r="323">
          <cell r="A323">
            <v>6901002</v>
          </cell>
          <cell r="B323" t="str">
            <v>MOUSSE DE QUALQUER SABOR (GELÉIA)</v>
          </cell>
          <cell r="C323">
            <v>99</v>
          </cell>
          <cell r="D323" t="str">
            <v>nao se aplica</v>
          </cell>
          <cell r="E323">
            <v>8</v>
          </cell>
          <cell r="F323" t="str">
            <v>Outros doces</v>
          </cell>
          <cell r="G323">
            <v>0</v>
          </cell>
          <cell r="H323">
            <v>6901002</v>
          </cell>
          <cell r="I323">
            <v>200799</v>
          </cell>
          <cell r="J323" t="str">
            <v>20079</v>
          </cell>
          <cell r="K323" t="str">
            <v>2007</v>
          </cell>
          <cell r="L323" t="str">
            <v>200</v>
          </cell>
          <cell r="M323" t="str">
            <v>20</v>
          </cell>
          <cell r="N323">
            <v>4</v>
          </cell>
          <cell r="O323">
            <v>4</v>
          </cell>
        </row>
        <row r="324">
          <cell r="A324">
            <v>6901101</v>
          </cell>
          <cell r="B324" t="str">
            <v>GELEIA DE MOCOTO</v>
          </cell>
          <cell r="C324">
            <v>99</v>
          </cell>
          <cell r="D324" t="str">
            <v>nao se aplica</v>
          </cell>
          <cell r="E324">
            <v>8</v>
          </cell>
          <cell r="F324" t="str">
            <v>Outros doces</v>
          </cell>
          <cell r="G324">
            <v>0</v>
          </cell>
          <cell r="H324">
            <v>6901101</v>
          </cell>
          <cell r="I324">
            <v>200799</v>
          </cell>
          <cell r="J324" t="str">
            <v>20079</v>
          </cell>
          <cell r="K324" t="str">
            <v>2007</v>
          </cell>
          <cell r="L324" t="str">
            <v>200</v>
          </cell>
          <cell r="M324" t="str">
            <v>20</v>
          </cell>
          <cell r="N324">
            <v>4</v>
          </cell>
          <cell r="O324">
            <v>4</v>
          </cell>
        </row>
        <row r="325">
          <cell r="A325">
            <v>6901201</v>
          </cell>
          <cell r="B325" t="str">
            <v>DOCE DE FRUTAS EM PASTA DE QUALQUER SABOR</v>
          </cell>
          <cell r="C325">
            <v>99</v>
          </cell>
          <cell r="D325" t="str">
            <v>nao se aplica</v>
          </cell>
          <cell r="E325">
            <v>52</v>
          </cell>
          <cell r="F325" t="str">
            <v>Doce de fruta</v>
          </cell>
          <cell r="G325">
            <v>0</v>
          </cell>
          <cell r="H325">
            <v>6901201</v>
          </cell>
          <cell r="I325">
            <v>200799</v>
          </cell>
          <cell r="J325" t="str">
            <v>20079</v>
          </cell>
          <cell r="K325" t="str">
            <v>2007</v>
          </cell>
          <cell r="L325" t="str">
            <v>200</v>
          </cell>
          <cell r="M325" t="str">
            <v>20</v>
          </cell>
          <cell r="N325">
            <v>4</v>
          </cell>
          <cell r="O325">
            <v>4</v>
          </cell>
        </row>
        <row r="326">
          <cell r="A326">
            <v>6901203</v>
          </cell>
          <cell r="B326" t="str">
            <v>PASTA DE AMENDOIM</v>
          </cell>
          <cell r="C326">
            <v>99</v>
          </cell>
          <cell r="D326" t="str">
            <v>nao se aplica</v>
          </cell>
          <cell r="E326">
            <v>67</v>
          </cell>
          <cell r="F326" t="str">
            <v>Conserva leguminosas</v>
          </cell>
          <cell r="G326">
            <v>0</v>
          </cell>
          <cell r="H326" t="e">
            <v>#N/A</v>
          </cell>
          <cell r="I326">
            <v>200819</v>
          </cell>
          <cell r="J326" t="str">
            <v>20081</v>
          </cell>
          <cell r="K326" t="str">
            <v>2008</v>
          </cell>
          <cell r="L326" t="str">
            <v>200</v>
          </cell>
          <cell r="M326" t="str">
            <v>20</v>
          </cell>
          <cell r="N326">
            <v>4</v>
          </cell>
          <cell r="O326">
            <v>4</v>
          </cell>
        </row>
        <row r="327">
          <cell r="A327">
            <v>6901204</v>
          </cell>
          <cell r="B327" t="str">
            <v>PESSEGADA</v>
          </cell>
          <cell r="C327">
            <v>99</v>
          </cell>
          <cell r="D327" t="str">
            <v>nao se aplica</v>
          </cell>
          <cell r="E327">
            <v>52</v>
          </cell>
          <cell r="F327" t="str">
            <v>Doce de fruta</v>
          </cell>
          <cell r="G327">
            <v>0</v>
          </cell>
          <cell r="H327" t="e">
            <v>#N/A</v>
          </cell>
          <cell r="I327">
            <v>200799</v>
          </cell>
          <cell r="J327" t="str">
            <v>20079</v>
          </cell>
          <cell r="K327" t="str">
            <v>2007</v>
          </cell>
          <cell r="L327" t="str">
            <v>200</v>
          </cell>
          <cell r="M327" t="str">
            <v>20</v>
          </cell>
          <cell r="N327">
            <v>4</v>
          </cell>
          <cell r="O327">
            <v>4</v>
          </cell>
        </row>
        <row r="328">
          <cell r="A328">
            <v>6901206</v>
          </cell>
          <cell r="B328" t="str">
            <v>MARMELADA</v>
          </cell>
          <cell r="C328">
            <v>99</v>
          </cell>
          <cell r="D328" t="str">
            <v>nao se aplica</v>
          </cell>
          <cell r="E328">
            <v>52</v>
          </cell>
          <cell r="F328" t="str">
            <v>Doce de fruta</v>
          </cell>
          <cell r="G328">
            <v>0</v>
          </cell>
          <cell r="H328">
            <v>6901206</v>
          </cell>
          <cell r="I328">
            <v>200799</v>
          </cell>
          <cell r="J328" t="str">
            <v>20079</v>
          </cell>
          <cell r="K328" t="str">
            <v>2007</v>
          </cell>
          <cell r="L328" t="str">
            <v>200</v>
          </cell>
          <cell r="M328" t="str">
            <v>20</v>
          </cell>
          <cell r="N328">
            <v>4</v>
          </cell>
          <cell r="O328">
            <v>4</v>
          </cell>
        </row>
        <row r="329">
          <cell r="A329">
            <v>6901209</v>
          </cell>
          <cell r="B329" t="str">
            <v>FIGADA</v>
          </cell>
          <cell r="C329">
            <v>99</v>
          </cell>
          <cell r="D329" t="str">
            <v>nao se aplica</v>
          </cell>
          <cell r="E329">
            <v>52</v>
          </cell>
          <cell r="F329" t="str">
            <v>Doce de fruta</v>
          </cell>
          <cell r="G329">
            <v>0</v>
          </cell>
          <cell r="H329" t="e">
            <v>#N/A</v>
          </cell>
          <cell r="I329">
            <v>200799</v>
          </cell>
          <cell r="J329" t="str">
            <v>20079</v>
          </cell>
          <cell r="K329" t="str">
            <v>2007</v>
          </cell>
          <cell r="L329" t="str">
            <v>200</v>
          </cell>
          <cell r="M329" t="str">
            <v>20</v>
          </cell>
          <cell r="N329">
            <v>4</v>
          </cell>
          <cell r="O329">
            <v>4</v>
          </cell>
        </row>
        <row r="330">
          <cell r="A330">
            <v>6901211</v>
          </cell>
          <cell r="B330" t="str">
            <v>GOIABADA</v>
          </cell>
          <cell r="C330">
            <v>99</v>
          </cell>
          <cell r="D330" t="str">
            <v>nao se aplica</v>
          </cell>
          <cell r="E330">
            <v>52</v>
          </cell>
          <cell r="F330" t="str">
            <v>Doce de fruta</v>
          </cell>
          <cell r="G330">
            <v>0</v>
          </cell>
          <cell r="H330">
            <v>6901211</v>
          </cell>
          <cell r="I330">
            <v>200799</v>
          </cell>
          <cell r="J330" t="str">
            <v>20079</v>
          </cell>
          <cell r="K330" t="str">
            <v>2007</v>
          </cell>
          <cell r="L330" t="str">
            <v>200</v>
          </cell>
          <cell r="M330" t="str">
            <v>20</v>
          </cell>
          <cell r="N330">
            <v>4</v>
          </cell>
          <cell r="O330">
            <v>4</v>
          </cell>
        </row>
        <row r="331">
          <cell r="A331">
            <v>6901224</v>
          </cell>
          <cell r="B331" t="str">
            <v>MARIOLA</v>
          </cell>
          <cell r="C331">
            <v>99</v>
          </cell>
          <cell r="D331" t="str">
            <v>nao se aplica</v>
          </cell>
          <cell r="E331">
            <v>52</v>
          </cell>
          <cell r="F331" t="str">
            <v>Doce de fruta</v>
          </cell>
          <cell r="G331">
            <v>0</v>
          </cell>
          <cell r="H331" t="e">
            <v>#N/A</v>
          </cell>
          <cell r="I331">
            <v>200799</v>
          </cell>
          <cell r="J331" t="str">
            <v>20079</v>
          </cell>
          <cell r="K331" t="str">
            <v>2007</v>
          </cell>
          <cell r="L331" t="str">
            <v>200</v>
          </cell>
          <cell r="M331" t="str">
            <v>20</v>
          </cell>
          <cell r="N331">
            <v>4</v>
          </cell>
          <cell r="O331">
            <v>4</v>
          </cell>
        </row>
        <row r="332">
          <cell r="A332">
            <v>6901231</v>
          </cell>
          <cell r="B332" t="str">
            <v>DOCE DE BANANA EM PASTA</v>
          </cell>
          <cell r="C332">
            <v>99</v>
          </cell>
          <cell r="D332" t="str">
            <v>nao se aplica</v>
          </cell>
          <cell r="E332">
            <v>52</v>
          </cell>
          <cell r="F332" t="str">
            <v>Doce de fruta</v>
          </cell>
          <cell r="G332">
            <v>0</v>
          </cell>
          <cell r="H332" t="e">
            <v>#N/A</v>
          </cell>
          <cell r="I332">
            <v>200600</v>
          </cell>
          <cell r="J332" t="str">
            <v>20060</v>
          </cell>
          <cell r="K332" t="str">
            <v>2006</v>
          </cell>
          <cell r="L332" t="str">
            <v>200</v>
          </cell>
          <cell r="M332" t="str">
            <v>20</v>
          </cell>
          <cell r="N332">
            <v>4</v>
          </cell>
          <cell r="O332">
            <v>3</v>
          </cell>
        </row>
        <row r="333">
          <cell r="A333">
            <v>6901240</v>
          </cell>
          <cell r="B333" t="str">
            <v>BANANADA</v>
          </cell>
          <cell r="C333">
            <v>99</v>
          </cell>
          <cell r="D333" t="str">
            <v>nao se aplica</v>
          </cell>
          <cell r="E333">
            <v>52</v>
          </cell>
          <cell r="F333" t="str">
            <v>Doce de fruta</v>
          </cell>
          <cell r="G333">
            <v>0</v>
          </cell>
          <cell r="H333" t="e">
            <v>#N/A</v>
          </cell>
          <cell r="I333">
            <v>200600</v>
          </cell>
          <cell r="J333" t="str">
            <v>20060</v>
          </cell>
          <cell r="K333" t="str">
            <v>2006</v>
          </cell>
          <cell r="L333" t="str">
            <v>200</v>
          </cell>
          <cell r="M333" t="str">
            <v>20</v>
          </cell>
          <cell r="N333">
            <v>4</v>
          </cell>
          <cell r="O333">
            <v>3</v>
          </cell>
        </row>
        <row r="334">
          <cell r="A334">
            <v>6901301</v>
          </cell>
          <cell r="B334" t="str">
            <v>DOCE DE FRUTAS EM CALDA DE QUALQUER SABOR</v>
          </cell>
          <cell r="C334">
            <v>99</v>
          </cell>
          <cell r="D334" t="str">
            <v>nao se aplica</v>
          </cell>
          <cell r="E334">
            <v>52</v>
          </cell>
          <cell r="F334" t="str">
            <v>Doce de fruta</v>
          </cell>
          <cell r="G334">
            <v>0</v>
          </cell>
          <cell r="H334">
            <v>6901301</v>
          </cell>
          <cell r="I334">
            <v>200600</v>
          </cell>
          <cell r="J334" t="str">
            <v>20060</v>
          </cell>
          <cell r="K334" t="str">
            <v>2006</v>
          </cell>
          <cell r="L334" t="str">
            <v>200</v>
          </cell>
          <cell r="M334" t="str">
            <v>20</v>
          </cell>
          <cell r="N334">
            <v>4</v>
          </cell>
          <cell r="O334">
            <v>3</v>
          </cell>
        </row>
        <row r="335">
          <cell r="A335">
            <v>6901401</v>
          </cell>
          <cell r="B335" t="str">
            <v>DOCE DE FRUTAS CRISTALIZADO DE QUALQUER SABOR</v>
          </cell>
          <cell r="C335">
            <v>99</v>
          </cell>
          <cell r="D335" t="str">
            <v>nao se aplica</v>
          </cell>
          <cell r="E335">
            <v>52</v>
          </cell>
          <cell r="F335" t="str">
            <v>Doce de fruta</v>
          </cell>
          <cell r="G335">
            <v>0</v>
          </cell>
          <cell r="H335" t="e">
            <v>#N/A</v>
          </cell>
          <cell r="I335">
            <v>200600</v>
          </cell>
          <cell r="J335" t="str">
            <v>20060</v>
          </cell>
          <cell r="K335" t="str">
            <v>2006</v>
          </cell>
          <cell r="L335" t="str">
            <v>200</v>
          </cell>
          <cell r="M335" t="str">
            <v>20</v>
          </cell>
          <cell r="N335">
            <v>4</v>
          </cell>
          <cell r="O335">
            <v>3</v>
          </cell>
        </row>
        <row r="336">
          <cell r="A336">
            <v>6901501</v>
          </cell>
          <cell r="B336" t="str">
            <v>MELADO</v>
          </cell>
          <cell r="C336">
            <v>99</v>
          </cell>
          <cell r="D336" t="str">
            <v>nao se aplica</v>
          </cell>
          <cell r="E336">
            <v>40</v>
          </cell>
          <cell r="F336" t="str">
            <v>Acucares</v>
          </cell>
          <cell r="G336">
            <v>0</v>
          </cell>
          <cell r="H336">
            <v>6901501</v>
          </cell>
          <cell r="I336">
            <v>170191</v>
          </cell>
          <cell r="J336" t="str">
            <v>17019</v>
          </cell>
          <cell r="K336" t="str">
            <v>1701</v>
          </cell>
          <cell r="L336" t="str">
            <v>170</v>
          </cell>
          <cell r="M336" t="str">
            <v>17</v>
          </cell>
          <cell r="N336">
            <v>4</v>
          </cell>
          <cell r="O336">
            <v>2</v>
          </cell>
        </row>
        <row r="337">
          <cell r="A337">
            <v>6901602</v>
          </cell>
          <cell r="B337" t="str">
            <v>MEL</v>
          </cell>
          <cell r="C337">
            <v>99</v>
          </cell>
          <cell r="D337" t="str">
            <v>nao se aplica</v>
          </cell>
          <cell r="E337">
            <v>40</v>
          </cell>
          <cell r="F337" t="str">
            <v>Acucares</v>
          </cell>
          <cell r="G337">
            <v>0</v>
          </cell>
          <cell r="H337">
            <v>6901602</v>
          </cell>
          <cell r="I337" t="str">
            <v>040900</v>
          </cell>
          <cell r="J337" t="str">
            <v>04090</v>
          </cell>
          <cell r="K337" t="str">
            <v>0409</v>
          </cell>
          <cell r="L337" t="str">
            <v>040</v>
          </cell>
          <cell r="M337" t="str">
            <v>04</v>
          </cell>
          <cell r="N337">
            <v>1</v>
          </cell>
          <cell r="O337">
            <v>2</v>
          </cell>
        </row>
        <row r="338">
          <cell r="A338">
            <v>6901701</v>
          </cell>
          <cell r="B338" t="str">
            <v>GELATINA DE QUALQUER SABOR</v>
          </cell>
          <cell r="C338">
            <v>99</v>
          </cell>
          <cell r="D338" t="str">
            <v>nao se aplica</v>
          </cell>
          <cell r="E338">
            <v>8</v>
          </cell>
          <cell r="F338" t="str">
            <v>Outros doces</v>
          </cell>
          <cell r="G338">
            <v>0</v>
          </cell>
          <cell r="H338">
            <v>6901701</v>
          </cell>
          <cell r="I338">
            <v>200799</v>
          </cell>
          <cell r="J338" t="str">
            <v>20079</v>
          </cell>
          <cell r="K338" t="str">
            <v>2007</v>
          </cell>
          <cell r="L338" t="str">
            <v>200</v>
          </cell>
          <cell r="M338" t="str">
            <v>20</v>
          </cell>
          <cell r="N338">
            <v>4</v>
          </cell>
          <cell r="O338">
            <v>4</v>
          </cell>
        </row>
        <row r="339">
          <cell r="A339">
            <v>6901801</v>
          </cell>
          <cell r="B339" t="str">
            <v>ADOCANTE ARTIFICIAL</v>
          </cell>
          <cell r="C339">
            <v>99</v>
          </cell>
          <cell r="D339" t="str">
            <v>nao se aplica</v>
          </cell>
          <cell r="E339">
            <v>40</v>
          </cell>
          <cell r="F339" t="str">
            <v>Acucares</v>
          </cell>
          <cell r="G339">
            <v>0</v>
          </cell>
          <cell r="H339">
            <v>6901801</v>
          </cell>
          <cell r="I339">
            <v>210690</v>
          </cell>
          <cell r="J339" t="str">
            <v>21069</v>
          </cell>
          <cell r="K339" t="str">
            <v>2106</v>
          </cell>
          <cell r="L339" t="str">
            <v>210</v>
          </cell>
          <cell r="M339" t="str">
            <v>21</v>
          </cell>
          <cell r="N339">
            <v>4</v>
          </cell>
          <cell r="O339">
            <v>4</v>
          </cell>
        </row>
        <row r="340">
          <cell r="A340">
            <v>6902004</v>
          </cell>
          <cell r="B340" t="str">
            <v>MERENGUE</v>
          </cell>
          <cell r="C340">
            <v>99</v>
          </cell>
          <cell r="D340" t="str">
            <v>nao se aplica</v>
          </cell>
          <cell r="E340">
            <v>8</v>
          </cell>
          <cell r="F340" t="str">
            <v>Outros doces</v>
          </cell>
          <cell r="G340">
            <v>0</v>
          </cell>
          <cell r="H340">
            <v>6902004</v>
          </cell>
          <cell r="I340">
            <v>170490</v>
          </cell>
          <cell r="J340" t="str">
            <v>17049</v>
          </cell>
          <cell r="K340" t="str">
            <v>1704</v>
          </cell>
          <cell r="L340" t="str">
            <v>170</v>
          </cell>
          <cell r="M340" t="str">
            <v>17</v>
          </cell>
          <cell r="N340">
            <v>4</v>
          </cell>
          <cell r="O340">
            <v>4</v>
          </cell>
        </row>
        <row r="341">
          <cell r="A341">
            <v>6902209</v>
          </cell>
          <cell r="B341" t="str">
            <v>MARSHMALLOW</v>
          </cell>
          <cell r="C341">
            <v>99</v>
          </cell>
          <cell r="D341" t="str">
            <v>nao se aplica</v>
          </cell>
          <cell r="E341">
            <v>8</v>
          </cell>
          <cell r="F341" t="str">
            <v>Outros doces</v>
          </cell>
          <cell r="G341">
            <v>0</v>
          </cell>
          <cell r="H341">
            <v>6902209</v>
          </cell>
          <cell r="I341">
            <v>170490</v>
          </cell>
          <cell r="J341" t="str">
            <v>17049</v>
          </cell>
          <cell r="K341" t="str">
            <v>1704</v>
          </cell>
          <cell r="L341" t="str">
            <v>170</v>
          </cell>
          <cell r="M341" t="str">
            <v>17</v>
          </cell>
          <cell r="N341">
            <v>4</v>
          </cell>
          <cell r="O341">
            <v>4</v>
          </cell>
        </row>
        <row r="342">
          <cell r="A342">
            <v>6902301</v>
          </cell>
          <cell r="B342" t="str">
            <v>SCHIMIER DE CANA</v>
          </cell>
          <cell r="C342">
            <v>99</v>
          </cell>
          <cell r="D342" t="str">
            <v>nao se aplica</v>
          </cell>
          <cell r="E342">
            <v>52</v>
          </cell>
          <cell r="F342" t="str">
            <v>Frutas em calda/conserva</v>
          </cell>
          <cell r="G342">
            <v>0</v>
          </cell>
          <cell r="H342" t="e">
            <v>#N/A</v>
          </cell>
          <cell r="I342">
            <v>200799</v>
          </cell>
          <cell r="J342" t="str">
            <v>20079</v>
          </cell>
          <cell r="K342" t="str">
            <v>2007</v>
          </cell>
          <cell r="L342" t="str">
            <v>200</v>
          </cell>
          <cell r="M342" t="str">
            <v>20</v>
          </cell>
          <cell r="N342">
            <v>4</v>
          </cell>
          <cell r="O342">
            <v>4</v>
          </cell>
        </row>
        <row r="343">
          <cell r="A343">
            <v>6902401</v>
          </cell>
          <cell r="B343" t="str">
            <v>FRUTA SECA OU DESIDRATADA</v>
          </cell>
          <cell r="C343">
            <v>99</v>
          </cell>
          <cell r="D343" t="str">
            <v>nao se aplica</v>
          </cell>
          <cell r="E343">
            <v>21</v>
          </cell>
          <cell r="F343" t="str">
            <v>Fruta</v>
          </cell>
          <cell r="G343">
            <v>0</v>
          </cell>
          <cell r="H343">
            <v>6902401</v>
          </cell>
          <cell r="I343" t="str">
            <v>081340</v>
          </cell>
          <cell r="J343" t="str">
            <v>08134</v>
          </cell>
          <cell r="K343" t="str">
            <v>0813</v>
          </cell>
          <cell r="L343" t="str">
            <v>081</v>
          </cell>
          <cell r="M343" t="str">
            <v>08</v>
          </cell>
          <cell r="N343">
            <v>2</v>
          </cell>
          <cell r="O343">
            <v>1</v>
          </cell>
        </row>
        <row r="344">
          <cell r="A344">
            <v>6902402</v>
          </cell>
          <cell r="B344" t="str">
            <v>PASSA</v>
          </cell>
          <cell r="C344">
            <v>99</v>
          </cell>
          <cell r="D344" t="str">
            <v>nao se aplica</v>
          </cell>
          <cell r="E344">
            <v>21</v>
          </cell>
          <cell r="F344" t="str">
            <v>Fruta</v>
          </cell>
          <cell r="G344">
            <v>0</v>
          </cell>
          <cell r="H344" t="e">
            <v>#N/A</v>
          </cell>
          <cell r="I344" t="str">
            <v>080620</v>
          </cell>
          <cell r="J344" t="str">
            <v>08062</v>
          </cell>
          <cell r="K344" t="str">
            <v>0806</v>
          </cell>
          <cell r="L344" t="str">
            <v>080</v>
          </cell>
          <cell r="M344" t="str">
            <v>08</v>
          </cell>
          <cell r="N344">
            <v>2</v>
          </cell>
          <cell r="O344">
            <v>3</v>
          </cell>
        </row>
        <row r="345">
          <cell r="A345">
            <v>6902607</v>
          </cell>
          <cell r="B345" t="str">
            <v>DANETTE PUDIM</v>
          </cell>
          <cell r="C345">
            <v>99</v>
          </cell>
          <cell r="D345" t="str">
            <v>nao se aplica</v>
          </cell>
          <cell r="E345">
            <v>8</v>
          </cell>
          <cell r="F345" t="str">
            <v>Outros doces</v>
          </cell>
          <cell r="G345">
            <v>0</v>
          </cell>
          <cell r="H345">
            <v>6902607</v>
          </cell>
          <cell r="I345">
            <v>190190</v>
          </cell>
          <cell r="J345" t="str">
            <v>19019</v>
          </cell>
          <cell r="K345" t="str">
            <v>1901</v>
          </cell>
          <cell r="L345" t="str">
            <v>190</v>
          </cell>
          <cell r="M345" t="str">
            <v>19</v>
          </cell>
          <cell r="N345">
            <v>4</v>
          </cell>
          <cell r="O345">
            <v>4</v>
          </cell>
        </row>
        <row r="346">
          <cell r="A346">
            <v>6903001</v>
          </cell>
          <cell r="B346" t="str">
            <v>MARIA MOLE</v>
          </cell>
          <cell r="C346">
            <v>99</v>
          </cell>
          <cell r="D346" t="str">
            <v>nao se aplica</v>
          </cell>
          <cell r="E346">
            <v>8</v>
          </cell>
          <cell r="F346" t="str">
            <v>Outros doces</v>
          </cell>
          <cell r="G346">
            <v>0</v>
          </cell>
          <cell r="H346">
            <v>6903001</v>
          </cell>
          <cell r="I346" t="str">
            <v>200799</v>
          </cell>
          <cell r="J346" t="str">
            <v>20079</v>
          </cell>
          <cell r="K346" t="str">
            <v>2007</v>
          </cell>
          <cell r="L346" t="str">
            <v>200</v>
          </cell>
          <cell r="M346" t="str">
            <v>20</v>
          </cell>
          <cell r="N346">
            <v>4</v>
          </cell>
          <cell r="O346">
            <v>4</v>
          </cell>
        </row>
        <row r="347">
          <cell r="A347">
            <v>6903101</v>
          </cell>
          <cell r="B347" t="str">
            <v>COCADA</v>
          </cell>
          <cell r="C347">
            <v>99</v>
          </cell>
          <cell r="D347" t="str">
            <v>nao se aplica</v>
          </cell>
          <cell r="E347"/>
          <cell r="F347" t="str">
            <v/>
          </cell>
          <cell r="G347">
            <v>0</v>
          </cell>
          <cell r="H347">
            <v>6903101</v>
          </cell>
          <cell r="I347">
            <v>200819</v>
          </cell>
          <cell r="J347" t="str">
            <v>20081</v>
          </cell>
          <cell r="K347" t="str">
            <v>2008</v>
          </cell>
          <cell r="L347" t="str">
            <v>200</v>
          </cell>
          <cell r="M347" t="str">
            <v>20</v>
          </cell>
          <cell r="N347">
            <v>4</v>
          </cell>
          <cell r="O347">
            <v>4</v>
          </cell>
        </row>
        <row r="348">
          <cell r="A348">
            <v>6903102</v>
          </cell>
          <cell r="B348" t="str">
            <v>QUEBRA QUEIXO</v>
          </cell>
          <cell r="C348">
            <v>99</v>
          </cell>
          <cell r="D348" t="str">
            <v>nao se aplica</v>
          </cell>
          <cell r="E348">
            <v>8</v>
          </cell>
          <cell r="F348" t="str">
            <v>Outros doces</v>
          </cell>
          <cell r="G348">
            <v>0</v>
          </cell>
          <cell r="H348" t="e">
            <v>#N/A</v>
          </cell>
          <cell r="I348">
            <v>200819</v>
          </cell>
          <cell r="J348" t="str">
            <v>20081</v>
          </cell>
          <cell r="K348" t="str">
            <v>2008</v>
          </cell>
          <cell r="L348" t="str">
            <v>200</v>
          </cell>
          <cell r="M348" t="str">
            <v>20</v>
          </cell>
          <cell r="N348">
            <v>4</v>
          </cell>
          <cell r="O348">
            <v>4</v>
          </cell>
        </row>
        <row r="349">
          <cell r="A349">
            <v>6903201</v>
          </cell>
          <cell r="B349" t="str">
            <v>DOCE DE AMENDOIM</v>
          </cell>
          <cell r="C349">
            <v>99</v>
          </cell>
          <cell r="D349" t="str">
            <v>nao se aplica</v>
          </cell>
          <cell r="E349">
            <v>8</v>
          </cell>
          <cell r="F349" t="str">
            <v>Outros doces</v>
          </cell>
          <cell r="G349">
            <v>0</v>
          </cell>
          <cell r="H349" t="e">
            <v>#N/A</v>
          </cell>
          <cell r="I349">
            <v>200819</v>
          </cell>
          <cell r="J349" t="str">
            <v>20081</v>
          </cell>
          <cell r="K349" t="str">
            <v>2008</v>
          </cell>
          <cell r="L349" t="str">
            <v>200</v>
          </cell>
          <cell r="M349" t="str">
            <v>20</v>
          </cell>
          <cell r="N349">
            <v>4</v>
          </cell>
          <cell r="O349">
            <v>4</v>
          </cell>
        </row>
        <row r="350">
          <cell r="A350">
            <v>6903202</v>
          </cell>
          <cell r="B350" t="str">
            <v>PE DE MOLEQUE</v>
          </cell>
          <cell r="C350">
            <v>99</v>
          </cell>
          <cell r="D350" t="str">
            <v>nao se aplica</v>
          </cell>
          <cell r="E350">
            <v>8</v>
          </cell>
          <cell r="F350" t="str">
            <v>Outros doces</v>
          </cell>
          <cell r="G350">
            <v>0</v>
          </cell>
          <cell r="H350">
            <v>6903202</v>
          </cell>
          <cell r="I350">
            <v>200819</v>
          </cell>
          <cell r="J350" t="str">
            <v>20081</v>
          </cell>
          <cell r="K350" t="str">
            <v>2008</v>
          </cell>
          <cell r="L350" t="str">
            <v>200</v>
          </cell>
          <cell r="M350" t="str">
            <v>20</v>
          </cell>
          <cell r="N350">
            <v>4</v>
          </cell>
          <cell r="O350">
            <v>4</v>
          </cell>
        </row>
        <row r="351">
          <cell r="A351">
            <v>6903203</v>
          </cell>
          <cell r="B351" t="str">
            <v>PACOCA</v>
          </cell>
          <cell r="C351">
            <v>99</v>
          </cell>
          <cell r="D351" t="str">
            <v>nao se aplica</v>
          </cell>
          <cell r="E351">
            <v>8</v>
          </cell>
          <cell r="F351" t="str">
            <v>Outros doces</v>
          </cell>
          <cell r="G351">
            <v>0</v>
          </cell>
          <cell r="H351">
            <v>6903203</v>
          </cell>
          <cell r="I351" t="str">
            <v>200819</v>
          </cell>
          <cell r="J351" t="str">
            <v>20081</v>
          </cell>
          <cell r="K351" t="str">
            <v>2008</v>
          </cell>
          <cell r="L351" t="str">
            <v>200</v>
          </cell>
          <cell r="M351" t="str">
            <v>20</v>
          </cell>
          <cell r="N351">
            <v>4</v>
          </cell>
          <cell r="O351">
            <v>4</v>
          </cell>
        </row>
        <row r="352">
          <cell r="A352">
            <v>6903204</v>
          </cell>
          <cell r="B352" t="str">
            <v>TORRAO DE AMENDOIM</v>
          </cell>
          <cell r="C352">
            <v>99</v>
          </cell>
          <cell r="D352" t="str">
            <v>nao se aplica</v>
          </cell>
          <cell r="E352">
            <v>8</v>
          </cell>
          <cell r="F352" t="str">
            <v>Outros doces</v>
          </cell>
          <cell r="G352">
            <v>0</v>
          </cell>
          <cell r="H352" t="e">
            <v>#N/A</v>
          </cell>
          <cell r="I352">
            <v>200819</v>
          </cell>
          <cell r="J352" t="str">
            <v>20081</v>
          </cell>
          <cell r="K352" t="str">
            <v>2008</v>
          </cell>
          <cell r="L352" t="str">
            <v>200</v>
          </cell>
          <cell r="M352" t="str">
            <v>20</v>
          </cell>
          <cell r="N352">
            <v>4</v>
          </cell>
          <cell r="O352">
            <v>4</v>
          </cell>
        </row>
        <row r="353">
          <cell r="A353">
            <v>6903205</v>
          </cell>
          <cell r="B353" t="str">
            <v>PACOQUINHA DE AMENDOIM</v>
          </cell>
          <cell r="C353">
            <v>99</v>
          </cell>
          <cell r="D353" t="str">
            <v>nao se aplica</v>
          </cell>
          <cell r="E353">
            <v>8</v>
          </cell>
          <cell r="F353" t="str">
            <v>Outros doces</v>
          </cell>
          <cell r="G353">
            <v>0</v>
          </cell>
          <cell r="H353" t="e">
            <v>#N/A</v>
          </cell>
          <cell r="I353" t="str">
            <v>200819</v>
          </cell>
          <cell r="J353" t="str">
            <v>20081</v>
          </cell>
          <cell r="K353" t="str">
            <v>2008</v>
          </cell>
          <cell r="L353" t="str">
            <v>200</v>
          </cell>
          <cell r="M353" t="str">
            <v>20</v>
          </cell>
          <cell r="N353">
            <v>4</v>
          </cell>
          <cell r="O353">
            <v>4</v>
          </cell>
        </row>
        <row r="354">
          <cell r="A354">
            <v>6903208</v>
          </cell>
          <cell r="B354" t="str">
            <v>AMENDOIM AMANTEIGADO</v>
          </cell>
          <cell r="C354">
            <v>99</v>
          </cell>
          <cell r="D354" t="str">
            <v>nao se aplica</v>
          </cell>
          <cell r="E354">
            <v>8</v>
          </cell>
          <cell r="F354" t="str">
            <v>Outros doces</v>
          </cell>
          <cell r="G354">
            <v>0</v>
          </cell>
          <cell r="H354" t="e">
            <v>#N/A</v>
          </cell>
          <cell r="I354">
            <v>200819</v>
          </cell>
          <cell r="J354" t="str">
            <v>20081</v>
          </cell>
          <cell r="K354" t="str">
            <v>2008</v>
          </cell>
          <cell r="L354" t="str">
            <v>200</v>
          </cell>
          <cell r="M354" t="str">
            <v>20</v>
          </cell>
          <cell r="N354">
            <v>4</v>
          </cell>
          <cell r="O354">
            <v>4</v>
          </cell>
        </row>
        <row r="355">
          <cell r="A355">
            <v>6903209</v>
          </cell>
          <cell r="B355" t="str">
            <v>AMENDOIM ACHOCOLATADO</v>
          </cell>
          <cell r="C355">
            <v>99</v>
          </cell>
          <cell r="D355" t="str">
            <v>nao se aplica</v>
          </cell>
          <cell r="E355">
            <v>8</v>
          </cell>
          <cell r="F355" t="str">
            <v>Outros doces</v>
          </cell>
          <cell r="G355">
            <v>0</v>
          </cell>
          <cell r="H355" t="e">
            <v>#N/A</v>
          </cell>
          <cell r="I355">
            <v>200819</v>
          </cell>
          <cell r="J355" t="str">
            <v>20081</v>
          </cell>
          <cell r="K355" t="str">
            <v>2008</v>
          </cell>
          <cell r="L355" t="str">
            <v>200</v>
          </cell>
          <cell r="M355" t="str">
            <v>20</v>
          </cell>
          <cell r="N355">
            <v>4</v>
          </cell>
          <cell r="O355">
            <v>4</v>
          </cell>
        </row>
        <row r="356">
          <cell r="A356">
            <v>6903303</v>
          </cell>
          <cell r="B356" t="str">
            <v>AMENDOIM APIMENTADO</v>
          </cell>
          <cell r="C356">
            <v>99</v>
          </cell>
          <cell r="D356" t="str">
            <v>nao se aplica</v>
          </cell>
          <cell r="E356">
            <v>13</v>
          </cell>
          <cell r="F356" t="str">
            <v>Salgadinho</v>
          </cell>
          <cell r="G356">
            <v>0</v>
          </cell>
          <cell r="H356" t="e">
            <v>#N/A</v>
          </cell>
          <cell r="I356">
            <v>200819</v>
          </cell>
          <cell r="J356" t="str">
            <v>20081</v>
          </cell>
          <cell r="K356" t="str">
            <v>2008</v>
          </cell>
          <cell r="L356" t="str">
            <v>200</v>
          </cell>
          <cell r="M356" t="str">
            <v>20</v>
          </cell>
          <cell r="N356">
            <v>4</v>
          </cell>
          <cell r="O356">
            <v>4</v>
          </cell>
        </row>
        <row r="357">
          <cell r="A357">
            <v>6903304</v>
          </cell>
          <cell r="B357" t="str">
            <v>AMENDOIM COZIDO</v>
          </cell>
          <cell r="C357">
            <v>99</v>
          </cell>
          <cell r="D357" t="str">
            <v>nao se aplica</v>
          </cell>
          <cell r="E357">
            <v>30</v>
          </cell>
          <cell r="F357" t="str">
            <v>Nozes e sementes (inclui amendoim)</v>
          </cell>
          <cell r="G357">
            <v>0</v>
          </cell>
          <cell r="H357" t="e">
            <v>#N/A</v>
          </cell>
          <cell r="I357">
            <v>200819</v>
          </cell>
          <cell r="J357" t="str">
            <v>20081</v>
          </cell>
          <cell r="K357" t="str">
            <v>2008</v>
          </cell>
          <cell r="L357" t="str">
            <v>200</v>
          </cell>
          <cell r="M357" t="str">
            <v>20</v>
          </cell>
          <cell r="N357">
            <v>4</v>
          </cell>
          <cell r="O357">
            <v>4</v>
          </cell>
        </row>
        <row r="358">
          <cell r="A358">
            <v>6903601</v>
          </cell>
          <cell r="B358" t="str">
            <v>BRIGADEIRO</v>
          </cell>
          <cell r="C358">
            <v>99</v>
          </cell>
          <cell r="D358" t="str">
            <v>nao se aplica</v>
          </cell>
          <cell r="E358">
            <v>8</v>
          </cell>
          <cell r="F358" t="str">
            <v>Outros doces</v>
          </cell>
          <cell r="G358">
            <v>0</v>
          </cell>
          <cell r="H358">
            <v>6903601</v>
          </cell>
          <cell r="I358" t="str">
            <v>180500</v>
          </cell>
          <cell r="J358" t="str">
            <v>18050</v>
          </cell>
          <cell r="K358" t="str">
            <v>1805</v>
          </cell>
          <cell r="L358" t="str">
            <v>180</v>
          </cell>
          <cell r="M358" t="str">
            <v>18</v>
          </cell>
          <cell r="N358">
            <v>4</v>
          </cell>
          <cell r="O358">
            <v>4</v>
          </cell>
        </row>
        <row r="359">
          <cell r="A359">
            <v>6903701</v>
          </cell>
          <cell r="B359" t="str">
            <v>BOMBA DE QUALQUER TIPO</v>
          </cell>
          <cell r="C359">
            <v>99</v>
          </cell>
          <cell r="D359" t="str">
            <v>nao se aplica</v>
          </cell>
          <cell r="E359">
            <v>51</v>
          </cell>
          <cell r="F359" t="str">
            <v>Chocolate, bala e outras guloseimas</v>
          </cell>
          <cell r="G359">
            <v>0</v>
          </cell>
          <cell r="H359" t="e">
            <v>#N/A</v>
          </cell>
          <cell r="I359" t="str">
            <v>180500</v>
          </cell>
          <cell r="J359" t="str">
            <v>18050</v>
          </cell>
          <cell r="K359" t="str">
            <v>1805</v>
          </cell>
          <cell r="L359" t="str">
            <v>180</v>
          </cell>
          <cell r="M359" t="str">
            <v>18</v>
          </cell>
          <cell r="N359">
            <v>4</v>
          </cell>
          <cell r="O359">
            <v>4</v>
          </cell>
        </row>
        <row r="360">
          <cell r="A360">
            <v>6903801</v>
          </cell>
          <cell r="B360" t="str">
            <v>MIL FOLHAS</v>
          </cell>
          <cell r="C360">
            <v>99</v>
          </cell>
          <cell r="D360" t="str">
            <v>nao se aplica</v>
          </cell>
          <cell r="E360">
            <v>9</v>
          </cell>
          <cell r="F360" t="str">
            <v xml:space="preserve">Paes doces, bolos e tortas doces </v>
          </cell>
          <cell r="G360">
            <v>0</v>
          </cell>
          <cell r="H360">
            <v>6903801</v>
          </cell>
          <cell r="I360">
            <v>190520</v>
          </cell>
          <cell r="J360" t="str">
            <v>19052</v>
          </cell>
          <cell r="K360" t="str">
            <v>1905</v>
          </cell>
          <cell r="L360" t="str">
            <v>190</v>
          </cell>
          <cell r="M360" t="str">
            <v>19</v>
          </cell>
          <cell r="N360">
            <v>4</v>
          </cell>
          <cell r="O360">
            <v>4</v>
          </cell>
        </row>
        <row r="361">
          <cell r="A361">
            <v>6903802</v>
          </cell>
          <cell r="B361" t="str">
            <v>DOCE DE MASSA FOLHADA</v>
          </cell>
          <cell r="C361">
            <v>99</v>
          </cell>
          <cell r="D361" t="str">
            <v>nao se aplica</v>
          </cell>
          <cell r="E361">
            <v>9</v>
          </cell>
          <cell r="F361" t="str">
            <v xml:space="preserve">Paes doces, bolos e tortas doces </v>
          </cell>
          <cell r="G361">
            <v>0</v>
          </cell>
          <cell r="H361" t="e">
            <v>#N/A</v>
          </cell>
          <cell r="I361">
            <v>190520</v>
          </cell>
          <cell r="J361" t="str">
            <v>19052</v>
          </cell>
          <cell r="K361" t="str">
            <v>1905</v>
          </cell>
          <cell r="L361" t="str">
            <v>190</v>
          </cell>
          <cell r="M361" t="str">
            <v>19</v>
          </cell>
          <cell r="N361">
            <v>4</v>
          </cell>
          <cell r="O361">
            <v>4</v>
          </cell>
        </row>
        <row r="362">
          <cell r="A362">
            <v>6903901</v>
          </cell>
          <cell r="B362" t="str">
            <v>QUEIJADINHA</v>
          </cell>
          <cell r="C362">
            <v>99</v>
          </cell>
          <cell r="D362" t="str">
            <v>nao se aplica</v>
          </cell>
          <cell r="E362">
            <v>8</v>
          </cell>
          <cell r="F362" t="str">
            <v>Outros doces</v>
          </cell>
          <cell r="G362">
            <v>0</v>
          </cell>
          <cell r="H362" t="e">
            <v>#N/A</v>
          </cell>
          <cell r="I362" t="str">
            <v>170490</v>
          </cell>
          <cell r="J362" t="str">
            <v>17049</v>
          </cell>
          <cell r="K362" t="str">
            <v>1704</v>
          </cell>
          <cell r="L362" t="str">
            <v>170</v>
          </cell>
          <cell r="M362" t="str">
            <v>17</v>
          </cell>
          <cell r="N362">
            <v>4</v>
          </cell>
          <cell r="O362">
            <v>4</v>
          </cell>
        </row>
        <row r="363">
          <cell r="A363">
            <v>6904101</v>
          </cell>
          <cell r="B363" t="str">
            <v>DOCE A BASE DE OVOS</v>
          </cell>
          <cell r="C363">
            <v>99</v>
          </cell>
          <cell r="D363" t="str">
            <v>nao se aplica</v>
          </cell>
          <cell r="E363"/>
          <cell r="F363" t="str">
            <v/>
          </cell>
          <cell r="G363">
            <v>0</v>
          </cell>
          <cell r="H363">
            <v>6904101</v>
          </cell>
          <cell r="I363" t="str">
            <v>170490</v>
          </cell>
          <cell r="J363" t="str">
            <v>17049</v>
          </cell>
          <cell r="K363" t="str">
            <v>1704</v>
          </cell>
          <cell r="L363" t="str">
            <v>170</v>
          </cell>
          <cell r="M363" t="str">
            <v>17</v>
          </cell>
          <cell r="N363">
            <v>4</v>
          </cell>
          <cell r="O363">
            <v>4</v>
          </cell>
        </row>
        <row r="364">
          <cell r="A364">
            <v>6904201</v>
          </cell>
          <cell r="B364" t="str">
            <v>DOCE A BASE DE LEITE</v>
          </cell>
          <cell r="C364">
            <v>99</v>
          </cell>
          <cell r="D364" t="str">
            <v>nao se aplica</v>
          </cell>
          <cell r="E364"/>
          <cell r="F364" t="str">
            <v/>
          </cell>
          <cell r="G364">
            <v>0</v>
          </cell>
          <cell r="H364">
            <v>6904201</v>
          </cell>
          <cell r="I364">
            <v>190190</v>
          </cell>
          <cell r="J364" t="str">
            <v>19019</v>
          </cell>
          <cell r="K364" t="str">
            <v>1901</v>
          </cell>
          <cell r="L364" t="str">
            <v>190</v>
          </cell>
          <cell r="M364" t="str">
            <v>19</v>
          </cell>
          <cell r="N364">
            <v>4</v>
          </cell>
          <cell r="O364">
            <v>4</v>
          </cell>
        </row>
        <row r="365">
          <cell r="A365">
            <v>6904204</v>
          </cell>
          <cell r="B365" t="str">
            <v>LEITE GELEIFICADO</v>
          </cell>
          <cell r="C365">
            <v>99</v>
          </cell>
          <cell r="D365" t="str">
            <v>nao se aplica</v>
          </cell>
          <cell r="E365">
            <v>8</v>
          </cell>
          <cell r="F365" t="str">
            <v>Outros doces</v>
          </cell>
          <cell r="G365">
            <v>0</v>
          </cell>
          <cell r="H365" t="e">
            <v>#N/A</v>
          </cell>
          <cell r="I365">
            <v>190190</v>
          </cell>
          <cell r="J365" t="str">
            <v>19019</v>
          </cell>
          <cell r="K365" t="str">
            <v>1901</v>
          </cell>
          <cell r="L365" t="str">
            <v>190</v>
          </cell>
          <cell r="M365" t="str">
            <v>19</v>
          </cell>
          <cell r="N365">
            <v>4</v>
          </cell>
          <cell r="O365">
            <v>4</v>
          </cell>
        </row>
        <row r="366">
          <cell r="A366">
            <v>6904205</v>
          </cell>
          <cell r="B366" t="str">
            <v>CHANDELE DE QUALQUER SABOR</v>
          </cell>
          <cell r="C366">
            <v>99</v>
          </cell>
          <cell r="D366" t="str">
            <v>nao se aplica</v>
          </cell>
          <cell r="E366">
            <v>8</v>
          </cell>
          <cell r="F366" t="str">
            <v>Outros doces</v>
          </cell>
          <cell r="G366">
            <v>0</v>
          </cell>
          <cell r="H366" t="e">
            <v>#N/A</v>
          </cell>
          <cell r="I366">
            <v>190190</v>
          </cell>
          <cell r="J366" t="str">
            <v>19019</v>
          </cell>
          <cell r="K366" t="str">
            <v>1901</v>
          </cell>
          <cell r="L366" t="str">
            <v>190</v>
          </cell>
          <cell r="M366" t="str">
            <v>19</v>
          </cell>
          <cell r="N366">
            <v>4</v>
          </cell>
          <cell r="O366">
            <v>4</v>
          </cell>
        </row>
        <row r="367">
          <cell r="A367">
            <v>6904301</v>
          </cell>
          <cell r="B367" t="str">
            <v>DOCE DE LEITE</v>
          </cell>
          <cell r="C367">
            <v>99</v>
          </cell>
          <cell r="D367" t="str">
            <v>nao se aplica</v>
          </cell>
          <cell r="E367">
            <v>8</v>
          </cell>
          <cell r="F367" t="str">
            <v>Outros doces</v>
          </cell>
          <cell r="G367">
            <v>0</v>
          </cell>
          <cell r="H367" t="e">
            <v>#N/A</v>
          </cell>
          <cell r="I367">
            <v>190190</v>
          </cell>
          <cell r="J367" t="str">
            <v>19019</v>
          </cell>
          <cell r="K367" t="str">
            <v>1901</v>
          </cell>
          <cell r="L367" t="str">
            <v>190</v>
          </cell>
          <cell r="M367" t="str">
            <v>19</v>
          </cell>
          <cell r="N367">
            <v>4</v>
          </cell>
          <cell r="O367">
            <v>4</v>
          </cell>
        </row>
        <row r="368">
          <cell r="A368">
            <v>6904302</v>
          </cell>
          <cell r="B368" t="str">
            <v>MUMU</v>
          </cell>
          <cell r="C368">
            <v>99</v>
          </cell>
          <cell r="D368" t="str">
            <v>nao se aplica</v>
          </cell>
          <cell r="E368">
            <v>8</v>
          </cell>
          <cell r="F368" t="str">
            <v>Outros doces</v>
          </cell>
          <cell r="G368">
            <v>0</v>
          </cell>
          <cell r="H368" t="e">
            <v>#N/A</v>
          </cell>
          <cell r="I368">
            <v>190190</v>
          </cell>
          <cell r="J368" t="str">
            <v>19019</v>
          </cell>
          <cell r="K368" t="str">
            <v>1901</v>
          </cell>
          <cell r="L368" t="str">
            <v>190</v>
          </cell>
          <cell r="M368" t="str">
            <v>19</v>
          </cell>
          <cell r="N368">
            <v>4</v>
          </cell>
          <cell r="O368">
            <v>4</v>
          </cell>
        </row>
        <row r="369">
          <cell r="A369">
            <v>6904401</v>
          </cell>
          <cell r="B369" t="str">
            <v>CANUDINHO RECHEADO</v>
          </cell>
          <cell r="C369">
            <v>99</v>
          </cell>
          <cell r="D369" t="str">
            <v>nao se aplica</v>
          </cell>
          <cell r="E369">
            <v>8</v>
          </cell>
          <cell r="F369" t="str">
            <v>Outros doces</v>
          </cell>
          <cell r="G369">
            <v>0</v>
          </cell>
          <cell r="H369" t="e">
            <v>#N/A</v>
          </cell>
          <cell r="I369">
            <v>190520</v>
          </cell>
          <cell r="J369" t="str">
            <v>19052</v>
          </cell>
          <cell r="K369" t="str">
            <v>1905</v>
          </cell>
          <cell r="L369" t="str">
            <v>190</v>
          </cell>
          <cell r="M369" t="str">
            <v>19</v>
          </cell>
          <cell r="N369">
            <v>4</v>
          </cell>
          <cell r="O369">
            <v>4</v>
          </cell>
        </row>
        <row r="370">
          <cell r="A370">
            <v>6904601</v>
          </cell>
          <cell r="B370" t="str">
            <v>SCHIMIER DE FRUTA (EXCETO DE CANA)</v>
          </cell>
          <cell r="C370">
            <v>99</v>
          </cell>
          <cell r="D370" t="str">
            <v>nao se aplica</v>
          </cell>
          <cell r="E370">
            <v>52</v>
          </cell>
          <cell r="F370" t="str">
            <v>Doce de fruta</v>
          </cell>
          <cell r="G370">
            <v>0</v>
          </cell>
          <cell r="H370" t="e">
            <v>#N/A</v>
          </cell>
          <cell r="I370">
            <v>200799</v>
          </cell>
          <cell r="J370" t="str">
            <v>20079</v>
          </cell>
          <cell r="K370" t="str">
            <v>2007</v>
          </cell>
          <cell r="L370" t="str">
            <v>200</v>
          </cell>
          <cell r="M370" t="str">
            <v>20</v>
          </cell>
          <cell r="N370">
            <v>4</v>
          </cell>
          <cell r="O370">
            <v>4</v>
          </cell>
        </row>
        <row r="371">
          <cell r="A371">
            <v>6904701</v>
          </cell>
          <cell r="B371" t="str">
            <v>BEIJO DE MOCA</v>
          </cell>
          <cell r="C371">
            <v>99</v>
          </cell>
          <cell r="D371" t="str">
            <v>nao se aplica</v>
          </cell>
          <cell r="E371">
            <v>8</v>
          </cell>
          <cell r="F371" t="str">
            <v>Outros doces</v>
          </cell>
          <cell r="G371">
            <v>0</v>
          </cell>
          <cell r="H371">
            <v>6904701</v>
          </cell>
          <cell r="I371">
            <v>190190</v>
          </cell>
          <cell r="J371" t="str">
            <v>19019</v>
          </cell>
          <cell r="K371" t="str">
            <v>1901</v>
          </cell>
          <cell r="L371" t="str">
            <v>190</v>
          </cell>
          <cell r="M371" t="str">
            <v>19</v>
          </cell>
          <cell r="N371">
            <v>4</v>
          </cell>
          <cell r="O371">
            <v>4</v>
          </cell>
        </row>
        <row r="372">
          <cell r="A372">
            <v>6904801</v>
          </cell>
          <cell r="B372" t="str">
            <v>PICOLE ENSACADO</v>
          </cell>
          <cell r="C372">
            <v>99</v>
          </cell>
          <cell r="D372" t="str">
            <v>nao se aplica</v>
          </cell>
          <cell r="E372">
            <v>50</v>
          </cell>
          <cell r="F372" t="str">
            <v>Sorvete</v>
          </cell>
          <cell r="G372">
            <v>0</v>
          </cell>
          <cell r="H372" t="e">
            <v>#N/A</v>
          </cell>
          <cell r="I372" t="str">
            <v>210500</v>
          </cell>
          <cell r="J372" t="str">
            <v>21050</v>
          </cell>
          <cell r="K372" t="str">
            <v>2105</v>
          </cell>
          <cell r="L372" t="str">
            <v>210</v>
          </cell>
          <cell r="M372" t="str">
            <v>21</v>
          </cell>
          <cell r="N372">
            <v>4</v>
          </cell>
          <cell r="O372">
            <v>4</v>
          </cell>
        </row>
        <row r="373">
          <cell r="A373">
            <v>6904802</v>
          </cell>
          <cell r="B373" t="str">
            <v>DIN DIN</v>
          </cell>
          <cell r="C373">
            <v>99</v>
          </cell>
          <cell r="D373" t="str">
            <v>nao se aplica</v>
          </cell>
          <cell r="E373">
            <v>50</v>
          </cell>
          <cell r="F373" t="str">
            <v>Sorvete</v>
          </cell>
          <cell r="G373">
            <v>0</v>
          </cell>
          <cell r="H373" t="e">
            <v>#N/A</v>
          </cell>
          <cell r="I373" t="str">
            <v>210500</v>
          </cell>
          <cell r="J373" t="str">
            <v>21050</v>
          </cell>
          <cell r="K373" t="str">
            <v>2105</v>
          </cell>
          <cell r="L373" t="str">
            <v>210</v>
          </cell>
          <cell r="M373" t="str">
            <v>21</v>
          </cell>
          <cell r="N373">
            <v>4</v>
          </cell>
          <cell r="O373">
            <v>4</v>
          </cell>
        </row>
        <row r="374">
          <cell r="A374">
            <v>6904804</v>
          </cell>
          <cell r="B374" t="str">
            <v>CHUPE CHUPE</v>
          </cell>
          <cell r="C374">
            <v>99</v>
          </cell>
          <cell r="D374" t="str">
            <v>nao se aplica</v>
          </cell>
          <cell r="E374">
            <v>50</v>
          </cell>
          <cell r="F374" t="str">
            <v>Sorvete</v>
          </cell>
          <cell r="G374">
            <v>0</v>
          </cell>
          <cell r="H374" t="e">
            <v>#N/A</v>
          </cell>
          <cell r="I374" t="str">
            <v>210500</v>
          </cell>
          <cell r="J374" t="str">
            <v>21050</v>
          </cell>
          <cell r="K374" t="str">
            <v>2105</v>
          </cell>
          <cell r="L374" t="str">
            <v>210</v>
          </cell>
          <cell r="M374" t="str">
            <v>21</v>
          </cell>
          <cell r="N374">
            <v>4</v>
          </cell>
          <cell r="O374">
            <v>4</v>
          </cell>
        </row>
        <row r="375">
          <cell r="A375">
            <v>6904807</v>
          </cell>
          <cell r="B375" t="str">
            <v>GELADINHO</v>
          </cell>
          <cell r="C375">
            <v>99</v>
          </cell>
          <cell r="D375" t="str">
            <v>nao se aplica</v>
          </cell>
          <cell r="E375">
            <v>50</v>
          </cell>
          <cell r="F375" t="str">
            <v>Sorvete</v>
          </cell>
          <cell r="G375">
            <v>0</v>
          </cell>
          <cell r="H375" t="e">
            <v>#N/A</v>
          </cell>
          <cell r="I375" t="str">
            <v>210500</v>
          </cell>
          <cell r="J375" t="str">
            <v>21050</v>
          </cell>
          <cell r="K375" t="str">
            <v>2105</v>
          </cell>
          <cell r="L375" t="str">
            <v>210</v>
          </cell>
          <cell r="M375" t="str">
            <v>21</v>
          </cell>
          <cell r="N375">
            <v>4</v>
          </cell>
          <cell r="O375">
            <v>4</v>
          </cell>
        </row>
        <row r="376">
          <cell r="A376">
            <v>6905001</v>
          </cell>
          <cell r="B376" t="str">
            <v>CHURRO</v>
          </cell>
          <cell r="C376">
            <v>99</v>
          </cell>
          <cell r="D376" t="str">
            <v>nao se aplica</v>
          </cell>
          <cell r="E376">
            <v>8</v>
          </cell>
          <cell r="F376" t="str">
            <v>Outros doces</v>
          </cell>
          <cell r="G376">
            <v>0</v>
          </cell>
          <cell r="H376" t="e">
            <v>#N/A</v>
          </cell>
          <cell r="I376" t="str">
            <v>190120</v>
          </cell>
          <cell r="J376" t="str">
            <v>19012</v>
          </cell>
          <cell r="K376" t="str">
            <v>1901</v>
          </cell>
          <cell r="L376" t="str">
            <v>190</v>
          </cell>
          <cell r="M376" t="str">
            <v>19</v>
          </cell>
          <cell r="N376">
            <v>4</v>
          </cell>
          <cell r="O376">
            <v>4</v>
          </cell>
        </row>
        <row r="377">
          <cell r="A377">
            <v>6905101</v>
          </cell>
          <cell r="B377" t="str">
            <v>PAMONHA</v>
          </cell>
          <cell r="C377">
            <v>99</v>
          </cell>
          <cell r="D377" t="str">
            <v>nao se aplica</v>
          </cell>
          <cell r="E377"/>
          <cell r="F377" t="str">
            <v/>
          </cell>
          <cell r="G377">
            <v>0</v>
          </cell>
          <cell r="H377">
            <v>6905101</v>
          </cell>
          <cell r="I377">
            <v>190190</v>
          </cell>
          <cell r="J377" t="str">
            <v>19019</v>
          </cell>
          <cell r="K377" t="str">
            <v>1901</v>
          </cell>
          <cell r="L377" t="str">
            <v>190</v>
          </cell>
          <cell r="M377" t="str">
            <v>19</v>
          </cell>
          <cell r="N377">
            <v>4</v>
          </cell>
          <cell r="O377">
            <v>4</v>
          </cell>
        </row>
        <row r="378">
          <cell r="A378">
            <v>6905603</v>
          </cell>
          <cell r="B378" t="str">
            <v>IOIO CREME (CHOCOLATE EM CREME)</v>
          </cell>
          <cell r="C378">
            <v>99</v>
          </cell>
          <cell r="D378" t="str">
            <v>nao se aplica</v>
          </cell>
          <cell r="E378">
            <v>8</v>
          </cell>
          <cell r="F378" t="str">
            <v>Outros doces</v>
          </cell>
          <cell r="G378">
            <v>0</v>
          </cell>
          <cell r="H378">
            <v>6905603</v>
          </cell>
          <cell r="I378">
            <v>180690</v>
          </cell>
          <cell r="J378" t="str">
            <v>18069</v>
          </cell>
          <cell r="K378" t="str">
            <v>1806</v>
          </cell>
          <cell r="L378" t="str">
            <v>180</v>
          </cell>
          <cell r="M378" t="str">
            <v>18</v>
          </cell>
          <cell r="N378">
            <v>4</v>
          </cell>
          <cell r="O378">
            <v>4</v>
          </cell>
        </row>
        <row r="379">
          <cell r="A379">
            <v>6905606</v>
          </cell>
          <cell r="B379" t="str">
            <v>NUTELLA</v>
          </cell>
          <cell r="C379">
            <v>99</v>
          </cell>
          <cell r="D379" t="str">
            <v>nao se aplica</v>
          </cell>
          <cell r="E379">
            <v>8</v>
          </cell>
          <cell r="F379" t="str">
            <v>Outros doces</v>
          </cell>
          <cell r="G379">
            <v>0</v>
          </cell>
          <cell r="H379" t="e">
            <v>#N/A</v>
          </cell>
          <cell r="I379">
            <v>180690</v>
          </cell>
          <cell r="J379" t="str">
            <v>18069</v>
          </cell>
          <cell r="K379" t="str">
            <v>1806</v>
          </cell>
          <cell r="L379" t="str">
            <v>180</v>
          </cell>
          <cell r="M379" t="str">
            <v>18</v>
          </cell>
          <cell r="N379">
            <v>4</v>
          </cell>
          <cell r="O379">
            <v>4</v>
          </cell>
        </row>
        <row r="380">
          <cell r="A380">
            <v>6905702</v>
          </cell>
          <cell r="B380" t="str">
            <v>GUARANA EM PO</v>
          </cell>
          <cell r="C380">
            <v>99</v>
          </cell>
          <cell r="D380" t="str">
            <v>nao se aplica</v>
          </cell>
          <cell r="E380">
            <v>94</v>
          </cell>
          <cell r="F380" t="str">
            <v>Outras farinhas</v>
          </cell>
          <cell r="G380">
            <v>0</v>
          </cell>
          <cell r="H380">
            <v>6905702</v>
          </cell>
          <cell r="I380">
            <v>180690</v>
          </cell>
          <cell r="J380" t="str">
            <v>18069</v>
          </cell>
          <cell r="K380" t="str">
            <v>1806</v>
          </cell>
          <cell r="L380" t="str">
            <v>180</v>
          </cell>
          <cell r="M380" t="str">
            <v>18</v>
          </cell>
          <cell r="N380">
            <v>2</v>
          </cell>
          <cell r="O380">
            <v>1</v>
          </cell>
        </row>
        <row r="381">
          <cell r="A381">
            <v>6905801</v>
          </cell>
          <cell r="B381" t="str">
            <v>OVO DE PASCOA</v>
          </cell>
          <cell r="C381">
            <v>99</v>
          </cell>
          <cell r="D381" t="str">
            <v>nao se aplica</v>
          </cell>
          <cell r="E381">
            <v>51</v>
          </cell>
          <cell r="F381" t="str">
            <v>Chocolate, bala e outras guloseimas</v>
          </cell>
          <cell r="G381">
            <v>0</v>
          </cell>
          <cell r="H381" t="e">
            <v>#N/A</v>
          </cell>
          <cell r="I381" t="str">
            <v>180500</v>
          </cell>
          <cell r="J381" t="str">
            <v>18050</v>
          </cell>
          <cell r="K381" t="str">
            <v>1805</v>
          </cell>
          <cell r="L381" t="str">
            <v>180</v>
          </cell>
          <cell r="M381" t="str">
            <v>18</v>
          </cell>
          <cell r="N381">
            <v>4</v>
          </cell>
          <cell r="O381">
            <v>4</v>
          </cell>
        </row>
        <row r="382">
          <cell r="A382">
            <v>6905804</v>
          </cell>
          <cell r="B382" t="str">
            <v>KINDER OVO</v>
          </cell>
          <cell r="C382">
            <v>99</v>
          </cell>
          <cell r="D382" t="str">
            <v>nao se aplica</v>
          </cell>
          <cell r="E382">
            <v>51</v>
          </cell>
          <cell r="F382" t="str">
            <v>Chocolate, bala e outras guloseimas</v>
          </cell>
          <cell r="G382">
            <v>0</v>
          </cell>
          <cell r="H382" t="e">
            <v>#N/A</v>
          </cell>
          <cell r="I382" t="str">
            <v>180500</v>
          </cell>
          <cell r="J382" t="str">
            <v>18050</v>
          </cell>
          <cell r="K382" t="str">
            <v>1805</v>
          </cell>
          <cell r="L382" t="str">
            <v>180</v>
          </cell>
          <cell r="M382" t="str">
            <v>18</v>
          </cell>
          <cell r="N382">
            <v>4</v>
          </cell>
          <cell r="O382">
            <v>4</v>
          </cell>
        </row>
        <row r="383">
          <cell r="A383">
            <v>6905901</v>
          </cell>
          <cell r="B383" t="str">
            <v>TORRONE</v>
          </cell>
          <cell r="C383">
            <v>99</v>
          </cell>
          <cell r="D383" t="str">
            <v>nao se aplica</v>
          </cell>
          <cell r="E383">
            <v>8</v>
          </cell>
          <cell r="F383" t="str">
            <v>Outros doces</v>
          </cell>
          <cell r="G383">
            <v>0</v>
          </cell>
          <cell r="H383">
            <v>6905901</v>
          </cell>
          <cell r="I383">
            <v>170490</v>
          </cell>
          <cell r="J383" t="str">
            <v>17049</v>
          </cell>
          <cell r="K383" t="str">
            <v>1704</v>
          </cell>
          <cell r="L383" t="str">
            <v>170</v>
          </cell>
          <cell r="M383" t="str">
            <v>17</v>
          </cell>
          <cell r="N383">
            <v>4</v>
          </cell>
          <cell r="O383">
            <v>4</v>
          </cell>
        </row>
        <row r="384">
          <cell r="A384">
            <v>6906404</v>
          </cell>
          <cell r="B384" t="str">
            <v>POLPA DE COCO</v>
          </cell>
          <cell r="C384">
            <v>99</v>
          </cell>
          <cell r="D384" t="str">
            <v>nao se aplica</v>
          </cell>
          <cell r="E384">
            <v>21</v>
          </cell>
          <cell r="F384" t="str">
            <v>Fruta</v>
          </cell>
          <cell r="G384">
            <v>0</v>
          </cell>
          <cell r="H384" t="e">
            <v>#N/A</v>
          </cell>
          <cell r="I384" t="str">
            <v>080111</v>
          </cell>
          <cell r="J384" t="str">
            <v>08011</v>
          </cell>
          <cell r="K384" t="str">
            <v>0801</v>
          </cell>
          <cell r="L384" t="str">
            <v>080</v>
          </cell>
          <cell r="M384" t="str">
            <v>08</v>
          </cell>
          <cell r="N384">
            <v>2</v>
          </cell>
          <cell r="O384">
            <v>2</v>
          </cell>
        </row>
        <row r="385">
          <cell r="A385">
            <v>6906501</v>
          </cell>
          <cell r="B385" t="str">
            <v>DIET SHAKE</v>
          </cell>
          <cell r="C385">
            <v>99</v>
          </cell>
          <cell r="D385" t="str">
            <v>nao se aplica</v>
          </cell>
          <cell r="E385">
            <v>36</v>
          </cell>
          <cell r="F385" t="str">
            <v>Iogurtes e Bebidas lacteas</v>
          </cell>
          <cell r="G385">
            <v>0</v>
          </cell>
          <cell r="H385">
            <v>6906501</v>
          </cell>
          <cell r="I385">
            <v>220290</v>
          </cell>
          <cell r="J385" t="str">
            <v>22029</v>
          </cell>
          <cell r="K385" t="str">
            <v>2202</v>
          </cell>
          <cell r="L385" t="str">
            <v>220</v>
          </cell>
          <cell r="M385" t="str">
            <v>22</v>
          </cell>
          <cell r="N385">
            <v>4</v>
          </cell>
          <cell r="O385">
            <v>4</v>
          </cell>
        </row>
        <row r="386">
          <cell r="A386">
            <v>6906502</v>
          </cell>
          <cell r="B386" t="str">
            <v>CONCENTRADO ALIMENTAR DIET SHAKE</v>
          </cell>
          <cell r="C386">
            <v>99</v>
          </cell>
          <cell r="D386" t="str">
            <v>nao se aplica</v>
          </cell>
          <cell r="E386">
            <v>36</v>
          </cell>
          <cell r="F386" t="str">
            <v>Iogurtes e Bebidas lacteas</v>
          </cell>
          <cell r="G386">
            <v>0</v>
          </cell>
          <cell r="H386" t="e">
            <v>#N/A</v>
          </cell>
          <cell r="I386">
            <v>220290</v>
          </cell>
          <cell r="J386" t="str">
            <v>22029</v>
          </cell>
          <cell r="K386" t="str">
            <v>2202</v>
          </cell>
          <cell r="L386" t="str">
            <v>220</v>
          </cell>
          <cell r="M386" t="str">
            <v>22</v>
          </cell>
          <cell r="N386">
            <v>4</v>
          </cell>
          <cell r="O386">
            <v>4</v>
          </cell>
        </row>
        <row r="387">
          <cell r="A387">
            <v>6906503</v>
          </cell>
          <cell r="B387" t="str">
            <v>HERBALIFE</v>
          </cell>
          <cell r="C387">
            <v>99</v>
          </cell>
          <cell r="D387" t="str">
            <v>nao se aplica</v>
          </cell>
          <cell r="E387">
            <v>89</v>
          </cell>
          <cell r="F387" t="str">
            <v>Formulas e suplementos</v>
          </cell>
          <cell r="G387">
            <v>0</v>
          </cell>
          <cell r="H387" t="e">
            <v>#N/A</v>
          </cell>
          <cell r="I387">
            <v>220290</v>
          </cell>
          <cell r="J387" t="str">
            <v>22029</v>
          </cell>
          <cell r="K387" t="str">
            <v>2202</v>
          </cell>
          <cell r="L387" t="str">
            <v>220</v>
          </cell>
          <cell r="M387" t="str">
            <v>22</v>
          </cell>
          <cell r="N387">
            <v>4</v>
          </cell>
          <cell r="O387">
            <v>4</v>
          </cell>
        </row>
        <row r="388">
          <cell r="A388">
            <v>6906602</v>
          </cell>
          <cell r="B388" t="str">
            <v>ACUCAR</v>
          </cell>
          <cell r="C388">
            <v>99</v>
          </cell>
          <cell r="D388" t="str">
            <v>nao se aplica</v>
          </cell>
          <cell r="E388">
            <v>40</v>
          </cell>
          <cell r="F388" t="str">
            <v>Acucares</v>
          </cell>
          <cell r="G388">
            <v>0</v>
          </cell>
          <cell r="H388">
            <v>6906602</v>
          </cell>
          <cell r="I388">
            <v>170111</v>
          </cell>
          <cell r="J388" t="str">
            <v>17011</v>
          </cell>
          <cell r="K388" t="str">
            <v>1701</v>
          </cell>
          <cell r="L388" t="str">
            <v>170</v>
          </cell>
          <cell r="M388" t="str">
            <v>17</v>
          </cell>
          <cell r="N388">
            <v>4</v>
          </cell>
          <cell r="O388">
            <v>2</v>
          </cell>
        </row>
        <row r="389">
          <cell r="A389">
            <v>6907001</v>
          </cell>
          <cell r="B389" t="str">
            <v>ACUCAR LIGHT</v>
          </cell>
          <cell r="C389">
            <v>99</v>
          </cell>
          <cell r="D389" t="str">
            <v>nao se aplica</v>
          </cell>
          <cell r="E389">
            <v>40</v>
          </cell>
          <cell r="F389" t="str">
            <v>Acucares</v>
          </cell>
          <cell r="G389">
            <v>0</v>
          </cell>
          <cell r="H389" t="e">
            <v>#N/A</v>
          </cell>
          <cell r="I389">
            <v>170113</v>
          </cell>
          <cell r="J389" t="str">
            <v>17011</v>
          </cell>
          <cell r="K389" t="str">
            <v>1701</v>
          </cell>
          <cell r="L389" t="str">
            <v>170</v>
          </cell>
          <cell r="M389" t="str">
            <v>17</v>
          </cell>
          <cell r="N389">
            <v>4</v>
          </cell>
          <cell r="O389">
            <v>2</v>
          </cell>
        </row>
        <row r="390">
          <cell r="A390">
            <v>6907201</v>
          </cell>
          <cell r="B390" t="str">
            <v>BARRA DE CEREAIS</v>
          </cell>
          <cell r="C390">
            <v>99</v>
          </cell>
          <cell r="D390" t="str">
            <v>nao se aplica</v>
          </cell>
          <cell r="E390">
            <v>8</v>
          </cell>
          <cell r="F390" t="str">
            <v>Outros doces</v>
          </cell>
          <cell r="G390">
            <v>0</v>
          </cell>
          <cell r="H390">
            <v>6907201</v>
          </cell>
          <cell r="I390">
            <v>190420</v>
          </cell>
          <cell r="J390" t="str">
            <v>19042</v>
          </cell>
          <cell r="K390" t="str">
            <v>1904</v>
          </cell>
          <cell r="L390" t="str">
            <v>190</v>
          </cell>
          <cell r="M390" t="str">
            <v>19</v>
          </cell>
          <cell r="N390">
            <v>4</v>
          </cell>
          <cell r="O390">
            <v>4</v>
          </cell>
        </row>
        <row r="391">
          <cell r="A391">
            <v>6907203</v>
          </cell>
          <cell r="B391" t="str">
            <v>BARRA DE CEREAIS DOCE</v>
          </cell>
          <cell r="C391">
            <v>99</v>
          </cell>
          <cell r="D391" t="str">
            <v>nao se aplica</v>
          </cell>
          <cell r="E391">
            <v>8</v>
          </cell>
          <cell r="F391" t="str">
            <v>Outros doces</v>
          </cell>
          <cell r="G391">
            <v>0</v>
          </cell>
          <cell r="H391" t="e">
            <v>#N/A</v>
          </cell>
          <cell r="I391">
            <v>190420</v>
          </cell>
          <cell r="J391" t="str">
            <v>19042</v>
          </cell>
          <cell r="K391" t="str">
            <v>1904</v>
          </cell>
          <cell r="L391" t="str">
            <v>190</v>
          </cell>
          <cell r="M391" t="str">
            <v>19</v>
          </cell>
          <cell r="N391">
            <v>4</v>
          </cell>
          <cell r="O391">
            <v>4</v>
          </cell>
        </row>
        <row r="392">
          <cell r="A392">
            <v>6907501</v>
          </cell>
          <cell r="B392" t="str">
            <v>MILK SHAKE</v>
          </cell>
          <cell r="C392">
            <v>99</v>
          </cell>
          <cell r="D392" t="str">
            <v>nao se aplica</v>
          </cell>
          <cell r="E392">
            <v>50</v>
          </cell>
          <cell r="F392" t="str">
            <v>Sorvete</v>
          </cell>
          <cell r="G392">
            <v>0</v>
          </cell>
          <cell r="H392" t="e">
            <v>#N/A</v>
          </cell>
          <cell r="I392" t="str">
            <v>210500</v>
          </cell>
          <cell r="J392" t="str">
            <v>21050</v>
          </cell>
          <cell r="K392" t="str">
            <v>2105</v>
          </cell>
          <cell r="L392" t="str">
            <v>210</v>
          </cell>
          <cell r="M392" t="str">
            <v>21</v>
          </cell>
          <cell r="N392">
            <v>4</v>
          </cell>
          <cell r="O392">
            <v>4</v>
          </cell>
        </row>
        <row r="393">
          <cell r="A393">
            <v>6907901</v>
          </cell>
          <cell r="B393" t="str">
            <v>GELEIA DIET</v>
          </cell>
          <cell r="C393">
            <v>99</v>
          </cell>
          <cell r="D393" t="str">
            <v>nao se aplica</v>
          </cell>
          <cell r="E393">
            <v>8</v>
          </cell>
          <cell r="F393" t="str">
            <v>Outros doces</v>
          </cell>
          <cell r="G393">
            <v>0</v>
          </cell>
          <cell r="H393">
            <v>6907901</v>
          </cell>
          <cell r="I393">
            <v>200799</v>
          </cell>
          <cell r="J393" t="str">
            <v>20079</v>
          </cell>
          <cell r="K393" t="str">
            <v>2007</v>
          </cell>
          <cell r="L393" t="str">
            <v>200</v>
          </cell>
          <cell r="M393" t="str">
            <v>20</v>
          </cell>
          <cell r="N393">
            <v>4</v>
          </cell>
          <cell r="O393">
            <v>4</v>
          </cell>
        </row>
        <row r="394">
          <cell r="A394">
            <v>6908001</v>
          </cell>
          <cell r="B394" t="str">
            <v>DOCE DE FRUTAS DIET</v>
          </cell>
          <cell r="C394">
            <v>99</v>
          </cell>
          <cell r="D394" t="str">
            <v>nao se aplica</v>
          </cell>
          <cell r="E394">
            <v>8</v>
          </cell>
          <cell r="F394" t="str">
            <v>Outros doces</v>
          </cell>
          <cell r="G394">
            <v>0</v>
          </cell>
          <cell r="H394">
            <v>6908001</v>
          </cell>
          <cell r="I394">
            <v>200799</v>
          </cell>
          <cell r="J394" t="str">
            <v>20079</v>
          </cell>
          <cell r="K394" t="str">
            <v>2007</v>
          </cell>
          <cell r="L394" t="str">
            <v>200</v>
          </cell>
          <cell r="M394" t="str">
            <v>20</v>
          </cell>
          <cell r="N394">
            <v>4</v>
          </cell>
          <cell r="O394">
            <v>4</v>
          </cell>
        </row>
        <row r="395">
          <cell r="A395">
            <v>6908501</v>
          </cell>
          <cell r="B395" t="str">
            <v>SUSPIRO</v>
          </cell>
          <cell r="C395">
            <v>99</v>
          </cell>
          <cell r="D395" t="str">
            <v>nao se aplica</v>
          </cell>
          <cell r="E395">
            <v>51</v>
          </cell>
          <cell r="F395" t="str">
            <v>Chocolate, bala e outras guloseimas</v>
          </cell>
          <cell r="G395">
            <v>0</v>
          </cell>
          <cell r="H395" t="e">
            <v>#N/A</v>
          </cell>
          <cell r="I395">
            <v>170490</v>
          </cell>
          <cell r="J395" t="str">
            <v>17049</v>
          </cell>
          <cell r="K395" t="str">
            <v>1704</v>
          </cell>
          <cell r="L395" t="str">
            <v>170</v>
          </cell>
          <cell r="M395" t="str">
            <v>17</v>
          </cell>
          <cell r="N395">
            <v>4</v>
          </cell>
          <cell r="O395">
            <v>4</v>
          </cell>
        </row>
        <row r="396">
          <cell r="A396">
            <v>6909601</v>
          </cell>
          <cell r="B396" t="str">
            <v>SORVETE DE QUALQUER SABOR INDUSTRIALIZADO LIGHT</v>
          </cell>
          <cell r="C396">
            <v>99</v>
          </cell>
          <cell r="D396" t="str">
            <v>nao se aplica</v>
          </cell>
          <cell r="E396">
            <v>50</v>
          </cell>
          <cell r="F396" t="str">
            <v>Sorvete</v>
          </cell>
          <cell r="G396">
            <v>0</v>
          </cell>
          <cell r="H396">
            <v>6909601</v>
          </cell>
          <cell r="I396" t="str">
            <v>210500</v>
          </cell>
          <cell r="J396" t="str">
            <v>21050</v>
          </cell>
          <cell r="K396" t="str">
            <v>2105</v>
          </cell>
          <cell r="L396" t="str">
            <v>210</v>
          </cell>
          <cell r="M396" t="str">
            <v>21</v>
          </cell>
          <cell r="N396">
            <v>4</v>
          </cell>
          <cell r="O396">
            <v>4</v>
          </cell>
        </row>
        <row r="397">
          <cell r="A397">
            <v>6909701</v>
          </cell>
          <cell r="B397" t="str">
            <v>SORVETE DE QUALQUER SABOR INDUSTRIALIZADO DIET</v>
          </cell>
          <cell r="C397">
            <v>99</v>
          </cell>
          <cell r="D397" t="str">
            <v>nao se aplica</v>
          </cell>
          <cell r="E397">
            <v>50</v>
          </cell>
          <cell r="F397" t="str">
            <v>Sorvete</v>
          </cell>
          <cell r="G397">
            <v>0</v>
          </cell>
          <cell r="H397" t="e">
            <v>#N/A</v>
          </cell>
          <cell r="I397" t="str">
            <v>210500</v>
          </cell>
          <cell r="J397" t="str">
            <v>21050</v>
          </cell>
          <cell r="K397" t="str">
            <v>2105</v>
          </cell>
          <cell r="L397" t="str">
            <v>210</v>
          </cell>
          <cell r="M397" t="str">
            <v>21</v>
          </cell>
          <cell r="N397">
            <v>4</v>
          </cell>
          <cell r="O397">
            <v>4</v>
          </cell>
        </row>
        <row r="398">
          <cell r="A398">
            <v>6909901</v>
          </cell>
          <cell r="B398" t="str">
            <v>CHICLETE DIET</v>
          </cell>
          <cell r="C398">
            <v>99</v>
          </cell>
          <cell r="D398" t="str">
            <v>nao se aplica</v>
          </cell>
          <cell r="E398">
            <v>51</v>
          </cell>
          <cell r="F398" t="str">
            <v>Chocolate, bala e outras guloseimas</v>
          </cell>
          <cell r="G398">
            <v>0</v>
          </cell>
          <cell r="H398">
            <v>6909901</v>
          </cell>
          <cell r="I398">
            <v>170490</v>
          </cell>
          <cell r="J398" t="str">
            <v>17049</v>
          </cell>
          <cell r="K398" t="str">
            <v>1704</v>
          </cell>
          <cell r="L398" t="str">
            <v>170</v>
          </cell>
          <cell r="M398" t="str">
            <v>17</v>
          </cell>
          <cell r="N398">
            <v>4</v>
          </cell>
          <cell r="O398">
            <v>4</v>
          </cell>
        </row>
        <row r="399">
          <cell r="A399">
            <v>6910002</v>
          </cell>
          <cell r="B399" t="str">
            <v>BARRA DE CHOCOLATE LIGHT</v>
          </cell>
          <cell r="C399">
            <v>99</v>
          </cell>
          <cell r="D399" t="str">
            <v>nao se aplica</v>
          </cell>
          <cell r="E399">
            <v>51</v>
          </cell>
          <cell r="F399" t="str">
            <v>Chocolate, bala e outras guloseimas</v>
          </cell>
          <cell r="G399">
            <v>0</v>
          </cell>
          <cell r="H399">
            <v>6910002</v>
          </cell>
          <cell r="I399" t="str">
            <v>180500</v>
          </cell>
          <cell r="J399" t="str">
            <v>18050</v>
          </cell>
          <cell r="K399" t="str">
            <v>1805</v>
          </cell>
          <cell r="L399" t="str">
            <v>180</v>
          </cell>
          <cell r="M399" t="str">
            <v>18</v>
          </cell>
          <cell r="N399">
            <v>4</v>
          </cell>
          <cell r="O399">
            <v>4</v>
          </cell>
        </row>
        <row r="400">
          <cell r="A400">
            <v>6910102</v>
          </cell>
          <cell r="B400" t="str">
            <v>BARRA DE CHOCOLATE DIET</v>
          </cell>
          <cell r="C400">
            <v>99</v>
          </cell>
          <cell r="D400" t="str">
            <v>nao se aplica</v>
          </cell>
          <cell r="E400">
            <v>51</v>
          </cell>
          <cell r="F400" t="str">
            <v>Chocolate, bala e outras guloseimas</v>
          </cell>
          <cell r="G400">
            <v>0</v>
          </cell>
          <cell r="H400" t="e">
            <v>#N/A</v>
          </cell>
          <cell r="I400" t="str">
            <v>180500</v>
          </cell>
          <cell r="J400" t="str">
            <v>18050</v>
          </cell>
          <cell r="K400" t="str">
            <v>1805</v>
          </cell>
          <cell r="L400" t="str">
            <v>180</v>
          </cell>
          <cell r="M400" t="str">
            <v>18</v>
          </cell>
          <cell r="N400">
            <v>4</v>
          </cell>
          <cell r="O400">
            <v>4</v>
          </cell>
        </row>
        <row r="401">
          <cell r="A401">
            <v>6910221</v>
          </cell>
          <cell r="B401" t="str">
            <v>ACHOCOLATADO EM PO LIGHT</v>
          </cell>
          <cell r="C401">
            <v>99</v>
          </cell>
          <cell r="D401" t="str">
            <v>nao se aplica</v>
          </cell>
          <cell r="E401">
            <v>51</v>
          </cell>
          <cell r="F401" t="str">
            <v>Chocolate, bala e outras guloseimas</v>
          </cell>
          <cell r="G401">
            <v>0</v>
          </cell>
          <cell r="H401">
            <v>6910221</v>
          </cell>
          <cell r="I401">
            <v>220290</v>
          </cell>
          <cell r="J401" t="str">
            <v>22029</v>
          </cell>
          <cell r="K401" t="str">
            <v>2202</v>
          </cell>
          <cell r="L401" t="str">
            <v>220</v>
          </cell>
          <cell r="M401" t="str">
            <v>22</v>
          </cell>
          <cell r="N401">
            <v>4</v>
          </cell>
          <cell r="O401">
            <v>4</v>
          </cell>
        </row>
        <row r="402">
          <cell r="A402">
            <v>6910321</v>
          </cell>
          <cell r="B402" t="str">
            <v>ACHOCOLATADO EM PO DIET</v>
          </cell>
          <cell r="C402">
            <v>99</v>
          </cell>
          <cell r="D402" t="str">
            <v>nao se aplica</v>
          </cell>
          <cell r="E402">
            <v>51</v>
          </cell>
          <cell r="F402" t="str">
            <v>Chocolate, bala e outras guloseimas</v>
          </cell>
          <cell r="G402">
            <v>0</v>
          </cell>
          <cell r="H402" t="e">
            <v>#N/A</v>
          </cell>
          <cell r="I402">
            <v>220290</v>
          </cell>
          <cell r="J402" t="str">
            <v>22029</v>
          </cell>
          <cell r="K402" t="str">
            <v>2202</v>
          </cell>
          <cell r="L402" t="str">
            <v>220</v>
          </cell>
          <cell r="M402" t="str">
            <v>22</v>
          </cell>
          <cell r="N402">
            <v>4</v>
          </cell>
          <cell r="O402">
            <v>4</v>
          </cell>
        </row>
        <row r="403">
          <cell r="A403">
            <v>6910322</v>
          </cell>
          <cell r="B403" t="str">
            <v>TODDYNHO DIET</v>
          </cell>
          <cell r="C403">
            <v>99</v>
          </cell>
          <cell r="D403" t="str">
            <v>nao se aplica</v>
          </cell>
          <cell r="E403">
            <v>36</v>
          </cell>
          <cell r="F403" t="str">
            <v>Iogurtes e Bebidas lacteas</v>
          </cell>
          <cell r="G403">
            <v>0</v>
          </cell>
          <cell r="H403">
            <v>6910322</v>
          </cell>
          <cell r="I403">
            <v>220290</v>
          </cell>
          <cell r="J403" t="str">
            <v>22029</v>
          </cell>
          <cell r="K403" t="str">
            <v>2202</v>
          </cell>
          <cell r="L403" t="str">
            <v>220</v>
          </cell>
          <cell r="M403" t="str">
            <v>22</v>
          </cell>
          <cell r="N403">
            <v>4</v>
          </cell>
          <cell r="O403">
            <v>4</v>
          </cell>
        </row>
        <row r="404">
          <cell r="A404">
            <v>6910601</v>
          </cell>
          <cell r="B404" t="str">
            <v>GELEIA DE FRUTAS DE QUALQUER MARCA OU SABOR LIGHT</v>
          </cell>
          <cell r="C404">
            <v>99</v>
          </cell>
          <cell r="D404" t="str">
            <v>nao se aplica</v>
          </cell>
          <cell r="E404">
            <v>8</v>
          </cell>
          <cell r="F404" t="str">
            <v>Outros doces</v>
          </cell>
          <cell r="G404">
            <v>0</v>
          </cell>
          <cell r="H404" t="e">
            <v>#N/A</v>
          </cell>
          <cell r="I404">
            <v>200799</v>
          </cell>
          <cell r="J404" t="str">
            <v>20079</v>
          </cell>
          <cell r="K404" t="str">
            <v>2007</v>
          </cell>
          <cell r="L404" t="str">
            <v>200</v>
          </cell>
          <cell r="M404" t="str">
            <v>20</v>
          </cell>
          <cell r="N404">
            <v>4</v>
          </cell>
          <cell r="O404">
            <v>4</v>
          </cell>
        </row>
        <row r="405">
          <cell r="A405">
            <v>6910604</v>
          </cell>
          <cell r="B405" t="str">
            <v>GELEIA LIGHT</v>
          </cell>
          <cell r="C405">
            <v>99</v>
          </cell>
          <cell r="D405" t="str">
            <v>nao se aplica</v>
          </cell>
          <cell r="E405">
            <v>8</v>
          </cell>
          <cell r="F405" t="str">
            <v>Outros doces</v>
          </cell>
          <cell r="G405">
            <v>0</v>
          </cell>
          <cell r="H405" t="e">
            <v>#N/A</v>
          </cell>
          <cell r="I405">
            <v>200799</v>
          </cell>
          <cell r="J405" t="str">
            <v>20079</v>
          </cell>
          <cell r="K405" t="str">
            <v>2007</v>
          </cell>
          <cell r="L405" t="str">
            <v>200</v>
          </cell>
          <cell r="M405" t="str">
            <v>20</v>
          </cell>
          <cell r="N405">
            <v>4</v>
          </cell>
          <cell r="O405">
            <v>4</v>
          </cell>
        </row>
        <row r="406">
          <cell r="A406">
            <v>6910605</v>
          </cell>
          <cell r="B406" t="str">
            <v>GELEIA DE FRUTAS LIGHT</v>
          </cell>
          <cell r="C406">
            <v>99</v>
          </cell>
          <cell r="D406" t="str">
            <v>nao se aplica</v>
          </cell>
          <cell r="E406">
            <v>8</v>
          </cell>
          <cell r="F406" t="str">
            <v>Outros doces</v>
          </cell>
          <cell r="G406">
            <v>0</v>
          </cell>
          <cell r="H406" t="e">
            <v>#N/A</v>
          </cell>
          <cell r="I406">
            <v>200799</v>
          </cell>
          <cell r="J406" t="str">
            <v>20079</v>
          </cell>
          <cell r="K406" t="str">
            <v>2007</v>
          </cell>
          <cell r="L406" t="str">
            <v>200</v>
          </cell>
          <cell r="M406" t="str">
            <v>20</v>
          </cell>
          <cell r="N406">
            <v>4</v>
          </cell>
          <cell r="O406">
            <v>4</v>
          </cell>
        </row>
        <row r="407">
          <cell r="A407">
            <v>6910701</v>
          </cell>
          <cell r="B407" t="str">
            <v>DOCE DE FRUTAS EM BARRA OU PASTA LIGHT</v>
          </cell>
          <cell r="C407">
            <v>99</v>
          </cell>
          <cell r="D407" t="str">
            <v>nao se aplica</v>
          </cell>
          <cell r="E407">
            <v>8</v>
          </cell>
          <cell r="F407" t="str">
            <v>Outros doces</v>
          </cell>
          <cell r="G407">
            <v>0</v>
          </cell>
          <cell r="H407" t="e">
            <v>#N/A</v>
          </cell>
          <cell r="I407">
            <v>200799</v>
          </cell>
          <cell r="J407" t="str">
            <v>20079</v>
          </cell>
          <cell r="K407" t="str">
            <v>2007</v>
          </cell>
          <cell r="L407" t="str">
            <v>200</v>
          </cell>
          <cell r="M407" t="str">
            <v>20</v>
          </cell>
          <cell r="N407">
            <v>4</v>
          </cell>
          <cell r="O407">
            <v>4</v>
          </cell>
        </row>
        <row r="408">
          <cell r="A408">
            <v>6910702</v>
          </cell>
          <cell r="B408" t="str">
            <v>DOCE DE FRUTAS EM PASTA LIGHT</v>
          </cell>
          <cell r="C408">
            <v>99</v>
          </cell>
          <cell r="D408" t="str">
            <v>nao se aplica</v>
          </cell>
          <cell r="E408">
            <v>8</v>
          </cell>
          <cell r="F408" t="str">
            <v>Outros doces</v>
          </cell>
          <cell r="G408">
            <v>0</v>
          </cell>
          <cell r="H408" t="e">
            <v>#N/A</v>
          </cell>
          <cell r="I408">
            <v>200799</v>
          </cell>
          <cell r="J408" t="str">
            <v>20079</v>
          </cell>
          <cell r="K408" t="str">
            <v>2007</v>
          </cell>
          <cell r="L408" t="str">
            <v>200</v>
          </cell>
          <cell r="M408" t="str">
            <v>20</v>
          </cell>
          <cell r="N408">
            <v>4</v>
          </cell>
          <cell r="O408">
            <v>4</v>
          </cell>
        </row>
        <row r="409">
          <cell r="A409">
            <v>6911301</v>
          </cell>
          <cell r="B409" t="str">
            <v>DOCE DE LEITE DIET</v>
          </cell>
          <cell r="C409">
            <v>99</v>
          </cell>
          <cell r="D409" t="str">
            <v>nao se aplica</v>
          </cell>
          <cell r="E409">
            <v>8</v>
          </cell>
          <cell r="F409" t="str">
            <v>Outros doces</v>
          </cell>
          <cell r="G409">
            <v>0</v>
          </cell>
          <cell r="H409">
            <v>6911301</v>
          </cell>
          <cell r="I409">
            <v>190190</v>
          </cell>
          <cell r="J409" t="str">
            <v>19019</v>
          </cell>
          <cell r="K409" t="str">
            <v>1901</v>
          </cell>
          <cell r="L409" t="str">
            <v>190</v>
          </cell>
          <cell r="M409" t="str">
            <v>19</v>
          </cell>
          <cell r="N409">
            <v>4</v>
          </cell>
          <cell r="O409">
            <v>4</v>
          </cell>
        </row>
        <row r="410">
          <cell r="A410">
            <v>6912501</v>
          </cell>
          <cell r="B410" t="str">
            <v>BARRA DE CEREAIS DIET</v>
          </cell>
          <cell r="C410">
            <v>99</v>
          </cell>
          <cell r="D410" t="str">
            <v>nao se aplica</v>
          </cell>
          <cell r="E410">
            <v>8</v>
          </cell>
          <cell r="F410" t="str">
            <v>Outros doces</v>
          </cell>
          <cell r="G410">
            <v>0</v>
          </cell>
          <cell r="H410">
            <v>6912501</v>
          </cell>
          <cell r="I410">
            <v>190420</v>
          </cell>
          <cell r="J410" t="str">
            <v>19042</v>
          </cell>
          <cell r="K410" t="str">
            <v>1904</v>
          </cell>
          <cell r="L410" t="str">
            <v>190</v>
          </cell>
          <cell r="M410" t="str">
            <v>19</v>
          </cell>
          <cell r="N410">
            <v>4</v>
          </cell>
          <cell r="O410">
            <v>4</v>
          </cell>
        </row>
        <row r="411">
          <cell r="A411">
            <v>6912502</v>
          </cell>
          <cell r="B411" t="str">
            <v>BARRA DE CEREAIS DOCE DIET</v>
          </cell>
          <cell r="C411">
            <v>99</v>
          </cell>
          <cell r="D411" t="str">
            <v>nao se aplica</v>
          </cell>
          <cell r="E411">
            <v>8</v>
          </cell>
          <cell r="F411" t="str">
            <v>Outros doces</v>
          </cell>
          <cell r="G411">
            <v>0</v>
          </cell>
          <cell r="H411" t="e">
            <v>#N/A</v>
          </cell>
          <cell r="I411">
            <v>190420</v>
          </cell>
          <cell r="J411" t="str">
            <v>19042</v>
          </cell>
          <cell r="K411" t="str">
            <v>1904</v>
          </cell>
          <cell r="L411" t="str">
            <v>190</v>
          </cell>
          <cell r="M411" t="str">
            <v>19</v>
          </cell>
          <cell r="N411">
            <v>4</v>
          </cell>
          <cell r="O411">
            <v>4</v>
          </cell>
        </row>
        <row r="412">
          <cell r="A412">
            <v>6912801</v>
          </cell>
          <cell r="B412" t="str">
            <v>MILK SHAKE DIET</v>
          </cell>
          <cell r="C412">
            <v>99</v>
          </cell>
          <cell r="D412" t="str">
            <v>nao se aplica</v>
          </cell>
          <cell r="E412">
            <v>36</v>
          </cell>
          <cell r="F412" t="str">
            <v>Iogurtes e Bebidas lacteas</v>
          </cell>
          <cell r="G412">
            <v>0</v>
          </cell>
          <cell r="H412" t="e">
            <v>#N/A</v>
          </cell>
          <cell r="I412">
            <v>220290</v>
          </cell>
          <cell r="J412" t="str">
            <v>22029</v>
          </cell>
          <cell r="K412" t="str">
            <v>2202</v>
          </cell>
          <cell r="L412" t="str">
            <v>220</v>
          </cell>
          <cell r="M412" t="str">
            <v>22</v>
          </cell>
          <cell r="N412">
            <v>4</v>
          </cell>
          <cell r="O412">
            <v>4</v>
          </cell>
        </row>
        <row r="413">
          <cell r="A413">
            <v>6913001</v>
          </cell>
          <cell r="B413" t="str">
            <v>COCADA DIET</v>
          </cell>
          <cell r="C413">
            <v>99</v>
          </cell>
          <cell r="D413" t="str">
            <v>nao se aplica</v>
          </cell>
          <cell r="E413">
            <v>8</v>
          </cell>
          <cell r="F413" t="str">
            <v>Outros doces</v>
          </cell>
          <cell r="G413">
            <v>0</v>
          </cell>
          <cell r="H413" t="e">
            <v>#N/A</v>
          </cell>
          <cell r="I413">
            <v>200799</v>
          </cell>
          <cell r="J413" t="str">
            <v>20079</v>
          </cell>
          <cell r="K413" t="str">
            <v>2007</v>
          </cell>
          <cell r="L413" t="str">
            <v>200</v>
          </cell>
          <cell r="M413" t="str">
            <v>20</v>
          </cell>
          <cell r="N413">
            <v>4</v>
          </cell>
          <cell r="O413">
            <v>4</v>
          </cell>
        </row>
        <row r="414">
          <cell r="A414">
            <v>6913103</v>
          </cell>
          <cell r="B414" t="str">
            <v>PACOCA DIET</v>
          </cell>
          <cell r="C414">
            <v>99</v>
          </cell>
          <cell r="D414" t="str">
            <v>nao se aplica</v>
          </cell>
          <cell r="E414">
            <v>8</v>
          </cell>
          <cell r="F414" t="str">
            <v>Outros doces</v>
          </cell>
          <cell r="G414">
            <v>0</v>
          </cell>
          <cell r="H414">
            <v>6913103</v>
          </cell>
          <cell r="I414">
            <v>200799</v>
          </cell>
          <cell r="J414" t="str">
            <v>20079</v>
          </cell>
          <cell r="K414" t="str">
            <v>2007</v>
          </cell>
          <cell r="L414" t="str">
            <v>200</v>
          </cell>
          <cell r="M414" t="str">
            <v>20</v>
          </cell>
          <cell r="N414">
            <v>4</v>
          </cell>
          <cell r="O414">
            <v>4</v>
          </cell>
        </row>
        <row r="415">
          <cell r="A415">
            <v>6913801</v>
          </cell>
          <cell r="B415" t="str">
            <v>DOCE A BASE DE LEITE DIET</v>
          </cell>
          <cell r="C415">
            <v>99</v>
          </cell>
          <cell r="D415" t="str">
            <v>nao se aplica</v>
          </cell>
          <cell r="E415">
            <v>8</v>
          </cell>
          <cell r="F415" t="str">
            <v>Outros doces</v>
          </cell>
          <cell r="G415">
            <v>0</v>
          </cell>
          <cell r="H415" t="e">
            <v>#N/A</v>
          </cell>
          <cell r="I415">
            <v>190190</v>
          </cell>
          <cell r="J415" t="str">
            <v>19019</v>
          </cell>
          <cell r="K415" t="str">
            <v>1901</v>
          </cell>
          <cell r="L415" t="str">
            <v>190</v>
          </cell>
          <cell r="M415" t="str">
            <v>19</v>
          </cell>
          <cell r="N415">
            <v>4</v>
          </cell>
          <cell r="O415">
            <v>4</v>
          </cell>
        </row>
        <row r="416">
          <cell r="A416">
            <v>6913901</v>
          </cell>
          <cell r="B416" t="str">
            <v>GELATINA DE QUALQUER SABOR LIGHT</v>
          </cell>
          <cell r="C416">
            <v>99</v>
          </cell>
          <cell r="D416" t="str">
            <v>nao se aplica</v>
          </cell>
          <cell r="E416">
            <v>8</v>
          </cell>
          <cell r="F416" t="str">
            <v>Outros doces</v>
          </cell>
          <cell r="G416">
            <v>0</v>
          </cell>
          <cell r="H416">
            <v>6913901</v>
          </cell>
          <cell r="I416">
            <v>200799</v>
          </cell>
          <cell r="J416" t="str">
            <v>20079</v>
          </cell>
          <cell r="K416" t="str">
            <v>2007</v>
          </cell>
          <cell r="L416" t="str">
            <v>200</v>
          </cell>
          <cell r="M416" t="str">
            <v>20</v>
          </cell>
          <cell r="N416">
            <v>4</v>
          </cell>
          <cell r="O416">
            <v>4</v>
          </cell>
        </row>
        <row r="417">
          <cell r="A417">
            <v>6914002</v>
          </cell>
          <cell r="B417" t="str">
            <v>ADOCANTE EM PO LIGHT</v>
          </cell>
          <cell r="C417">
            <v>99</v>
          </cell>
          <cell r="D417" t="str">
            <v>nao se aplica</v>
          </cell>
          <cell r="E417">
            <v>40</v>
          </cell>
          <cell r="F417" t="str">
            <v>Acucares</v>
          </cell>
          <cell r="G417">
            <v>0</v>
          </cell>
          <cell r="H417" t="e">
            <v>#N/A</v>
          </cell>
          <cell r="I417">
            <v>210690</v>
          </cell>
          <cell r="J417" t="str">
            <v>21069</v>
          </cell>
          <cell r="K417" t="str">
            <v>2106</v>
          </cell>
          <cell r="L417" t="str">
            <v>210</v>
          </cell>
          <cell r="M417" t="str">
            <v>21</v>
          </cell>
          <cell r="N417">
            <v>4</v>
          </cell>
          <cell r="O417">
            <v>4</v>
          </cell>
        </row>
        <row r="418">
          <cell r="A418">
            <v>6914003</v>
          </cell>
          <cell r="B418" t="str">
            <v>ADOCANTE LIQUIDO LIGHT</v>
          </cell>
          <cell r="C418">
            <v>99</v>
          </cell>
          <cell r="D418" t="str">
            <v>nao se aplica</v>
          </cell>
          <cell r="E418">
            <v>40</v>
          </cell>
          <cell r="F418" t="str">
            <v>Acucares</v>
          </cell>
          <cell r="G418">
            <v>0</v>
          </cell>
          <cell r="H418" t="e">
            <v>#N/A</v>
          </cell>
          <cell r="I418">
            <v>210690</v>
          </cell>
          <cell r="J418" t="str">
            <v>21069</v>
          </cell>
          <cell r="K418" t="str">
            <v>2106</v>
          </cell>
          <cell r="L418" t="str">
            <v>210</v>
          </cell>
          <cell r="M418" t="str">
            <v>21</v>
          </cell>
          <cell r="N418">
            <v>4</v>
          </cell>
          <cell r="O418">
            <v>4</v>
          </cell>
        </row>
        <row r="419">
          <cell r="A419">
            <v>6914901</v>
          </cell>
          <cell r="B419" t="str">
            <v>SORVETE A BASE DE IOGURTE</v>
          </cell>
          <cell r="C419">
            <v>99</v>
          </cell>
          <cell r="D419" t="str">
            <v>nao se aplica</v>
          </cell>
          <cell r="E419">
            <v>50</v>
          </cell>
          <cell r="F419" t="str">
            <v>Sorvete</v>
          </cell>
          <cell r="G419">
            <v>0</v>
          </cell>
          <cell r="H419" t="e">
            <v>#N/A</v>
          </cell>
          <cell r="I419" t="str">
            <v>210500</v>
          </cell>
          <cell r="J419" t="str">
            <v>21050</v>
          </cell>
          <cell r="K419" t="str">
            <v>2105</v>
          </cell>
          <cell r="L419" t="str">
            <v>210</v>
          </cell>
          <cell r="M419" t="str">
            <v>21</v>
          </cell>
          <cell r="N419">
            <v>4</v>
          </cell>
          <cell r="O419">
            <v>4</v>
          </cell>
        </row>
        <row r="420">
          <cell r="A420">
            <v>6915001</v>
          </cell>
          <cell r="B420" t="str">
            <v>SORVETE DE CASQUINHA / CONE</v>
          </cell>
          <cell r="C420">
            <v>99</v>
          </cell>
          <cell r="D420" t="str">
            <v>nao se aplica</v>
          </cell>
          <cell r="E420">
            <v>50</v>
          </cell>
          <cell r="F420" t="str">
            <v>Sorvete</v>
          </cell>
          <cell r="G420">
            <v>0</v>
          </cell>
          <cell r="H420">
            <v>6915001</v>
          </cell>
          <cell r="I420" t="str">
            <v>210500</v>
          </cell>
          <cell r="J420" t="str">
            <v>21050</v>
          </cell>
          <cell r="K420" t="str">
            <v>2105</v>
          </cell>
          <cell r="L420" t="str">
            <v>210</v>
          </cell>
          <cell r="M420" t="str">
            <v>21</v>
          </cell>
          <cell r="N420">
            <v>4</v>
          </cell>
          <cell r="O420">
            <v>4</v>
          </cell>
        </row>
        <row r="421">
          <cell r="A421">
            <v>6915101</v>
          </cell>
          <cell r="B421" t="str">
            <v>SORVETE, SUNDAE</v>
          </cell>
          <cell r="C421">
            <v>99</v>
          </cell>
          <cell r="D421" t="str">
            <v>nao se aplica</v>
          </cell>
          <cell r="E421">
            <v>50</v>
          </cell>
          <cell r="F421" t="str">
            <v>Sorvete</v>
          </cell>
          <cell r="G421">
            <v>0</v>
          </cell>
          <cell r="H421" t="e">
            <v>#N/A</v>
          </cell>
          <cell r="I421" t="str">
            <v>210500</v>
          </cell>
          <cell r="J421" t="str">
            <v>21050</v>
          </cell>
          <cell r="K421" t="str">
            <v>2105</v>
          </cell>
          <cell r="L421" t="str">
            <v>210</v>
          </cell>
          <cell r="M421" t="str">
            <v>21</v>
          </cell>
          <cell r="N421">
            <v>4</v>
          </cell>
          <cell r="O421">
            <v>4</v>
          </cell>
        </row>
        <row r="422">
          <cell r="A422">
            <v>6915302</v>
          </cell>
          <cell r="B422" t="str">
            <v>PUDIM DE CHOCOLATE</v>
          </cell>
          <cell r="C422">
            <v>99</v>
          </cell>
          <cell r="D422" t="str">
            <v>nao se aplica</v>
          </cell>
          <cell r="E422">
            <v>8</v>
          </cell>
          <cell r="F422" t="str">
            <v>outros doces</v>
          </cell>
          <cell r="G422">
            <v>0</v>
          </cell>
          <cell r="H422">
            <v>6915302</v>
          </cell>
          <cell r="I422">
            <v>190190</v>
          </cell>
          <cell r="J422" t="str">
            <v>19019</v>
          </cell>
          <cell r="K422" t="str">
            <v>1901</v>
          </cell>
          <cell r="L422" t="str">
            <v>190</v>
          </cell>
          <cell r="M422" t="str">
            <v>19</v>
          </cell>
          <cell r="N422">
            <v>4</v>
          </cell>
          <cell r="O422">
            <v>4</v>
          </cell>
        </row>
        <row r="423">
          <cell r="A423">
            <v>6915310</v>
          </cell>
          <cell r="B423" t="str">
            <v>PUDIM FLAN</v>
          </cell>
          <cell r="C423">
            <v>99</v>
          </cell>
          <cell r="D423" t="str">
            <v>nao se aplica</v>
          </cell>
          <cell r="E423">
            <v>8</v>
          </cell>
          <cell r="F423" t="str">
            <v>outros doces</v>
          </cell>
          <cell r="G423">
            <v>0</v>
          </cell>
          <cell r="H423">
            <v>6915310</v>
          </cell>
          <cell r="I423">
            <v>190190</v>
          </cell>
          <cell r="J423" t="str">
            <v>19019</v>
          </cell>
          <cell r="K423" t="str">
            <v>1901</v>
          </cell>
          <cell r="L423" t="str">
            <v>190</v>
          </cell>
          <cell r="M423" t="str">
            <v>19</v>
          </cell>
          <cell r="N423">
            <v>4</v>
          </cell>
          <cell r="O423">
            <v>4</v>
          </cell>
        </row>
        <row r="424">
          <cell r="A424">
            <v>6915702</v>
          </cell>
          <cell r="B424" t="str">
            <v>BANANINHA COM CHOCOLATE</v>
          </cell>
          <cell r="C424">
            <v>99</v>
          </cell>
          <cell r="D424" t="str">
            <v>nao se aplica</v>
          </cell>
          <cell r="E424">
            <v>8</v>
          </cell>
          <cell r="F424" t="str">
            <v>outros doces</v>
          </cell>
          <cell r="G424">
            <v>0</v>
          </cell>
          <cell r="H424" t="e">
            <v>#N/A</v>
          </cell>
          <cell r="I424">
            <v>190190</v>
          </cell>
          <cell r="J424" t="str">
            <v>19019</v>
          </cell>
          <cell r="K424" t="str">
            <v>1901</v>
          </cell>
          <cell r="L424" t="str">
            <v>190</v>
          </cell>
          <cell r="M424" t="str">
            <v>19</v>
          </cell>
          <cell r="N424">
            <v>4</v>
          </cell>
          <cell r="O424">
            <v>4</v>
          </cell>
        </row>
        <row r="425">
          <cell r="A425">
            <v>6915902</v>
          </cell>
          <cell r="B425" t="str">
            <v>CALDA DE CHOCOLATE</v>
          </cell>
          <cell r="C425">
            <v>99</v>
          </cell>
          <cell r="D425" t="str">
            <v>nao se aplica</v>
          </cell>
          <cell r="E425">
            <v>8</v>
          </cell>
          <cell r="F425" t="str">
            <v>outros doces</v>
          </cell>
          <cell r="G425">
            <v>0</v>
          </cell>
          <cell r="H425">
            <v>6915902</v>
          </cell>
          <cell r="I425">
            <v>190190</v>
          </cell>
          <cell r="J425" t="str">
            <v>19019</v>
          </cell>
          <cell r="K425" t="str">
            <v>1901</v>
          </cell>
          <cell r="L425" t="str">
            <v>190</v>
          </cell>
          <cell r="M425" t="str">
            <v>19</v>
          </cell>
          <cell r="N425">
            <v>4</v>
          </cell>
          <cell r="O425">
            <v>4</v>
          </cell>
        </row>
        <row r="426">
          <cell r="A426">
            <v>6915904</v>
          </cell>
          <cell r="B426" t="str">
            <v>CALDA SABOR FRUTA (MORANGO, ETC)</v>
          </cell>
          <cell r="C426">
            <v>99</v>
          </cell>
          <cell r="D426" t="str">
            <v>nao se aplica</v>
          </cell>
          <cell r="E426">
            <v>8</v>
          </cell>
          <cell r="F426" t="str">
            <v>outros doces</v>
          </cell>
          <cell r="G426">
            <v>0</v>
          </cell>
          <cell r="H426">
            <v>6915904</v>
          </cell>
          <cell r="I426">
            <v>190190</v>
          </cell>
          <cell r="J426" t="str">
            <v>19019</v>
          </cell>
          <cell r="K426" t="str">
            <v>1901</v>
          </cell>
          <cell r="L426" t="str">
            <v>190</v>
          </cell>
          <cell r="M426" t="str">
            <v>19</v>
          </cell>
          <cell r="N426">
            <v>4</v>
          </cell>
          <cell r="O426">
            <v>4</v>
          </cell>
        </row>
        <row r="427">
          <cell r="A427">
            <v>6915905</v>
          </cell>
          <cell r="B427" t="str">
            <v>EXTRATO DE MALTE</v>
          </cell>
          <cell r="C427">
            <v>99</v>
          </cell>
          <cell r="D427" t="str">
            <v>nao se aplica</v>
          </cell>
          <cell r="E427"/>
          <cell r="F427" t="str">
            <v/>
          </cell>
          <cell r="G427">
            <v>0</v>
          </cell>
          <cell r="H427">
            <v>6915905</v>
          </cell>
          <cell r="I427">
            <v>190190</v>
          </cell>
          <cell r="J427" t="str">
            <v>19019</v>
          </cell>
          <cell r="K427" t="str">
            <v>1901</v>
          </cell>
          <cell r="L427" t="str">
            <v>190</v>
          </cell>
          <cell r="M427" t="str">
            <v>19</v>
          </cell>
          <cell r="N427">
            <v>4</v>
          </cell>
          <cell r="O427">
            <v>4</v>
          </cell>
        </row>
        <row r="428">
          <cell r="A428">
            <v>6916401</v>
          </cell>
          <cell r="B428" t="str">
            <v>DOCES (CONFEITARIA) NAO ESPECIFICADO</v>
          </cell>
          <cell r="C428">
            <v>99</v>
          </cell>
          <cell r="D428" t="str">
            <v>nao se aplica</v>
          </cell>
          <cell r="E428">
            <v>9</v>
          </cell>
          <cell r="F428" t="str">
            <v xml:space="preserve">Paes doces, bolos e tortas doces </v>
          </cell>
          <cell r="G428">
            <v>0</v>
          </cell>
          <cell r="H428" t="e">
            <v>#N/A</v>
          </cell>
          <cell r="I428">
            <v>190190</v>
          </cell>
          <cell r="J428" t="str">
            <v>19019</v>
          </cell>
          <cell r="K428" t="str">
            <v>1901</v>
          </cell>
          <cell r="L428" t="str">
            <v>190</v>
          </cell>
          <cell r="M428" t="str">
            <v>19</v>
          </cell>
          <cell r="N428">
            <v>4</v>
          </cell>
          <cell r="O428">
            <v>4</v>
          </cell>
        </row>
        <row r="429">
          <cell r="A429">
            <v>6916601</v>
          </cell>
          <cell r="B429" t="str">
            <v>MARRON GLACE</v>
          </cell>
          <cell r="C429">
            <v>99</v>
          </cell>
          <cell r="D429" t="str">
            <v>nao se aplica</v>
          </cell>
          <cell r="E429">
            <v>8</v>
          </cell>
          <cell r="F429" t="str">
            <v>Outros doces</v>
          </cell>
          <cell r="G429">
            <v>0</v>
          </cell>
          <cell r="H429">
            <v>6916601</v>
          </cell>
          <cell r="I429">
            <v>190190</v>
          </cell>
          <cell r="J429" t="str">
            <v>19019</v>
          </cell>
          <cell r="K429" t="str">
            <v>1901</v>
          </cell>
          <cell r="L429" t="str">
            <v>190</v>
          </cell>
          <cell r="M429" t="str">
            <v>19</v>
          </cell>
          <cell r="N429">
            <v>4</v>
          </cell>
          <cell r="O429">
            <v>4</v>
          </cell>
        </row>
        <row r="430">
          <cell r="A430">
            <v>6916901</v>
          </cell>
          <cell r="B430" t="str">
            <v>PASTEL COM RECHEIO DOCE</v>
          </cell>
          <cell r="C430">
            <v>99</v>
          </cell>
          <cell r="D430" t="str">
            <v>nao se aplica</v>
          </cell>
          <cell r="E430">
            <v>8</v>
          </cell>
          <cell r="F430" t="str">
            <v>outros doces</v>
          </cell>
          <cell r="G430">
            <v>0</v>
          </cell>
          <cell r="H430" t="e">
            <v>#N/A</v>
          </cell>
          <cell r="I430">
            <v>190190</v>
          </cell>
          <cell r="J430" t="str">
            <v>19019</v>
          </cell>
          <cell r="K430" t="str">
            <v>1901</v>
          </cell>
          <cell r="L430" t="str">
            <v>190</v>
          </cell>
          <cell r="M430" t="str">
            <v>19</v>
          </cell>
          <cell r="N430">
            <v>4</v>
          </cell>
          <cell r="O430">
            <v>4</v>
          </cell>
        </row>
        <row r="431">
          <cell r="A431">
            <v>6917001</v>
          </cell>
          <cell r="B431" t="str">
            <v>PASTEL DE NATA</v>
          </cell>
          <cell r="C431">
            <v>99</v>
          </cell>
          <cell r="D431" t="str">
            <v>nao se aplica</v>
          </cell>
          <cell r="E431">
            <v>8</v>
          </cell>
          <cell r="F431" t="str">
            <v>outros doces</v>
          </cell>
          <cell r="G431">
            <v>0</v>
          </cell>
          <cell r="H431" t="e">
            <v>#N/A</v>
          </cell>
          <cell r="I431" t="str">
            <v>170490</v>
          </cell>
          <cell r="J431" t="str">
            <v>17049</v>
          </cell>
          <cell r="K431" t="str">
            <v>1704</v>
          </cell>
          <cell r="L431" t="str">
            <v>170</v>
          </cell>
          <cell r="M431" t="str">
            <v>17</v>
          </cell>
          <cell r="N431">
            <v>4</v>
          </cell>
          <cell r="O431">
            <v>4</v>
          </cell>
        </row>
        <row r="432">
          <cell r="A432">
            <v>6980001</v>
          </cell>
          <cell r="B432" t="str">
            <v>DOCE DE ABOBORA</v>
          </cell>
          <cell r="C432">
            <v>99</v>
          </cell>
          <cell r="D432" t="str">
            <v>nao se aplica</v>
          </cell>
          <cell r="E432">
            <v>52</v>
          </cell>
          <cell r="F432" t="str">
            <v>Doce de fruta</v>
          </cell>
          <cell r="G432">
            <v>0</v>
          </cell>
          <cell r="H432">
            <v>6980001</v>
          </cell>
          <cell r="I432">
            <v>190190</v>
          </cell>
          <cell r="J432" t="str">
            <v>19019</v>
          </cell>
          <cell r="K432" t="str">
            <v>1901</v>
          </cell>
          <cell r="L432" t="str">
            <v>190</v>
          </cell>
          <cell r="M432" t="str">
            <v>19</v>
          </cell>
          <cell r="N432">
            <v>4</v>
          </cell>
          <cell r="O432">
            <v>4</v>
          </cell>
        </row>
        <row r="433">
          <cell r="A433">
            <v>7001001</v>
          </cell>
          <cell r="B433" t="str">
            <v>CANELA</v>
          </cell>
          <cell r="C433">
            <v>99</v>
          </cell>
          <cell r="D433" t="str">
            <v>nao se aplica</v>
          </cell>
          <cell r="E433">
            <v>22</v>
          </cell>
          <cell r="F433" t="str">
            <v>legumes e verduras</v>
          </cell>
          <cell r="G433">
            <v>0</v>
          </cell>
          <cell r="H433">
            <v>7001001</v>
          </cell>
          <cell r="I433" t="str">
            <v>090611</v>
          </cell>
          <cell r="J433" t="str">
            <v>09061</v>
          </cell>
          <cell r="K433" t="str">
            <v>0906</v>
          </cell>
          <cell r="L433" t="str">
            <v>090</v>
          </cell>
          <cell r="M433" t="str">
            <v>09</v>
          </cell>
          <cell r="N433">
            <v>2</v>
          </cell>
          <cell r="O433">
            <v>2</v>
          </cell>
        </row>
        <row r="434">
          <cell r="A434">
            <v>7001501</v>
          </cell>
          <cell r="B434" t="str">
            <v>MOSTARDA MOLHO</v>
          </cell>
          <cell r="C434">
            <v>99</v>
          </cell>
          <cell r="D434" t="str">
            <v>nao se aplica</v>
          </cell>
          <cell r="E434">
            <v>11</v>
          </cell>
          <cell r="F434" t="str">
            <v>Molhos industrializados</v>
          </cell>
          <cell r="G434">
            <v>0</v>
          </cell>
          <cell r="H434">
            <v>7001501</v>
          </cell>
          <cell r="I434">
            <v>210330</v>
          </cell>
          <cell r="J434" t="str">
            <v>21033</v>
          </cell>
          <cell r="K434" t="str">
            <v>2103</v>
          </cell>
          <cell r="L434" t="str">
            <v>210</v>
          </cell>
          <cell r="M434" t="str">
            <v>21</v>
          </cell>
          <cell r="N434">
            <v>4</v>
          </cell>
          <cell r="O434">
            <v>4</v>
          </cell>
        </row>
        <row r="435">
          <cell r="A435">
            <v>7002304</v>
          </cell>
          <cell r="B435" t="str">
            <v>HORTELA</v>
          </cell>
          <cell r="C435">
            <v>99</v>
          </cell>
          <cell r="D435" t="str">
            <v>nao se aplica</v>
          </cell>
          <cell r="E435">
            <v>22</v>
          </cell>
          <cell r="F435" t="str">
            <v>Legumes e verduras</v>
          </cell>
          <cell r="G435">
            <v>0</v>
          </cell>
          <cell r="H435">
            <v>7002304</v>
          </cell>
          <cell r="I435" t="str">
            <v>070999</v>
          </cell>
          <cell r="J435" t="str">
            <v>07099</v>
          </cell>
          <cell r="K435" t="str">
            <v>0709</v>
          </cell>
          <cell r="L435" t="str">
            <v>070</v>
          </cell>
          <cell r="M435" t="str">
            <v>07</v>
          </cell>
          <cell r="N435">
            <v>2</v>
          </cell>
          <cell r="O435">
            <v>1</v>
          </cell>
        </row>
        <row r="436">
          <cell r="A436">
            <v>7002601</v>
          </cell>
          <cell r="B436" t="str">
            <v>COENTRO</v>
          </cell>
          <cell r="C436">
            <v>99</v>
          </cell>
          <cell r="D436" t="str">
            <v>nao se aplica</v>
          </cell>
          <cell r="E436">
            <v>22</v>
          </cell>
          <cell r="F436" t="str">
            <v>Legumes e verduras</v>
          </cell>
          <cell r="G436">
            <v>0</v>
          </cell>
          <cell r="H436">
            <v>7002601</v>
          </cell>
          <cell r="I436" t="str">
            <v>070519</v>
          </cell>
          <cell r="J436" t="str">
            <v>07051</v>
          </cell>
          <cell r="K436" t="str">
            <v>0705</v>
          </cell>
          <cell r="L436" t="str">
            <v>070</v>
          </cell>
          <cell r="M436" t="str">
            <v>07</v>
          </cell>
          <cell r="N436">
            <v>2</v>
          </cell>
          <cell r="O436">
            <v>1</v>
          </cell>
        </row>
        <row r="437">
          <cell r="A437">
            <v>7003601</v>
          </cell>
          <cell r="B437" t="str">
            <v>MOLHO DE SOJA</v>
          </cell>
          <cell r="C437">
            <v>99</v>
          </cell>
          <cell r="D437" t="str">
            <v>nao se aplica</v>
          </cell>
          <cell r="G437">
            <v>0</v>
          </cell>
          <cell r="H437">
            <v>0</v>
          </cell>
          <cell r="I437">
            <v>210310</v>
          </cell>
          <cell r="J437" t="str">
            <v>21031</v>
          </cell>
          <cell r="K437" t="str">
            <v>2103</v>
          </cell>
          <cell r="L437" t="str">
            <v>210</v>
          </cell>
          <cell r="M437" t="str">
            <v>21</v>
          </cell>
          <cell r="N437">
            <v>4</v>
          </cell>
          <cell r="O437">
            <v>4</v>
          </cell>
        </row>
        <row r="438">
          <cell r="A438">
            <v>7003604</v>
          </cell>
          <cell r="B438" t="str">
            <v>SHOYO</v>
          </cell>
          <cell r="C438">
            <v>99</v>
          </cell>
          <cell r="D438" t="str">
            <v>nao se aplica</v>
          </cell>
          <cell r="E438">
            <v>11</v>
          </cell>
          <cell r="F438" t="str">
            <v>Molhos industrializados</v>
          </cell>
          <cell r="G438">
            <v>0</v>
          </cell>
          <cell r="H438">
            <v>7003604</v>
          </cell>
          <cell r="I438" t="str">
            <v>210310</v>
          </cell>
          <cell r="J438" t="str">
            <v>21031</v>
          </cell>
          <cell r="K438" t="str">
            <v>2103</v>
          </cell>
          <cell r="L438" t="str">
            <v>210</v>
          </cell>
          <cell r="M438" t="str">
            <v>21</v>
          </cell>
          <cell r="N438">
            <v>4</v>
          </cell>
          <cell r="O438">
            <v>4</v>
          </cell>
        </row>
        <row r="439">
          <cell r="A439">
            <v>7003801</v>
          </cell>
          <cell r="B439" t="str">
            <v>LEITE DE COCO</v>
          </cell>
          <cell r="C439">
            <v>99</v>
          </cell>
          <cell r="D439" t="str">
            <v>nao se aplica</v>
          </cell>
          <cell r="E439">
            <v>41</v>
          </cell>
          <cell r="F439" t="str">
            <v>Leite de coco</v>
          </cell>
          <cell r="G439">
            <v>0</v>
          </cell>
          <cell r="H439">
            <v>7003801</v>
          </cell>
          <cell r="I439">
            <v>200989</v>
          </cell>
          <cell r="J439" t="str">
            <v>20098</v>
          </cell>
          <cell r="K439" t="str">
            <v>2009</v>
          </cell>
          <cell r="L439" t="str">
            <v>200</v>
          </cell>
          <cell r="M439" t="str">
            <v>20</v>
          </cell>
          <cell r="N439">
            <v>4</v>
          </cell>
          <cell r="O439">
            <v>2</v>
          </cell>
        </row>
        <row r="440">
          <cell r="A440">
            <v>7003901</v>
          </cell>
          <cell r="B440" t="str">
            <v>MOLHO TARTARO</v>
          </cell>
          <cell r="C440">
            <v>99</v>
          </cell>
          <cell r="D440" t="str">
            <v>nao se aplica</v>
          </cell>
          <cell r="E440">
            <v>11</v>
          </cell>
          <cell r="F440" t="str">
            <v>Molhos industrializados</v>
          </cell>
          <cell r="G440">
            <v>0</v>
          </cell>
          <cell r="H440" t="e">
            <v>#N/A</v>
          </cell>
          <cell r="I440">
            <v>210390</v>
          </cell>
          <cell r="J440" t="str">
            <v>21039</v>
          </cell>
          <cell r="K440" t="str">
            <v>2103</v>
          </cell>
          <cell r="L440" t="str">
            <v>210</v>
          </cell>
          <cell r="M440" t="str">
            <v>21</v>
          </cell>
          <cell r="N440">
            <v>4</v>
          </cell>
          <cell r="O440">
            <v>4</v>
          </cell>
        </row>
        <row r="441">
          <cell r="A441">
            <v>7004301</v>
          </cell>
          <cell r="B441" t="str">
            <v>MAIONESE (MOLHO)</v>
          </cell>
          <cell r="C441">
            <v>99</v>
          </cell>
          <cell r="D441" t="str">
            <v>nao se aplica</v>
          </cell>
          <cell r="E441">
            <v>11</v>
          </cell>
          <cell r="F441" t="str">
            <v>Molhos industrializados</v>
          </cell>
          <cell r="G441">
            <v>0</v>
          </cell>
          <cell r="H441">
            <v>7004301</v>
          </cell>
          <cell r="I441" t="str">
            <v>210390</v>
          </cell>
          <cell r="J441" t="str">
            <v>21039</v>
          </cell>
          <cell r="K441" t="str">
            <v>2103</v>
          </cell>
          <cell r="L441" t="str">
            <v>210</v>
          </cell>
          <cell r="M441" t="str">
            <v>21</v>
          </cell>
          <cell r="N441">
            <v>4</v>
          </cell>
          <cell r="O441">
            <v>4</v>
          </cell>
        </row>
        <row r="442">
          <cell r="A442">
            <v>7004701</v>
          </cell>
          <cell r="B442" t="str">
            <v>MASSA DE TOMATE</v>
          </cell>
          <cell r="C442">
            <v>99</v>
          </cell>
          <cell r="D442" t="str">
            <v>nao se aplica</v>
          </cell>
          <cell r="G442">
            <v>0</v>
          </cell>
          <cell r="H442">
            <v>0</v>
          </cell>
          <cell r="I442">
            <v>200210</v>
          </cell>
          <cell r="J442" t="str">
            <v>20021</v>
          </cell>
          <cell r="K442" t="str">
            <v>2002</v>
          </cell>
          <cell r="L442" t="str">
            <v>200</v>
          </cell>
          <cell r="M442" t="str">
            <v>20</v>
          </cell>
          <cell r="N442">
            <v>4</v>
          </cell>
          <cell r="O442">
            <v>4</v>
          </cell>
        </row>
        <row r="443">
          <cell r="A443">
            <v>7004801</v>
          </cell>
          <cell r="B443" t="str">
            <v>MOLHO DE TOMATE</v>
          </cell>
          <cell r="C443">
            <v>99</v>
          </cell>
          <cell r="D443" t="str">
            <v>nao se aplica</v>
          </cell>
          <cell r="E443">
            <v>91</v>
          </cell>
          <cell r="F443" t="str">
            <v>molho de tomate</v>
          </cell>
          <cell r="G443">
            <v>0</v>
          </cell>
          <cell r="H443">
            <v>7004801</v>
          </cell>
          <cell r="I443">
            <v>200210</v>
          </cell>
          <cell r="J443" t="str">
            <v>20021</v>
          </cell>
          <cell r="K443" t="str">
            <v>2002</v>
          </cell>
          <cell r="L443" t="str">
            <v>200</v>
          </cell>
          <cell r="M443" t="str">
            <v>20</v>
          </cell>
          <cell r="N443">
            <v>4</v>
          </cell>
          <cell r="O443">
            <v>4</v>
          </cell>
        </row>
        <row r="444">
          <cell r="A444">
            <v>7004802</v>
          </cell>
          <cell r="B444" t="str">
            <v>KETCHUP</v>
          </cell>
          <cell r="C444">
            <v>99</v>
          </cell>
          <cell r="D444" t="str">
            <v>nao se aplica</v>
          </cell>
          <cell r="E444">
            <v>11</v>
          </cell>
          <cell r="F444" t="str">
            <v>Molhos industrializados</v>
          </cell>
          <cell r="G444">
            <v>0</v>
          </cell>
          <cell r="H444">
            <v>7004802</v>
          </cell>
          <cell r="I444" t="str">
            <v>210320</v>
          </cell>
          <cell r="J444" t="str">
            <v>21032</v>
          </cell>
          <cell r="K444" t="str">
            <v>2103</v>
          </cell>
          <cell r="L444" t="str">
            <v>210</v>
          </cell>
          <cell r="M444" t="str">
            <v>21</v>
          </cell>
          <cell r="N444">
            <v>4</v>
          </cell>
          <cell r="O444">
            <v>4</v>
          </cell>
        </row>
        <row r="445">
          <cell r="A445">
            <v>7004803</v>
          </cell>
          <cell r="B445" t="str">
            <v>CATCHUP</v>
          </cell>
          <cell r="C445">
            <v>99</v>
          </cell>
          <cell r="D445" t="str">
            <v>nao se aplica</v>
          </cell>
          <cell r="E445">
            <v>11</v>
          </cell>
          <cell r="F445" t="str">
            <v>Molhos industrializados</v>
          </cell>
          <cell r="G445">
            <v>0</v>
          </cell>
          <cell r="H445">
            <v>7004803</v>
          </cell>
          <cell r="I445" t="str">
            <v>210320</v>
          </cell>
          <cell r="J445" t="str">
            <v>21032</v>
          </cell>
          <cell r="K445" t="str">
            <v>2103</v>
          </cell>
          <cell r="L445" t="str">
            <v>210</v>
          </cell>
          <cell r="M445" t="str">
            <v>21</v>
          </cell>
          <cell r="N445">
            <v>4</v>
          </cell>
          <cell r="O445">
            <v>4</v>
          </cell>
        </row>
        <row r="446">
          <cell r="A446">
            <v>7006101</v>
          </cell>
          <cell r="B446" t="str">
            <v>PIMENTA EM PO</v>
          </cell>
          <cell r="C446">
            <v>99</v>
          </cell>
          <cell r="D446" t="str">
            <v>nao se aplica</v>
          </cell>
          <cell r="E446">
            <v>22</v>
          </cell>
          <cell r="F446" t="str">
            <v>Legumes e verduras</v>
          </cell>
          <cell r="G446">
            <v>0</v>
          </cell>
          <cell r="H446">
            <v>7006101</v>
          </cell>
          <cell r="I446" t="str">
            <v>090412</v>
          </cell>
          <cell r="J446" t="str">
            <v>09041</v>
          </cell>
          <cell r="K446" t="str">
            <v>0904</v>
          </cell>
          <cell r="L446" t="str">
            <v>090</v>
          </cell>
          <cell r="M446" t="str">
            <v>09</v>
          </cell>
          <cell r="N446">
            <v>2</v>
          </cell>
          <cell r="O446">
            <v>1</v>
          </cell>
        </row>
        <row r="447">
          <cell r="A447">
            <v>7007101</v>
          </cell>
          <cell r="B447" t="str">
            <v>TUCUPI EM CALDO SEM PIMENTA</v>
          </cell>
          <cell r="C447">
            <v>99</v>
          </cell>
          <cell r="D447" t="str">
            <v>nao se aplica</v>
          </cell>
          <cell r="E447"/>
          <cell r="F447" t="str">
            <v/>
          </cell>
          <cell r="G447">
            <v>0</v>
          </cell>
          <cell r="H447">
            <v>7007101</v>
          </cell>
          <cell r="I447" t="str">
            <v>210410</v>
          </cell>
          <cell r="J447" t="str">
            <v>21041</v>
          </cell>
          <cell r="K447" t="str">
            <v>2104</v>
          </cell>
          <cell r="L447" t="str">
            <v>210</v>
          </cell>
          <cell r="M447" t="str">
            <v>21</v>
          </cell>
          <cell r="N447">
            <v>4</v>
          </cell>
          <cell r="O447">
            <v>4</v>
          </cell>
        </row>
        <row r="448">
          <cell r="A448">
            <v>7007502</v>
          </cell>
          <cell r="B448" t="str">
            <v>CREME DE QUEIJO</v>
          </cell>
          <cell r="C448">
            <v>99</v>
          </cell>
          <cell r="D448" t="str">
            <v>nao se aplica</v>
          </cell>
          <cell r="E448">
            <v>85</v>
          </cell>
          <cell r="F448" t="str">
            <v>Queijos ultraprocessados</v>
          </cell>
          <cell r="G448">
            <v>0</v>
          </cell>
          <cell r="H448" t="e">
            <v>#N/A</v>
          </cell>
          <cell r="I448" t="str">
            <v>040612</v>
          </cell>
          <cell r="J448" t="str">
            <v>04061</v>
          </cell>
          <cell r="K448" t="str">
            <v>0406</v>
          </cell>
          <cell r="L448" t="str">
            <v>040</v>
          </cell>
          <cell r="M448" t="str">
            <v>04</v>
          </cell>
          <cell r="N448">
            <v>1</v>
          </cell>
          <cell r="O448">
            <v>3</v>
          </cell>
        </row>
        <row r="449">
          <cell r="A449">
            <v>7007701</v>
          </cell>
          <cell r="B449" t="str">
            <v>CALDO DE PEIXE</v>
          </cell>
          <cell r="C449">
            <v>99</v>
          </cell>
          <cell r="D449" t="str">
            <v>nao se aplica</v>
          </cell>
          <cell r="E449"/>
          <cell r="F449" t="str">
            <v/>
          </cell>
          <cell r="G449">
            <v>0</v>
          </cell>
          <cell r="H449">
            <v>7007701</v>
          </cell>
          <cell r="I449" t="str">
            <v>210410</v>
          </cell>
          <cell r="J449" t="str">
            <v>21041</v>
          </cell>
          <cell r="K449" t="str">
            <v>2104</v>
          </cell>
          <cell r="L449" t="str">
            <v>210</v>
          </cell>
          <cell r="M449" t="str">
            <v>21</v>
          </cell>
          <cell r="N449">
            <v>4</v>
          </cell>
          <cell r="O449">
            <v>4</v>
          </cell>
        </row>
        <row r="450">
          <cell r="A450">
            <v>7009102</v>
          </cell>
          <cell r="B450" t="str">
            <v>GERGELIM</v>
          </cell>
          <cell r="C450">
            <v>99</v>
          </cell>
          <cell r="D450" t="str">
            <v>nao se aplica</v>
          </cell>
          <cell r="E450">
            <v>30</v>
          </cell>
          <cell r="F450" t="str">
            <v>Nozes e sementes (inclui amendoim)</v>
          </cell>
          <cell r="G450">
            <v>0</v>
          </cell>
          <cell r="H450">
            <v>7009102</v>
          </cell>
          <cell r="I450" t="str">
            <v>120740</v>
          </cell>
          <cell r="J450" t="str">
            <v>12074</v>
          </cell>
          <cell r="K450" t="str">
            <v>1207</v>
          </cell>
          <cell r="L450" t="str">
            <v>120</v>
          </cell>
          <cell r="M450" t="str">
            <v>12</v>
          </cell>
          <cell r="N450">
            <v>2</v>
          </cell>
          <cell r="O450">
            <v>1</v>
          </cell>
        </row>
        <row r="451">
          <cell r="A451">
            <v>7010301</v>
          </cell>
          <cell r="B451" t="str">
            <v>TOMATE SECO</v>
          </cell>
          <cell r="C451">
            <v>99</v>
          </cell>
          <cell r="D451" t="str">
            <v>nao se aplica</v>
          </cell>
          <cell r="E451">
            <v>28</v>
          </cell>
          <cell r="F451" t="str">
            <v>Conservas verduras/legumes</v>
          </cell>
          <cell r="G451">
            <v>0</v>
          </cell>
          <cell r="H451" t="e">
            <v>#N/A</v>
          </cell>
          <cell r="I451" t="str">
            <v>070200</v>
          </cell>
          <cell r="J451" t="str">
            <v>07020</v>
          </cell>
          <cell r="K451" t="str">
            <v>0702</v>
          </cell>
          <cell r="L451" t="str">
            <v>070</v>
          </cell>
          <cell r="M451" t="str">
            <v>07</v>
          </cell>
          <cell r="N451">
            <v>2</v>
          </cell>
          <cell r="O451">
            <v>1</v>
          </cell>
        </row>
        <row r="452">
          <cell r="A452">
            <v>7010401</v>
          </cell>
          <cell r="B452" t="str">
            <v>MAIONESE (MOLHO) LIGHT</v>
          </cell>
          <cell r="C452">
            <v>99</v>
          </cell>
          <cell r="D452" t="str">
            <v>nao se aplica</v>
          </cell>
          <cell r="E452">
            <v>11</v>
          </cell>
          <cell r="F452" t="str">
            <v>Molhos industrializados</v>
          </cell>
          <cell r="G452">
            <v>0</v>
          </cell>
          <cell r="H452" t="e">
            <v>#N/A</v>
          </cell>
          <cell r="I452" t="str">
            <v>210390</v>
          </cell>
          <cell r="J452" t="str">
            <v>21039</v>
          </cell>
          <cell r="K452" t="str">
            <v>2103</v>
          </cell>
          <cell r="L452" t="str">
            <v>210</v>
          </cell>
          <cell r="M452" t="str">
            <v>21</v>
          </cell>
          <cell r="N452">
            <v>4</v>
          </cell>
          <cell r="O452">
            <v>4</v>
          </cell>
        </row>
        <row r="453">
          <cell r="A453">
            <v>7080001</v>
          </cell>
          <cell r="B453" t="str">
            <v>VINAGRE</v>
          </cell>
          <cell r="C453">
            <v>99</v>
          </cell>
          <cell r="D453" t="str">
            <v>nao se aplica</v>
          </cell>
          <cell r="E453">
            <v>90</v>
          </cell>
          <cell r="F453" t="str">
            <v xml:space="preserve">Outros ingredientes culinarios </v>
          </cell>
          <cell r="G453">
            <v>0</v>
          </cell>
          <cell r="H453">
            <v>7080001</v>
          </cell>
          <cell r="I453">
            <v>220900</v>
          </cell>
          <cell r="J453" t="str">
            <v>22090</v>
          </cell>
          <cell r="K453" t="str">
            <v>2209</v>
          </cell>
          <cell r="L453" t="str">
            <v>220</v>
          </cell>
          <cell r="M453" t="str">
            <v>22</v>
          </cell>
          <cell r="N453">
            <v>4</v>
          </cell>
          <cell r="O453">
            <v>2</v>
          </cell>
        </row>
        <row r="454">
          <cell r="A454">
            <v>7080101</v>
          </cell>
          <cell r="B454" t="str">
            <v>SAL</v>
          </cell>
          <cell r="C454">
            <v>99</v>
          </cell>
          <cell r="D454" t="str">
            <v>nao se aplica</v>
          </cell>
          <cell r="E454">
            <v>90</v>
          </cell>
          <cell r="F454" t="str">
            <v xml:space="preserve">Outros ingredientes culinarios </v>
          </cell>
          <cell r="G454">
            <v>0</v>
          </cell>
          <cell r="H454">
            <v>7080101</v>
          </cell>
          <cell r="I454">
            <v>250100</v>
          </cell>
          <cell r="J454" t="str">
            <v>25010</v>
          </cell>
          <cell r="K454" t="str">
            <v>2501</v>
          </cell>
          <cell r="L454" t="str">
            <v>250</v>
          </cell>
          <cell r="M454" t="str">
            <v>25</v>
          </cell>
          <cell r="N454">
            <v>5</v>
          </cell>
          <cell r="O454">
            <v>2</v>
          </cell>
        </row>
        <row r="455">
          <cell r="A455">
            <v>7080301</v>
          </cell>
          <cell r="B455" t="str">
            <v>MOLHO PARA SALADA</v>
          </cell>
          <cell r="C455">
            <v>99</v>
          </cell>
          <cell r="D455" t="str">
            <v>nao se aplica</v>
          </cell>
          <cell r="E455">
            <v>11</v>
          </cell>
          <cell r="F455" t="str">
            <v>Molhos industrializados</v>
          </cell>
          <cell r="G455">
            <v>0</v>
          </cell>
          <cell r="H455" t="e">
            <v>#N/A</v>
          </cell>
          <cell r="I455">
            <v>210390</v>
          </cell>
          <cell r="J455" t="str">
            <v>21039</v>
          </cell>
          <cell r="K455" t="str">
            <v>2103</v>
          </cell>
          <cell r="L455" t="str">
            <v>210</v>
          </cell>
          <cell r="M455" t="str">
            <v>21</v>
          </cell>
          <cell r="N455">
            <v>4</v>
          </cell>
          <cell r="O455">
            <v>4</v>
          </cell>
        </row>
        <row r="456">
          <cell r="A456">
            <v>7080401</v>
          </cell>
          <cell r="B456" t="str">
            <v>CONSERVA DE BERINJELA</v>
          </cell>
          <cell r="C456">
            <v>99</v>
          </cell>
          <cell r="D456" t="str">
            <v>nao se aplica</v>
          </cell>
          <cell r="E456">
            <v>28</v>
          </cell>
          <cell r="F456" t="str">
            <v>Conservas verduras/legumes</v>
          </cell>
          <cell r="G456">
            <v>0</v>
          </cell>
          <cell r="H456" t="e">
            <v>#N/A</v>
          </cell>
          <cell r="I456">
            <v>200190</v>
          </cell>
          <cell r="J456" t="str">
            <v>20019</v>
          </cell>
          <cell r="K456" t="str">
            <v>2001</v>
          </cell>
          <cell r="L456" t="str">
            <v>200</v>
          </cell>
          <cell r="M456" t="str">
            <v>20</v>
          </cell>
          <cell r="N456">
            <v>4</v>
          </cell>
          <cell r="O456">
            <v>3</v>
          </cell>
        </row>
        <row r="457">
          <cell r="A457">
            <v>7100101</v>
          </cell>
          <cell r="B457" t="str">
            <v>FILE MIGNON</v>
          </cell>
          <cell r="C457">
            <v>1</v>
          </cell>
          <cell r="D457" t="str">
            <v>assado(a)</v>
          </cell>
          <cell r="E457">
            <v>33</v>
          </cell>
          <cell r="F457" t="str">
            <v>Carne bovina</v>
          </cell>
          <cell r="G457">
            <v>0</v>
          </cell>
          <cell r="H457">
            <v>7100101</v>
          </cell>
          <cell r="I457" t="str">
            <v>020130</v>
          </cell>
          <cell r="J457" t="str">
            <v>02013</v>
          </cell>
          <cell r="K457" t="str">
            <v>0201</v>
          </cell>
          <cell r="L457" t="str">
            <v>020</v>
          </cell>
          <cell r="M457" t="str">
            <v>02</v>
          </cell>
          <cell r="N457">
            <v>1</v>
          </cell>
          <cell r="O457">
            <v>1</v>
          </cell>
        </row>
        <row r="458">
          <cell r="A458">
            <v>7100201</v>
          </cell>
          <cell r="B458" t="str">
            <v>CONTRAFILE</v>
          </cell>
          <cell r="C458">
            <v>1</v>
          </cell>
          <cell r="D458" t="str">
            <v>assado(a)</v>
          </cell>
          <cell r="E458">
            <v>33</v>
          </cell>
          <cell r="F458" t="str">
            <v>Carne bovina</v>
          </cell>
          <cell r="G458">
            <v>0</v>
          </cell>
          <cell r="H458">
            <v>7100201</v>
          </cell>
          <cell r="I458" t="str">
            <v>020130</v>
          </cell>
          <cell r="J458" t="str">
            <v>02013</v>
          </cell>
          <cell r="K458" t="str">
            <v>0201</v>
          </cell>
          <cell r="L458" t="str">
            <v>020</v>
          </cell>
          <cell r="M458" t="str">
            <v>02</v>
          </cell>
          <cell r="N458">
            <v>1</v>
          </cell>
          <cell r="O458">
            <v>1</v>
          </cell>
        </row>
        <row r="459">
          <cell r="A459">
            <v>7100205</v>
          </cell>
          <cell r="B459" t="str">
            <v>BISTECA BOVINA</v>
          </cell>
          <cell r="C459">
            <v>1</v>
          </cell>
          <cell r="D459" t="str">
            <v>assado(a)</v>
          </cell>
          <cell r="E459">
            <v>33</v>
          </cell>
          <cell r="F459" t="str">
            <v>Carne bovina</v>
          </cell>
          <cell r="G459">
            <v>0</v>
          </cell>
          <cell r="H459" t="e">
            <v>#N/A</v>
          </cell>
          <cell r="I459" t="str">
            <v>020130</v>
          </cell>
          <cell r="J459" t="str">
            <v>02013</v>
          </cell>
          <cell r="K459" t="str">
            <v>0201</v>
          </cell>
          <cell r="L459" t="str">
            <v>020</v>
          </cell>
          <cell r="M459" t="str">
            <v>02</v>
          </cell>
          <cell r="N459">
            <v>1</v>
          </cell>
          <cell r="O459">
            <v>1</v>
          </cell>
        </row>
        <row r="460">
          <cell r="A460">
            <v>7100301</v>
          </cell>
          <cell r="B460" t="str">
            <v>ALCATRA</v>
          </cell>
          <cell r="C460">
            <v>1</v>
          </cell>
          <cell r="D460" t="str">
            <v>assado(a)</v>
          </cell>
          <cell r="E460">
            <v>33</v>
          </cell>
          <cell r="F460" t="str">
            <v>Carne bovina</v>
          </cell>
          <cell r="G460">
            <v>0</v>
          </cell>
          <cell r="H460">
            <v>7100301</v>
          </cell>
          <cell r="I460" t="str">
            <v>020130</v>
          </cell>
          <cell r="J460" t="str">
            <v>02013</v>
          </cell>
          <cell r="K460" t="str">
            <v>0201</v>
          </cell>
          <cell r="L460" t="str">
            <v>020</v>
          </cell>
          <cell r="M460" t="str">
            <v>02</v>
          </cell>
          <cell r="N460">
            <v>1</v>
          </cell>
          <cell r="O460">
            <v>1</v>
          </cell>
        </row>
        <row r="461">
          <cell r="A461">
            <v>7100303</v>
          </cell>
          <cell r="B461" t="str">
            <v>MAMINHA</v>
          </cell>
          <cell r="C461">
            <v>1</v>
          </cell>
          <cell r="D461" t="str">
            <v>assado(a)</v>
          </cell>
          <cell r="E461">
            <v>33</v>
          </cell>
          <cell r="F461" t="str">
            <v>Carne bovina</v>
          </cell>
          <cell r="G461">
            <v>0</v>
          </cell>
          <cell r="H461">
            <v>7100303</v>
          </cell>
          <cell r="I461" t="str">
            <v>020130</v>
          </cell>
          <cell r="J461" t="str">
            <v>02013</v>
          </cell>
          <cell r="K461" t="str">
            <v>0201</v>
          </cell>
          <cell r="L461" t="str">
            <v>020</v>
          </cell>
          <cell r="M461" t="str">
            <v>02</v>
          </cell>
          <cell r="N461">
            <v>1</v>
          </cell>
          <cell r="O461">
            <v>1</v>
          </cell>
        </row>
        <row r="462">
          <cell r="A462">
            <v>7100304</v>
          </cell>
          <cell r="B462" t="str">
            <v>PICANHA</v>
          </cell>
          <cell r="C462">
            <v>1</v>
          </cell>
          <cell r="D462" t="str">
            <v>assado(a)</v>
          </cell>
          <cell r="E462">
            <v>33</v>
          </cell>
          <cell r="F462" t="str">
            <v>Carne bovina</v>
          </cell>
          <cell r="G462">
            <v>0</v>
          </cell>
          <cell r="H462">
            <v>7100304</v>
          </cell>
          <cell r="I462" t="str">
            <v>020130</v>
          </cell>
          <cell r="J462" t="str">
            <v>02013</v>
          </cell>
          <cell r="K462" t="str">
            <v>0201</v>
          </cell>
          <cell r="L462" t="str">
            <v>020</v>
          </cell>
          <cell r="M462" t="str">
            <v>02</v>
          </cell>
          <cell r="N462">
            <v>1</v>
          </cell>
          <cell r="O462">
            <v>1</v>
          </cell>
        </row>
        <row r="463">
          <cell r="A463">
            <v>7100502</v>
          </cell>
          <cell r="B463" t="str">
            <v>CABECA DE LOMBO (CARNE BOVINA)</v>
          </cell>
          <cell r="C463">
            <v>1</v>
          </cell>
          <cell r="D463" t="str">
            <v>assado(a)</v>
          </cell>
          <cell r="E463">
            <v>33</v>
          </cell>
          <cell r="F463" t="str">
            <v>Carne bovina</v>
          </cell>
          <cell r="G463">
            <v>0</v>
          </cell>
          <cell r="H463" t="e">
            <v>#N/A</v>
          </cell>
          <cell r="I463" t="str">
            <v>020130</v>
          </cell>
          <cell r="J463" t="str">
            <v>02013</v>
          </cell>
          <cell r="K463" t="str">
            <v>0201</v>
          </cell>
          <cell r="L463" t="str">
            <v>020</v>
          </cell>
          <cell r="M463" t="str">
            <v>02</v>
          </cell>
          <cell r="N463">
            <v>1</v>
          </cell>
          <cell r="O463">
            <v>1</v>
          </cell>
        </row>
        <row r="464">
          <cell r="A464">
            <v>7100606</v>
          </cell>
          <cell r="B464" t="str">
            <v>TATU (LAGARTO REDONDO)</v>
          </cell>
          <cell r="C464">
            <v>1</v>
          </cell>
          <cell r="D464" t="str">
            <v>assado(a)</v>
          </cell>
          <cell r="E464">
            <v>33</v>
          </cell>
          <cell r="F464" t="str">
            <v>Carne bovina</v>
          </cell>
          <cell r="G464">
            <v>0</v>
          </cell>
          <cell r="H464">
            <v>7100606</v>
          </cell>
          <cell r="I464" t="str">
            <v>020130</v>
          </cell>
          <cell r="J464" t="str">
            <v>02013</v>
          </cell>
          <cell r="K464" t="str">
            <v>0201</v>
          </cell>
          <cell r="L464" t="str">
            <v>020</v>
          </cell>
          <cell r="M464" t="str">
            <v>02</v>
          </cell>
          <cell r="N464">
            <v>1</v>
          </cell>
          <cell r="O464">
            <v>1</v>
          </cell>
        </row>
        <row r="465">
          <cell r="A465">
            <v>7100607</v>
          </cell>
          <cell r="B465" t="str">
            <v>PAULISTA</v>
          </cell>
          <cell r="C465">
            <v>1</v>
          </cell>
          <cell r="D465" t="str">
            <v>assado(a)</v>
          </cell>
          <cell r="E465">
            <v>33</v>
          </cell>
          <cell r="F465" t="str">
            <v>Carne bovina</v>
          </cell>
          <cell r="G465">
            <v>0</v>
          </cell>
          <cell r="H465" t="e">
            <v>#N/A</v>
          </cell>
          <cell r="I465" t="str">
            <v>020130</v>
          </cell>
          <cell r="J465" t="str">
            <v>02013</v>
          </cell>
          <cell r="K465" t="str">
            <v>0201</v>
          </cell>
          <cell r="L465" t="str">
            <v>020</v>
          </cell>
          <cell r="M465" t="str">
            <v>02</v>
          </cell>
          <cell r="N465">
            <v>1</v>
          </cell>
          <cell r="O465">
            <v>1</v>
          </cell>
        </row>
        <row r="466">
          <cell r="A466">
            <v>7100608</v>
          </cell>
          <cell r="B466" t="str">
            <v>LOMBO PAULISTA (CARNE BOVINA)</v>
          </cell>
          <cell r="C466">
            <v>1</v>
          </cell>
          <cell r="D466" t="str">
            <v>assado(a)</v>
          </cell>
          <cell r="E466">
            <v>33</v>
          </cell>
          <cell r="F466" t="str">
            <v>Carne bovina</v>
          </cell>
          <cell r="G466">
            <v>0</v>
          </cell>
          <cell r="H466" t="e">
            <v>#N/A</v>
          </cell>
          <cell r="I466" t="str">
            <v>020130</v>
          </cell>
          <cell r="J466" t="str">
            <v>02013</v>
          </cell>
          <cell r="K466" t="str">
            <v>0201</v>
          </cell>
          <cell r="L466" t="str">
            <v>020</v>
          </cell>
          <cell r="M466" t="str">
            <v>02</v>
          </cell>
          <cell r="N466">
            <v>1</v>
          </cell>
          <cell r="O466">
            <v>1</v>
          </cell>
        </row>
        <row r="467">
          <cell r="A467">
            <v>7101001</v>
          </cell>
          <cell r="B467" t="str">
            <v>MUSCULO BOVINO</v>
          </cell>
          <cell r="C467">
            <v>1</v>
          </cell>
          <cell r="D467" t="str">
            <v>assado(a)</v>
          </cell>
          <cell r="E467">
            <v>33</v>
          </cell>
          <cell r="F467" t="str">
            <v>Carne bovina</v>
          </cell>
          <cell r="G467">
            <v>0</v>
          </cell>
          <cell r="H467">
            <v>7101001</v>
          </cell>
          <cell r="I467" t="str">
            <v>020130</v>
          </cell>
          <cell r="J467" t="str">
            <v>02013</v>
          </cell>
          <cell r="K467" t="str">
            <v>0201</v>
          </cell>
          <cell r="L467" t="str">
            <v>020</v>
          </cell>
          <cell r="M467" t="str">
            <v>02</v>
          </cell>
          <cell r="N467">
            <v>1</v>
          </cell>
          <cell r="O467">
            <v>1</v>
          </cell>
        </row>
        <row r="468">
          <cell r="A468">
            <v>7101009</v>
          </cell>
          <cell r="B468" t="str">
            <v>CARNE MARICA BOVINA</v>
          </cell>
          <cell r="C468">
            <v>1</v>
          </cell>
          <cell r="D468" t="str">
            <v>assado(a)</v>
          </cell>
          <cell r="E468">
            <v>33</v>
          </cell>
          <cell r="F468" t="str">
            <v>Carne bovina</v>
          </cell>
          <cell r="G468">
            <v>0</v>
          </cell>
          <cell r="H468" t="e">
            <v>#N/A</v>
          </cell>
          <cell r="I468" t="str">
            <v>020130</v>
          </cell>
          <cell r="J468" t="str">
            <v>02013</v>
          </cell>
          <cell r="K468" t="str">
            <v>0201</v>
          </cell>
          <cell r="L468" t="str">
            <v>020</v>
          </cell>
          <cell r="M468" t="str">
            <v>02</v>
          </cell>
          <cell r="N468">
            <v>1</v>
          </cell>
          <cell r="O468">
            <v>1</v>
          </cell>
        </row>
        <row r="469">
          <cell r="A469">
            <v>7101011</v>
          </cell>
          <cell r="B469" t="str">
            <v>VAZIO (CARNE BOVINA)</v>
          </cell>
          <cell r="C469">
            <v>1</v>
          </cell>
          <cell r="D469" t="str">
            <v>assado(a)</v>
          </cell>
          <cell r="E469">
            <v>33</v>
          </cell>
          <cell r="F469" t="str">
            <v>Carne bovina</v>
          </cell>
          <cell r="G469">
            <v>0</v>
          </cell>
          <cell r="H469" t="e">
            <v>#N/A</v>
          </cell>
          <cell r="I469" t="str">
            <v>020130</v>
          </cell>
          <cell r="J469" t="str">
            <v>02013</v>
          </cell>
          <cell r="K469" t="str">
            <v>0201</v>
          </cell>
          <cell r="L469" t="str">
            <v>020</v>
          </cell>
          <cell r="M469" t="str">
            <v>02</v>
          </cell>
          <cell r="N469">
            <v>1</v>
          </cell>
          <cell r="O469">
            <v>1</v>
          </cell>
        </row>
        <row r="470">
          <cell r="A470">
            <v>7101202</v>
          </cell>
          <cell r="B470" t="str">
            <v>FRALDINHA (CAPA DE FILE)</v>
          </cell>
          <cell r="C470">
            <v>1</v>
          </cell>
          <cell r="D470" t="str">
            <v>assado(a)</v>
          </cell>
          <cell r="E470">
            <v>33</v>
          </cell>
          <cell r="F470" t="str">
            <v>Carne bovina</v>
          </cell>
          <cell r="G470">
            <v>0</v>
          </cell>
          <cell r="H470">
            <v>7101202</v>
          </cell>
          <cell r="I470" t="str">
            <v>020130</v>
          </cell>
          <cell r="J470" t="str">
            <v>02013</v>
          </cell>
          <cell r="K470" t="str">
            <v>0201</v>
          </cell>
          <cell r="L470" t="str">
            <v>020</v>
          </cell>
          <cell r="M470" t="str">
            <v>02</v>
          </cell>
          <cell r="N470">
            <v>1</v>
          </cell>
          <cell r="O470">
            <v>1</v>
          </cell>
        </row>
        <row r="471">
          <cell r="A471">
            <v>7101301</v>
          </cell>
          <cell r="B471" t="str">
            <v>COSTELA BOVINA</v>
          </cell>
          <cell r="C471">
            <v>1</v>
          </cell>
          <cell r="D471" t="str">
            <v>assado(a)</v>
          </cell>
          <cell r="E471">
            <v>33</v>
          </cell>
          <cell r="F471" t="str">
            <v>Carne bovina</v>
          </cell>
          <cell r="G471">
            <v>0</v>
          </cell>
          <cell r="H471">
            <v>7101301</v>
          </cell>
          <cell r="I471" t="str">
            <v>020120</v>
          </cell>
          <cell r="J471" t="str">
            <v>02012</v>
          </cell>
          <cell r="K471" t="str">
            <v>0201</v>
          </cell>
          <cell r="L471" t="str">
            <v>020</v>
          </cell>
          <cell r="M471" t="str">
            <v>02</v>
          </cell>
          <cell r="N471">
            <v>1</v>
          </cell>
          <cell r="O471">
            <v>1</v>
          </cell>
        </row>
        <row r="472">
          <cell r="A472">
            <v>7101901</v>
          </cell>
          <cell r="B472" t="str">
            <v>CORACAO BOVINO</v>
          </cell>
          <cell r="C472">
            <v>1</v>
          </cell>
          <cell r="D472" t="str">
            <v>assado(a)</v>
          </cell>
          <cell r="E472">
            <v>38</v>
          </cell>
          <cell r="F472" t="str">
            <v>Miudos</v>
          </cell>
          <cell r="G472">
            <v>0</v>
          </cell>
          <cell r="H472">
            <v>7101901</v>
          </cell>
          <cell r="I472" t="str">
            <v>020610</v>
          </cell>
          <cell r="J472" t="str">
            <v>02061</v>
          </cell>
          <cell r="K472" t="str">
            <v>0206</v>
          </cell>
          <cell r="L472" t="str">
            <v>020</v>
          </cell>
          <cell r="M472" t="str">
            <v>02</v>
          </cell>
          <cell r="N472">
            <v>1</v>
          </cell>
          <cell r="O472">
            <v>1</v>
          </cell>
        </row>
        <row r="473">
          <cell r="A473">
            <v>7102001</v>
          </cell>
          <cell r="B473" t="str">
            <v>RIM BOVINO</v>
          </cell>
          <cell r="C473">
            <v>1</v>
          </cell>
          <cell r="D473" t="str">
            <v>assado(a)</v>
          </cell>
          <cell r="E473">
            <v>38</v>
          </cell>
          <cell r="F473" t="str">
            <v>Miudos</v>
          </cell>
          <cell r="G473">
            <v>0</v>
          </cell>
          <cell r="H473" t="e">
            <v>#N/A</v>
          </cell>
          <cell r="I473" t="str">
            <v>020610</v>
          </cell>
          <cell r="J473" t="str">
            <v>02061</v>
          </cell>
          <cell r="K473" t="str">
            <v>0206</v>
          </cell>
          <cell r="L473" t="str">
            <v>020</v>
          </cell>
          <cell r="M473" t="str">
            <v>02</v>
          </cell>
          <cell r="N473">
            <v>1</v>
          </cell>
          <cell r="O473">
            <v>1</v>
          </cell>
        </row>
        <row r="474">
          <cell r="A474">
            <v>7102102</v>
          </cell>
          <cell r="B474" t="str">
            <v>BOFE BOVINO</v>
          </cell>
          <cell r="C474">
            <v>1</v>
          </cell>
          <cell r="D474" t="str">
            <v>assado(a)</v>
          </cell>
          <cell r="E474">
            <v>38</v>
          </cell>
          <cell r="F474" t="str">
            <v>Miudos</v>
          </cell>
          <cell r="G474">
            <v>0</v>
          </cell>
          <cell r="H474">
            <v>7102102</v>
          </cell>
          <cell r="I474" t="str">
            <v>020610</v>
          </cell>
          <cell r="J474" t="str">
            <v>02061</v>
          </cell>
          <cell r="K474" t="str">
            <v>0206</v>
          </cell>
          <cell r="L474" t="str">
            <v>020</v>
          </cell>
          <cell r="M474" t="str">
            <v>02</v>
          </cell>
          <cell r="N474">
            <v>1</v>
          </cell>
          <cell r="O474">
            <v>1</v>
          </cell>
        </row>
        <row r="475">
          <cell r="A475">
            <v>7102401</v>
          </cell>
          <cell r="B475" t="str">
            <v>TRIPA BOVINA</v>
          </cell>
          <cell r="C475">
            <v>1</v>
          </cell>
          <cell r="D475" t="str">
            <v>assado(a)</v>
          </cell>
          <cell r="E475">
            <v>38</v>
          </cell>
          <cell r="F475" t="str">
            <v>Miudos</v>
          </cell>
          <cell r="G475">
            <v>0</v>
          </cell>
          <cell r="H475" t="e">
            <v>#N/A</v>
          </cell>
          <cell r="I475" t="str">
            <v>020610</v>
          </cell>
          <cell r="J475" t="str">
            <v>02061</v>
          </cell>
          <cell r="K475" t="str">
            <v>0206</v>
          </cell>
          <cell r="L475" t="str">
            <v>020</v>
          </cell>
          <cell r="M475" t="str">
            <v>02</v>
          </cell>
          <cell r="N475">
            <v>1</v>
          </cell>
          <cell r="O475">
            <v>1</v>
          </cell>
        </row>
        <row r="476">
          <cell r="A476">
            <v>7102402</v>
          </cell>
          <cell r="B476" t="str">
            <v>DOBRADINHA FRESCA</v>
          </cell>
          <cell r="C476">
            <v>3</v>
          </cell>
          <cell r="D476" t="str">
            <v>cozido(a) sem gordura</v>
          </cell>
          <cell r="E476">
            <v>38</v>
          </cell>
          <cell r="F476" t="str">
            <v>Miudos</v>
          </cell>
          <cell r="G476">
            <v>0</v>
          </cell>
          <cell r="H476">
            <v>7102402</v>
          </cell>
          <cell r="I476" t="str">
            <v>020610</v>
          </cell>
          <cell r="J476" t="str">
            <v>02061</v>
          </cell>
          <cell r="K476" t="str">
            <v>0206</v>
          </cell>
          <cell r="L476" t="str">
            <v>020</v>
          </cell>
          <cell r="M476" t="str">
            <v>02</v>
          </cell>
          <cell r="N476">
            <v>1</v>
          </cell>
          <cell r="O476">
            <v>1</v>
          </cell>
        </row>
        <row r="477">
          <cell r="A477">
            <v>7102403</v>
          </cell>
          <cell r="B477" t="str">
            <v>FATO BOVINO</v>
          </cell>
          <cell r="C477">
            <v>1</v>
          </cell>
          <cell r="D477" t="str">
            <v>assado(a)</v>
          </cell>
          <cell r="E477">
            <v>38</v>
          </cell>
          <cell r="F477" t="str">
            <v>Miudos</v>
          </cell>
          <cell r="G477">
            <v>0</v>
          </cell>
          <cell r="H477" t="e">
            <v>#N/A</v>
          </cell>
          <cell r="I477" t="str">
            <v>020610</v>
          </cell>
          <cell r="J477" t="str">
            <v>02061</v>
          </cell>
          <cell r="K477" t="str">
            <v>0206</v>
          </cell>
          <cell r="L477" t="str">
            <v>020</v>
          </cell>
          <cell r="M477" t="str">
            <v>02</v>
          </cell>
          <cell r="N477">
            <v>1</v>
          </cell>
          <cell r="O477">
            <v>1</v>
          </cell>
        </row>
        <row r="478">
          <cell r="A478">
            <v>7102501</v>
          </cell>
          <cell r="B478" t="str">
            <v>FIGADO BOVINO</v>
          </cell>
          <cell r="C478">
            <v>1</v>
          </cell>
          <cell r="D478" t="str">
            <v>assado(a)</v>
          </cell>
          <cell r="E478">
            <v>38</v>
          </cell>
          <cell r="F478" t="str">
            <v>Miudos</v>
          </cell>
          <cell r="G478">
            <v>0</v>
          </cell>
          <cell r="H478">
            <v>7102501</v>
          </cell>
          <cell r="I478" t="str">
            <v>020610</v>
          </cell>
          <cell r="J478" t="str">
            <v>02061</v>
          </cell>
          <cell r="K478" t="str">
            <v>0206</v>
          </cell>
          <cell r="L478" t="str">
            <v>020</v>
          </cell>
          <cell r="M478" t="str">
            <v>02</v>
          </cell>
          <cell r="N478">
            <v>1</v>
          </cell>
          <cell r="O478">
            <v>1</v>
          </cell>
        </row>
        <row r="479">
          <cell r="A479">
            <v>7102502</v>
          </cell>
          <cell r="B479" t="str">
            <v>FIGADO BOVINO (BIFE)</v>
          </cell>
          <cell r="C479">
            <v>1</v>
          </cell>
          <cell r="D479" t="str">
            <v>assado(a)</v>
          </cell>
          <cell r="E479">
            <v>38</v>
          </cell>
          <cell r="F479" t="str">
            <v>Miudos</v>
          </cell>
          <cell r="G479">
            <v>0</v>
          </cell>
          <cell r="H479" t="e">
            <v>#N/A</v>
          </cell>
          <cell r="I479" t="str">
            <v>020610</v>
          </cell>
          <cell r="J479" t="str">
            <v>02061</v>
          </cell>
          <cell r="K479" t="str">
            <v>0206</v>
          </cell>
          <cell r="L479" t="str">
            <v>020</v>
          </cell>
          <cell r="M479" t="str">
            <v>02</v>
          </cell>
          <cell r="N479">
            <v>1</v>
          </cell>
          <cell r="O479">
            <v>1</v>
          </cell>
        </row>
        <row r="480">
          <cell r="A480">
            <v>7102601</v>
          </cell>
          <cell r="B480" t="str">
            <v>CUPIM</v>
          </cell>
          <cell r="C480">
            <v>1</v>
          </cell>
          <cell r="D480" t="str">
            <v>assado(a)</v>
          </cell>
          <cell r="E480">
            <v>33</v>
          </cell>
          <cell r="F480" t="str">
            <v>Carne bovina</v>
          </cell>
          <cell r="G480">
            <v>0</v>
          </cell>
          <cell r="H480">
            <v>7102601</v>
          </cell>
          <cell r="I480" t="str">
            <v>020130</v>
          </cell>
          <cell r="J480" t="str">
            <v>02013</v>
          </cell>
          <cell r="K480" t="str">
            <v>0201</v>
          </cell>
          <cell r="L480" t="str">
            <v>020</v>
          </cell>
          <cell r="M480" t="str">
            <v>02</v>
          </cell>
          <cell r="N480">
            <v>1</v>
          </cell>
          <cell r="O480">
            <v>1</v>
          </cell>
        </row>
        <row r="481">
          <cell r="A481">
            <v>7102701</v>
          </cell>
          <cell r="B481" t="str">
            <v>LINGUA BOVINA</v>
          </cell>
          <cell r="C481">
            <v>1</v>
          </cell>
          <cell r="D481" t="str">
            <v>assado(a)</v>
          </cell>
          <cell r="E481">
            <v>38</v>
          </cell>
          <cell r="F481" t="str">
            <v>Miudos</v>
          </cell>
          <cell r="G481">
            <v>0</v>
          </cell>
          <cell r="H481">
            <v>7102701</v>
          </cell>
          <cell r="I481" t="str">
            <v>020610</v>
          </cell>
          <cell r="J481" t="str">
            <v>02061</v>
          </cell>
          <cell r="K481" t="str">
            <v>0206</v>
          </cell>
          <cell r="L481" t="str">
            <v>020</v>
          </cell>
          <cell r="M481" t="str">
            <v>02</v>
          </cell>
          <cell r="N481">
            <v>1</v>
          </cell>
          <cell r="O481">
            <v>1</v>
          </cell>
        </row>
        <row r="482">
          <cell r="A482">
            <v>7102801</v>
          </cell>
          <cell r="B482" t="str">
            <v>RABADA BOVINA</v>
          </cell>
          <cell r="C482">
            <v>1</v>
          </cell>
          <cell r="D482" t="str">
            <v>assado(a)</v>
          </cell>
          <cell r="E482">
            <v>38</v>
          </cell>
          <cell r="F482" t="str">
            <v>Miudos</v>
          </cell>
          <cell r="G482">
            <v>0</v>
          </cell>
          <cell r="H482">
            <v>7102801</v>
          </cell>
          <cell r="I482" t="str">
            <v>020120</v>
          </cell>
          <cell r="J482" t="str">
            <v>02012</v>
          </cell>
          <cell r="K482" t="str">
            <v>0201</v>
          </cell>
          <cell r="L482" t="str">
            <v>020</v>
          </cell>
          <cell r="M482" t="str">
            <v>02</v>
          </cell>
          <cell r="N482">
            <v>1</v>
          </cell>
          <cell r="O482">
            <v>1</v>
          </cell>
        </row>
        <row r="483">
          <cell r="A483">
            <v>7103101</v>
          </cell>
          <cell r="B483" t="str">
            <v>MOCOTO BOVINO</v>
          </cell>
          <cell r="C483">
            <v>1</v>
          </cell>
          <cell r="D483" t="str">
            <v>assado(a)</v>
          </cell>
          <cell r="E483">
            <v>38</v>
          </cell>
          <cell r="F483" t="str">
            <v>Miudos</v>
          </cell>
          <cell r="G483">
            <v>0</v>
          </cell>
          <cell r="H483">
            <v>7103101</v>
          </cell>
          <cell r="I483" t="str">
            <v>020610</v>
          </cell>
          <cell r="J483" t="str">
            <v>02061</v>
          </cell>
          <cell r="K483" t="str">
            <v>0206</v>
          </cell>
          <cell r="L483" t="str">
            <v>020</v>
          </cell>
          <cell r="M483" t="str">
            <v>02</v>
          </cell>
          <cell r="N483">
            <v>1</v>
          </cell>
          <cell r="O483">
            <v>1</v>
          </cell>
        </row>
        <row r="484">
          <cell r="A484">
            <v>7103301</v>
          </cell>
          <cell r="B484" t="str">
            <v>CARRE</v>
          </cell>
          <cell r="C484">
            <v>1</v>
          </cell>
          <cell r="D484" t="str">
            <v>assado(a)</v>
          </cell>
          <cell r="E484">
            <v>63</v>
          </cell>
          <cell r="F484" t="str">
            <v>Carne suina</v>
          </cell>
          <cell r="G484">
            <v>0</v>
          </cell>
          <cell r="H484" t="e">
            <v>#N/A</v>
          </cell>
          <cell r="I484" t="str">
            <v>020311</v>
          </cell>
          <cell r="J484" t="str">
            <v>02031</v>
          </cell>
          <cell r="K484" t="str">
            <v>0203</v>
          </cell>
          <cell r="L484" t="str">
            <v>020</v>
          </cell>
          <cell r="M484" t="str">
            <v>02</v>
          </cell>
          <cell r="N484">
            <v>1</v>
          </cell>
          <cell r="O484">
            <v>1</v>
          </cell>
        </row>
        <row r="485">
          <cell r="A485">
            <v>7103303</v>
          </cell>
          <cell r="B485" t="str">
            <v>COSTELETA</v>
          </cell>
          <cell r="C485">
            <v>3</v>
          </cell>
          <cell r="D485" t="str">
            <v>cozido(a) sem gordura</v>
          </cell>
          <cell r="E485">
            <v>33</v>
          </cell>
          <cell r="F485" t="str">
            <v>Carne bovina</v>
          </cell>
          <cell r="G485">
            <v>0</v>
          </cell>
          <cell r="H485" t="e">
            <v>#N/A</v>
          </cell>
          <cell r="I485" t="str">
            <v>020111</v>
          </cell>
          <cell r="J485" t="str">
            <v>02011</v>
          </cell>
          <cell r="K485" t="str">
            <v>0201</v>
          </cell>
          <cell r="L485" t="str">
            <v>020</v>
          </cell>
          <cell r="M485" t="str">
            <v>02</v>
          </cell>
          <cell r="N485">
            <v>1</v>
          </cell>
          <cell r="O485">
            <v>1</v>
          </cell>
        </row>
        <row r="486">
          <cell r="A486">
            <v>7103305</v>
          </cell>
          <cell r="B486" t="str">
            <v>BISTECA SUINA</v>
          </cell>
          <cell r="C486">
            <v>1</v>
          </cell>
          <cell r="D486" t="str">
            <v>assado(a)</v>
          </cell>
          <cell r="E486">
            <v>63</v>
          </cell>
          <cell r="F486" t="str">
            <v>Carne suina</v>
          </cell>
          <cell r="G486">
            <v>0</v>
          </cell>
          <cell r="H486">
            <v>7103305</v>
          </cell>
          <cell r="I486" t="str">
            <v>020311</v>
          </cell>
          <cell r="J486" t="str">
            <v>02031</v>
          </cell>
          <cell r="K486" t="str">
            <v>0203</v>
          </cell>
          <cell r="L486" t="str">
            <v>020</v>
          </cell>
          <cell r="M486" t="str">
            <v>02</v>
          </cell>
          <cell r="N486">
            <v>1</v>
          </cell>
          <cell r="O486">
            <v>1</v>
          </cell>
        </row>
        <row r="487">
          <cell r="A487">
            <v>7103403</v>
          </cell>
          <cell r="B487" t="str">
            <v>QUARTO SUINO</v>
          </cell>
          <cell r="C487">
            <v>1</v>
          </cell>
          <cell r="D487" t="str">
            <v>assado(a)</v>
          </cell>
          <cell r="E487">
            <v>63</v>
          </cell>
          <cell r="F487" t="str">
            <v>Carne suina</v>
          </cell>
          <cell r="G487">
            <v>0</v>
          </cell>
          <cell r="H487">
            <v>7103403</v>
          </cell>
          <cell r="I487" t="str">
            <v>020319</v>
          </cell>
          <cell r="J487" t="str">
            <v>02031</v>
          </cell>
          <cell r="K487" t="str">
            <v>0203</v>
          </cell>
          <cell r="L487" t="str">
            <v>020</v>
          </cell>
          <cell r="M487" t="str">
            <v>02</v>
          </cell>
          <cell r="N487">
            <v>1</v>
          </cell>
          <cell r="O487">
            <v>1</v>
          </cell>
        </row>
        <row r="488">
          <cell r="A488">
            <v>7103501</v>
          </cell>
          <cell r="B488" t="str">
            <v>COSTELA SUINA</v>
          </cell>
          <cell r="C488">
            <v>1</v>
          </cell>
          <cell r="D488" t="str">
            <v>assado(a)</v>
          </cell>
          <cell r="E488">
            <v>63</v>
          </cell>
          <cell r="F488" t="str">
            <v>Carne suina</v>
          </cell>
          <cell r="G488">
            <v>0</v>
          </cell>
          <cell r="H488">
            <v>7103501</v>
          </cell>
          <cell r="I488" t="str">
            <v>020311</v>
          </cell>
          <cell r="J488" t="str">
            <v>02031</v>
          </cell>
          <cell r="K488" t="str">
            <v>0203</v>
          </cell>
          <cell r="L488" t="str">
            <v>020</v>
          </cell>
          <cell r="M488" t="str">
            <v>02</v>
          </cell>
          <cell r="N488">
            <v>1</v>
          </cell>
          <cell r="O488">
            <v>1</v>
          </cell>
        </row>
        <row r="489">
          <cell r="A489">
            <v>7103701</v>
          </cell>
          <cell r="B489" t="str">
            <v>LOMBO SUINO</v>
          </cell>
          <cell r="C489">
            <v>1</v>
          </cell>
          <cell r="D489" t="str">
            <v>assado(a)</v>
          </cell>
          <cell r="E489">
            <v>63</v>
          </cell>
          <cell r="F489" t="str">
            <v>Carne suina</v>
          </cell>
          <cell r="G489">
            <v>0</v>
          </cell>
          <cell r="H489">
            <v>7103701</v>
          </cell>
          <cell r="I489" t="str">
            <v>020319</v>
          </cell>
          <cell r="J489" t="str">
            <v>02031</v>
          </cell>
          <cell r="K489" t="str">
            <v>0203</v>
          </cell>
          <cell r="L489" t="str">
            <v>020</v>
          </cell>
          <cell r="M489" t="str">
            <v>02</v>
          </cell>
          <cell r="N489">
            <v>1</v>
          </cell>
          <cell r="O489">
            <v>1</v>
          </cell>
        </row>
        <row r="490">
          <cell r="A490">
            <v>7103801</v>
          </cell>
          <cell r="B490" t="str">
            <v>TOUCINHO</v>
          </cell>
          <cell r="C490">
            <v>1</v>
          </cell>
          <cell r="D490" t="str">
            <v>assado(a)</v>
          </cell>
          <cell r="E490">
            <v>99</v>
          </cell>
          <cell r="F490" t="str">
            <v>Toucinho</v>
          </cell>
          <cell r="G490">
            <v>0</v>
          </cell>
          <cell r="H490">
            <v>7103801</v>
          </cell>
          <cell r="I490" t="str">
            <v>021012</v>
          </cell>
          <cell r="J490" t="str">
            <v>02101</v>
          </cell>
          <cell r="K490" t="str">
            <v>0210</v>
          </cell>
          <cell r="L490" t="str">
            <v>021</v>
          </cell>
          <cell r="M490" t="str">
            <v>02</v>
          </cell>
          <cell r="N490">
            <v>1</v>
          </cell>
          <cell r="O490">
            <v>1</v>
          </cell>
        </row>
        <row r="491">
          <cell r="A491">
            <v>7103903</v>
          </cell>
          <cell r="B491" t="str">
            <v>MIUDO SUÍNO</v>
          </cell>
          <cell r="C491">
            <v>99</v>
          </cell>
          <cell r="D491" t="str">
            <v>nao se aplica</v>
          </cell>
          <cell r="F491" t="str">
            <v>Miudos</v>
          </cell>
          <cell r="G491">
            <v>0</v>
          </cell>
          <cell r="H491">
            <v>0</v>
          </cell>
          <cell r="I491" t="str">
            <v>020630</v>
          </cell>
          <cell r="J491" t="str">
            <v>02063</v>
          </cell>
          <cell r="K491" t="str">
            <v>0206</v>
          </cell>
          <cell r="L491" t="str">
            <v>020</v>
          </cell>
          <cell r="M491" t="str">
            <v>02</v>
          </cell>
          <cell r="N491">
            <v>1</v>
          </cell>
          <cell r="O491">
            <v>1</v>
          </cell>
        </row>
        <row r="492">
          <cell r="A492">
            <v>7103907</v>
          </cell>
          <cell r="B492" t="str">
            <v>SARAPATEL SUINO FRESCO</v>
          </cell>
          <cell r="C492">
            <v>3</v>
          </cell>
          <cell r="D492" t="str">
            <v>cozido(a) sem gordura</v>
          </cell>
          <cell r="E492">
            <v>38</v>
          </cell>
          <cell r="F492" t="str">
            <v>Miudos</v>
          </cell>
          <cell r="G492">
            <v>0</v>
          </cell>
          <cell r="H492">
            <v>7103907</v>
          </cell>
          <cell r="I492" t="str">
            <v>020630</v>
          </cell>
          <cell r="J492" t="str">
            <v>02063</v>
          </cell>
          <cell r="K492" t="str">
            <v>0206</v>
          </cell>
          <cell r="L492" t="str">
            <v>020</v>
          </cell>
          <cell r="M492" t="str">
            <v>02</v>
          </cell>
          <cell r="N492">
            <v>1</v>
          </cell>
          <cell r="O492">
            <v>1</v>
          </cell>
        </row>
        <row r="493">
          <cell r="A493">
            <v>7104101</v>
          </cell>
          <cell r="B493" t="str">
            <v>CARNE SUINA</v>
          </cell>
          <cell r="C493">
            <v>1</v>
          </cell>
          <cell r="D493" t="str">
            <v>assado(a)</v>
          </cell>
          <cell r="E493">
            <v>63</v>
          </cell>
          <cell r="F493" t="str">
            <v>Carne suina</v>
          </cell>
          <cell r="G493">
            <v>0</v>
          </cell>
          <cell r="H493">
            <v>7104101</v>
          </cell>
          <cell r="I493" t="str">
            <v>020319</v>
          </cell>
          <cell r="J493" t="str">
            <v>02031</v>
          </cell>
          <cell r="K493" t="str">
            <v>0203</v>
          </cell>
          <cell r="L493" t="str">
            <v>020</v>
          </cell>
          <cell r="M493" t="str">
            <v>02</v>
          </cell>
          <cell r="N493">
            <v>1</v>
          </cell>
          <cell r="O493">
            <v>1</v>
          </cell>
        </row>
        <row r="494">
          <cell r="A494">
            <v>7104102</v>
          </cell>
          <cell r="B494" t="str">
            <v>CARNE DE PORCO</v>
          </cell>
          <cell r="C494">
            <v>1</v>
          </cell>
          <cell r="D494" t="str">
            <v>assado(a)</v>
          </cell>
          <cell r="E494">
            <v>63</v>
          </cell>
          <cell r="F494" t="str">
            <v>Carne suina</v>
          </cell>
          <cell r="G494">
            <v>0</v>
          </cell>
          <cell r="H494" t="e">
            <v>#N/A</v>
          </cell>
          <cell r="I494" t="str">
            <v>020319</v>
          </cell>
          <cell r="J494" t="str">
            <v>02031</v>
          </cell>
          <cell r="K494" t="str">
            <v>0203</v>
          </cell>
          <cell r="L494" t="str">
            <v>020</v>
          </cell>
          <cell r="M494" t="str">
            <v>02</v>
          </cell>
          <cell r="N494">
            <v>1</v>
          </cell>
          <cell r="O494">
            <v>1</v>
          </cell>
        </row>
        <row r="495">
          <cell r="A495">
            <v>7104301</v>
          </cell>
          <cell r="B495" t="str">
            <v>CARNE MOIDA</v>
          </cell>
          <cell r="C495">
            <v>1</v>
          </cell>
          <cell r="D495" t="str">
            <v>assado(a)</v>
          </cell>
          <cell r="E495">
            <v>33</v>
          </cell>
          <cell r="F495" t="str">
            <v>Carne bovina</v>
          </cell>
          <cell r="G495">
            <v>0</v>
          </cell>
          <cell r="H495" t="e">
            <v>#N/A</v>
          </cell>
          <cell r="I495" t="str">
            <v>020130</v>
          </cell>
          <cell r="J495" t="str">
            <v>02013</v>
          </cell>
          <cell r="K495" t="str">
            <v>0201</v>
          </cell>
          <cell r="L495" t="str">
            <v>020</v>
          </cell>
          <cell r="M495" t="str">
            <v>02</v>
          </cell>
          <cell r="N495">
            <v>1</v>
          </cell>
          <cell r="O495">
            <v>1</v>
          </cell>
        </row>
        <row r="496">
          <cell r="A496">
            <v>7104501</v>
          </cell>
          <cell r="B496" t="str">
            <v>TRIPA SUINA</v>
          </cell>
          <cell r="C496">
            <v>1</v>
          </cell>
          <cell r="D496" t="str">
            <v>assado(a)</v>
          </cell>
          <cell r="E496">
            <v>38</v>
          </cell>
          <cell r="F496" t="str">
            <v>Miudos</v>
          </cell>
          <cell r="G496">
            <v>0</v>
          </cell>
          <cell r="H496" t="e">
            <v>#N/A</v>
          </cell>
          <cell r="I496" t="str">
            <v>020630</v>
          </cell>
          <cell r="J496" t="str">
            <v>02063</v>
          </cell>
          <cell r="K496" t="str">
            <v>0206</v>
          </cell>
          <cell r="L496" t="str">
            <v>020</v>
          </cell>
          <cell r="M496" t="str">
            <v>02</v>
          </cell>
          <cell r="N496">
            <v>1</v>
          </cell>
          <cell r="O496">
            <v>1</v>
          </cell>
        </row>
        <row r="497">
          <cell r="A497">
            <v>7104601</v>
          </cell>
          <cell r="B497" t="str">
            <v>FIGADO SUINO</v>
          </cell>
          <cell r="C497">
            <v>3</v>
          </cell>
          <cell r="D497" t="str">
            <v>cozido(a) sem gordura</v>
          </cell>
          <cell r="E497">
            <v>38</v>
          </cell>
          <cell r="F497" t="str">
            <v>Miudos</v>
          </cell>
          <cell r="G497">
            <v>0</v>
          </cell>
          <cell r="H497" t="e">
            <v>#N/A</v>
          </cell>
          <cell r="I497" t="str">
            <v>020630</v>
          </cell>
          <cell r="J497" t="str">
            <v>02063</v>
          </cell>
          <cell r="K497" t="str">
            <v>0206</v>
          </cell>
          <cell r="L497" t="str">
            <v>020</v>
          </cell>
          <cell r="M497" t="str">
            <v>02</v>
          </cell>
          <cell r="N497">
            <v>1</v>
          </cell>
          <cell r="O497">
            <v>1</v>
          </cell>
        </row>
        <row r="498">
          <cell r="A498">
            <v>7104701</v>
          </cell>
          <cell r="B498" t="str">
            <v>LINGUA SUINA</v>
          </cell>
          <cell r="C498">
            <v>1</v>
          </cell>
          <cell r="D498" t="str">
            <v>assado(a)</v>
          </cell>
          <cell r="E498">
            <v>38</v>
          </cell>
          <cell r="F498" t="str">
            <v>Miudos</v>
          </cell>
          <cell r="G498">
            <v>0</v>
          </cell>
          <cell r="H498" t="e">
            <v>#N/A</v>
          </cell>
          <cell r="I498" t="str">
            <v>020630</v>
          </cell>
          <cell r="J498" t="str">
            <v>02063</v>
          </cell>
          <cell r="K498" t="str">
            <v>0206</v>
          </cell>
          <cell r="L498" t="str">
            <v>020</v>
          </cell>
          <cell r="M498" t="str">
            <v>02</v>
          </cell>
          <cell r="N498">
            <v>1</v>
          </cell>
          <cell r="O498">
            <v>1</v>
          </cell>
        </row>
        <row r="499">
          <cell r="A499">
            <v>7105001</v>
          </cell>
          <cell r="B499" t="str">
            <v>ORELHA SUINA FRESCA</v>
          </cell>
          <cell r="C499">
            <v>99</v>
          </cell>
          <cell r="D499" t="str">
            <v>nao se aplica</v>
          </cell>
          <cell r="E499"/>
          <cell r="F499" t="str">
            <v>Miudos</v>
          </cell>
          <cell r="G499">
            <v>0</v>
          </cell>
          <cell r="H499">
            <v>7105001</v>
          </cell>
          <cell r="I499" t="str">
            <v>020630</v>
          </cell>
          <cell r="J499" t="str">
            <v>02063</v>
          </cell>
          <cell r="K499" t="str">
            <v>0206</v>
          </cell>
          <cell r="L499" t="str">
            <v>020</v>
          </cell>
          <cell r="M499" t="str">
            <v>02</v>
          </cell>
          <cell r="N499">
            <v>1</v>
          </cell>
          <cell r="O499">
            <v>1</v>
          </cell>
        </row>
        <row r="500">
          <cell r="A500">
            <v>7105203</v>
          </cell>
          <cell r="B500" t="str">
            <v>MOCOTO SUINO / MOCOTO DE PORCO</v>
          </cell>
          <cell r="C500">
            <v>1</v>
          </cell>
          <cell r="D500" t="str">
            <v>assado(a)</v>
          </cell>
          <cell r="E500">
            <v>38</v>
          </cell>
          <cell r="F500" t="str">
            <v>Miudos</v>
          </cell>
          <cell r="G500">
            <v>0</v>
          </cell>
          <cell r="H500">
            <v>7105203</v>
          </cell>
          <cell r="I500" t="str">
            <v>020630</v>
          </cell>
          <cell r="J500" t="str">
            <v>02063</v>
          </cell>
          <cell r="K500" t="str">
            <v>0206</v>
          </cell>
          <cell r="L500" t="str">
            <v>020</v>
          </cell>
          <cell r="M500" t="str">
            <v>02</v>
          </cell>
          <cell r="N500">
            <v>1</v>
          </cell>
          <cell r="O500">
            <v>1</v>
          </cell>
        </row>
        <row r="501">
          <cell r="A501">
            <v>7105401</v>
          </cell>
          <cell r="B501" t="str">
            <v>CARNE DE CABRITO</v>
          </cell>
          <cell r="C501">
            <v>1</v>
          </cell>
          <cell r="D501" t="str">
            <v>assado(a)</v>
          </cell>
          <cell r="E501">
            <v>35</v>
          </cell>
          <cell r="F501" t="str">
            <v>Outras carnes</v>
          </cell>
          <cell r="G501">
            <v>0</v>
          </cell>
          <cell r="H501">
            <v>7105401</v>
          </cell>
          <cell r="I501" t="str">
            <v>020451</v>
          </cell>
          <cell r="J501" t="str">
            <v>02045</v>
          </cell>
          <cell r="K501" t="str">
            <v>0204</v>
          </cell>
          <cell r="L501" t="str">
            <v>020</v>
          </cell>
          <cell r="M501" t="str">
            <v>02</v>
          </cell>
          <cell r="N501">
            <v>1</v>
          </cell>
          <cell r="O501">
            <v>1</v>
          </cell>
        </row>
        <row r="502">
          <cell r="A502">
            <v>7105402</v>
          </cell>
          <cell r="B502" t="str">
            <v>CARNE DE BODE</v>
          </cell>
          <cell r="C502">
            <v>1</v>
          </cell>
          <cell r="D502" t="str">
            <v>assado(a)</v>
          </cell>
          <cell r="E502">
            <v>35</v>
          </cell>
          <cell r="F502" t="str">
            <v>Outras carnes</v>
          </cell>
          <cell r="G502">
            <v>0</v>
          </cell>
          <cell r="H502" t="e">
            <v>#N/A</v>
          </cell>
          <cell r="I502" t="str">
            <v>020450</v>
          </cell>
          <cell r="J502" t="str">
            <v>02045</v>
          </cell>
          <cell r="K502" t="str">
            <v>0204</v>
          </cell>
          <cell r="L502" t="str">
            <v>020</v>
          </cell>
          <cell r="M502" t="str">
            <v>02</v>
          </cell>
          <cell r="N502">
            <v>1</v>
          </cell>
          <cell r="O502">
            <v>1</v>
          </cell>
        </row>
        <row r="503">
          <cell r="A503">
            <v>7105403</v>
          </cell>
          <cell r="B503" t="str">
            <v>CARNE CAPRINA</v>
          </cell>
          <cell r="C503">
            <v>1</v>
          </cell>
          <cell r="D503" t="str">
            <v>assado(a)</v>
          </cell>
          <cell r="E503">
            <v>35</v>
          </cell>
          <cell r="F503" t="str">
            <v>Outras carnes</v>
          </cell>
          <cell r="G503">
            <v>0</v>
          </cell>
          <cell r="H503" t="e">
            <v>#N/A</v>
          </cell>
          <cell r="I503" t="str">
            <v>020450</v>
          </cell>
          <cell r="J503" t="str">
            <v>02045</v>
          </cell>
          <cell r="K503" t="str">
            <v>0204</v>
          </cell>
          <cell r="L503" t="str">
            <v>020</v>
          </cell>
          <cell r="M503" t="str">
            <v>02</v>
          </cell>
          <cell r="N503">
            <v>1</v>
          </cell>
          <cell r="O503">
            <v>1</v>
          </cell>
        </row>
        <row r="504">
          <cell r="A504">
            <v>7105405</v>
          </cell>
          <cell r="B504" t="str">
            <v>CARNE DE CAPRINO</v>
          </cell>
          <cell r="C504">
            <v>1</v>
          </cell>
          <cell r="D504" t="str">
            <v>assado(a)</v>
          </cell>
          <cell r="E504">
            <v>35</v>
          </cell>
          <cell r="F504" t="str">
            <v>Outras carnes</v>
          </cell>
          <cell r="G504">
            <v>0</v>
          </cell>
          <cell r="H504" t="e">
            <v>#N/A</v>
          </cell>
          <cell r="I504" t="str">
            <v>020450</v>
          </cell>
          <cell r="J504" t="str">
            <v>02045</v>
          </cell>
          <cell r="K504" t="str">
            <v>0204</v>
          </cell>
          <cell r="L504" t="str">
            <v>020</v>
          </cell>
          <cell r="M504" t="str">
            <v>02</v>
          </cell>
          <cell r="N504">
            <v>1</v>
          </cell>
          <cell r="O504">
            <v>1</v>
          </cell>
        </row>
        <row r="505">
          <cell r="A505">
            <v>7105601</v>
          </cell>
          <cell r="B505" t="str">
            <v>CARNE DE CARNEIRO</v>
          </cell>
          <cell r="C505">
            <v>1</v>
          </cell>
          <cell r="D505" t="str">
            <v>assado(a)</v>
          </cell>
          <cell r="E505">
            <v>35</v>
          </cell>
          <cell r="F505" t="str">
            <v>Outras carnes</v>
          </cell>
          <cell r="G505">
            <v>0</v>
          </cell>
          <cell r="H505">
            <v>7105601</v>
          </cell>
          <cell r="I505" t="str">
            <v>020423</v>
          </cell>
          <cell r="J505" t="str">
            <v>02042</v>
          </cell>
          <cell r="K505" t="str">
            <v>0204</v>
          </cell>
          <cell r="L505" t="str">
            <v>020</v>
          </cell>
          <cell r="M505" t="str">
            <v>02</v>
          </cell>
          <cell r="N505">
            <v>1</v>
          </cell>
          <cell r="O505">
            <v>1</v>
          </cell>
        </row>
        <row r="506">
          <cell r="A506">
            <v>7105602</v>
          </cell>
          <cell r="B506" t="str">
            <v>CARNE DE OVELHA</v>
          </cell>
          <cell r="C506">
            <v>1</v>
          </cell>
          <cell r="D506" t="str">
            <v>assado(a)</v>
          </cell>
          <cell r="E506">
            <v>35</v>
          </cell>
          <cell r="F506" t="str">
            <v>Outras carnes</v>
          </cell>
          <cell r="G506">
            <v>0</v>
          </cell>
          <cell r="H506">
            <v>7105602</v>
          </cell>
          <cell r="I506" t="str">
            <v>020423</v>
          </cell>
          <cell r="J506" t="str">
            <v>02042</v>
          </cell>
          <cell r="K506" t="str">
            <v>0204</v>
          </cell>
          <cell r="L506" t="str">
            <v>020</v>
          </cell>
          <cell r="M506" t="str">
            <v>02</v>
          </cell>
          <cell r="N506">
            <v>1</v>
          </cell>
          <cell r="O506">
            <v>1</v>
          </cell>
        </row>
        <row r="507">
          <cell r="A507">
            <v>7106301</v>
          </cell>
          <cell r="B507" t="str">
            <v>PERNIL</v>
          </cell>
          <cell r="C507">
            <v>1</v>
          </cell>
          <cell r="D507" t="str">
            <v>assado(a)</v>
          </cell>
          <cell r="E507">
            <v>63</v>
          </cell>
          <cell r="F507" t="str">
            <v>Carne suina</v>
          </cell>
          <cell r="G507">
            <v>0</v>
          </cell>
          <cell r="H507" t="e">
            <v>#N/A</v>
          </cell>
          <cell r="I507" t="str">
            <v>020319</v>
          </cell>
          <cell r="J507" t="str">
            <v>02031</v>
          </cell>
          <cell r="K507" t="str">
            <v>0203</v>
          </cell>
          <cell r="L507" t="str">
            <v>020</v>
          </cell>
          <cell r="M507" t="str">
            <v>02</v>
          </cell>
          <cell r="N507">
            <v>1</v>
          </cell>
          <cell r="O507">
            <v>1</v>
          </cell>
        </row>
        <row r="508">
          <cell r="A508">
            <v>7107501</v>
          </cell>
          <cell r="B508" t="str">
            <v>SUA SUINA</v>
          </cell>
          <cell r="C508">
            <v>1</v>
          </cell>
          <cell r="D508" t="str">
            <v>assado(a)</v>
          </cell>
          <cell r="E508">
            <v>63</v>
          </cell>
          <cell r="F508" t="str">
            <v>Carne suina</v>
          </cell>
          <cell r="G508">
            <v>0</v>
          </cell>
          <cell r="H508" t="e">
            <v>#N/A</v>
          </cell>
          <cell r="I508" t="str">
            <v>020630</v>
          </cell>
          <cell r="J508" t="str">
            <v>02063</v>
          </cell>
          <cell r="K508" t="str">
            <v>0206</v>
          </cell>
          <cell r="L508" t="str">
            <v>020</v>
          </cell>
          <cell r="M508" t="str">
            <v>02</v>
          </cell>
          <cell r="N508">
            <v>1</v>
          </cell>
          <cell r="O508">
            <v>1</v>
          </cell>
        </row>
        <row r="509">
          <cell r="A509">
            <v>7107601</v>
          </cell>
          <cell r="B509" t="str">
            <v>CARNE DE OUTROS ANIMAIS</v>
          </cell>
          <cell r="C509">
            <v>3</v>
          </cell>
          <cell r="D509" t="str">
            <v>cozido(a) sem gordura</v>
          </cell>
          <cell r="E509">
            <v>35</v>
          </cell>
          <cell r="F509" t="str">
            <v>Outras carnes</v>
          </cell>
          <cell r="G509">
            <v>0</v>
          </cell>
          <cell r="H509" t="e">
            <v>#N/A</v>
          </cell>
          <cell r="I509" t="str">
            <v>020890</v>
          </cell>
          <cell r="J509" t="str">
            <v>02089</v>
          </cell>
          <cell r="K509" t="str">
            <v>0208</v>
          </cell>
          <cell r="L509" t="str">
            <v>020</v>
          </cell>
          <cell r="M509" t="str">
            <v>02</v>
          </cell>
          <cell r="N509">
            <v>1</v>
          </cell>
          <cell r="O509">
            <v>1</v>
          </cell>
        </row>
        <row r="510">
          <cell r="A510">
            <v>7107603</v>
          </cell>
          <cell r="B510" t="str">
            <v>CARNE DA PACA</v>
          </cell>
          <cell r="C510">
            <v>1</v>
          </cell>
          <cell r="D510" t="str">
            <v>assado(a)</v>
          </cell>
          <cell r="E510">
            <v>35</v>
          </cell>
          <cell r="F510" t="str">
            <v>Outras carnes</v>
          </cell>
          <cell r="G510">
            <v>0</v>
          </cell>
          <cell r="H510">
            <v>7107603</v>
          </cell>
          <cell r="I510" t="str">
            <v>020890</v>
          </cell>
          <cell r="J510" t="str">
            <v>02089</v>
          </cell>
          <cell r="K510" t="str">
            <v>0208</v>
          </cell>
          <cell r="L510" t="str">
            <v>020</v>
          </cell>
          <cell r="M510" t="str">
            <v>02</v>
          </cell>
          <cell r="N510">
            <v>1</v>
          </cell>
          <cell r="O510">
            <v>1</v>
          </cell>
        </row>
        <row r="511">
          <cell r="A511">
            <v>7107611</v>
          </cell>
          <cell r="B511" t="str">
            <v>CARNE DE JACARE</v>
          </cell>
          <cell r="C511">
            <v>1</v>
          </cell>
          <cell r="D511" t="str">
            <v>assado(a)</v>
          </cell>
          <cell r="E511">
            <v>35</v>
          </cell>
          <cell r="F511" t="str">
            <v>Outras carnes</v>
          </cell>
          <cell r="G511">
            <v>0</v>
          </cell>
          <cell r="H511">
            <v>7107611</v>
          </cell>
          <cell r="I511" t="str">
            <v>020850</v>
          </cell>
          <cell r="J511" t="str">
            <v>02085</v>
          </cell>
          <cell r="K511" t="str">
            <v>0208</v>
          </cell>
          <cell r="L511" t="str">
            <v>020</v>
          </cell>
          <cell r="M511" t="str">
            <v>02</v>
          </cell>
          <cell r="N511">
            <v>1</v>
          </cell>
          <cell r="O511">
            <v>1</v>
          </cell>
        </row>
        <row r="512">
          <cell r="A512">
            <v>7107615</v>
          </cell>
          <cell r="B512" t="str">
            <v>CARNE DE CAPIVARA</v>
          </cell>
          <cell r="C512">
            <v>1</v>
          </cell>
          <cell r="D512" t="str">
            <v>assado(a)</v>
          </cell>
          <cell r="E512">
            <v>35</v>
          </cell>
          <cell r="F512" t="str">
            <v>Outras carnes</v>
          </cell>
          <cell r="G512">
            <v>0</v>
          </cell>
          <cell r="H512">
            <v>7107615</v>
          </cell>
          <cell r="I512" t="str">
            <v>020890</v>
          </cell>
          <cell r="J512" t="str">
            <v>02089</v>
          </cell>
          <cell r="K512" t="str">
            <v>0208</v>
          </cell>
          <cell r="L512" t="str">
            <v>020</v>
          </cell>
          <cell r="M512" t="str">
            <v>02</v>
          </cell>
          <cell r="N512">
            <v>1</v>
          </cell>
          <cell r="O512">
            <v>1</v>
          </cell>
        </row>
        <row r="513">
          <cell r="A513">
            <v>7107617</v>
          </cell>
          <cell r="B513" t="str">
            <v>CARNE DE COTIA</v>
          </cell>
          <cell r="C513">
            <v>3</v>
          </cell>
          <cell r="D513" t="str">
            <v>cozido(a) sem gordura</v>
          </cell>
          <cell r="E513">
            <v>35</v>
          </cell>
          <cell r="F513" t="str">
            <v>Outras carnes</v>
          </cell>
          <cell r="G513">
            <v>0</v>
          </cell>
          <cell r="H513" t="e">
            <v>#N/A</v>
          </cell>
          <cell r="I513" t="str">
            <v>020890</v>
          </cell>
          <cell r="J513" t="str">
            <v>02089</v>
          </cell>
          <cell r="K513" t="str">
            <v>0208</v>
          </cell>
          <cell r="L513" t="str">
            <v>020</v>
          </cell>
          <cell r="M513" t="str">
            <v>02</v>
          </cell>
          <cell r="N513">
            <v>1</v>
          </cell>
          <cell r="O513">
            <v>1</v>
          </cell>
        </row>
        <row r="514">
          <cell r="A514">
            <v>7107622</v>
          </cell>
          <cell r="B514" t="str">
            <v>CARNE DE JABUTI</v>
          </cell>
          <cell r="C514">
            <v>3</v>
          </cell>
          <cell r="D514" t="str">
            <v>cozido(a) sem gordura</v>
          </cell>
          <cell r="E514">
            <v>35</v>
          </cell>
          <cell r="F514" t="str">
            <v>Outras carnes</v>
          </cell>
          <cell r="G514">
            <v>0</v>
          </cell>
          <cell r="H514">
            <v>7107622</v>
          </cell>
          <cell r="I514" t="str">
            <v>020850</v>
          </cell>
          <cell r="J514" t="str">
            <v>02085</v>
          </cell>
          <cell r="K514" t="str">
            <v>0208</v>
          </cell>
          <cell r="L514" t="str">
            <v>020</v>
          </cell>
          <cell r="M514" t="str">
            <v>02</v>
          </cell>
          <cell r="N514">
            <v>1</v>
          </cell>
          <cell r="O514">
            <v>1</v>
          </cell>
        </row>
        <row r="515">
          <cell r="A515">
            <v>7107804</v>
          </cell>
          <cell r="B515" t="str">
            <v>CHULETA</v>
          </cell>
          <cell r="C515">
            <v>1</v>
          </cell>
          <cell r="D515" t="str">
            <v>assado(a)</v>
          </cell>
          <cell r="E515">
            <v>33</v>
          </cell>
          <cell r="F515" t="str">
            <v>Carne bovina</v>
          </cell>
          <cell r="G515">
            <v>0</v>
          </cell>
          <cell r="H515" t="e">
            <v>#N/A</v>
          </cell>
          <cell r="I515" t="str">
            <v>020130</v>
          </cell>
          <cell r="J515" t="str">
            <v>02013</v>
          </cell>
          <cell r="K515" t="str">
            <v>0201</v>
          </cell>
          <cell r="L515" t="str">
            <v>020</v>
          </cell>
          <cell r="M515" t="str">
            <v>02</v>
          </cell>
          <cell r="N515">
            <v>1</v>
          </cell>
          <cell r="O515">
            <v>1</v>
          </cell>
        </row>
        <row r="516">
          <cell r="A516">
            <v>7108107</v>
          </cell>
          <cell r="B516" t="str">
            <v>MIUDO DE BODE</v>
          </cell>
          <cell r="C516">
            <v>3</v>
          </cell>
          <cell r="D516" t="str">
            <v>cozido(a) sem gordura</v>
          </cell>
          <cell r="E516">
            <v>38</v>
          </cell>
          <cell r="F516" t="str">
            <v>Miudos</v>
          </cell>
          <cell r="G516">
            <v>0</v>
          </cell>
          <cell r="H516" t="e">
            <v>#N/A</v>
          </cell>
          <cell r="I516" t="str">
            <v>020611</v>
          </cell>
          <cell r="J516" t="str">
            <v>02061</v>
          </cell>
          <cell r="K516" t="str">
            <v>0206</v>
          </cell>
          <cell r="L516" t="str">
            <v>020</v>
          </cell>
          <cell r="M516" t="str">
            <v>02</v>
          </cell>
          <cell r="N516">
            <v>1</v>
          </cell>
          <cell r="O516">
            <v>1</v>
          </cell>
        </row>
        <row r="517">
          <cell r="A517">
            <v>7108902</v>
          </cell>
          <cell r="B517" t="str">
            <v>BIFE</v>
          </cell>
          <cell r="C517">
            <v>1</v>
          </cell>
          <cell r="D517" t="str">
            <v>assado(a)</v>
          </cell>
          <cell r="E517">
            <v>33</v>
          </cell>
          <cell r="F517" t="str">
            <v>Carne bovina</v>
          </cell>
          <cell r="G517">
            <v>0</v>
          </cell>
          <cell r="H517" t="e">
            <v>#N/A</v>
          </cell>
          <cell r="I517" t="str">
            <v>020130</v>
          </cell>
          <cell r="J517" t="str">
            <v>02013</v>
          </cell>
          <cell r="K517" t="str">
            <v>0201</v>
          </cell>
          <cell r="L517" t="str">
            <v>020</v>
          </cell>
          <cell r="M517" t="str">
            <v>02</v>
          </cell>
          <cell r="N517">
            <v>1</v>
          </cell>
          <cell r="O517">
            <v>1</v>
          </cell>
        </row>
        <row r="518">
          <cell r="A518">
            <v>7109101</v>
          </cell>
          <cell r="B518" t="str">
            <v>CARNE BOVINA</v>
          </cell>
          <cell r="C518">
            <v>1</v>
          </cell>
          <cell r="D518" t="str">
            <v>assado(a)</v>
          </cell>
          <cell r="E518">
            <v>33</v>
          </cell>
          <cell r="F518" t="str">
            <v>Carne bovina</v>
          </cell>
          <cell r="G518">
            <v>0</v>
          </cell>
          <cell r="H518">
            <v>7109101</v>
          </cell>
          <cell r="I518" t="str">
            <v>020130</v>
          </cell>
          <cell r="J518" t="str">
            <v>02013</v>
          </cell>
          <cell r="K518" t="str">
            <v>0201</v>
          </cell>
          <cell r="L518" t="str">
            <v>020</v>
          </cell>
          <cell r="M518" t="str">
            <v>02</v>
          </cell>
          <cell r="N518">
            <v>1</v>
          </cell>
          <cell r="O518">
            <v>1</v>
          </cell>
        </row>
        <row r="519">
          <cell r="A519">
            <v>7110902</v>
          </cell>
          <cell r="B519" t="str">
            <v>OSSADA NAO ESPECIFICADA</v>
          </cell>
          <cell r="C519">
            <v>3</v>
          </cell>
          <cell r="D519" t="str">
            <v>cozido(a) sem gordura</v>
          </cell>
          <cell r="E519">
            <v>33</v>
          </cell>
          <cell r="F519" t="str">
            <v>Carne bovina</v>
          </cell>
          <cell r="G519">
            <v>0</v>
          </cell>
          <cell r="H519" t="e">
            <v>#N/A</v>
          </cell>
          <cell r="I519" t="str">
            <v>020120</v>
          </cell>
          <cell r="J519" t="str">
            <v>02012</v>
          </cell>
          <cell r="K519" t="str">
            <v>0201</v>
          </cell>
          <cell r="L519" t="str">
            <v>020</v>
          </cell>
          <cell r="M519" t="str">
            <v>02</v>
          </cell>
          <cell r="N519">
            <v>1</v>
          </cell>
          <cell r="O519">
            <v>1</v>
          </cell>
        </row>
        <row r="520">
          <cell r="A520">
            <v>7112502</v>
          </cell>
          <cell r="B520" t="str">
            <v>CORDEIRO</v>
          </cell>
          <cell r="C520">
            <v>1</v>
          </cell>
          <cell r="D520" t="str">
            <v>assado(a)</v>
          </cell>
          <cell r="E520">
            <v>35</v>
          </cell>
          <cell r="F520" t="str">
            <v>Outras carnes</v>
          </cell>
          <cell r="G520">
            <v>0</v>
          </cell>
          <cell r="H520" t="e">
            <v>#N/A</v>
          </cell>
          <cell r="I520" t="str">
            <v>020410</v>
          </cell>
          <cell r="J520" t="str">
            <v>02041</v>
          </cell>
          <cell r="K520" t="str">
            <v>0204</v>
          </cell>
          <cell r="L520" t="str">
            <v>020</v>
          </cell>
          <cell r="M520" t="str">
            <v>02</v>
          </cell>
          <cell r="N520">
            <v>1</v>
          </cell>
          <cell r="O520">
            <v>1</v>
          </cell>
        </row>
        <row r="521">
          <cell r="A521">
            <v>7112901</v>
          </cell>
          <cell r="B521" t="str">
            <v>JOELHO DE PORCO</v>
          </cell>
          <cell r="C521">
            <v>3</v>
          </cell>
          <cell r="D521" t="str">
            <v>cozido(a) sem gordura</v>
          </cell>
          <cell r="E521">
            <v>63</v>
          </cell>
          <cell r="F521" t="str">
            <v>Carne de porco</v>
          </cell>
          <cell r="G521">
            <v>0</v>
          </cell>
          <cell r="H521" t="e">
            <v>#N/A</v>
          </cell>
          <cell r="I521" t="str">
            <v>020311</v>
          </cell>
          <cell r="J521" t="str">
            <v>02031</v>
          </cell>
          <cell r="K521" t="str">
            <v>0203</v>
          </cell>
          <cell r="L521" t="str">
            <v>020</v>
          </cell>
          <cell r="M521" t="str">
            <v>02</v>
          </cell>
          <cell r="N521">
            <v>1</v>
          </cell>
          <cell r="O521">
            <v>1</v>
          </cell>
        </row>
        <row r="522">
          <cell r="A522">
            <v>7113101</v>
          </cell>
          <cell r="B522" t="str">
            <v>LEITAO</v>
          </cell>
          <cell r="C522">
            <v>1</v>
          </cell>
          <cell r="D522" t="str">
            <v>assado(a)</v>
          </cell>
          <cell r="E522">
            <v>63</v>
          </cell>
          <cell r="F522" t="str">
            <v>Carne suina</v>
          </cell>
          <cell r="G522">
            <v>0</v>
          </cell>
          <cell r="H522" t="e">
            <v>#N/A</v>
          </cell>
          <cell r="I522" t="str">
            <v>020319</v>
          </cell>
          <cell r="J522" t="str">
            <v>02031</v>
          </cell>
          <cell r="K522" t="str">
            <v>0203</v>
          </cell>
          <cell r="L522" t="str">
            <v>020</v>
          </cell>
          <cell r="M522" t="str">
            <v>02</v>
          </cell>
          <cell r="N522">
            <v>1</v>
          </cell>
          <cell r="O522">
            <v>1</v>
          </cell>
        </row>
        <row r="523">
          <cell r="A523">
            <v>7113201</v>
          </cell>
          <cell r="B523" t="str">
            <v>LOMBINHO</v>
          </cell>
          <cell r="C523">
            <v>1</v>
          </cell>
          <cell r="D523" t="str">
            <v>assado(a)</v>
          </cell>
          <cell r="E523">
            <v>63</v>
          </cell>
          <cell r="F523" t="str">
            <v>Carne suina</v>
          </cell>
          <cell r="G523">
            <v>0</v>
          </cell>
          <cell r="H523" t="e">
            <v>#N/A</v>
          </cell>
          <cell r="I523" t="str">
            <v>020319</v>
          </cell>
          <cell r="J523" t="str">
            <v>02031</v>
          </cell>
          <cell r="K523" t="str">
            <v>0203</v>
          </cell>
          <cell r="L523" t="str">
            <v>020</v>
          </cell>
          <cell r="M523" t="str">
            <v>02</v>
          </cell>
          <cell r="N523">
            <v>1</v>
          </cell>
          <cell r="O523">
            <v>1</v>
          </cell>
        </row>
        <row r="524">
          <cell r="A524">
            <v>7113301</v>
          </cell>
          <cell r="B524" t="str">
            <v>LOMBO</v>
          </cell>
          <cell r="C524">
            <v>1</v>
          </cell>
          <cell r="D524" t="str">
            <v>assado(a)</v>
          </cell>
          <cell r="E524">
            <v>63</v>
          </cell>
          <cell r="F524" t="str">
            <v>Carne suina</v>
          </cell>
          <cell r="G524">
            <v>0</v>
          </cell>
          <cell r="H524">
            <v>7113301</v>
          </cell>
          <cell r="I524" t="str">
            <v>020319</v>
          </cell>
          <cell r="J524" t="str">
            <v>02031</v>
          </cell>
          <cell r="K524" t="str">
            <v>0203</v>
          </cell>
          <cell r="L524" t="str">
            <v>020</v>
          </cell>
          <cell r="M524" t="str">
            <v>02</v>
          </cell>
          <cell r="N524">
            <v>1</v>
          </cell>
          <cell r="O524">
            <v>1</v>
          </cell>
        </row>
        <row r="525">
          <cell r="A525">
            <v>7113401</v>
          </cell>
          <cell r="B525" t="str">
            <v>MEDALHOES BOVINOS</v>
          </cell>
          <cell r="C525">
            <v>1</v>
          </cell>
          <cell r="D525" t="str">
            <v>assado(a)</v>
          </cell>
          <cell r="E525">
            <v>33</v>
          </cell>
          <cell r="F525" t="str">
            <v>Carne bovina</v>
          </cell>
          <cell r="G525">
            <v>0</v>
          </cell>
          <cell r="H525" t="e">
            <v>#N/A</v>
          </cell>
          <cell r="I525" t="str">
            <v>020130</v>
          </cell>
          <cell r="J525" t="str">
            <v>02013</v>
          </cell>
          <cell r="K525" t="str">
            <v>0201</v>
          </cell>
          <cell r="L525" t="str">
            <v>020</v>
          </cell>
          <cell r="M525" t="str">
            <v>02</v>
          </cell>
          <cell r="N525">
            <v>1</v>
          </cell>
          <cell r="O525">
            <v>1</v>
          </cell>
        </row>
        <row r="526">
          <cell r="A526">
            <v>7113402</v>
          </cell>
          <cell r="B526" t="str">
            <v>TORNEDOR BOVINO</v>
          </cell>
          <cell r="C526">
            <v>8</v>
          </cell>
          <cell r="D526" t="str">
            <v>grelhado(a)/brasa/churrasco</v>
          </cell>
          <cell r="E526">
            <v>33</v>
          </cell>
          <cell r="F526" t="str">
            <v>Carne bovina</v>
          </cell>
          <cell r="G526">
            <v>0</v>
          </cell>
          <cell r="H526" t="e">
            <v>#N/A</v>
          </cell>
          <cell r="I526" t="str">
            <v>020130</v>
          </cell>
          <cell r="J526" t="str">
            <v>02013</v>
          </cell>
          <cell r="K526" t="str">
            <v>0201</v>
          </cell>
          <cell r="L526" t="str">
            <v>020</v>
          </cell>
          <cell r="M526" t="str">
            <v>02</v>
          </cell>
          <cell r="N526">
            <v>1</v>
          </cell>
          <cell r="O526">
            <v>1</v>
          </cell>
        </row>
        <row r="527">
          <cell r="A527">
            <v>7113501</v>
          </cell>
          <cell r="B527" t="str">
            <v>VITELA</v>
          </cell>
          <cell r="C527">
            <v>1</v>
          </cell>
          <cell r="D527" t="str">
            <v>assado(a)</v>
          </cell>
          <cell r="E527">
            <v>33</v>
          </cell>
          <cell r="F527" t="str">
            <v>Carne bovina</v>
          </cell>
          <cell r="G527">
            <v>0</v>
          </cell>
          <cell r="H527">
            <v>7113501</v>
          </cell>
          <cell r="I527" t="str">
            <v>020131</v>
          </cell>
          <cell r="J527" t="str">
            <v>02013</v>
          </cell>
          <cell r="K527" t="str">
            <v>0201</v>
          </cell>
          <cell r="L527" t="str">
            <v>020</v>
          </cell>
          <cell r="M527" t="str">
            <v>02</v>
          </cell>
          <cell r="N527">
            <v>1</v>
          </cell>
          <cell r="O527">
            <v>1</v>
          </cell>
        </row>
        <row r="528">
          <cell r="A528">
            <v>7180001</v>
          </cell>
          <cell r="B528" t="str">
            <v>ROSBIFE</v>
          </cell>
          <cell r="C528">
            <v>99</v>
          </cell>
          <cell r="D528" t="str">
            <v>nao se aplica</v>
          </cell>
          <cell r="E528"/>
          <cell r="F528" t="str">
            <v/>
          </cell>
          <cell r="G528">
            <v>0</v>
          </cell>
          <cell r="H528">
            <v>7180001</v>
          </cell>
          <cell r="I528" t="str">
            <v>020130</v>
          </cell>
          <cell r="J528" t="str">
            <v>02013</v>
          </cell>
          <cell r="K528" t="str">
            <v>0201</v>
          </cell>
          <cell r="L528" t="str">
            <v>020</v>
          </cell>
          <cell r="M528" t="str">
            <v>02</v>
          </cell>
          <cell r="N528">
            <v>1</v>
          </cell>
          <cell r="O528">
            <v>1</v>
          </cell>
        </row>
        <row r="529">
          <cell r="A529">
            <v>7200101</v>
          </cell>
          <cell r="B529" t="str">
            <v>PEIXE DE MAR (INTEIRO, EM POSTA, EM FILÉ, ETC)</v>
          </cell>
          <cell r="C529">
            <v>1</v>
          </cell>
          <cell r="D529" t="str">
            <v>assado(a)</v>
          </cell>
          <cell r="E529">
            <v>34</v>
          </cell>
          <cell r="F529" t="str">
            <v>Peixe</v>
          </cell>
          <cell r="G529">
            <v>0</v>
          </cell>
          <cell r="H529">
            <v>7200101</v>
          </cell>
          <cell r="I529" t="str">
            <v>030210</v>
          </cell>
          <cell r="J529" t="str">
            <v>03021</v>
          </cell>
          <cell r="K529" t="str">
            <v>0302</v>
          </cell>
          <cell r="L529" t="str">
            <v>030</v>
          </cell>
          <cell r="M529" t="str">
            <v>03</v>
          </cell>
          <cell r="N529">
            <v>1</v>
          </cell>
          <cell r="O529">
            <v>1</v>
          </cell>
        </row>
        <row r="530">
          <cell r="A530">
            <v>7200401</v>
          </cell>
          <cell r="B530" t="str">
            <v>PEIXE DE MAR SALGADO (INTEIRO, EM POSTA, EM FILÉ, ETC)</v>
          </cell>
          <cell r="C530">
            <v>1</v>
          </cell>
          <cell r="D530" t="str">
            <v>assado(a)</v>
          </cell>
          <cell r="E530">
            <v>56</v>
          </cell>
          <cell r="F530" t="str">
            <v>Conserva peixe</v>
          </cell>
          <cell r="G530">
            <v>0</v>
          </cell>
          <cell r="H530" t="e">
            <v>#N/A</v>
          </cell>
          <cell r="I530" t="str">
            <v>030551</v>
          </cell>
          <cell r="J530" t="str">
            <v>03055</v>
          </cell>
          <cell r="K530" t="str">
            <v>0305</v>
          </cell>
          <cell r="L530" t="str">
            <v>030</v>
          </cell>
          <cell r="M530" t="str">
            <v>03</v>
          </cell>
          <cell r="N530">
            <v>1</v>
          </cell>
          <cell r="O530">
            <v>3</v>
          </cell>
        </row>
        <row r="531">
          <cell r="A531">
            <v>7260101</v>
          </cell>
          <cell r="B531" t="str">
            <v>CAMARAO</v>
          </cell>
          <cell r="C531">
            <v>1</v>
          </cell>
          <cell r="D531" t="str">
            <v>assado(a)</v>
          </cell>
          <cell r="E531">
            <v>64</v>
          </cell>
          <cell r="F531" t="str">
            <v>Frutos do mar e outros</v>
          </cell>
          <cell r="G531">
            <v>0</v>
          </cell>
          <cell r="H531">
            <v>7260101</v>
          </cell>
          <cell r="I531" t="str">
            <v>030623</v>
          </cell>
          <cell r="J531" t="str">
            <v>03062</v>
          </cell>
          <cell r="K531" t="str">
            <v>0306</v>
          </cell>
          <cell r="L531" t="str">
            <v>030</v>
          </cell>
          <cell r="M531" t="str">
            <v>03</v>
          </cell>
          <cell r="N531">
            <v>1</v>
          </cell>
          <cell r="O531">
            <v>1</v>
          </cell>
        </row>
        <row r="532">
          <cell r="A532">
            <v>7261101</v>
          </cell>
          <cell r="B532" t="str">
            <v>SIRI</v>
          </cell>
          <cell r="C532">
            <v>3</v>
          </cell>
          <cell r="D532" t="str">
            <v>cozido(a) sem gordura</v>
          </cell>
          <cell r="E532">
            <v>64</v>
          </cell>
          <cell r="F532" t="str">
            <v>Frutos do mar e outros</v>
          </cell>
          <cell r="G532">
            <v>0</v>
          </cell>
          <cell r="H532">
            <v>7261101</v>
          </cell>
          <cell r="I532" t="str">
            <v>030624</v>
          </cell>
          <cell r="J532" t="str">
            <v>03062</v>
          </cell>
          <cell r="K532" t="str">
            <v>0306</v>
          </cell>
          <cell r="L532" t="str">
            <v>030</v>
          </cell>
          <cell r="M532" t="str">
            <v>03</v>
          </cell>
          <cell r="N532">
            <v>1</v>
          </cell>
          <cell r="O532">
            <v>1</v>
          </cell>
        </row>
        <row r="533">
          <cell r="A533">
            <v>7262101</v>
          </cell>
          <cell r="B533" t="str">
            <v>CARANGUEJO</v>
          </cell>
          <cell r="C533">
            <v>3</v>
          </cell>
          <cell r="D533" t="str">
            <v>cozido(a) sem gordura</v>
          </cell>
          <cell r="E533">
            <v>64</v>
          </cell>
          <cell r="F533" t="str">
            <v>Frutos do mar e outros</v>
          </cell>
          <cell r="G533">
            <v>0</v>
          </cell>
          <cell r="H533">
            <v>7262101</v>
          </cell>
          <cell r="I533" t="str">
            <v>030624</v>
          </cell>
          <cell r="J533" t="str">
            <v>03062</v>
          </cell>
          <cell r="K533" t="str">
            <v>0306</v>
          </cell>
          <cell r="L533" t="str">
            <v>030</v>
          </cell>
          <cell r="M533" t="str">
            <v>03</v>
          </cell>
          <cell r="N533">
            <v>1</v>
          </cell>
          <cell r="O533">
            <v>1</v>
          </cell>
        </row>
        <row r="534">
          <cell r="A534">
            <v>7263101</v>
          </cell>
          <cell r="B534" t="str">
            <v>MARISCO</v>
          </cell>
          <cell r="C534">
            <v>3</v>
          </cell>
          <cell r="D534" t="str">
            <v>cozido(a) sem gordura</v>
          </cell>
          <cell r="E534">
            <v>64</v>
          </cell>
          <cell r="F534" t="str">
            <v>Frutos do mar e outros</v>
          </cell>
          <cell r="G534">
            <v>0</v>
          </cell>
          <cell r="H534">
            <v>7263101</v>
          </cell>
          <cell r="I534" t="str">
            <v>030710</v>
          </cell>
          <cell r="J534" t="str">
            <v>03071</v>
          </cell>
          <cell r="K534" t="str">
            <v>0307</v>
          </cell>
          <cell r="L534" t="str">
            <v>030</v>
          </cell>
          <cell r="M534" t="str">
            <v>03</v>
          </cell>
          <cell r="N534">
            <v>1</v>
          </cell>
          <cell r="O534">
            <v>1</v>
          </cell>
        </row>
        <row r="535">
          <cell r="A535">
            <v>7264101</v>
          </cell>
          <cell r="B535" t="str">
            <v>OSTRA</v>
          </cell>
          <cell r="C535">
            <v>4</v>
          </cell>
          <cell r="D535" t="str">
            <v>cru(a)</v>
          </cell>
          <cell r="E535">
            <v>64</v>
          </cell>
          <cell r="F535" t="str">
            <v>Frutos do mar e outros</v>
          </cell>
          <cell r="G535">
            <v>0</v>
          </cell>
          <cell r="H535">
            <v>7264101</v>
          </cell>
          <cell r="I535" t="str">
            <v>030710</v>
          </cell>
          <cell r="J535" t="str">
            <v>03071</v>
          </cell>
          <cell r="K535" t="str">
            <v>0307</v>
          </cell>
          <cell r="L535" t="str">
            <v>030</v>
          </cell>
          <cell r="M535" t="str">
            <v>03</v>
          </cell>
          <cell r="N535">
            <v>1</v>
          </cell>
          <cell r="O535">
            <v>1</v>
          </cell>
        </row>
        <row r="536">
          <cell r="A536">
            <v>7265101</v>
          </cell>
          <cell r="B536" t="str">
            <v>LULA</v>
          </cell>
          <cell r="C536">
            <v>5</v>
          </cell>
          <cell r="D536" t="str">
            <v>empanado(a)/à milanesa</v>
          </cell>
          <cell r="E536"/>
          <cell r="F536" t="str">
            <v/>
          </cell>
          <cell r="G536">
            <v>0</v>
          </cell>
          <cell r="H536">
            <v>7265101</v>
          </cell>
          <cell r="I536" t="str">
            <v>030749</v>
          </cell>
          <cell r="J536" t="str">
            <v>03074</v>
          </cell>
          <cell r="K536" t="str">
            <v>0307</v>
          </cell>
          <cell r="L536" t="str">
            <v>030</v>
          </cell>
          <cell r="M536" t="str">
            <v>03</v>
          </cell>
          <cell r="N536">
            <v>1</v>
          </cell>
          <cell r="O536">
            <v>1</v>
          </cell>
        </row>
        <row r="537">
          <cell r="A537">
            <v>7266101</v>
          </cell>
          <cell r="B537" t="str">
            <v>SURURU</v>
          </cell>
          <cell r="C537">
            <v>3</v>
          </cell>
          <cell r="D537" t="str">
            <v>cozido(a) sem gordura</v>
          </cell>
          <cell r="E537">
            <v>64</v>
          </cell>
          <cell r="F537" t="str">
            <v>Frutos do mar e outros</v>
          </cell>
          <cell r="G537">
            <v>0</v>
          </cell>
          <cell r="H537" t="e">
            <v>#N/A</v>
          </cell>
          <cell r="I537" t="str">
            <v>030731</v>
          </cell>
          <cell r="J537" t="str">
            <v>03073</v>
          </cell>
          <cell r="K537" t="str">
            <v>0307</v>
          </cell>
          <cell r="L537" t="str">
            <v>030</v>
          </cell>
          <cell r="M537" t="str">
            <v>03</v>
          </cell>
          <cell r="N537">
            <v>1</v>
          </cell>
          <cell r="O537">
            <v>1</v>
          </cell>
        </row>
        <row r="538">
          <cell r="A538">
            <v>7267101</v>
          </cell>
          <cell r="B538" t="str">
            <v>LAGOSTA</v>
          </cell>
          <cell r="C538">
            <v>2</v>
          </cell>
          <cell r="D538" t="str">
            <v>cozido(a) com gordura</v>
          </cell>
          <cell r="E538"/>
          <cell r="F538" t="str">
            <v/>
          </cell>
          <cell r="G538">
            <v>0</v>
          </cell>
          <cell r="H538">
            <v>7267101</v>
          </cell>
          <cell r="I538" t="str">
            <v>030623</v>
          </cell>
          <cell r="J538" t="str">
            <v>03062</v>
          </cell>
          <cell r="K538" t="str">
            <v>0306</v>
          </cell>
          <cell r="L538" t="str">
            <v>030</v>
          </cell>
          <cell r="M538" t="str">
            <v>03</v>
          </cell>
          <cell r="N538">
            <v>1</v>
          </cell>
          <cell r="O538">
            <v>1</v>
          </cell>
        </row>
        <row r="539">
          <cell r="A539">
            <v>7267104</v>
          </cell>
          <cell r="B539" t="str">
            <v>LAGOSTIM</v>
          </cell>
          <cell r="C539">
            <v>3</v>
          </cell>
          <cell r="D539" t="str">
            <v>cozido(a) sem gordura</v>
          </cell>
          <cell r="E539">
            <v>64</v>
          </cell>
          <cell r="F539" t="str">
            <v>Frutos do mar e outros</v>
          </cell>
          <cell r="G539">
            <v>0</v>
          </cell>
          <cell r="H539" t="e">
            <v>#N/A</v>
          </cell>
          <cell r="I539" t="str">
            <v>030623</v>
          </cell>
          <cell r="J539" t="str">
            <v>03062</v>
          </cell>
          <cell r="K539" t="str">
            <v>0306</v>
          </cell>
          <cell r="L539" t="str">
            <v>030</v>
          </cell>
          <cell r="M539" t="str">
            <v>03</v>
          </cell>
          <cell r="N539">
            <v>1</v>
          </cell>
          <cell r="O539">
            <v>1</v>
          </cell>
        </row>
        <row r="540">
          <cell r="A540">
            <v>7270401</v>
          </cell>
          <cell r="B540" t="str">
            <v>BACALHAU</v>
          </cell>
          <cell r="C540">
            <v>1</v>
          </cell>
          <cell r="D540" t="str">
            <v>assado(a)</v>
          </cell>
          <cell r="E540">
            <v>56</v>
          </cell>
          <cell r="F540" t="str">
            <v>Conserva peixe</v>
          </cell>
          <cell r="G540">
            <v>0</v>
          </cell>
          <cell r="H540">
            <v>7270401</v>
          </cell>
          <cell r="I540" t="str">
            <v>030551</v>
          </cell>
          <cell r="J540" t="str">
            <v>03055</v>
          </cell>
          <cell r="K540" t="str">
            <v>0305</v>
          </cell>
          <cell r="L540" t="str">
            <v>030</v>
          </cell>
          <cell r="M540" t="str">
            <v>03</v>
          </cell>
          <cell r="N540">
            <v>1</v>
          </cell>
          <cell r="O540">
            <v>3</v>
          </cell>
        </row>
        <row r="541">
          <cell r="A541">
            <v>7273101</v>
          </cell>
          <cell r="B541" t="str">
            <v>OVAS DE PEIXE (QUALQUER ESPECIE)</v>
          </cell>
          <cell r="C541">
            <v>1</v>
          </cell>
          <cell r="D541" t="str">
            <v>assado(a)</v>
          </cell>
          <cell r="E541">
            <v>64</v>
          </cell>
          <cell r="F541" t="str">
            <v>Frutos do mar e outros</v>
          </cell>
          <cell r="G541">
            <v>0</v>
          </cell>
          <cell r="H541">
            <v>7273101</v>
          </cell>
          <cell r="I541" t="str">
            <v>160431</v>
          </cell>
          <cell r="J541" t="str">
            <v>16043</v>
          </cell>
          <cell r="K541" t="str">
            <v>1604</v>
          </cell>
          <cell r="L541" t="str">
            <v>160</v>
          </cell>
          <cell r="M541" t="str">
            <v>16</v>
          </cell>
          <cell r="N541">
            <v>4</v>
          </cell>
          <cell r="O541">
            <v>1</v>
          </cell>
        </row>
        <row r="542">
          <cell r="A542">
            <v>7274101</v>
          </cell>
          <cell r="B542" t="str">
            <v>POLVO</v>
          </cell>
          <cell r="C542">
            <v>8</v>
          </cell>
          <cell r="D542" t="str">
            <v>grelhado(a)/brasa/churrasco</v>
          </cell>
          <cell r="E542">
            <v>64</v>
          </cell>
          <cell r="F542" t="str">
            <v>Frutos do mar e outros</v>
          </cell>
          <cell r="G542">
            <v>0</v>
          </cell>
          <cell r="H542">
            <v>7274101</v>
          </cell>
          <cell r="I542" t="str">
            <v>030749</v>
          </cell>
          <cell r="J542" t="str">
            <v>03074</v>
          </cell>
          <cell r="K542" t="str">
            <v>0307</v>
          </cell>
          <cell r="L542" t="str">
            <v>030</v>
          </cell>
          <cell r="M542" t="str">
            <v>03</v>
          </cell>
          <cell r="N542">
            <v>1</v>
          </cell>
          <cell r="O542">
            <v>1</v>
          </cell>
        </row>
        <row r="543">
          <cell r="A543">
            <v>7280102</v>
          </cell>
          <cell r="B543" t="str">
            <v>CEVICHE DE PEIXE</v>
          </cell>
          <cell r="C543">
            <v>99</v>
          </cell>
          <cell r="D543" t="str">
            <v>nao se aplica</v>
          </cell>
          <cell r="E543"/>
          <cell r="F543" t="str">
            <v/>
          </cell>
          <cell r="G543">
            <v>0</v>
          </cell>
          <cell r="H543">
            <v>7280102</v>
          </cell>
          <cell r="I543" t="str">
            <v>030210</v>
          </cell>
          <cell r="J543" t="str">
            <v>03021</v>
          </cell>
          <cell r="K543" t="str">
            <v>0302</v>
          </cell>
          <cell r="L543" t="str">
            <v>030</v>
          </cell>
          <cell r="M543" t="str">
            <v>03</v>
          </cell>
          <cell r="N543">
            <v>1</v>
          </cell>
          <cell r="O543">
            <v>1</v>
          </cell>
        </row>
        <row r="544">
          <cell r="A544">
            <v>7280501</v>
          </cell>
          <cell r="B544" t="str">
            <v>FILE DE PEIXE</v>
          </cell>
          <cell r="C544">
            <v>1</v>
          </cell>
          <cell r="D544" t="str">
            <v>assado(a)</v>
          </cell>
          <cell r="E544">
            <v>34</v>
          </cell>
          <cell r="F544" t="str">
            <v>Peixe</v>
          </cell>
          <cell r="G544">
            <v>0</v>
          </cell>
          <cell r="H544">
            <v>7280501</v>
          </cell>
          <cell r="I544" t="str">
            <v>030210</v>
          </cell>
          <cell r="J544" t="str">
            <v>03021</v>
          </cell>
          <cell r="K544" t="str">
            <v>0302</v>
          </cell>
          <cell r="L544" t="str">
            <v>030</v>
          </cell>
          <cell r="M544" t="str">
            <v>03</v>
          </cell>
          <cell r="N544">
            <v>1</v>
          </cell>
          <cell r="O544">
            <v>1</v>
          </cell>
        </row>
        <row r="545">
          <cell r="A545">
            <v>7281201</v>
          </cell>
          <cell r="B545" t="str">
            <v>ATUM FRESCO</v>
          </cell>
          <cell r="C545">
            <v>3</v>
          </cell>
          <cell r="D545" t="str">
            <v>cozido(a) sem gordura</v>
          </cell>
          <cell r="E545">
            <v>34</v>
          </cell>
          <cell r="F545" t="str">
            <v>Peixe</v>
          </cell>
          <cell r="G545">
            <v>0</v>
          </cell>
          <cell r="H545">
            <v>7281201</v>
          </cell>
          <cell r="I545" t="str">
            <v>030210</v>
          </cell>
          <cell r="J545" t="str">
            <v>03021</v>
          </cell>
          <cell r="K545" t="str">
            <v>0302</v>
          </cell>
          <cell r="L545" t="str">
            <v>030</v>
          </cell>
          <cell r="M545" t="str">
            <v>03</v>
          </cell>
          <cell r="N545">
            <v>1</v>
          </cell>
          <cell r="O545">
            <v>1</v>
          </cell>
        </row>
        <row r="546">
          <cell r="A546">
            <v>7281401</v>
          </cell>
          <cell r="B546" t="str">
            <v>FRUTOS DO MAR</v>
          </cell>
          <cell r="C546">
            <v>8</v>
          </cell>
          <cell r="D546" t="str">
            <v>grelhado(a)/brasa/churrasco</v>
          </cell>
          <cell r="E546">
            <v>64</v>
          </cell>
          <cell r="F546" t="str">
            <v>Frutos do mar e outros</v>
          </cell>
          <cell r="G546">
            <v>0</v>
          </cell>
          <cell r="H546" t="e">
            <v>#N/A</v>
          </cell>
          <cell r="I546" t="str">
            <v>030749</v>
          </cell>
          <cell r="J546" t="str">
            <v>03074</v>
          </cell>
          <cell r="K546" t="str">
            <v>0307</v>
          </cell>
          <cell r="L546" t="str">
            <v>030</v>
          </cell>
          <cell r="M546" t="str">
            <v>03</v>
          </cell>
          <cell r="N546">
            <v>1</v>
          </cell>
          <cell r="O546">
            <v>1</v>
          </cell>
        </row>
        <row r="547">
          <cell r="A547">
            <v>7281501</v>
          </cell>
          <cell r="B547" t="str">
            <v>STEAK DE PEIXE</v>
          </cell>
          <cell r="C547">
            <v>99</v>
          </cell>
          <cell r="D547" t="str">
            <v>nao se aplica</v>
          </cell>
          <cell r="E547">
            <v>19</v>
          </cell>
          <cell r="F547" t="str">
            <v>Embutidos e outras carnes ultraprocessadas</v>
          </cell>
          <cell r="G547">
            <v>0</v>
          </cell>
          <cell r="H547">
            <v>7281501</v>
          </cell>
          <cell r="I547">
            <v>160419</v>
          </cell>
          <cell r="J547" t="str">
            <v>16041</v>
          </cell>
          <cell r="K547" t="str">
            <v>1604</v>
          </cell>
          <cell r="L547" t="str">
            <v>160</v>
          </cell>
          <cell r="M547" t="str">
            <v>16</v>
          </cell>
          <cell r="N547">
            <v>4</v>
          </cell>
          <cell r="O547">
            <v>4</v>
          </cell>
        </row>
        <row r="548">
          <cell r="A548">
            <v>7400101</v>
          </cell>
          <cell r="B548" t="str">
            <v>PEIXE DE AGUA DOCE (INTEIRO, EM POSTA, EM FILÉ, ETC)</v>
          </cell>
          <cell r="C548">
            <v>1</v>
          </cell>
          <cell r="D548" t="str">
            <v>assado(a)</v>
          </cell>
          <cell r="E548">
            <v>34</v>
          </cell>
          <cell r="F548" t="str">
            <v>Peixe</v>
          </cell>
          <cell r="G548">
            <v>0</v>
          </cell>
          <cell r="H548">
            <v>7400101</v>
          </cell>
          <cell r="I548" t="str">
            <v>030410</v>
          </cell>
          <cell r="J548" t="str">
            <v>03041</v>
          </cell>
          <cell r="K548" t="str">
            <v>0304</v>
          </cell>
          <cell r="L548" t="str">
            <v>030</v>
          </cell>
          <cell r="M548" t="str">
            <v>03</v>
          </cell>
          <cell r="N548">
            <v>1</v>
          </cell>
          <cell r="O548">
            <v>1</v>
          </cell>
        </row>
        <row r="549">
          <cell r="A549">
            <v>7400401</v>
          </cell>
          <cell r="B549" t="str">
            <v>PEIXE DE AGUA DOCE SALGADO (INTEIRO, EM POSTA, EM FILÉ, ETC)</v>
          </cell>
          <cell r="C549">
            <v>1</v>
          </cell>
          <cell r="D549" t="str">
            <v>assado(a)</v>
          </cell>
          <cell r="E549">
            <v>56</v>
          </cell>
          <cell r="F549" t="str">
            <v>Conserva peixe</v>
          </cell>
          <cell r="G549">
            <v>0</v>
          </cell>
          <cell r="H549" t="e">
            <v>#N/A</v>
          </cell>
          <cell r="I549" t="str">
            <v>030552</v>
          </cell>
          <cell r="J549" t="str">
            <v>03055</v>
          </cell>
          <cell r="K549" t="str">
            <v>0305</v>
          </cell>
          <cell r="L549" t="str">
            <v>030</v>
          </cell>
          <cell r="M549" t="str">
            <v>03</v>
          </cell>
          <cell r="N549">
            <v>1</v>
          </cell>
          <cell r="O549">
            <v>3</v>
          </cell>
        </row>
        <row r="550">
          <cell r="A550">
            <v>7480001</v>
          </cell>
          <cell r="B550" t="str">
            <v>PACU</v>
          </cell>
          <cell r="C550">
            <v>3</v>
          </cell>
          <cell r="D550" t="str">
            <v>cozido(a) sem gordura</v>
          </cell>
          <cell r="E550">
            <v>34</v>
          </cell>
          <cell r="F550" t="str">
            <v>Peixe</v>
          </cell>
          <cell r="G550">
            <v>0</v>
          </cell>
          <cell r="H550" t="e">
            <v>#N/A</v>
          </cell>
          <cell r="I550" t="str">
            <v>030410</v>
          </cell>
          <cell r="J550" t="str">
            <v>03041</v>
          </cell>
          <cell r="K550" t="str">
            <v>0304</v>
          </cell>
          <cell r="L550" t="str">
            <v>030</v>
          </cell>
          <cell r="M550" t="str">
            <v>03</v>
          </cell>
          <cell r="N550">
            <v>1</v>
          </cell>
          <cell r="O550">
            <v>1</v>
          </cell>
        </row>
        <row r="551">
          <cell r="A551">
            <v>7480101</v>
          </cell>
          <cell r="B551" t="str">
            <v>TAMBAQUI</v>
          </cell>
          <cell r="C551">
            <v>1</v>
          </cell>
          <cell r="D551" t="str">
            <v>assado(a)</v>
          </cell>
          <cell r="E551">
            <v>34</v>
          </cell>
          <cell r="F551" t="str">
            <v>Peixe</v>
          </cell>
          <cell r="G551">
            <v>0</v>
          </cell>
          <cell r="H551" t="e">
            <v>#N/A</v>
          </cell>
          <cell r="I551" t="str">
            <v>030410</v>
          </cell>
          <cell r="J551" t="str">
            <v>03041</v>
          </cell>
          <cell r="K551" t="str">
            <v>0304</v>
          </cell>
          <cell r="L551" t="str">
            <v>030</v>
          </cell>
          <cell r="M551" t="str">
            <v>03</v>
          </cell>
          <cell r="N551">
            <v>1</v>
          </cell>
          <cell r="O551">
            <v>1</v>
          </cell>
        </row>
        <row r="552">
          <cell r="A552">
            <v>7480201</v>
          </cell>
          <cell r="B552" t="str">
            <v>TUCUNARE</v>
          </cell>
          <cell r="C552">
            <v>99</v>
          </cell>
          <cell r="D552" t="str">
            <v>nao se aplica</v>
          </cell>
          <cell r="E552"/>
          <cell r="F552" t="str">
            <v/>
          </cell>
          <cell r="G552">
            <v>0</v>
          </cell>
          <cell r="H552">
            <v>7480201</v>
          </cell>
          <cell r="I552" t="str">
            <v>030410</v>
          </cell>
          <cell r="J552" t="str">
            <v>03041</v>
          </cell>
          <cell r="K552" t="str">
            <v>0304</v>
          </cell>
          <cell r="L552" t="str">
            <v>030</v>
          </cell>
          <cell r="M552" t="str">
            <v>03</v>
          </cell>
          <cell r="N552">
            <v>1</v>
          </cell>
          <cell r="O552">
            <v>1</v>
          </cell>
        </row>
        <row r="553">
          <cell r="A553">
            <v>7600101</v>
          </cell>
          <cell r="B553" t="str">
            <v>PEIXE NAO ESPECIFICADO (INTEIRO, EM POSTA, EM FILÉ, ETC)</v>
          </cell>
          <cell r="C553">
            <v>1</v>
          </cell>
          <cell r="D553" t="str">
            <v>assado(a)</v>
          </cell>
          <cell r="E553">
            <v>34</v>
          </cell>
          <cell r="F553" t="str">
            <v>Peixe</v>
          </cell>
          <cell r="G553">
            <v>0</v>
          </cell>
          <cell r="H553" t="e">
            <v>#N/A</v>
          </cell>
          <cell r="I553" t="str">
            <v>030210</v>
          </cell>
          <cell r="J553" t="str">
            <v>03021</v>
          </cell>
          <cell r="K553" t="str">
            <v>0302</v>
          </cell>
          <cell r="L553" t="str">
            <v>030</v>
          </cell>
          <cell r="M553" t="str">
            <v>03</v>
          </cell>
          <cell r="N553">
            <v>1</v>
          </cell>
          <cell r="O553">
            <v>1</v>
          </cell>
        </row>
        <row r="554">
          <cell r="A554">
            <v>7600401</v>
          </cell>
          <cell r="B554" t="str">
            <v>PEIXE NAO ESPECIFICADO SALGADO (INTEIRO, EM POSTA, EM FILÉ, ETC)</v>
          </cell>
          <cell r="C554">
            <v>1</v>
          </cell>
          <cell r="D554" t="str">
            <v>assado(a)</v>
          </cell>
          <cell r="E554">
            <v>56</v>
          </cell>
          <cell r="F554" t="str">
            <v>Conserva peixe</v>
          </cell>
          <cell r="G554">
            <v>0</v>
          </cell>
          <cell r="H554" t="e">
            <v>#N/A</v>
          </cell>
          <cell r="I554" t="str">
            <v>030552</v>
          </cell>
          <cell r="J554" t="str">
            <v>03055</v>
          </cell>
          <cell r="K554" t="str">
            <v>0305</v>
          </cell>
          <cell r="L554" t="str">
            <v>030</v>
          </cell>
          <cell r="M554" t="str">
            <v>03</v>
          </cell>
          <cell r="N554">
            <v>1</v>
          </cell>
          <cell r="O554">
            <v>3</v>
          </cell>
        </row>
        <row r="555">
          <cell r="A555">
            <v>7700101</v>
          </cell>
          <cell r="B555" t="str">
            <v>AZEITONA</v>
          </cell>
          <cell r="C555">
            <v>99</v>
          </cell>
          <cell r="D555" t="str">
            <v>nao se aplica</v>
          </cell>
          <cell r="E555">
            <v>28</v>
          </cell>
          <cell r="F555" t="str">
            <v>Conservas verduras/legumes</v>
          </cell>
          <cell r="G555">
            <v>0</v>
          </cell>
          <cell r="H555">
            <v>7700101</v>
          </cell>
          <cell r="I555" t="str">
            <v>200190</v>
          </cell>
          <cell r="J555" t="str">
            <v>20019</v>
          </cell>
          <cell r="K555" t="str">
            <v>2001</v>
          </cell>
          <cell r="L555" t="str">
            <v>200</v>
          </cell>
          <cell r="M555" t="str">
            <v>20</v>
          </cell>
          <cell r="N555">
            <v>4</v>
          </cell>
          <cell r="O555">
            <v>3</v>
          </cell>
        </row>
        <row r="556">
          <cell r="A556">
            <v>7700201</v>
          </cell>
          <cell r="B556" t="str">
            <v>ERVILHA EM CONSERVA</v>
          </cell>
          <cell r="C556">
            <v>99</v>
          </cell>
          <cell r="D556" t="str">
            <v>nao se aplica</v>
          </cell>
          <cell r="E556">
            <v>67</v>
          </cell>
          <cell r="F556" t="str">
            <v>Conserva leguminosas</v>
          </cell>
          <cell r="G556">
            <v>0</v>
          </cell>
          <cell r="H556">
            <v>7700201</v>
          </cell>
          <cell r="I556" t="str">
            <v>200540</v>
          </cell>
          <cell r="J556" t="str">
            <v>20054</v>
          </cell>
          <cell r="K556" t="str">
            <v>2005</v>
          </cell>
          <cell r="L556" t="str">
            <v>200</v>
          </cell>
          <cell r="M556" t="str">
            <v>20</v>
          </cell>
          <cell r="N556">
            <v>4</v>
          </cell>
          <cell r="O556">
            <v>3</v>
          </cell>
        </row>
        <row r="557">
          <cell r="A557">
            <v>7700202</v>
          </cell>
          <cell r="B557" t="str">
            <v>PETIT POIS</v>
          </cell>
          <cell r="C557">
            <v>99</v>
          </cell>
          <cell r="D557" t="str">
            <v>nao se aplica</v>
          </cell>
          <cell r="E557">
            <v>67</v>
          </cell>
          <cell r="F557" t="str">
            <v>Conserva leguminosas</v>
          </cell>
          <cell r="G557">
            <v>0</v>
          </cell>
          <cell r="H557" t="e">
            <v>#N/A</v>
          </cell>
          <cell r="I557" t="str">
            <v>200540</v>
          </cell>
          <cell r="J557" t="str">
            <v>20054</v>
          </cell>
          <cell r="K557" t="str">
            <v>2005</v>
          </cell>
          <cell r="L557" t="str">
            <v>200</v>
          </cell>
          <cell r="M557" t="str">
            <v>20</v>
          </cell>
          <cell r="N557">
            <v>4</v>
          </cell>
          <cell r="O557">
            <v>3</v>
          </cell>
        </row>
        <row r="558">
          <cell r="A558">
            <v>7700401</v>
          </cell>
          <cell r="B558" t="str">
            <v>MILHO VERDE EM CONSERVA</v>
          </cell>
          <cell r="C558">
            <v>99</v>
          </cell>
          <cell r="D558" t="str">
            <v>nao se aplica</v>
          </cell>
          <cell r="E558">
            <v>67</v>
          </cell>
          <cell r="F558" t="str">
            <v>Conserva leguminosas</v>
          </cell>
          <cell r="G558">
            <v>0</v>
          </cell>
          <cell r="H558">
            <v>7700401</v>
          </cell>
          <cell r="I558" t="str">
            <v>200540</v>
          </cell>
          <cell r="J558" t="str">
            <v>20054</v>
          </cell>
          <cell r="K558" t="str">
            <v>2005</v>
          </cell>
          <cell r="L558" t="str">
            <v>200</v>
          </cell>
          <cell r="M558" t="str">
            <v>20</v>
          </cell>
          <cell r="N558">
            <v>4</v>
          </cell>
          <cell r="O558">
            <v>3</v>
          </cell>
        </row>
        <row r="559">
          <cell r="A559">
            <v>7700501</v>
          </cell>
          <cell r="B559" t="str">
            <v>PALMITO EM CONSERVA</v>
          </cell>
          <cell r="C559">
            <v>99</v>
          </cell>
          <cell r="D559" t="str">
            <v>nao se aplica</v>
          </cell>
          <cell r="E559">
            <v>28</v>
          </cell>
          <cell r="F559" t="str">
            <v>Conservas verduras/legumes</v>
          </cell>
          <cell r="G559">
            <v>0</v>
          </cell>
          <cell r="H559">
            <v>7700501</v>
          </cell>
          <cell r="I559" t="str">
            <v>200190</v>
          </cell>
          <cell r="J559" t="str">
            <v>20019</v>
          </cell>
          <cell r="K559" t="str">
            <v>2001</v>
          </cell>
          <cell r="L559" t="str">
            <v>200</v>
          </cell>
          <cell r="M559" t="str">
            <v>20</v>
          </cell>
          <cell r="N559">
            <v>4</v>
          </cell>
          <cell r="O559">
            <v>3</v>
          </cell>
        </row>
        <row r="560">
          <cell r="A560">
            <v>7700601</v>
          </cell>
          <cell r="B560" t="str">
            <v>COGUMELO EM CONSERVA</v>
          </cell>
          <cell r="C560">
            <v>99</v>
          </cell>
          <cell r="D560" t="str">
            <v>nao se aplica</v>
          </cell>
          <cell r="E560">
            <v>28</v>
          </cell>
          <cell r="F560" t="str">
            <v>Conservas verduras/legumes</v>
          </cell>
          <cell r="G560">
            <v>0</v>
          </cell>
          <cell r="H560" t="e">
            <v>#N/A</v>
          </cell>
          <cell r="I560" t="str">
            <v>200310</v>
          </cell>
          <cell r="J560" t="str">
            <v>20031</v>
          </cell>
          <cell r="K560" t="str">
            <v>2003</v>
          </cell>
          <cell r="L560" t="str">
            <v>200</v>
          </cell>
          <cell r="M560" t="str">
            <v>20</v>
          </cell>
          <cell r="N560">
            <v>4</v>
          </cell>
          <cell r="O560">
            <v>3</v>
          </cell>
        </row>
        <row r="561">
          <cell r="A561">
            <v>7700602</v>
          </cell>
          <cell r="B561" t="str">
            <v>CHAMPIGNON EM CONSERVA</v>
          </cell>
          <cell r="C561">
            <v>99</v>
          </cell>
          <cell r="D561" t="str">
            <v>nao se aplica</v>
          </cell>
          <cell r="E561">
            <v>28</v>
          </cell>
          <cell r="F561" t="str">
            <v>Conservas verduras/legumes</v>
          </cell>
          <cell r="G561">
            <v>0</v>
          </cell>
          <cell r="H561" t="e">
            <v>#N/A</v>
          </cell>
          <cell r="I561" t="str">
            <v>200310</v>
          </cell>
          <cell r="J561" t="str">
            <v>20031</v>
          </cell>
          <cell r="K561" t="str">
            <v>2003</v>
          </cell>
          <cell r="L561" t="str">
            <v>200</v>
          </cell>
          <cell r="M561" t="str">
            <v>20</v>
          </cell>
          <cell r="N561">
            <v>4</v>
          </cell>
          <cell r="O561">
            <v>3</v>
          </cell>
        </row>
        <row r="562">
          <cell r="A562">
            <v>7700701</v>
          </cell>
          <cell r="B562" t="str">
            <v>ASPARGO EM CONSERVA</v>
          </cell>
          <cell r="C562">
            <v>99</v>
          </cell>
          <cell r="D562" t="str">
            <v>nao se aplica</v>
          </cell>
          <cell r="G562">
            <v>0</v>
          </cell>
          <cell r="H562">
            <v>0</v>
          </cell>
          <cell r="I562">
            <v>200310</v>
          </cell>
          <cell r="J562" t="str">
            <v>20031</v>
          </cell>
          <cell r="K562" t="str">
            <v>2003</v>
          </cell>
          <cell r="L562" t="str">
            <v>200</v>
          </cell>
          <cell r="M562" t="str">
            <v>20</v>
          </cell>
          <cell r="N562">
            <v>4</v>
          </cell>
          <cell r="O562">
            <v>3</v>
          </cell>
        </row>
        <row r="563">
          <cell r="A563">
            <v>7700901</v>
          </cell>
          <cell r="B563" t="str">
            <v>REPOLHO EM CONSERVA</v>
          </cell>
          <cell r="C563">
            <v>99</v>
          </cell>
          <cell r="D563" t="str">
            <v>nao se aplica</v>
          </cell>
          <cell r="E563">
            <v>28</v>
          </cell>
          <cell r="F563" t="str">
            <v>Conservas verduras/legumes</v>
          </cell>
          <cell r="G563">
            <v>0</v>
          </cell>
          <cell r="H563" t="e">
            <v>#N/A</v>
          </cell>
          <cell r="I563" t="str">
            <v>200190</v>
          </cell>
          <cell r="J563" t="str">
            <v>20019</v>
          </cell>
          <cell r="K563" t="str">
            <v>2001</v>
          </cell>
          <cell r="L563" t="str">
            <v>200</v>
          </cell>
          <cell r="M563" t="str">
            <v>20</v>
          </cell>
          <cell r="N563">
            <v>4</v>
          </cell>
          <cell r="O563">
            <v>3</v>
          </cell>
        </row>
        <row r="564">
          <cell r="A564">
            <v>7701101</v>
          </cell>
          <cell r="B564" t="str">
            <v>LEGUME NAO ESPECIFICADO EM CONSERVA</v>
          </cell>
          <cell r="C564">
            <v>99</v>
          </cell>
          <cell r="D564" t="str">
            <v>nao se aplica</v>
          </cell>
          <cell r="E564">
            <v>28</v>
          </cell>
          <cell r="F564" t="str">
            <v>Conservas verduras/legumes</v>
          </cell>
          <cell r="G564">
            <v>0</v>
          </cell>
          <cell r="H564">
            <v>7701101</v>
          </cell>
          <cell r="I564" t="str">
            <v>200190</v>
          </cell>
          <cell r="J564" t="str">
            <v>20019</v>
          </cell>
          <cell r="K564" t="str">
            <v>2001</v>
          </cell>
          <cell r="L564" t="str">
            <v>200</v>
          </cell>
          <cell r="M564" t="str">
            <v>20</v>
          </cell>
          <cell r="N564">
            <v>4</v>
          </cell>
          <cell r="O564">
            <v>3</v>
          </cell>
        </row>
        <row r="565">
          <cell r="A565">
            <v>7701404</v>
          </cell>
          <cell r="B565" t="str">
            <v>CREME DE CEBOLA (SOPA DESIDRATADA)</v>
          </cell>
          <cell r="C565">
            <v>99</v>
          </cell>
          <cell r="D565" t="str">
            <v>nao se aplica</v>
          </cell>
          <cell r="G565">
            <v>0</v>
          </cell>
          <cell r="H565">
            <v>0</v>
          </cell>
          <cell r="I565">
            <v>210410</v>
          </cell>
          <cell r="J565" t="str">
            <v>21041</v>
          </cell>
          <cell r="K565" t="str">
            <v>2104</v>
          </cell>
          <cell r="L565" t="str">
            <v>210</v>
          </cell>
          <cell r="M565" t="str">
            <v>21</v>
          </cell>
          <cell r="N565">
            <v>4</v>
          </cell>
          <cell r="O565">
            <v>4</v>
          </cell>
        </row>
        <row r="566">
          <cell r="A566">
            <v>7701501</v>
          </cell>
          <cell r="B566" t="str">
            <v>MILHO VERDE COM ERVILHA EM CONSERVA</v>
          </cell>
          <cell r="C566">
            <v>99</v>
          </cell>
          <cell r="D566" t="str">
            <v>nao se aplica</v>
          </cell>
          <cell r="E566">
            <v>67</v>
          </cell>
          <cell r="F566" t="str">
            <v>Conserva leguminosas</v>
          </cell>
          <cell r="G566">
            <v>0</v>
          </cell>
          <cell r="H566" t="e">
            <v>#N/A</v>
          </cell>
          <cell r="I566" t="str">
            <v>200540</v>
          </cell>
          <cell r="J566" t="str">
            <v>20054</v>
          </cell>
          <cell r="K566" t="str">
            <v>2005</v>
          </cell>
          <cell r="L566" t="str">
            <v>200</v>
          </cell>
          <cell r="M566" t="str">
            <v>20</v>
          </cell>
          <cell r="N566">
            <v>4</v>
          </cell>
          <cell r="O566">
            <v>3</v>
          </cell>
        </row>
        <row r="567">
          <cell r="A567">
            <v>7702001</v>
          </cell>
          <cell r="B567" t="str">
            <v>FEIJAO BRANCO COM DOBRADINHA EM CONSERVA</v>
          </cell>
          <cell r="C567">
            <v>99</v>
          </cell>
          <cell r="D567" t="str">
            <v>nao se aplica</v>
          </cell>
          <cell r="E567">
            <v>67</v>
          </cell>
          <cell r="F567" t="str">
            <v>Conserva leguminosas</v>
          </cell>
          <cell r="G567">
            <v>0</v>
          </cell>
          <cell r="H567" t="e">
            <v>#N/A</v>
          </cell>
          <cell r="I567" t="str">
            <v>160249</v>
          </cell>
          <cell r="J567" t="str">
            <v>16024</v>
          </cell>
          <cell r="K567" t="str">
            <v>1602</v>
          </cell>
          <cell r="L567" t="str">
            <v>160</v>
          </cell>
          <cell r="M567" t="str">
            <v>16</v>
          </cell>
          <cell r="N567">
            <v>4</v>
          </cell>
          <cell r="O567">
            <v>3</v>
          </cell>
        </row>
        <row r="568">
          <cell r="A568">
            <v>7702302</v>
          </cell>
          <cell r="B568" t="str">
            <v>PASTA DE CARNE EM CONSERVA</v>
          </cell>
          <cell r="C568">
            <v>99</v>
          </cell>
          <cell r="D568" t="str">
            <v>nao se aplica</v>
          </cell>
          <cell r="E568">
            <v>19</v>
          </cell>
          <cell r="F568" t="str">
            <v>Embutidos e outras carnes ultraprocessadas</v>
          </cell>
          <cell r="G568">
            <v>0</v>
          </cell>
          <cell r="H568" t="e">
            <v>#N/A</v>
          </cell>
          <cell r="I568" t="str">
            <v>160210</v>
          </cell>
          <cell r="J568" t="str">
            <v>16021</v>
          </cell>
          <cell r="K568" t="str">
            <v>1602</v>
          </cell>
          <cell r="L568" t="str">
            <v>160</v>
          </cell>
          <cell r="M568" t="str">
            <v>16</v>
          </cell>
          <cell r="N568">
            <v>4</v>
          </cell>
          <cell r="O568">
            <v>4</v>
          </cell>
        </row>
        <row r="569">
          <cell r="A569">
            <v>7702402</v>
          </cell>
          <cell r="B569" t="str">
            <v>PASTA DE PRESUNTO EM CONSERVA</v>
          </cell>
          <cell r="C569">
            <v>99</v>
          </cell>
          <cell r="D569" t="str">
            <v>nao se aplica</v>
          </cell>
          <cell r="E569">
            <v>19</v>
          </cell>
          <cell r="F569" t="str">
            <v>Embutidos e outras carnes ultraprocessadas</v>
          </cell>
          <cell r="G569">
            <v>0</v>
          </cell>
          <cell r="H569">
            <v>7702402</v>
          </cell>
          <cell r="I569" t="str">
            <v>160210</v>
          </cell>
          <cell r="J569" t="str">
            <v>16021</v>
          </cell>
          <cell r="K569" t="str">
            <v>1602</v>
          </cell>
          <cell r="L569" t="str">
            <v>160</v>
          </cell>
          <cell r="M569" t="str">
            <v>16</v>
          </cell>
          <cell r="N569">
            <v>4</v>
          </cell>
          <cell r="O569">
            <v>4</v>
          </cell>
        </row>
        <row r="570">
          <cell r="A570">
            <v>7702502</v>
          </cell>
          <cell r="B570" t="str">
            <v>PASTA DE GALINHA EM CONSERVA</v>
          </cell>
          <cell r="C570">
            <v>99</v>
          </cell>
          <cell r="D570" t="str">
            <v>nao se aplica</v>
          </cell>
          <cell r="E570">
            <v>19</v>
          </cell>
          <cell r="F570" t="str">
            <v>Embutidos e outras carnes ultraprocessadas</v>
          </cell>
          <cell r="G570">
            <v>0</v>
          </cell>
          <cell r="H570" t="e">
            <v>#N/A</v>
          </cell>
          <cell r="I570" t="str">
            <v>160210</v>
          </cell>
          <cell r="J570" t="str">
            <v>16021</v>
          </cell>
          <cell r="K570" t="str">
            <v>1602</v>
          </cell>
          <cell r="L570" t="str">
            <v>160</v>
          </cell>
          <cell r="M570" t="str">
            <v>16</v>
          </cell>
          <cell r="N570">
            <v>4</v>
          </cell>
          <cell r="O570">
            <v>4</v>
          </cell>
        </row>
        <row r="571">
          <cell r="A571">
            <v>7702601</v>
          </cell>
          <cell r="B571" t="str">
            <v>CARNE BOVINA EM CONSERVA</v>
          </cell>
          <cell r="C571">
            <v>99</v>
          </cell>
          <cell r="D571" t="str">
            <v>nao se aplica</v>
          </cell>
          <cell r="E571">
            <v>17</v>
          </cell>
          <cell r="F571" t="str">
            <v>Carnes secas, salgadas e defumadas</v>
          </cell>
          <cell r="G571">
            <v>0</v>
          </cell>
          <cell r="H571">
            <v>7702601</v>
          </cell>
          <cell r="I571" t="str">
            <v>160250</v>
          </cell>
          <cell r="J571" t="str">
            <v>16025</v>
          </cell>
          <cell r="K571" t="str">
            <v>1602</v>
          </cell>
          <cell r="L571" t="str">
            <v>160</v>
          </cell>
          <cell r="M571" t="str">
            <v>16</v>
          </cell>
          <cell r="N571">
            <v>4</v>
          </cell>
          <cell r="O571">
            <v>3</v>
          </cell>
        </row>
        <row r="572">
          <cell r="A572">
            <v>7702602</v>
          </cell>
          <cell r="B572" t="str">
            <v>ALMONDEGA</v>
          </cell>
          <cell r="C572">
            <v>99</v>
          </cell>
          <cell r="D572" t="str">
            <v>nao se aplica</v>
          </cell>
          <cell r="E572"/>
          <cell r="F572" t="str">
            <v/>
          </cell>
          <cell r="G572">
            <v>0</v>
          </cell>
          <cell r="H572">
            <v>7702602</v>
          </cell>
          <cell r="I572" t="str">
            <v>020130</v>
          </cell>
          <cell r="J572" t="str">
            <v>02013</v>
          </cell>
          <cell r="K572" t="str">
            <v>0201</v>
          </cell>
          <cell r="L572" t="str">
            <v>020</v>
          </cell>
          <cell r="M572" t="str">
            <v>02</v>
          </cell>
          <cell r="N572">
            <v>1</v>
          </cell>
          <cell r="O572">
            <v>1</v>
          </cell>
        </row>
        <row r="573">
          <cell r="A573">
            <v>7702603</v>
          </cell>
          <cell r="B573" t="str">
            <v>KITUTE BOVINO</v>
          </cell>
          <cell r="C573">
            <v>99</v>
          </cell>
          <cell r="D573" t="str">
            <v>nao se aplica</v>
          </cell>
          <cell r="E573">
            <v>19</v>
          </cell>
          <cell r="F573" t="str">
            <v>Embutidos e outras carnes ultraprocessadas</v>
          </cell>
          <cell r="G573">
            <v>0</v>
          </cell>
          <cell r="H573" t="e">
            <v>#N/A</v>
          </cell>
          <cell r="I573" t="str">
            <v>160250</v>
          </cell>
          <cell r="J573" t="str">
            <v>16025</v>
          </cell>
          <cell r="K573" t="str">
            <v>1602</v>
          </cell>
          <cell r="L573" t="str">
            <v>160</v>
          </cell>
          <cell r="M573" t="str">
            <v>16</v>
          </cell>
          <cell r="N573">
            <v>4</v>
          </cell>
          <cell r="O573">
            <v>4</v>
          </cell>
        </row>
        <row r="574">
          <cell r="A574">
            <v>7702705</v>
          </cell>
          <cell r="B574" t="str">
            <v>PRESUNTADA</v>
          </cell>
          <cell r="C574">
            <v>99</v>
          </cell>
          <cell r="D574" t="str">
            <v>nao se aplica</v>
          </cell>
          <cell r="E574">
            <v>19</v>
          </cell>
          <cell r="F574" t="str">
            <v>Embutidos e outras carnes ultraprocessadas</v>
          </cell>
          <cell r="G574">
            <v>0</v>
          </cell>
          <cell r="H574">
            <v>7702705</v>
          </cell>
          <cell r="I574" t="str">
            <v>160249</v>
          </cell>
          <cell r="J574" t="str">
            <v>16024</v>
          </cell>
          <cell r="K574" t="str">
            <v>1602</v>
          </cell>
          <cell r="L574" t="str">
            <v>160</v>
          </cell>
          <cell r="M574" t="str">
            <v>16</v>
          </cell>
          <cell r="N574">
            <v>4</v>
          </cell>
          <cell r="O574">
            <v>4</v>
          </cell>
        </row>
        <row r="575">
          <cell r="A575">
            <v>7702707</v>
          </cell>
          <cell r="B575" t="str">
            <v>FIAMBRE</v>
          </cell>
          <cell r="C575">
            <v>99</v>
          </cell>
          <cell r="D575" t="str">
            <v>nao se aplica</v>
          </cell>
          <cell r="E575">
            <v>19</v>
          </cell>
          <cell r="F575" t="str">
            <v>Embutidos e outras carnes ultraprocessadas</v>
          </cell>
          <cell r="G575">
            <v>0</v>
          </cell>
          <cell r="H575">
            <v>7702707</v>
          </cell>
          <cell r="I575" t="str">
            <v>160250</v>
          </cell>
          <cell r="J575" t="str">
            <v>16025</v>
          </cell>
          <cell r="K575" t="str">
            <v>1602</v>
          </cell>
          <cell r="L575" t="str">
            <v>160</v>
          </cell>
          <cell r="M575" t="str">
            <v>16</v>
          </cell>
          <cell r="N575">
            <v>4</v>
          </cell>
          <cell r="O575">
            <v>4</v>
          </cell>
        </row>
        <row r="576">
          <cell r="A576">
            <v>7702801</v>
          </cell>
          <cell r="B576" t="str">
            <v>SALSICHA EM CONSERVA</v>
          </cell>
          <cell r="C576">
            <v>99</v>
          </cell>
          <cell r="D576" t="str">
            <v>nao se aplica</v>
          </cell>
          <cell r="E576">
            <v>19</v>
          </cell>
          <cell r="F576" t="str">
            <v>Embutidos e outras carnes ultraprocessadas</v>
          </cell>
          <cell r="G576">
            <v>0</v>
          </cell>
          <cell r="H576">
            <v>7702801</v>
          </cell>
          <cell r="I576">
            <v>160101</v>
          </cell>
          <cell r="J576" t="str">
            <v>16010</v>
          </cell>
          <cell r="K576" t="str">
            <v>1601</v>
          </cell>
          <cell r="L576" t="str">
            <v>160</v>
          </cell>
          <cell r="M576" t="str">
            <v>16</v>
          </cell>
          <cell r="N576">
            <v>4</v>
          </cell>
          <cell r="O576">
            <v>4</v>
          </cell>
        </row>
        <row r="577">
          <cell r="A577">
            <v>7703002</v>
          </cell>
          <cell r="B577" t="str">
            <v>SARDINHA EM CONSERVA</v>
          </cell>
          <cell r="C577">
            <v>99</v>
          </cell>
          <cell r="D577" t="str">
            <v>nao se aplica</v>
          </cell>
          <cell r="E577">
            <v>56</v>
          </cell>
          <cell r="F577" t="str">
            <v>Conserva peixe</v>
          </cell>
          <cell r="G577">
            <v>0</v>
          </cell>
          <cell r="H577">
            <v>7703002</v>
          </cell>
          <cell r="I577" t="str">
            <v>160413</v>
          </cell>
          <cell r="J577" t="str">
            <v>16041</v>
          </cell>
          <cell r="K577" t="str">
            <v>1604</v>
          </cell>
          <cell r="L577" t="str">
            <v>160</v>
          </cell>
          <cell r="M577" t="str">
            <v>16</v>
          </cell>
          <cell r="N577">
            <v>4</v>
          </cell>
          <cell r="O577">
            <v>3</v>
          </cell>
        </row>
        <row r="578">
          <cell r="A578">
            <v>7703402</v>
          </cell>
          <cell r="B578" t="str">
            <v>ATUM EM CONSERVA</v>
          </cell>
          <cell r="C578">
            <v>99</v>
          </cell>
          <cell r="D578" t="str">
            <v>nao se aplica</v>
          </cell>
          <cell r="E578">
            <v>56</v>
          </cell>
          <cell r="F578" t="str">
            <v>Conserva peixe</v>
          </cell>
          <cell r="G578">
            <v>0</v>
          </cell>
          <cell r="H578">
            <v>7703402</v>
          </cell>
          <cell r="I578" t="str">
            <v>160414</v>
          </cell>
          <cell r="J578" t="str">
            <v>16041</v>
          </cell>
          <cell r="K578" t="str">
            <v>1604</v>
          </cell>
          <cell r="L578" t="str">
            <v>160</v>
          </cell>
          <cell r="M578" t="str">
            <v>16</v>
          </cell>
          <cell r="N578">
            <v>4</v>
          </cell>
          <cell r="O578">
            <v>3</v>
          </cell>
        </row>
        <row r="579">
          <cell r="A579">
            <v>7703701</v>
          </cell>
          <cell r="B579" t="str">
            <v>PEPINO EM CONSERVA</v>
          </cell>
          <cell r="C579">
            <v>99</v>
          </cell>
          <cell r="D579" t="str">
            <v>nao se aplica</v>
          </cell>
          <cell r="E579">
            <v>28</v>
          </cell>
          <cell r="F579" t="str">
            <v>Conservas verduras/legumes</v>
          </cell>
          <cell r="G579">
            <v>0</v>
          </cell>
          <cell r="H579">
            <v>7703701</v>
          </cell>
          <cell r="I579" t="str">
            <v>200110</v>
          </cell>
          <cell r="J579" t="str">
            <v>20011</v>
          </cell>
          <cell r="K579" t="str">
            <v>2001</v>
          </cell>
          <cell r="L579" t="str">
            <v>200</v>
          </cell>
          <cell r="M579" t="str">
            <v>20</v>
          </cell>
          <cell r="N579">
            <v>4</v>
          </cell>
          <cell r="O579">
            <v>3</v>
          </cell>
        </row>
        <row r="580">
          <cell r="A580">
            <v>7703902</v>
          </cell>
          <cell r="B580" t="str">
            <v>PASTA DE PEIXE EM CONSERVA</v>
          </cell>
          <cell r="C580">
            <v>99</v>
          </cell>
          <cell r="D580" t="str">
            <v>nao se aplica</v>
          </cell>
          <cell r="E580">
            <v>19</v>
          </cell>
          <cell r="F580" t="str">
            <v>Embutidos e outras carnes ultraprocessadas</v>
          </cell>
          <cell r="G580">
            <v>0</v>
          </cell>
          <cell r="H580" t="e">
            <v>#N/A</v>
          </cell>
          <cell r="I580" t="str">
            <v>160420</v>
          </cell>
          <cell r="J580" t="str">
            <v>16042</v>
          </cell>
          <cell r="K580" t="str">
            <v>1604</v>
          </cell>
          <cell r="L580" t="str">
            <v>160</v>
          </cell>
          <cell r="M580" t="str">
            <v>16</v>
          </cell>
          <cell r="N580">
            <v>4</v>
          </cell>
          <cell r="O580">
            <v>4</v>
          </cell>
        </row>
        <row r="581">
          <cell r="A581">
            <v>7704001</v>
          </cell>
          <cell r="B581" t="str">
            <v>PICLES</v>
          </cell>
          <cell r="C581">
            <v>99</v>
          </cell>
          <cell r="D581" t="str">
            <v>nao se aplica</v>
          </cell>
          <cell r="E581">
            <v>28</v>
          </cell>
          <cell r="F581" t="str">
            <v>Conservas verduras/legumes</v>
          </cell>
          <cell r="G581">
            <v>0</v>
          </cell>
          <cell r="H581" t="e">
            <v>#N/A</v>
          </cell>
          <cell r="I581" t="str">
            <v>200190</v>
          </cell>
          <cell r="J581" t="str">
            <v>20019</v>
          </cell>
          <cell r="K581" t="str">
            <v>2001</v>
          </cell>
          <cell r="L581" t="str">
            <v>200</v>
          </cell>
          <cell r="M581" t="str">
            <v>20</v>
          </cell>
          <cell r="N581">
            <v>4</v>
          </cell>
          <cell r="O581">
            <v>3</v>
          </cell>
        </row>
        <row r="582">
          <cell r="A582">
            <v>7705201</v>
          </cell>
          <cell r="B582" t="str">
            <v>NABO EM CONSERVA</v>
          </cell>
          <cell r="C582">
            <v>99</v>
          </cell>
          <cell r="D582" t="str">
            <v>nao se aplica</v>
          </cell>
          <cell r="E582">
            <v>28</v>
          </cell>
          <cell r="F582" t="str">
            <v>Conservas verduras/legumes</v>
          </cell>
          <cell r="G582">
            <v>0</v>
          </cell>
          <cell r="H582" t="e">
            <v>#N/A</v>
          </cell>
          <cell r="I582" t="str">
            <v>200190</v>
          </cell>
          <cell r="J582" t="str">
            <v>20019</v>
          </cell>
          <cell r="K582" t="str">
            <v>2001</v>
          </cell>
          <cell r="L582" t="str">
            <v>200</v>
          </cell>
          <cell r="M582" t="str">
            <v>20</v>
          </cell>
          <cell r="N582">
            <v>4</v>
          </cell>
          <cell r="O582">
            <v>3</v>
          </cell>
        </row>
        <row r="583">
          <cell r="A583">
            <v>7705901</v>
          </cell>
          <cell r="B583" t="str">
            <v>KANI KAMA</v>
          </cell>
          <cell r="C583">
            <v>99</v>
          </cell>
          <cell r="D583" t="str">
            <v>nao se aplica</v>
          </cell>
          <cell r="E583">
            <v>19</v>
          </cell>
          <cell r="F583" t="str">
            <v>Embutidos e outras carnes ultraprocessadas</v>
          </cell>
          <cell r="G583">
            <v>0</v>
          </cell>
          <cell r="H583" t="e">
            <v>#N/A</v>
          </cell>
          <cell r="I583">
            <v>160420</v>
          </cell>
          <cell r="J583" t="str">
            <v>16042</v>
          </cell>
          <cell r="K583" t="str">
            <v>1604</v>
          </cell>
          <cell r="L583" t="str">
            <v>160</v>
          </cell>
          <cell r="M583" t="str">
            <v>16</v>
          </cell>
          <cell r="N583">
            <v>4</v>
          </cell>
          <cell r="O583">
            <v>4</v>
          </cell>
        </row>
        <row r="584">
          <cell r="A584">
            <v>7706001</v>
          </cell>
          <cell r="B584" t="str">
            <v>SALMAO EM CONSERVA</v>
          </cell>
          <cell r="C584">
            <v>99</v>
          </cell>
          <cell r="D584" t="str">
            <v>nao se aplica</v>
          </cell>
          <cell r="E584">
            <v>56</v>
          </cell>
          <cell r="F584" t="str">
            <v>Conserva peixe</v>
          </cell>
          <cell r="G584">
            <v>0</v>
          </cell>
          <cell r="H584" t="e">
            <v>#N/A</v>
          </cell>
          <cell r="I584" t="str">
            <v>160414</v>
          </cell>
          <cell r="J584" t="str">
            <v>16041</v>
          </cell>
          <cell r="K584" t="str">
            <v>1604</v>
          </cell>
          <cell r="L584" t="str">
            <v>160</v>
          </cell>
          <cell r="M584" t="str">
            <v>16</v>
          </cell>
          <cell r="N584">
            <v>4</v>
          </cell>
          <cell r="O584">
            <v>3</v>
          </cell>
        </row>
        <row r="585">
          <cell r="A585">
            <v>7706302</v>
          </cell>
          <cell r="B585" t="str">
            <v>ATUM EM CONSERVA LIGHT</v>
          </cell>
          <cell r="C585">
            <v>99</v>
          </cell>
          <cell r="D585" t="str">
            <v>nao se aplica</v>
          </cell>
          <cell r="E585">
            <v>56</v>
          </cell>
          <cell r="F585" t="str">
            <v>Conserva peixe</v>
          </cell>
          <cell r="G585">
            <v>0</v>
          </cell>
          <cell r="H585">
            <v>7706302</v>
          </cell>
          <cell r="I585" t="str">
            <v>160414</v>
          </cell>
          <cell r="J585" t="str">
            <v>16041</v>
          </cell>
          <cell r="K585" t="str">
            <v>1604</v>
          </cell>
          <cell r="L585" t="str">
            <v>160</v>
          </cell>
          <cell r="M585" t="str">
            <v>16</v>
          </cell>
          <cell r="N585">
            <v>4</v>
          </cell>
          <cell r="O585">
            <v>3</v>
          </cell>
        </row>
        <row r="586">
          <cell r="A586">
            <v>7800103</v>
          </cell>
          <cell r="B586" t="str">
            <v>FRANGO INTEIRO</v>
          </cell>
          <cell r="C586">
            <v>99</v>
          </cell>
          <cell r="D586" t="str">
            <v>nao se aplica</v>
          </cell>
          <cell r="G586">
            <v>0</v>
          </cell>
          <cell r="H586">
            <v>0</v>
          </cell>
          <cell r="I586" t="str">
            <v>020711</v>
          </cell>
          <cell r="J586" t="str">
            <v>02071</v>
          </cell>
          <cell r="K586" t="str">
            <v>0207</v>
          </cell>
          <cell r="L586" t="str">
            <v>020</v>
          </cell>
          <cell r="M586" t="str">
            <v>02</v>
          </cell>
          <cell r="N586">
            <v>1</v>
          </cell>
          <cell r="O586">
            <v>1</v>
          </cell>
        </row>
        <row r="587">
          <cell r="A587">
            <v>7800301</v>
          </cell>
          <cell r="B587" t="str">
            <v>PARTE DE GALINHA OU FRANGO NAO ESPECIFICADA</v>
          </cell>
          <cell r="C587">
            <v>1</v>
          </cell>
          <cell r="D587" t="str">
            <v>assado(a)</v>
          </cell>
          <cell r="E587">
            <v>32</v>
          </cell>
          <cell r="F587" t="str">
            <v>Aves</v>
          </cell>
          <cell r="G587">
            <v>0</v>
          </cell>
          <cell r="H587">
            <v>7800301</v>
          </cell>
          <cell r="I587" t="str">
            <v>020711</v>
          </cell>
          <cell r="J587" t="str">
            <v>02071</v>
          </cell>
          <cell r="K587" t="str">
            <v>0207</v>
          </cell>
          <cell r="L587" t="str">
            <v>020</v>
          </cell>
          <cell r="M587" t="str">
            <v>02</v>
          </cell>
          <cell r="N587">
            <v>1</v>
          </cell>
          <cell r="O587">
            <v>1</v>
          </cell>
        </row>
        <row r="588">
          <cell r="A588">
            <v>7800302</v>
          </cell>
          <cell r="B588" t="str">
            <v>FRANGO EM PEDAÇOS</v>
          </cell>
          <cell r="C588">
            <v>1</v>
          </cell>
          <cell r="D588" t="str">
            <v>assado(a)</v>
          </cell>
          <cell r="E588">
            <v>32</v>
          </cell>
          <cell r="F588" t="str">
            <v>Aves</v>
          </cell>
          <cell r="G588">
            <v>0</v>
          </cell>
          <cell r="H588" t="e">
            <v>#N/A</v>
          </cell>
          <cell r="I588" t="str">
            <v>020711</v>
          </cell>
          <cell r="J588" t="str">
            <v>02071</v>
          </cell>
          <cell r="K588" t="str">
            <v>0207</v>
          </cell>
          <cell r="L588" t="str">
            <v>020</v>
          </cell>
          <cell r="M588" t="str">
            <v>02</v>
          </cell>
          <cell r="N588">
            <v>1</v>
          </cell>
          <cell r="O588">
            <v>1</v>
          </cell>
        </row>
        <row r="589">
          <cell r="A589">
            <v>7800303</v>
          </cell>
          <cell r="B589" t="str">
            <v>GALINHA EM PEDACOS</v>
          </cell>
          <cell r="C589">
            <v>1</v>
          </cell>
          <cell r="D589" t="str">
            <v>assado(a)</v>
          </cell>
          <cell r="E589">
            <v>32</v>
          </cell>
          <cell r="F589" t="str">
            <v>Aves</v>
          </cell>
          <cell r="G589">
            <v>0</v>
          </cell>
          <cell r="H589" t="e">
            <v>#N/A</v>
          </cell>
          <cell r="I589" t="str">
            <v>020711</v>
          </cell>
          <cell r="J589" t="str">
            <v>02071</v>
          </cell>
          <cell r="K589" t="str">
            <v>0207</v>
          </cell>
          <cell r="L589" t="str">
            <v>020</v>
          </cell>
          <cell r="M589" t="str">
            <v>02</v>
          </cell>
          <cell r="N589">
            <v>1</v>
          </cell>
          <cell r="O589">
            <v>1</v>
          </cell>
        </row>
        <row r="590">
          <cell r="A590">
            <v>7800304</v>
          </cell>
          <cell r="B590" t="str">
            <v>CARNE DE GALINHA</v>
          </cell>
          <cell r="C590">
            <v>1</v>
          </cell>
          <cell r="D590" t="str">
            <v>assado(a)</v>
          </cell>
          <cell r="E590">
            <v>32</v>
          </cell>
          <cell r="F590" t="str">
            <v>Aves</v>
          </cell>
          <cell r="G590">
            <v>0</v>
          </cell>
          <cell r="H590" t="e">
            <v>#N/A</v>
          </cell>
          <cell r="I590" t="str">
            <v>020711</v>
          </cell>
          <cell r="J590" t="str">
            <v>02071</v>
          </cell>
          <cell r="K590" t="str">
            <v>0207</v>
          </cell>
          <cell r="L590" t="str">
            <v>020</v>
          </cell>
          <cell r="M590" t="str">
            <v>02</v>
          </cell>
          <cell r="N590">
            <v>1</v>
          </cell>
          <cell r="O590">
            <v>1</v>
          </cell>
        </row>
        <row r="591">
          <cell r="A591">
            <v>7800307</v>
          </cell>
          <cell r="B591" t="str">
            <v>FRANGO DESFIADO</v>
          </cell>
          <cell r="C591">
            <v>1</v>
          </cell>
          <cell r="D591" t="str">
            <v>assado(a)</v>
          </cell>
          <cell r="E591">
            <v>32</v>
          </cell>
          <cell r="F591" t="str">
            <v>Aves</v>
          </cell>
          <cell r="G591">
            <v>0</v>
          </cell>
          <cell r="H591" t="e">
            <v>#N/A</v>
          </cell>
          <cell r="I591" t="str">
            <v>020711</v>
          </cell>
          <cell r="J591" t="str">
            <v>02071</v>
          </cell>
          <cell r="K591" t="str">
            <v>0207</v>
          </cell>
          <cell r="L591" t="str">
            <v>020</v>
          </cell>
          <cell r="M591" t="str">
            <v>02</v>
          </cell>
          <cell r="N591">
            <v>1</v>
          </cell>
          <cell r="O591">
            <v>1</v>
          </cell>
        </row>
        <row r="592">
          <cell r="A592">
            <v>7800401</v>
          </cell>
          <cell r="B592" t="str">
            <v>PEITO DE GALINHA OU FRANGO</v>
          </cell>
          <cell r="C592">
            <v>1</v>
          </cell>
          <cell r="D592" t="str">
            <v>assado(a)</v>
          </cell>
          <cell r="E592">
            <v>32</v>
          </cell>
          <cell r="F592" t="str">
            <v>Aves</v>
          </cell>
          <cell r="G592">
            <v>0</v>
          </cell>
          <cell r="H592">
            <v>7800401</v>
          </cell>
          <cell r="I592" t="str">
            <v>020711</v>
          </cell>
          <cell r="J592" t="str">
            <v>02071</v>
          </cell>
          <cell r="K592" t="str">
            <v>0207</v>
          </cell>
          <cell r="L592" t="str">
            <v>020</v>
          </cell>
          <cell r="M592" t="str">
            <v>02</v>
          </cell>
          <cell r="N592">
            <v>1</v>
          </cell>
          <cell r="O592">
            <v>1</v>
          </cell>
        </row>
        <row r="593">
          <cell r="A593">
            <v>7800402</v>
          </cell>
          <cell r="B593" t="str">
            <v>FILE DE FRANGO</v>
          </cell>
          <cell r="C593">
            <v>1</v>
          </cell>
          <cell r="D593" t="str">
            <v>assado(a)</v>
          </cell>
          <cell r="E593">
            <v>32</v>
          </cell>
          <cell r="F593" t="str">
            <v>Aves</v>
          </cell>
          <cell r="G593">
            <v>0</v>
          </cell>
          <cell r="H593" t="e">
            <v>#N/A</v>
          </cell>
          <cell r="I593" t="str">
            <v>020711</v>
          </cell>
          <cell r="J593" t="str">
            <v>02071</v>
          </cell>
          <cell r="K593" t="str">
            <v>0207</v>
          </cell>
          <cell r="L593" t="str">
            <v>020</v>
          </cell>
          <cell r="M593" t="str">
            <v>02</v>
          </cell>
          <cell r="N593">
            <v>1</v>
          </cell>
          <cell r="O593">
            <v>1</v>
          </cell>
        </row>
        <row r="594">
          <cell r="A594">
            <v>7800503</v>
          </cell>
          <cell r="B594" t="str">
            <v>SOBRECOXA / COXA DE FRANGO / GALINHA</v>
          </cell>
          <cell r="C594">
            <v>1</v>
          </cell>
          <cell r="D594" t="str">
            <v>assado(a)</v>
          </cell>
          <cell r="E594">
            <v>32</v>
          </cell>
          <cell r="F594" t="str">
            <v>Aves</v>
          </cell>
          <cell r="G594">
            <v>0</v>
          </cell>
          <cell r="H594">
            <v>7800503</v>
          </cell>
          <cell r="I594" t="str">
            <v>020711</v>
          </cell>
          <cell r="J594" t="str">
            <v>02071</v>
          </cell>
          <cell r="K594" t="str">
            <v>0207</v>
          </cell>
          <cell r="L594" t="str">
            <v>020</v>
          </cell>
          <cell r="M594" t="str">
            <v>02</v>
          </cell>
          <cell r="N594">
            <v>1</v>
          </cell>
          <cell r="O594">
            <v>1</v>
          </cell>
        </row>
        <row r="595">
          <cell r="A595">
            <v>7800701</v>
          </cell>
          <cell r="B595" t="str">
            <v>ASA DE GALINHA OU FRANGO</v>
          </cell>
          <cell r="C595">
            <v>1</v>
          </cell>
          <cell r="D595" t="str">
            <v>assado(a)</v>
          </cell>
          <cell r="E595">
            <v>32</v>
          </cell>
          <cell r="F595" t="str">
            <v>Aves</v>
          </cell>
          <cell r="G595">
            <v>0</v>
          </cell>
          <cell r="H595">
            <v>7800701</v>
          </cell>
          <cell r="I595" t="str">
            <v>020711</v>
          </cell>
          <cell r="J595" t="str">
            <v>02071</v>
          </cell>
          <cell r="K595" t="str">
            <v>0207</v>
          </cell>
          <cell r="L595" t="str">
            <v>020</v>
          </cell>
          <cell r="M595" t="str">
            <v>02</v>
          </cell>
          <cell r="N595">
            <v>1</v>
          </cell>
          <cell r="O595">
            <v>1</v>
          </cell>
        </row>
        <row r="596">
          <cell r="A596">
            <v>7800702</v>
          </cell>
          <cell r="B596" t="str">
            <v>DRUMETE DE GALINHA OU FRANGO</v>
          </cell>
          <cell r="C596">
            <v>1</v>
          </cell>
          <cell r="D596" t="str">
            <v>assado(a)</v>
          </cell>
          <cell r="E596">
            <v>32</v>
          </cell>
          <cell r="F596" t="str">
            <v>Aves</v>
          </cell>
          <cell r="G596">
            <v>0</v>
          </cell>
          <cell r="H596" t="e">
            <v>#N/A</v>
          </cell>
          <cell r="I596" t="str">
            <v>020711</v>
          </cell>
          <cell r="J596" t="str">
            <v>02071</v>
          </cell>
          <cell r="K596" t="str">
            <v>0207</v>
          </cell>
          <cell r="L596" t="str">
            <v>020</v>
          </cell>
          <cell r="M596" t="str">
            <v>02</v>
          </cell>
          <cell r="N596">
            <v>1</v>
          </cell>
          <cell r="O596">
            <v>1</v>
          </cell>
        </row>
        <row r="597">
          <cell r="A597">
            <v>7800801</v>
          </cell>
          <cell r="B597" t="str">
            <v>PESCOCO DE GALINHA OU FRANGO</v>
          </cell>
          <cell r="C597">
            <v>3</v>
          </cell>
          <cell r="D597" t="str">
            <v>cozido(a) sem gordura</v>
          </cell>
          <cell r="E597">
            <v>32</v>
          </cell>
          <cell r="F597" t="str">
            <v>Aves</v>
          </cell>
          <cell r="G597">
            <v>0</v>
          </cell>
          <cell r="H597" t="e">
            <v>#N/A</v>
          </cell>
          <cell r="I597" t="str">
            <v>020711</v>
          </cell>
          <cell r="J597" t="str">
            <v>02071</v>
          </cell>
          <cell r="K597" t="str">
            <v>0207</v>
          </cell>
          <cell r="L597" t="str">
            <v>020</v>
          </cell>
          <cell r="M597" t="str">
            <v>02</v>
          </cell>
          <cell r="N597">
            <v>1</v>
          </cell>
          <cell r="O597">
            <v>1</v>
          </cell>
        </row>
        <row r="598">
          <cell r="A598">
            <v>7800901</v>
          </cell>
          <cell r="B598" t="str">
            <v>PE DE GALINHA OU FRANGO</v>
          </cell>
          <cell r="C598">
            <v>1</v>
          </cell>
          <cell r="D598" t="str">
            <v>assado(a)</v>
          </cell>
          <cell r="E598">
            <v>32</v>
          </cell>
          <cell r="F598" t="str">
            <v>Aves</v>
          </cell>
          <cell r="G598">
            <v>0</v>
          </cell>
          <cell r="H598">
            <v>7800901</v>
          </cell>
          <cell r="I598" t="str">
            <v>020711</v>
          </cell>
          <cell r="J598" t="str">
            <v>02071</v>
          </cell>
          <cell r="K598" t="str">
            <v>0207</v>
          </cell>
          <cell r="L598" t="str">
            <v>020</v>
          </cell>
          <cell r="M598" t="str">
            <v>02</v>
          </cell>
          <cell r="N598">
            <v>1</v>
          </cell>
          <cell r="O598">
            <v>1</v>
          </cell>
        </row>
        <row r="599">
          <cell r="A599">
            <v>7801001</v>
          </cell>
          <cell r="B599" t="str">
            <v>MIUDO DE GALINHA OU FRANGO</v>
          </cell>
          <cell r="C599">
            <v>1</v>
          </cell>
          <cell r="D599" t="str">
            <v>assado(a)</v>
          </cell>
          <cell r="E599">
            <v>38</v>
          </cell>
          <cell r="F599" t="str">
            <v>Miudos</v>
          </cell>
          <cell r="G599">
            <v>0</v>
          </cell>
          <cell r="H599" t="e">
            <v>#N/A</v>
          </cell>
          <cell r="I599" t="str">
            <v>020713</v>
          </cell>
          <cell r="J599" t="str">
            <v>02071</v>
          </cell>
          <cell r="K599" t="str">
            <v>0207</v>
          </cell>
          <cell r="L599" t="str">
            <v>020</v>
          </cell>
          <cell r="M599" t="str">
            <v>02</v>
          </cell>
          <cell r="N599">
            <v>1</v>
          </cell>
          <cell r="O599">
            <v>1</v>
          </cell>
        </row>
        <row r="600">
          <cell r="A600">
            <v>7801101</v>
          </cell>
          <cell r="B600" t="str">
            <v>MOELA DE GALINHA OU FRANGO</v>
          </cell>
          <cell r="C600">
            <v>1</v>
          </cell>
          <cell r="D600" t="str">
            <v>assado(a)</v>
          </cell>
          <cell r="E600">
            <v>38</v>
          </cell>
          <cell r="F600" t="str">
            <v>Miudos</v>
          </cell>
          <cell r="G600">
            <v>0</v>
          </cell>
          <cell r="H600">
            <v>7801101</v>
          </cell>
          <cell r="I600" t="str">
            <v>020713</v>
          </cell>
          <cell r="J600" t="str">
            <v>02071</v>
          </cell>
          <cell r="K600" t="str">
            <v>0207</v>
          </cell>
          <cell r="L600" t="str">
            <v>020</v>
          </cell>
          <cell r="M600" t="str">
            <v>02</v>
          </cell>
          <cell r="N600">
            <v>1</v>
          </cell>
          <cell r="O600">
            <v>1</v>
          </cell>
        </row>
        <row r="601">
          <cell r="A601">
            <v>7801202</v>
          </cell>
          <cell r="B601" t="str">
            <v>CORACAO DE FRANGO</v>
          </cell>
          <cell r="C601">
            <v>1</v>
          </cell>
          <cell r="D601" t="str">
            <v>assado(a)</v>
          </cell>
          <cell r="E601">
            <v>38</v>
          </cell>
          <cell r="F601" t="str">
            <v>Miudos</v>
          </cell>
          <cell r="G601">
            <v>0</v>
          </cell>
          <cell r="H601">
            <v>7801202</v>
          </cell>
          <cell r="I601" t="str">
            <v>020713</v>
          </cell>
          <cell r="J601" t="str">
            <v>02071</v>
          </cell>
          <cell r="K601" t="str">
            <v>0207</v>
          </cell>
          <cell r="L601" t="str">
            <v>020</v>
          </cell>
          <cell r="M601" t="str">
            <v>02</v>
          </cell>
          <cell r="N601">
            <v>1</v>
          </cell>
          <cell r="O601">
            <v>1</v>
          </cell>
        </row>
        <row r="602">
          <cell r="A602">
            <v>7801301</v>
          </cell>
          <cell r="B602" t="str">
            <v>FIGADO DE GALINHA OU FRANGO</v>
          </cell>
          <cell r="C602">
            <v>1</v>
          </cell>
          <cell r="D602" t="str">
            <v>assado(a)</v>
          </cell>
          <cell r="E602">
            <v>38</v>
          </cell>
          <cell r="F602" t="str">
            <v>Miudos</v>
          </cell>
          <cell r="G602">
            <v>0</v>
          </cell>
          <cell r="H602">
            <v>7801301</v>
          </cell>
          <cell r="I602" t="str">
            <v>020713</v>
          </cell>
          <cell r="J602" t="str">
            <v>02071</v>
          </cell>
          <cell r="K602" t="str">
            <v>0207</v>
          </cell>
          <cell r="L602" t="str">
            <v>020</v>
          </cell>
          <cell r="M602" t="str">
            <v>02</v>
          </cell>
          <cell r="N602">
            <v>1</v>
          </cell>
          <cell r="O602">
            <v>1</v>
          </cell>
        </row>
        <row r="603">
          <cell r="A603">
            <v>7801702</v>
          </cell>
          <cell r="B603" t="str">
            <v>PERU EM PEDACO NAO ESPECIFICADO</v>
          </cell>
          <cell r="C603">
            <v>1</v>
          </cell>
          <cell r="D603" t="str">
            <v>assado(a)</v>
          </cell>
          <cell r="E603">
            <v>32</v>
          </cell>
          <cell r="F603" t="str">
            <v>Aves</v>
          </cell>
          <cell r="G603">
            <v>0</v>
          </cell>
          <cell r="H603">
            <v>7801702</v>
          </cell>
          <cell r="I603" t="str">
            <v>020725</v>
          </cell>
          <cell r="J603" t="str">
            <v>02072</v>
          </cell>
          <cell r="K603" t="str">
            <v>0207</v>
          </cell>
          <cell r="L603" t="str">
            <v>020</v>
          </cell>
          <cell r="M603" t="str">
            <v>02</v>
          </cell>
          <cell r="N603">
            <v>1</v>
          </cell>
          <cell r="O603">
            <v>1</v>
          </cell>
        </row>
        <row r="604">
          <cell r="A604">
            <v>7801801</v>
          </cell>
          <cell r="B604" t="str">
            <v>PEITO DE PERU</v>
          </cell>
          <cell r="C604">
            <v>1</v>
          </cell>
          <cell r="D604" t="str">
            <v>assado(a)</v>
          </cell>
          <cell r="E604">
            <v>19</v>
          </cell>
          <cell r="F604" t="str">
            <v>Embutidos e outras carnes ultraprocessadas (inclui nuggets)</v>
          </cell>
          <cell r="G604">
            <v>0</v>
          </cell>
          <cell r="H604">
            <v>7801801</v>
          </cell>
          <cell r="I604" t="str">
            <v>020725</v>
          </cell>
          <cell r="J604" t="str">
            <v>02072</v>
          </cell>
          <cell r="K604" t="str">
            <v>0207</v>
          </cell>
          <cell r="L604" t="str">
            <v>020</v>
          </cell>
          <cell r="M604" t="str">
            <v>02</v>
          </cell>
          <cell r="N604">
            <v>1</v>
          </cell>
          <cell r="O604">
            <v>1</v>
          </cell>
        </row>
        <row r="605">
          <cell r="A605">
            <v>7801901</v>
          </cell>
          <cell r="B605" t="str">
            <v>PERU, COXA</v>
          </cell>
          <cell r="C605">
            <v>1</v>
          </cell>
          <cell r="D605" t="str">
            <v>assado(a)</v>
          </cell>
          <cell r="E605">
            <v>32</v>
          </cell>
          <cell r="F605" t="str">
            <v>Aves</v>
          </cell>
          <cell r="G605">
            <v>0</v>
          </cell>
          <cell r="H605">
            <v>7801901</v>
          </cell>
          <cell r="I605" t="str">
            <v>020725</v>
          </cell>
          <cell r="J605" t="str">
            <v>02072</v>
          </cell>
          <cell r="K605" t="str">
            <v>0207</v>
          </cell>
          <cell r="L605" t="str">
            <v>020</v>
          </cell>
          <cell r="M605" t="str">
            <v>02</v>
          </cell>
          <cell r="N605">
            <v>1</v>
          </cell>
          <cell r="O605">
            <v>1</v>
          </cell>
        </row>
        <row r="606">
          <cell r="A606">
            <v>7801901</v>
          </cell>
          <cell r="B606" t="str">
            <v>COXA DE PERU</v>
          </cell>
          <cell r="C606">
            <v>2</v>
          </cell>
          <cell r="D606" t="str">
            <v>cozido(a) com gordura</v>
          </cell>
          <cell r="E606"/>
          <cell r="F606" t="str">
            <v/>
          </cell>
          <cell r="G606">
            <v>0</v>
          </cell>
          <cell r="H606">
            <v>7801901</v>
          </cell>
          <cell r="I606" t="str">
            <v>020725</v>
          </cell>
          <cell r="J606" t="str">
            <v>02072</v>
          </cell>
          <cell r="K606" t="str">
            <v>0207</v>
          </cell>
          <cell r="L606" t="str">
            <v>020</v>
          </cell>
          <cell r="M606" t="str">
            <v>02</v>
          </cell>
          <cell r="N606">
            <v>1</v>
          </cell>
          <cell r="O606">
            <v>1</v>
          </cell>
        </row>
        <row r="607">
          <cell r="A607">
            <v>7801901</v>
          </cell>
          <cell r="B607" t="str">
            <v>PERU, COXA</v>
          </cell>
          <cell r="C607">
            <v>99</v>
          </cell>
          <cell r="D607" t="str">
            <v>nao se aplica</v>
          </cell>
          <cell r="E607"/>
          <cell r="F607" t="str">
            <v/>
          </cell>
          <cell r="G607">
            <v>0</v>
          </cell>
          <cell r="H607">
            <v>7801901</v>
          </cell>
          <cell r="I607" t="str">
            <v>020725</v>
          </cell>
          <cell r="J607" t="str">
            <v>02072</v>
          </cell>
          <cell r="K607" t="str">
            <v>0207</v>
          </cell>
          <cell r="L607" t="str">
            <v>020</v>
          </cell>
          <cell r="M607" t="str">
            <v>02</v>
          </cell>
          <cell r="N607">
            <v>1</v>
          </cell>
          <cell r="O607">
            <v>1</v>
          </cell>
        </row>
        <row r="608">
          <cell r="A608">
            <v>7802101</v>
          </cell>
          <cell r="B608" t="str">
            <v>ASA DE PERU</v>
          </cell>
          <cell r="C608">
            <v>1</v>
          </cell>
          <cell r="D608" t="str">
            <v>assado(a)</v>
          </cell>
          <cell r="E608">
            <v>32</v>
          </cell>
          <cell r="F608" t="str">
            <v>Aves</v>
          </cell>
          <cell r="G608">
            <v>0</v>
          </cell>
          <cell r="H608" t="e">
            <v>#N/A</v>
          </cell>
          <cell r="I608" t="str">
            <v>020725</v>
          </cell>
          <cell r="J608" t="str">
            <v>02072</v>
          </cell>
          <cell r="K608" t="str">
            <v>0207</v>
          </cell>
          <cell r="L608" t="str">
            <v>020</v>
          </cell>
          <cell r="M608" t="str">
            <v>02</v>
          </cell>
          <cell r="N608">
            <v>1</v>
          </cell>
          <cell r="O608">
            <v>1</v>
          </cell>
        </row>
        <row r="609">
          <cell r="A609">
            <v>7802701</v>
          </cell>
          <cell r="B609" t="str">
            <v>CHESTER</v>
          </cell>
          <cell r="C609">
            <v>4</v>
          </cell>
          <cell r="D609" t="str">
            <v>cru(a)</v>
          </cell>
          <cell r="E609">
            <v>32</v>
          </cell>
          <cell r="F609" t="str">
            <v>Aves</v>
          </cell>
          <cell r="G609">
            <v>0</v>
          </cell>
          <cell r="H609" t="e">
            <v>#N/A</v>
          </cell>
          <cell r="I609" t="str">
            <v>020711</v>
          </cell>
          <cell r="J609" t="str">
            <v>02071</v>
          </cell>
          <cell r="K609" t="str">
            <v>0207</v>
          </cell>
          <cell r="L609" t="str">
            <v>020</v>
          </cell>
          <cell r="M609" t="str">
            <v>02</v>
          </cell>
          <cell r="N609">
            <v>1</v>
          </cell>
          <cell r="O609">
            <v>1</v>
          </cell>
        </row>
        <row r="610">
          <cell r="A610">
            <v>7802702</v>
          </cell>
          <cell r="B610" t="str">
            <v>TENDER</v>
          </cell>
          <cell r="C610">
            <v>1</v>
          </cell>
          <cell r="D610" t="str">
            <v>assado(a)</v>
          </cell>
          <cell r="E610">
            <v>32</v>
          </cell>
          <cell r="F610" t="str">
            <v>Aves</v>
          </cell>
          <cell r="G610">
            <v>0</v>
          </cell>
          <cell r="H610" t="e">
            <v>#N/A</v>
          </cell>
          <cell r="I610">
            <v>160241</v>
          </cell>
          <cell r="J610" t="str">
            <v>16024</v>
          </cell>
          <cell r="K610" t="str">
            <v>1602</v>
          </cell>
          <cell r="L610" t="str">
            <v>160</v>
          </cell>
          <cell r="M610" t="str">
            <v>16</v>
          </cell>
          <cell r="N610">
            <v>4</v>
          </cell>
          <cell r="O610">
            <v>3</v>
          </cell>
        </row>
        <row r="611">
          <cell r="A611">
            <v>7802901</v>
          </cell>
          <cell r="B611" t="str">
            <v>NUGGETS DE FRANGO</v>
          </cell>
          <cell r="C611">
            <v>99</v>
          </cell>
          <cell r="D611" t="str">
            <v>nao se aplica</v>
          </cell>
          <cell r="E611">
            <v>19</v>
          </cell>
          <cell r="F611" t="str">
            <v>Embutidos e outras carnes ultraprocessadas</v>
          </cell>
          <cell r="G611">
            <v>0</v>
          </cell>
          <cell r="H611">
            <v>7802901</v>
          </cell>
          <cell r="I611">
            <v>160232</v>
          </cell>
          <cell r="J611" t="str">
            <v>16023</v>
          </cell>
          <cell r="K611" t="str">
            <v>1602</v>
          </cell>
          <cell r="L611" t="str">
            <v>160</v>
          </cell>
          <cell r="M611" t="str">
            <v>16</v>
          </cell>
          <cell r="N611">
            <v>4</v>
          </cell>
          <cell r="O611">
            <v>4</v>
          </cell>
        </row>
        <row r="612">
          <cell r="A612">
            <v>7802902</v>
          </cell>
          <cell r="B612" t="str">
            <v>STEAK DE FRANGO</v>
          </cell>
          <cell r="C612">
            <v>99</v>
          </cell>
          <cell r="D612" t="str">
            <v>nao se aplica</v>
          </cell>
          <cell r="G612">
            <v>0</v>
          </cell>
          <cell r="H612">
            <v>0</v>
          </cell>
          <cell r="I612">
            <v>160232</v>
          </cell>
          <cell r="J612" t="str">
            <v>16023</v>
          </cell>
          <cell r="K612" t="str">
            <v>1602</v>
          </cell>
          <cell r="L612" t="str">
            <v>160</v>
          </cell>
          <cell r="M612" t="str">
            <v>16</v>
          </cell>
          <cell r="N612">
            <v>4</v>
          </cell>
          <cell r="O612">
            <v>4</v>
          </cell>
        </row>
        <row r="613">
          <cell r="A613">
            <v>7802905</v>
          </cell>
          <cell r="B613" t="str">
            <v>NUGGET RECHEADO</v>
          </cell>
          <cell r="C613">
            <v>4</v>
          </cell>
          <cell r="D613" t="str">
            <v>cru(a)</v>
          </cell>
          <cell r="E613">
            <v>19</v>
          </cell>
          <cell r="F613" t="str">
            <v>Embutidos e outras carnes ultraprocessadas</v>
          </cell>
          <cell r="G613">
            <v>0</v>
          </cell>
          <cell r="H613" t="e">
            <v>#N/A</v>
          </cell>
          <cell r="I613">
            <v>160232</v>
          </cell>
          <cell r="J613" t="str">
            <v>16023</v>
          </cell>
          <cell r="K613" t="str">
            <v>1602</v>
          </cell>
          <cell r="L613" t="str">
            <v>160</v>
          </cell>
          <cell r="M613" t="str">
            <v>16</v>
          </cell>
          <cell r="N613">
            <v>4</v>
          </cell>
          <cell r="O613">
            <v>4</v>
          </cell>
        </row>
        <row r="614">
          <cell r="A614">
            <v>7803301</v>
          </cell>
          <cell r="B614" t="str">
            <v>OVO DE GALINHA</v>
          </cell>
          <cell r="C614">
            <v>1</v>
          </cell>
          <cell r="D614" t="str">
            <v>assado(a)</v>
          </cell>
          <cell r="E614">
            <v>31</v>
          </cell>
          <cell r="F614" t="str">
            <v>Ovos</v>
          </cell>
          <cell r="G614">
            <v>0</v>
          </cell>
          <cell r="H614">
            <v>7803301</v>
          </cell>
          <cell r="I614" t="str">
            <v>040721</v>
          </cell>
          <cell r="J614" t="str">
            <v>04072</v>
          </cell>
          <cell r="K614" t="str">
            <v>0407</v>
          </cell>
          <cell r="L614" t="str">
            <v>040</v>
          </cell>
          <cell r="M614" t="str">
            <v>04</v>
          </cell>
          <cell r="N614">
            <v>1</v>
          </cell>
          <cell r="O614">
            <v>1</v>
          </cell>
        </row>
        <row r="615">
          <cell r="A615">
            <v>7803501</v>
          </cell>
          <cell r="B615" t="str">
            <v>OVO DE CODORNA</v>
          </cell>
          <cell r="C615">
            <v>3</v>
          </cell>
          <cell r="D615" t="str">
            <v>cozido(a) sem gordura</v>
          </cell>
          <cell r="E615">
            <v>31</v>
          </cell>
          <cell r="F615" t="str">
            <v>Ovos</v>
          </cell>
          <cell r="G615">
            <v>0</v>
          </cell>
          <cell r="H615">
            <v>7803501</v>
          </cell>
          <cell r="I615" t="str">
            <v>040729</v>
          </cell>
          <cell r="J615" t="str">
            <v>04072</v>
          </cell>
          <cell r="K615" t="str">
            <v>0407</v>
          </cell>
          <cell r="L615" t="str">
            <v>040</v>
          </cell>
          <cell r="M615" t="str">
            <v>04</v>
          </cell>
          <cell r="N615">
            <v>1</v>
          </cell>
          <cell r="O615">
            <v>1</v>
          </cell>
        </row>
        <row r="616">
          <cell r="A616">
            <v>7803702</v>
          </cell>
          <cell r="B616" t="str">
            <v>GALINHA DE ANGOLA ABATIDA, CONGELADA OU VIVA</v>
          </cell>
          <cell r="C616">
            <v>3</v>
          </cell>
          <cell r="D616" t="str">
            <v>cozido(a) sem gordura</v>
          </cell>
          <cell r="E616">
            <v>32</v>
          </cell>
          <cell r="F616" t="str">
            <v>Aves</v>
          </cell>
          <cell r="G616">
            <v>0</v>
          </cell>
          <cell r="H616">
            <v>7803702</v>
          </cell>
          <cell r="I616" t="str">
            <v>020760</v>
          </cell>
          <cell r="J616" t="str">
            <v>02076</v>
          </cell>
          <cell r="K616" t="str">
            <v>0207</v>
          </cell>
          <cell r="L616" t="str">
            <v>020</v>
          </cell>
          <cell r="M616" t="str">
            <v>02</v>
          </cell>
          <cell r="N616">
            <v>1</v>
          </cell>
          <cell r="O616">
            <v>1</v>
          </cell>
        </row>
        <row r="617">
          <cell r="A617">
            <v>7803907</v>
          </cell>
          <cell r="B617" t="str">
            <v>PATO EM PEDACOS</v>
          </cell>
          <cell r="C617">
            <v>1</v>
          </cell>
          <cell r="D617" t="str">
            <v>assado(a)</v>
          </cell>
          <cell r="E617">
            <v>32</v>
          </cell>
          <cell r="F617" t="str">
            <v>Aves</v>
          </cell>
          <cell r="G617">
            <v>0</v>
          </cell>
          <cell r="H617">
            <v>7803907</v>
          </cell>
          <cell r="I617" t="str">
            <v>020741</v>
          </cell>
          <cell r="J617" t="str">
            <v>02074</v>
          </cell>
          <cell r="K617" t="str">
            <v>0207</v>
          </cell>
          <cell r="L617" t="str">
            <v>020</v>
          </cell>
          <cell r="M617" t="str">
            <v>02</v>
          </cell>
          <cell r="N617">
            <v>1</v>
          </cell>
          <cell r="O617">
            <v>1</v>
          </cell>
        </row>
        <row r="618">
          <cell r="A618">
            <v>7803908</v>
          </cell>
          <cell r="B618" t="str">
            <v>PEITO DE PATO</v>
          </cell>
          <cell r="C618">
            <v>1</v>
          </cell>
          <cell r="D618" t="str">
            <v>assado(a)</v>
          </cell>
          <cell r="E618">
            <v>32</v>
          </cell>
          <cell r="F618" t="str">
            <v>Aves</v>
          </cell>
          <cell r="G618">
            <v>0</v>
          </cell>
          <cell r="H618" t="e">
            <v>#N/A</v>
          </cell>
          <cell r="I618" t="str">
            <v>020741</v>
          </cell>
          <cell r="J618" t="str">
            <v>02074</v>
          </cell>
          <cell r="K618" t="str">
            <v>0207</v>
          </cell>
          <cell r="L618" t="str">
            <v>020</v>
          </cell>
          <cell r="M618" t="str">
            <v>02</v>
          </cell>
          <cell r="N618">
            <v>1</v>
          </cell>
          <cell r="O618">
            <v>1</v>
          </cell>
        </row>
        <row r="619">
          <cell r="A619">
            <v>7803913</v>
          </cell>
          <cell r="B619" t="str">
            <v>CARNE DE PATO</v>
          </cell>
          <cell r="C619">
            <v>1</v>
          </cell>
          <cell r="D619" t="str">
            <v>assado(a)</v>
          </cell>
          <cell r="E619">
            <v>32</v>
          </cell>
          <cell r="F619" t="str">
            <v>Aves</v>
          </cell>
          <cell r="G619">
            <v>0</v>
          </cell>
          <cell r="H619">
            <v>7803913</v>
          </cell>
          <cell r="I619" t="str">
            <v>020741</v>
          </cell>
          <cell r="J619" t="str">
            <v>02074</v>
          </cell>
          <cell r="K619" t="str">
            <v>0207</v>
          </cell>
          <cell r="L619" t="str">
            <v>020</v>
          </cell>
          <cell r="M619" t="str">
            <v>02</v>
          </cell>
          <cell r="N619">
            <v>1</v>
          </cell>
          <cell r="O619">
            <v>1</v>
          </cell>
        </row>
        <row r="620">
          <cell r="A620">
            <v>7805401</v>
          </cell>
          <cell r="B620" t="str">
            <v>PEITO DE PERU LIGHT</v>
          </cell>
          <cell r="C620">
            <v>3</v>
          </cell>
          <cell r="D620" t="str">
            <v>cozido(a) sem gordura</v>
          </cell>
          <cell r="E620">
            <v>19</v>
          </cell>
          <cell r="F620" t="str">
            <v>Embutidos e outras carnes ultraprocessadas (inclui nuggets)</v>
          </cell>
          <cell r="G620">
            <v>0</v>
          </cell>
          <cell r="H620">
            <v>7805401</v>
          </cell>
          <cell r="I620" t="str">
            <v>020725</v>
          </cell>
          <cell r="J620" t="str">
            <v>02072</v>
          </cell>
          <cell r="K620" t="str">
            <v>0207</v>
          </cell>
          <cell r="L620" t="str">
            <v>020</v>
          </cell>
          <cell r="M620" t="str">
            <v>02</v>
          </cell>
          <cell r="N620">
            <v>1</v>
          </cell>
          <cell r="O620">
            <v>1</v>
          </cell>
        </row>
        <row r="621">
          <cell r="A621">
            <v>7806002</v>
          </cell>
          <cell r="B621" t="str">
            <v>MARRECO, CARNE NAO ESPECIFICADO</v>
          </cell>
          <cell r="C621">
            <v>1</v>
          </cell>
          <cell r="D621" t="str">
            <v>assado(a)</v>
          </cell>
          <cell r="E621">
            <v>32</v>
          </cell>
          <cell r="F621" t="str">
            <v>Aves</v>
          </cell>
          <cell r="G621">
            <v>0</v>
          </cell>
          <cell r="H621" t="e">
            <v>#N/A</v>
          </cell>
          <cell r="I621" t="str">
            <v>020745</v>
          </cell>
          <cell r="J621" t="str">
            <v>02074</v>
          </cell>
          <cell r="K621" t="str">
            <v>0207</v>
          </cell>
          <cell r="L621" t="str">
            <v>020</v>
          </cell>
          <cell r="M621" t="str">
            <v>02</v>
          </cell>
          <cell r="N621">
            <v>1</v>
          </cell>
          <cell r="O621">
            <v>1</v>
          </cell>
        </row>
        <row r="622">
          <cell r="A622">
            <v>7806201</v>
          </cell>
          <cell r="B622" t="str">
            <v>CARNE MOIDA DE FRANGO</v>
          </cell>
          <cell r="C622">
            <v>3</v>
          </cell>
          <cell r="D622" t="str">
            <v>cozido(a) sem gordura</v>
          </cell>
          <cell r="E622">
            <v>32</v>
          </cell>
          <cell r="F622" t="str">
            <v>Aves</v>
          </cell>
          <cell r="G622">
            <v>0</v>
          </cell>
          <cell r="H622" t="e">
            <v>#N/A</v>
          </cell>
          <cell r="I622" t="str">
            <v>020711</v>
          </cell>
          <cell r="J622" t="str">
            <v>02071</v>
          </cell>
          <cell r="K622" t="str">
            <v>0207</v>
          </cell>
          <cell r="L622" t="str">
            <v>020</v>
          </cell>
          <cell r="M622" t="str">
            <v>02</v>
          </cell>
          <cell r="N622">
            <v>1</v>
          </cell>
          <cell r="O622">
            <v>1</v>
          </cell>
        </row>
        <row r="623">
          <cell r="A623">
            <v>7807101</v>
          </cell>
          <cell r="B623" t="str">
            <v>OVO CLARA</v>
          </cell>
          <cell r="C623">
            <v>1</v>
          </cell>
          <cell r="D623" t="str">
            <v>assado(a)</v>
          </cell>
          <cell r="E623">
            <v>31</v>
          </cell>
          <cell r="F623" t="str">
            <v>Ovos</v>
          </cell>
          <cell r="G623">
            <v>0</v>
          </cell>
          <cell r="H623">
            <v>7807101</v>
          </cell>
          <cell r="I623" t="str">
            <v>040721</v>
          </cell>
          <cell r="J623" t="str">
            <v>04072</v>
          </cell>
          <cell r="K623" t="str">
            <v>0407</v>
          </cell>
          <cell r="L623" t="str">
            <v>040</v>
          </cell>
          <cell r="M623" t="str">
            <v>04</v>
          </cell>
          <cell r="N623">
            <v>1</v>
          </cell>
          <cell r="O623">
            <v>1</v>
          </cell>
        </row>
        <row r="624">
          <cell r="A624">
            <v>7807201</v>
          </cell>
          <cell r="B624" t="str">
            <v>OVO GEMA</v>
          </cell>
          <cell r="C624">
            <v>3</v>
          </cell>
          <cell r="D624" t="str">
            <v>cozido(a) sem gordura</v>
          </cell>
          <cell r="E624">
            <v>31</v>
          </cell>
          <cell r="F624" t="str">
            <v>Ovos</v>
          </cell>
          <cell r="G624">
            <v>0</v>
          </cell>
          <cell r="H624">
            <v>7807201</v>
          </cell>
          <cell r="I624" t="str">
            <v>040721</v>
          </cell>
          <cell r="J624" t="str">
            <v>04072</v>
          </cell>
          <cell r="K624" t="str">
            <v>0407</v>
          </cell>
          <cell r="L624" t="str">
            <v>040</v>
          </cell>
          <cell r="M624" t="str">
            <v>04</v>
          </cell>
          <cell r="N624">
            <v>1</v>
          </cell>
          <cell r="O624">
            <v>1</v>
          </cell>
        </row>
        <row r="625">
          <cell r="A625">
            <v>7807501</v>
          </cell>
          <cell r="B625" t="str">
            <v>FRANGO A PASSARINHO</v>
          </cell>
          <cell r="C625">
            <v>99</v>
          </cell>
          <cell r="D625" t="str">
            <v>nao se aplica</v>
          </cell>
          <cell r="E625"/>
          <cell r="F625" t="str">
            <v/>
          </cell>
          <cell r="G625">
            <v>0</v>
          </cell>
          <cell r="H625">
            <v>7807501</v>
          </cell>
          <cell r="I625" t="str">
            <v>020711</v>
          </cell>
          <cell r="J625" t="str">
            <v>02071</v>
          </cell>
          <cell r="K625" t="str">
            <v>0207</v>
          </cell>
          <cell r="L625" t="str">
            <v>020</v>
          </cell>
          <cell r="M625" t="str">
            <v>02</v>
          </cell>
          <cell r="N625">
            <v>1</v>
          </cell>
          <cell r="O625">
            <v>1</v>
          </cell>
        </row>
        <row r="626">
          <cell r="A626">
            <v>7807702</v>
          </cell>
          <cell r="B626" t="str">
            <v>GANSO, CARNE NAO ESPECIFICADO</v>
          </cell>
          <cell r="C626">
            <v>1</v>
          </cell>
          <cell r="D626" t="str">
            <v>assado(a)</v>
          </cell>
          <cell r="E626">
            <v>32</v>
          </cell>
          <cell r="F626" t="str">
            <v>Aves</v>
          </cell>
          <cell r="G626">
            <v>0</v>
          </cell>
          <cell r="H626">
            <v>7807702</v>
          </cell>
          <cell r="I626" t="str">
            <v>020754</v>
          </cell>
          <cell r="J626" t="str">
            <v>02075</v>
          </cell>
          <cell r="K626" t="str">
            <v>0207</v>
          </cell>
          <cell r="L626" t="str">
            <v>020</v>
          </cell>
          <cell r="M626" t="str">
            <v>02</v>
          </cell>
          <cell r="N626">
            <v>1</v>
          </cell>
          <cell r="O626">
            <v>1</v>
          </cell>
        </row>
        <row r="627">
          <cell r="A627">
            <v>7900101</v>
          </cell>
          <cell r="B627" t="str">
            <v>LEITE DE VACA INTEGRAL</v>
          </cell>
          <cell r="C627">
            <v>99</v>
          </cell>
          <cell r="D627" t="str">
            <v>nao se aplica</v>
          </cell>
          <cell r="E627">
            <v>25</v>
          </cell>
          <cell r="F627" t="str">
            <v xml:space="preserve">Leite </v>
          </cell>
          <cell r="G627">
            <v>0</v>
          </cell>
          <cell r="H627">
            <v>7900101</v>
          </cell>
          <cell r="I627" t="str">
            <v>040130</v>
          </cell>
          <cell r="J627" t="str">
            <v>04013</v>
          </cell>
          <cell r="K627" t="str">
            <v>0401</v>
          </cell>
          <cell r="L627" t="str">
            <v>040</v>
          </cell>
          <cell r="M627" t="str">
            <v>04</v>
          </cell>
          <cell r="N627">
            <v>1</v>
          </cell>
          <cell r="O627">
            <v>1</v>
          </cell>
        </row>
        <row r="628">
          <cell r="A628">
            <v>7900201</v>
          </cell>
          <cell r="B628" t="str">
            <v>LEITE DE VACA FRESCO</v>
          </cell>
          <cell r="C628">
            <v>99</v>
          </cell>
          <cell r="D628" t="str">
            <v>nao se aplica</v>
          </cell>
          <cell r="E628">
            <v>25</v>
          </cell>
          <cell r="F628" t="str">
            <v xml:space="preserve">Leite </v>
          </cell>
          <cell r="G628">
            <v>0</v>
          </cell>
          <cell r="H628" t="e">
            <v>#N/A</v>
          </cell>
          <cell r="I628" t="str">
            <v>040130</v>
          </cell>
          <cell r="J628" t="str">
            <v>04013</v>
          </cell>
          <cell r="K628" t="str">
            <v>0401</v>
          </cell>
          <cell r="L628" t="str">
            <v>040</v>
          </cell>
          <cell r="M628" t="str">
            <v>04</v>
          </cell>
          <cell r="N628">
            <v>1</v>
          </cell>
          <cell r="O628">
            <v>1</v>
          </cell>
        </row>
        <row r="629">
          <cell r="A629">
            <v>7900301</v>
          </cell>
          <cell r="B629" t="str">
            <v>LEITE DE CABRA</v>
          </cell>
          <cell r="C629">
            <v>99</v>
          </cell>
          <cell r="D629" t="str">
            <v>nao se aplica</v>
          </cell>
          <cell r="E629">
            <v>25</v>
          </cell>
          <cell r="F629" t="str">
            <v xml:space="preserve">Leite </v>
          </cell>
          <cell r="G629">
            <v>0</v>
          </cell>
          <cell r="H629">
            <v>7900301</v>
          </cell>
          <cell r="I629" t="str">
            <v>040111</v>
          </cell>
          <cell r="J629" t="str">
            <v>04011</v>
          </cell>
          <cell r="K629" t="str">
            <v>0401</v>
          </cell>
          <cell r="L629" t="str">
            <v>040</v>
          </cell>
          <cell r="M629" t="str">
            <v>04</v>
          </cell>
          <cell r="N629">
            <v>1</v>
          </cell>
          <cell r="O629">
            <v>1</v>
          </cell>
        </row>
        <row r="630">
          <cell r="A630">
            <v>7900601</v>
          </cell>
          <cell r="B630" t="str">
            <v>LEITE EM PO INTEGRAL</v>
          </cell>
          <cell r="C630">
            <v>99</v>
          </cell>
          <cell r="D630" t="str">
            <v>nao se aplica</v>
          </cell>
          <cell r="E630">
            <v>25</v>
          </cell>
          <cell r="F630" t="str">
            <v xml:space="preserve">Leite </v>
          </cell>
          <cell r="G630">
            <v>0</v>
          </cell>
          <cell r="H630" t="e">
            <v>#N/A</v>
          </cell>
          <cell r="I630" t="str">
            <v>040210</v>
          </cell>
          <cell r="J630" t="str">
            <v>04021</v>
          </cell>
          <cell r="K630" t="str">
            <v>0402</v>
          </cell>
          <cell r="L630" t="str">
            <v>040</v>
          </cell>
          <cell r="M630" t="str">
            <v>04</v>
          </cell>
          <cell r="N630">
            <v>1</v>
          </cell>
          <cell r="O630">
            <v>1</v>
          </cell>
        </row>
        <row r="631">
          <cell r="A631">
            <v>7900710</v>
          </cell>
          <cell r="B631" t="str">
            <v>LEITE EM PO DESNATADO</v>
          </cell>
          <cell r="C631">
            <v>99</v>
          </cell>
          <cell r="D631" t="str">
            <v>nao se aplica</v>
          </cell>
          <cell r="E631">
            <v>25</v>
          </cell>
          <cell r="F631" t="str">
            <v xml:space="preserve">Leite </v>
          </cell>
          <cell r="G631">
            <v>0</v>
          </cell>
          <cell r="H631">
            <v>7900710</v>
          </cell>
          <cell r="I631" t="str">
            <v>040221</v>
          </cell>
          <cell r="J631" t="str">
            <v>04022</v>
          </cell>
          <cell r="K631" t="str">
            <v>0402</v>
          </cell>
          <cell r="L631" t="str">
            <v>040</v>
          </cell>
          <cell r="M631" t="str">
            <v>04</v>
          </cell>
          <cell r="N631">
            <v>1</v>
          </cell>
          <cell r="O631">
            <v>1</v>
          </cell>
        </row>
        <row r="632">
          <cell r="A632">
            <v>7900801</v>
          </cell>
          <cell r="B632" t="str">
            <v>LEITE EM PO</v>
          </cell>
          <cell r="C632">
            <v>99</v>
          </cell>
          <cell r="D632" t="str">
            <v>nao se aplica</v>
          </cell>
          <cell r="E632">
            <v>25</v>
          </cell>
          <cell r="F632" t="str">
            <v xml:space="preserve">Leite </v>
          </cell>
          <cell r="G632">
            <v>0</v>
          </cell>
          <cell r="H632" t="e">
            <v>#N/A</v>
          </cell>
          <cell r="I632" t="str">
            <v>040210</v>
          </cell>
          <cell r="J632" t="str">
            <v>04021</v>
          </cell>
          <cell r="K632" t="str">
            <v>0402</v>
          </cell>
          <cell r="L632" t="str">
            <v>040</v>
          </cell>
          <cell r="M632" t="str">
            <v>04</v>
          </cell>
          <cell r="N632">
            <v>1</v>
          </cell>
          <cell r="O632">
            <v>1</v>
          </cell>
        </row>
        <row r="633">
          <cell r="A633">
            <v>7900901</v>
          </cell>
          <cell r="B633" t="str">
            <v>LEITE CONDENSADO</v>
          </cell>
          <cell r="C633">
            <v>99</v>
          </cell>
          <cell r="D633" t="str">
            <v>nao se aplica</v>
          </cell>
          <cell r="E633">
            <v>8</v>
          </cell>
          <cell r="F633" t="str">
            <v>Outros doces</v>
          </cell>
          <cell r="G633">
            <v>0</v>
          </cell>
          <cell r="H633">
            <v>7900901</v>
          </cell>
          <cell r="I633">
            <v>190190</v>
          </cell>
          <cell r="J633" t="str">
            <v>19019</v>
          </cell>
          <cell r="K633" t="str">
            <v>1901</v>
          </cell>
          <cell r="L633" t="str">
            <v>190</v>
          </cell>
          <cell r="M633" t="str">
            <v>19</v>
          </cell>
          <cell r="N633">
            <v>4</v>
          </cell>
          <cell r="O633">
            <v>4</v>
          </cell>
        </row>
        <row r="634">
          <cell r="A634">
            <v>7900903</v>
          </cell>
          <cell r="B634" t="str">
            <v>LEITE BEIJINHO</v>
          </cell>
          <cell r="C634">
            <v>99</v>
          </cell>
          <cell r="D634" t="str">
            <v>nao se aplica</v>
          </cell>
          <cell r="E634">
            <v>8</v>
          </cell>
          <cell r="F634" t="str">
            <v>Outros doces</v>
          </cell>
          <cell r="G634">
            <v>0</v>
          </cell>
          <cell r="H634">
            <v>7900903</v>
          </cell>
          <cell r="I634">
            <v>190190</v>
          </cell>
          <cell r="J634" t="str">
            <v>19019</v>
          </cell>
          <cell r="K634" t="str">
            <v>1901</v>
          </cell>
          <cell r="L634" t="str">
            <v>190</v>
          </cell>
          <cell r="M634" t="str">
            <v>19</v>
          </cell>
          <cell r="N634">
            <v>4</v>
          </cell>
          <cell r="O634">
            <v>4</v>
          </cell>
        </row>
        <row r="635">
          <cell r="A635">
            <v>7901001</v>
          </cell>
          <cell r="B635" t="str">
            <v>CREME DE LEITE</v>
          </cell>
          <cell r="C635">
            <v>99</v>
          </cell>
          <cell r="D635" t="str">
            <v>nao se aplica</v>
          </cell>
          <cell r="E635">
            <v>86</v>
          </cell>
          <cell r="F635" t="str">
            <v>Creme de leite upp</v>
          </cell>
          <cell r="G635">
            <v>0</v>
          </cell>
          <cell r="H635">
            <v>7901001</v>
          </cell>
          <cell r="I635" t="str">
            <v>040150</v>
          </cell>
          <cell r="J635" t="str">
            <v>04015</v>
          </cell>
          <cell r="K635" t="str">
            <v>0401</v>
          </cell>
          <cell r="L635" t="str">
            <v>040</v>
          </cell>
          <cell r="M635" t="str">
            <v>04</v>
          </cell>
          <cell r="N635">
            <v>1</v>
          </cell>
          <cell r="O635">
            <v>2</v>
          </cell>
        </row>
        <row r="636">
          <cell r="A636">
            <v>7901201</v>
          </cell>
          <cell r="B636" t="str">
            <v>IOGURTE DE QUALQUER SABOR</v>
          </cell>
          <cell r="C636">
            <v>99</v>
          </cell>
          <cell r="D636" t="str">
            <v>nao se aplica</v>
          </cell>
          <cell r="E636">
            <v>36</v>
          </cell>
          <cell r="F636" t="str">
            <v>Iogurtes e Bebidas lacteas</v>
          </cell>
          <cell r="G636">
            <v>0</v>
          </cell>
          <cell r="H636">
            <v>7901201</v>
          </cell>
          <cell r="I636" t="str">
            <v>040311</v>
          </cell>
          <cell r="J636" t="str">
            <v>04031</v>
          </cell>
          <cell r="K636" t="str">
            <v>0403</v>
          </cell>
          <cell r="L636" t="str">
            <v>040</v>
          </cell>
          <cell r="M636" t="str">
            <v>04</v>
          </cell>
          <cell r="N636">
            <v>1</v>
          </cell>
          <cell r="O636">
            <v>4</v>
          </cell>
        </row>
        <row r="637">
          <cell r="A637">
            <v>7901203</v>
          </cell>
          <cell r="B637" t="str">
            <v>IOGURTE DESNATADO</v>
          </cell>
          <cell r="C637">
            <v>99</v>
          </cell>
          <cell r="D637" t="str">
            <v>nao se aplica</v>
          </cell>
          <cell r="E637">
            <v>24</v>
          </cell>
          <cell r="F637" t="str">
            <v>Iorgurte natural</v>
          </cell>
          <cell r="G637">
            <v>0</v>
          </cell>
          <cell r="H637">
            <v>7901203</v>
          </cell>
          <cell r="I637" t="str">
            <v>040310</v>
          </cell>
          <cell r="J637" t="str">
            <v>04031</v>
          </cell>
          <cell r="K637" t="str">
            <v>0403</v>
          </cell>
          <cell r="L637" t="str">
            <v>040</v>
          </cell>
          <cell r="M637" t="str">
            <v>04</v>
          </cell>
          <cell r="N637">
            <v>1</v>
          </cell>
          <cell r="O637">
            <v>3</v>
          </cell>
        </row>
        <row r="638">
          <cell r="A638">
            <v>7901204</v>
          </cell>
          <cell r="B638" t="str">
            <v>IOGURTE NATURAL</v>
          </cell>
          <cell r="C638">
            <v>99</v>
          </cell>
          <cell r="D638" t="str">
            <v>nao se aplica</v>
          </cell>
          <cell r="E638">
            <v>24</v>
          </cell>
          <cell r="F638" t="str">
            <v>Iorgurte integral</v>
          </cell>
          <cell r="G638">
            <v>0</v>
          </cell>
          <cell r="H638">
            <v>7901204</v>
          </cell>
          <cell r="I638" t="str">
            <v>040310</v>
          </cell>
          <cell r="J638" t="str">
            <v>04031</v>
          </cell>
          <cell r="K638" t="str">
            <v>0403</v>
          </cell>
          <cell r="L638" t="str">
            <v>040</v>
          </cell>
          <cell r="M638" t="str">
            <v>04</v>
          </cell>
          <cell r="N638">
            <v>1</v>
          </cell>
          <cell r="O638">
            <v>3</v>
          </cell>
        </row>
        <row r="639">
          <cell r="A639">
            <v>7901301</v>
          </cell>
          <cell r="B639" t="str">
            <v>YAKULT DE QUALQUER SABOR</v>
          </cell>
          <cell r="C639">
            <v>99</v>
          </cell>
          <cell r="D639" t="str">
            <v>nao se aplica</v>
          </cell>
          <cell r="E639">
            <v>36</v>
          </cell>
          <cell r="F639" t="str">
            <v>Iogurtes e Bebidas lacteas</v>
          </cell>
          <cell r="G639">
            <v>0</v>
          </cell>
          <cell r="H639">
            <v>7901301</v>
          </cell>
          <cell r="I639">
            <v>220290</v>
          </cell>
          <cell r="J639" t="str">
            <v>22029</v>
          </cell>
          <cell r="K639" t="str">
            <v>2202</v>
          </cell>
          <cell r="L639" t="str">
            <v>220</v>
          </cell>
          <cell r="M639" t="str">
            <v>22</v>
          </cell>
          <cell r="N639">
            <v>4</v>
          </cell>
          <cell r="O639">
            <v>4</v>
          </cell>
        </row>
        <row r="640">
          <cell r="A640">
            <v>7901303</v>
          </cell>
          <cell r="B640" t="str">
            <v>BEBIDA LACTEA</v>
          </cell>
          <cell r="C640">
            <v>99</v>
          </cell>
          <cell r="D640" t="str">
            <v>nao se aplica</v>
          </cell>
          <cell r="E640">
            <v>36</v>
          </cell>
          <cell r="F640" t="str">
            <v>Iogurtes e Bebidas lacteas</v>
          </cell>
          <cell r="G640">
            <v>0</v>
          </cell>
          <cell r="H640">
            <v>7901303</v>
          </cell>
          <cell r="I640">
            <v>220290</v>
          </cell>
          <cell r="J640" t="str">
            <v>22029</v>
          </cell>
          <cell r="K640" t="str">
            <v>2202</v>
          </cell>
          <cell r="L640" t="str">
            <v>220</v>
          </cell>
          <cell r="M640" t="str">
            <v>22</v>
          </cell>
          <cell r="N640">
            <v>4</v>
          </cell>
          <cell r="O640">
            <v>4</v>
          </cell>
        </row>
        <row r="641">
          <cell r="A641">
            <v>7901304</v>
          </cell>
          <cell r="B641" t="str">
            <v>LEITE FERMENTADO</v>
          </cell>
          <cell r="C641">
            <v>99</v>
          </cell>
          <cell r="D641" t="str">
            <v>nao se aplica</v>
          </cell>
          <cell r="E641">
            <v>36</v>
          </cell>
          <cell r="F641" t="str">
            <v>Iogurtes e Bebidas lacteas</v>
          </cell>
          <cell r="G641">
            <v>0</v>
          </cell>
          <cell r="H641" t="e">
            <v>#N/A</v>
          </cell>
          <cell r="I641">
            <v>220290</v>
          </cell>
          <cell r="J641" t="str">
            <v>22029</v>
          </cell>
          <cell r="K641" t="str">
            <v>2202</v>
          </cell>
          <cell r="L641" t="str">
            <v>220</v>
          </cell>
          <cell r="M641" t="str">
            <v>22</v>
          </cell>
          <cell r="N641">
            <v>4</v>
          </cell>
          <cell r="O641">
            <v>4</v>
          </cell>
        </row>
        <row r="642">
          <cell r="A642">
            <v>7901401</v>
          </cell>
          <cell r="B642" t="str">
            <v>COALHADA</v>
          </cell>
          <cell r="C642">
            <v>99</v>
          </cell>
          <cell r="D642" t="str">
            <v>nao se aplica</v>
          </cell>
          <cell r="E642">
            <v>24</v>
          </cell>
          <cell r="F642" t="str">
            <v>Iogurte natural</v>
          </cell>
          <cell r="G642">
            <v>0</v>
          </cell>
          <cell r="H642" t="e">
            <v>#N/A</v>
          </cell>
          <cell r="I642" t="str">
            <v>040390</v>
          </cell>
          <cell r="J642" t="str">
            <v>04039</v>
          </cell>
          <cell r="K642" t="str">
            <v>0403</v>
          </cell>
          <cell r="L642" t="str">
            <v>040</v>
          </cell>
          <cell r="M642" t="str">
            <v>04</v>
          </cell>
          <cell r="N642">
            <v>1</v>
          </cell>
          <cell r="O642">
            <v>2</v>
          </cell>
        </row>
        <row r="643">
          <cell r="A643">
            <v>7901501</v>
          </cell>
          <cell r="B643" t="str">
            <v>MANTEIGA COM OU SEM SAL</v>
          </cell>
          <cell r="C643">
            <v>99</v>
          </cell>
          <cell r="D643" t="str">
            <v>nao se aplica</v>
          </cell>
          <cell r="E643">
            <v>45</v>
          </cell>
          <cell r="F643" t="str">
            <v>Manteiga</v>
          </cell>
          <cell r="G643">
            <v>0</v>
          </cell>
          <cell r="H643">
            <v>7901501</v>
          </cell>
          <cell r="I643" t="str">
            <v>040510</v>
          </cell>
          <cell r="J643" t="str">
            <v>04051</v>
          </cell>
          <cell r="K643" t="str">
            <v>0405</v>
          </cell>
          <cell r="L643" t="str">
            <v>040</v>
          </cell>
          <cell r="M643" t="str">
            <v>04</v>
          </cell>
          <cell r="N643">
            <v>1</v>
          </cell>
          <cell r="O643">
            <v>2</v>
          </cell>
        </row>
        <row r="644">
          <cell r="A644">
            <v>7901505</v>
          </cell>
          <cell r="B644" t="str">
            <v>MANTEIGA DE GARRAFA</v>
          </cell>
          <cell r="C644">
            <v>99</v>
          </cell>
          <cell r="D644" t="str">
            <v>nao se aplica</v>
          </cell>
          <cell r="E644">
            <v>45</v>
          </cell>
          <cell r="F644" t="str">
            <v>Manteiga</v>
          </cell>
          <cell r="G644">
            <v>0</v>
          </cell>
          <cell r="H644" t="e">
            <v>#N/A</v>
          </cell>
          <cell r="I644" t="str">
            <v>040510</v>
          </cell>
          <cell r="J644" t="str">
            <v>04051</v>
          </cell>
          <cell r="K644" t="str">
            <v>0405</v>
          </cell>
          <cell r="L644" t="str">
            <v>040</v>
          </cell>
          <cell r="M644" t="str">
            <v>04</v>
          </cell>
          <cell r="N644">
            <v>1</v>
          </cell>
          <cell r="O644">
            <v>2</v>
          </cell>
        </row>
        <row r="645">
          <cell r="A645">
            <v>7901602</v>
          </cell>
          <cell r="B645" t="str">
            <v>MARGARINA COM OU SEM SAL</v>
          </cell>
          <cell r="C645">
            <v>99</v>
          </cell>
          <cell r="D645" t="str">
            <v>nao se aplica</v>
          </cell>
          <cell r="E645">
            <v>2</v>
          </cell>
          <cell r="F645" t="str">
            <v>Margarina</v>
          </cell>
          <cell r="G645">
            <v>0</v>
          </cell>
          <cell r="H645">
            <v>7901602</v>
          </cell>
          <cell r="I645">
            <v>151710</v>
          </cell>
          <cell r="J645" t="str">
            <v>15171</v>
          </cell>
          <cell r="K645" t="str">
            <v>1517</v>
          </cell>
          <cell r="L645" t="str">
            <v>151</v>
          </cell>
          <cell r="M645" t="str">
            <v>15</v>
          </cell>
          <cell r="N645">
            <v>3</v>
          </cell>
          <cell r="O645">
            <v>4</v>
          </cell>
        </row>
        <row r="646">
          <cell r="A646">
            <v>7901701</v>
          </cell>
          <cell r="B646" t="str">
            <v>QUEIJO PRATO</v>
          </cell>
          <cell r="C646">
            <v>99</v>
          </cell>
          <cell r="D646" t="str">
            <v>nao se aplica</v>
          </cell>
          <cell r="E646">
            <v>37</v>
          </cell>
          <cell r="F646" t="str">
            <v>Queijos processados</v>
          </cell>
          <cell r="G646">
            <v>0</v>
          </cell>
          <cell r="H646">
            <v>7901701</v>
          </cell>
          <cell r="I646" t="str">
            <v>040630</v>
          </cell>
          <cell r="J646" t="str">
            <v>04063</v>
          </cell>
          <cell r="K646" t="str">
            <v>0406</v>
          </cell>
          <cell r="L646" t="str">
            <v>040</v>
          </cell>
          <cell r="M646" t="str">
            <v>04</v>
          </cell>
          <cell r="N646">
            <v>1</v>
          </cell>
          <cell r="O646">
            <v>3</v>
          </cell>
        </row>
        <row r="647">
          <cell r="A647">
            <v>7901703</v>
          </cell>
          <cell r="B647" t="str">
            <v>QUEIJO COLONIAL</v>
          </cell>
          <cell r="C647">
            <v>99</v>
          </cell>
          <cell r="D647" t="str">
            <v>nao se aplica</v>
          </cell>
          <cell r="E647">
            <v>37</v>
          </cell>
          <cell r="F647" t="str">
            <v>Queijos processados</v>
          </cell>
          <cell r="G647">
            <v>0</v>
          </cell>
          <cell r="H647" t="e">
            <v>#N/A</v>
          </cell>
          <cell r="I647" t="str">
            <v>040630</v>
          </cell>
          <cell r="J647" t="str">
            <v>04063</v>
          </cell>
          <cell r="K647" t="str">
            <v>0406</v>
          </cell>
          <cell r="L647" t="str">
            <v>040</v>
          </cell>
          <cell r="M647" t="str">
            <v>04</v>
          </cell>
          <cell r="N647">
            <v>1</v>
          </cell>
          <cell r="O647">
            <v>3</v>
          </cell>
        </row>
        <row r="648">
          <cell r="A648">
            <v>7901705</v>
          </cell>
          <cell r="B648" t="str">
            <v>QUEIJO DE COLONIA</v>
          </cell>
          <cell r="C648">
            <v>99</v>
          </cell>
          <cell r="D648" t="str">
            <v>nao se aplica</v>
          </cell>
          <cell r="E648">
            <v>37</v>
          </cell>
          <cell r="F648" t="str">
            <v>Queijos processados</v>
          </cell>
          <cell r="G648">
            <v>0</v>
          </cell>
          <cell r="H648" t="e">
            <v>#N/A</v>
          </cell>
          <cell r="I648" t="str">
            <v>040630</v>
          </cell>
          <cell r="J648" t="str">
            <v>04063</v>
          </cell>
          <cell r="K648" t="str">
            <v>0406</v>
          </cell>
          <cell r="L648" t="str">
            <v>040</v>
          </cell>
          <cell r="M648" t="str">
            <v>04</v>
          </cell>
          <cell r="N648">
            <v>1</v>
          </cell>
          <cell r="O648">
            <v>3</v>
          </cell>
        </row>
        <row r="649">
          <cell r="A649">
            <v>7901801</v>
          </cell>
          <cell r="B649" t="str">
            <v>QUEIJO MUZARELLA</v>
          </cell>
          <cell r="C649">
            <v>99</v>
          </cell>
          <cell r="D649" t="str">
            <v>nao se aplica</v>
          </cell>
          <cell r="E649">
            <v>37</v>
          </cell>
          <cell r="F649" t="str">
            <v>Queijos processados</v>
          </cell>
          <cell r="G649">
            <v>0</v>
          </cell>
          <cell r="H649" t="e">
            <v>#N/A</v>
          </cell>
          <cell r="I649" t="str">
            <v>040611</v>
          </cell>
          <cell r="J649" t="str">
            <v>04061</v>
          </cell>
          <cell r="K649" t="str">
            <v>0406</v>
          </cell>
          <cell r="L649" t="str">
            <v>040</v>
          </cell>
          <cell r="M649" t="str">
            <v>04</v>
          </cell>
          <cell r="N649">
            <v>1</v>
          </cell>
          <cell r="O649">
            <v>3</v>
          </cell>
        </row>
        <row r="650">
          <cell r="A650">
            <v>7901803</v>
          </cell>
          <cell r="B650" t="str">
            <v>MUSSARELA</v>
          </cell>
          <cell r="C650">
            <v>99</v>
          </cell>
          <cell r="D650" t="str">
            <v>nao se aplica</v>
          </cell>
          <cell r="E650">
            <v>37</v>
          </cell>
          <cell r="F650" t="str">
            <v>Queijos processados</v>
          </cell>
          <cell r="G650">
            <v>0</v>
          </cell>
          <cell r="H650">
            <v>7901803</v>
          </cell>
          <cell r="I650" t="str">
            <v>040611</v>
          </cell>
          <cell r="J650" t="str">
            <v>04061</v>
          </cell>
          <cell r="K650" t="str">
            <v>0406</v>
          </cell>
          <cell r="L650" t="str">
            <v>040</v>
          </cell>
          <cell r="M650" t="str">
            <v>04</v>
          </cell>
          <cell r="N650">
            <v>1</v>
          </cell>
          <cell r="O650">
            <v>3</v>
          </cell>
        </row>
        <row r="651">
          <cell r="A651">
            <v>7901807</v>
          </cell>
          <cell r="B651" t="str">
            <v>MUSSARELA DE BUFALA</v>
          </cell>
          <cell r="C651">
            <v>99</v>
          </cell>
          <cell r="D651" t="str">
            <v>nao se aplica</v>
          </cell>
          <cell r="E651">
            <v>37</v>
          </cell>
          <cell r="F651" t="str">
            <v>Queijos processados</v>
          </cell>
          <cell r="G651">
            <v>0</v>
          </cell>
          <cell r="H651">
            <v>7901807</v>
          </cell>
          <cell r="I651" t="str">
            <v>040611</v>
          </cell>
          <cell r="J651" t="str">
            <v>04061</v>
          </cell>
          <cell r="K651" t="str">
            <v>0406</v>
          </cell>
          <cell r="L651" t="str">
            <v>040</v>
          </cell>
          <cell r="M651" t="str">
            <v>04</v>
          </cell>
          <cell r="N651">
            <v>1</v>
          </cell>
          <cell r="O651">
            <v>3</v>
          </cell>
        </row>
        <row r="652">
          <cell r="A652">
            <v>7901809</v>
          </cell>
          <cell r="B652" t="str">
            <v>QUEIJO DE BUFALO</v>
          </cell>
          <cell r="C652">
            <v>99</v>
          </cell>
          <cell r="D652" t="str">
            <v>nao se aplica</v>
          </cell>
          <cell r="E652">
            <v>37</v>
          </cell>
          <cell r="F652" t="str">
            <v>Queijos processados</v>
          </cell>
          <cell r="G652">
            <v>0</v>
          </cell>
          <cell r="H652" t="e">
            <v>#N/A</v>
          </cell>
          <cell r="I652" t="str">
            <v>040611</v>
          </cell>
          <cell r="J652" t="str">
            <v>04061</v>
          </cell>
          <cell r="K652" t="str">
            <v>0406</v>
          </cell>
          <cell r="L652" t="str">
            <v>040</v>
          </cell>
          <cell r="M652" t="str">
            <v>04</v>
          </cell>
          <cell r="N652">
            <v>1</v>
          </cell>
          <cell r="O652">
            <v>3</v>
          </cell>
        </row>
        <row r="653">
          <cell r="A653">
            <v>7901901</v>
          </cell>
          <cell r="B653" t="str">
            <v>QUEIJO DE REINO</v>
          </cell>
          <cell r="C653">
            <v>99</v>
          </cell>
          <cell r="D653" t="str">
            <v>nao se aplica</v>
          </cell>
          <cell r="E653">
            <v>37</v>
          </cell>
          <cell r="F653" t="str">
            <v>Queijos processados</v>
          </cell>
          <cell r="G653">
            <v>0</v>
          </cell>
          <cell r="H653" t="e">
            <v>#N/A</v>
          </cell>
          <cell r="I653" t="str">
            <v>040630</v>
          </cell>
          <cell r="J653" t="str">
            <v>04063</v>
          </cell>
          <cell r="K653" t="str">
            <v>0406</v>
          </cell>
          <cell r="L653" t="str">
            <v>040</v>
          </cell>
          <cell r="M653" t="str">
            <v>04</v>
          </cell>
          <cell r="N653">
            <v>1</v>
          </cell>
          <cell r="O653">
            <v>3</v>
          </cell>
        </row>
        <row r="654">
          <cell r="A654">
            <v>7902001</v>
          </cell>
          <cell r="B654" t="str">
            <v>QUEIJO DE MINAS</v>
          </cell>
          <cell r="C654">
            <v>99</v>
          </cell>
          <cell r="D654" t="str">
            <v>nao se aplica</v>
          </cell>
          <cell r="E654">
            <v>37</v>
          </cell>
          <cell r="F654" t="str">
            <v>Queijos processados</v>
          </cell>
          <cell r="G654">
            <v>0</v>
          </cell>
          <cell r="H654">
            <v>7902001</v>
          </cell>
          <cell r="I654" t="str">
            <v>040610</v>
          </cell>
          <cell r="J654" t="str">
            <v>04061</v>
          </cell>
          <cell r="K654" t="str">
            <v>0406</v>
          </cell>
          <cell r="L654" t="str">
            <v>040</v>
          </cell>
          <cell r="M654" t="str">
            <v>04</v>
          </cell>
          <cell r="N654">
            <v>1</v>
          </cell>
          <cell r="O654">
            <v>3</v>
          </cell>
        </row>
        <row r="655">
          <cell r="A655">
            <v>7902003</v>
          </cell>
          <cell r="B655" t="str">
            <v>QUEIJO DE MANTEIGA</v>
          </cell>
          <cell r="C655">
            <v>99</v>
          </cell>
          <cell r="D655" t="str">
            <v>nao se aplica</v>
          </cell>
          <cell r="E655">
            <v>37</v>
          </cell>
          <cell r="F655" t="str">
            <v>Queijos processados</v>
          </cell>
          <cell r="G655">
            <v>0</v>
          </cell>
          <cell r="H655" t="e">
            <v>#N/A</v>
          </cell>
          <cell r="I655" t="str">
            <v>040630</v>
          </cell>
          <cell r="J655" t="str">
            <v>04063</v>
          </cell>
          <cell r="K655" t="str">
            <v>0406</v>
          </cell>
          <cell r="L655" t="str">
            <v>040</v>
          </cell>
          <cell r="M655" t="str">
            <v>04</v>
          </cell>
          <cell r="N655">
            <v>1</v>
          </cell>
          <cell r="O655">
            <v>3</v>
          </cell>
        </row>
        <row r="656">
          <cell r="A656">
            <v>7902004</v>
          </cell>
          <cell r="B656" t="str">
            <v>QUECHIMIA</v>
          </cell>
          <cell r="C656">
            <v>99</v>
          </cell>
          <cell r="D656" t="str">
            <v>nao se aplica</v>
          </cell>
          <cell r="E656">
            <v>37</v>
          </cell>
          <cell r="F656" t="str">
            <v>Queijos processados</v>
          </cell>
          <cell r="G656">
            <v>0</v>
          </cell>
          <cell r="H656" t="e">
            <v>#N/A</v>
          </cell>
          <cell r="I656">
            <v>200799</v>
          </cell>
          <cell r="J656" t="str">
            <v>20079</v>
          </cell>
          <cell r="K656" t="str">
            <v>2007</v>
          </cell>
          <cell r="L656" t="str">
            <v>200</v>
          </cell>
          <cell r="M656" t="str">
            <v>20</v>
          </cell>
          <cell r="N656">
            <v>4</v>
          </cell>
          <cell r="O656">
            <v>4</v>
          </cell>
        </row>
        <row r="657">
          <cell r="A657">
            <v>7902005</v>
          </cell>
          <cell r="B657" t="str">
            <v>QUEIJO DE COALHO</v>
          </cell>
          <cell r="C657">
            <v>99</v>
          </cell>
          <cell r="D657" t="str">
            <v>nao se aplica</v>
          </cell>
          <cell r="E657">
            <v>37</v>
          </cell>
          <cell r="F657" t="str">
            <v>Queijos processados</v>
          </cell>
          <cell r="G657">
            <v>0</v>
          </cell>
          <cell r="H657">
            <v>7902005</v>
          </cell>
          <cell r="I657" t="str">
            <v>040630</v>
          </cell>
          <cell r="J657" t="str">
            <v>04063</v>
          </cell>
          <cell r="K657" t="str">
            <v>0406</v>
          </cell>
          <cell r="L657" t="str">
            <v>040</v>
          </cell>
          <cell r="M657" t="str">
            <v>04</v>
          </cell>
          <cell r="N657">
            <v>1</v>
          </cell>
          <cell r="O657">
            <v>3</v>
          </cell>
        </row>
        <row r="658">
          <cell r="A658">
            <v>7902008</v>
          </cell>
          <cell r="B658" t="str">
            <v>QUEIJO CANASTRA</v>
          </cell>
          <cell r="C658">
            <v>99</v>
          </cell>
          <cell r="D658" t="str">
            <v>nao se aplica</v>
          </cell>
          <cell r="E658">
            <v>37</v>
          </cell>
          <cell r="F658" t="str">
            <v>Queijos processados</v>
          </cell>
          <cell r="G658">
            <v>0</v>
          </cell>
          <cell r="H658" t="e">
            <v>#N/A</v>
          </cell>
          <cell r="I658" t="str">
            <v>040630</v>
          </cell>
          <cell r="J658" t="str">
            <v>04063</v>
          </cell>
          <cell r="K658" t="str">
            <v>0406</v>
          </cell>
          <cell r="L658" t="str">
            <v>040</v>
          </cell>
          <cell r="M658" t="str">
            <v>04</v>
          </cell>
          <cell r="N658">
            <v>1</v>
          </cell>
          <cell r="O658">
            <v>3</v>
          </cell>
        </row>
        <row r="659">
          <cell r="A659">
            <v>7902201</v>
          </cell>
          <cell r="B659" t="str">
            <v>QUEIJO RICOTA</v>
          </cell>
          <cell r="C659">
            <v>99</v>
          </cell>
          <cell r="D659" t="str">
            <v>nao se aplica</v>
          </cell>
          <cell r="E659">
            <v>37</v>
          </cell>
          <cell r="F659" t="str">
            <v>Queijos processados</v>
          </cell>
          <cell r="G659">
            <v>0</v>
          </cell>
          <cell r="H659">
            <v>7902201</v>
          </cell>
          <cell r="I659" t="str">
            <v>040612</v>
          </cell>
          <cell r="J659" t="str">
            <v>04061</v>
          </cell>
          <cell r="K659" t="str">
            <v>0406</v>
          </cell>
          <cell r="L659" t="str">
            <v>040</v>
          </cell>
          <cell r="M659" t="str">
            <v>04</v>
          </cell>
          <cell r="N659">
            <v>1</v>
          </cell>
          <cell r="O659">
            <v>3</v>
          </cell>
        </row>
        <row r="660">
          <cell r="A660">
            <v>7902301</v>
          </cell>
          <cell r="B660" t="str">
            <v>LEITE DE SOJA COM SABOR</v>
          </cell>
          <cell r="C660">
            <v>99</v>
          </cell>
          <cell r="D660" t="str">
            <v>nao se aplica</v>
          </cell>
          <cell r="E660">
            <v>18</v>
          </cell>
          <cell r="F660" t="str">
            <v xml:space="preserve">Outras bebidas nao alcoolicas </v>
          </cell>
          <cell r="G660">
            <v>0</v>
          </cell>
          <cell r="H660">
            <v>7902301</v>
          </cell>
          <cell r="I660">
            <v>220290</v>
          </cell>
          <cell r="J660" t="str">
            <v>22029</v>
          </cell>
          <cell r="K660" t="str">
            <v>2202</v>
          </cell>
          <cell r="L660" t="str">
            <v>220</v>
          </cell>
          <cell r="M660" t="str">
            <v>22</v>
          </cell>
          <cell r="N660">
            <v>4</v>
          </cell>
          <cell r="O660">
            <v>4</v>
          </cell>
        </row>
        <row r="661">
          <cell r="A661">
            <v>7902303</v>
          </cell>
          <cell r="B661" t="str">
            <v>ADES ORIGINAL</v>
          </cell>
          <cell r="C661">
            <v>99</v>
          </cell>
          <cell r="D661" t="str">
            <v>nao se aplica</v>
          </cell>
          <cell r="E661">
            <v>18</v>
          </cell>
          <cell r="F661" t="str">
            <v xml:space="preserve">Outras bebidas nao alcoolicas </v>
          </cell>
          <cell r="G661">
            <v>0</v>
          </cell>
          <cell r="H661">
            <v>7902303</v>
          </cell>
          <cell r="I661">
            <v>220290</v>
          </cell>
          <cell r="J661" t="str">
            <v>22029</v>
          </cell>
          <cell r="K661" t="str">
            <v>2202</v>
          </cell>
          <cell r="L661" t="str">
            <v>220</v>
          </cell>
          <cell r="M661" t="str">
            <v>22</v>
          </cell>
          <cell r="N661">
            <v>4</v>
          </cell>
          <cell r="O661">
            <v>4</v>
          </cell>
        </row>
        <row r="662">
          <cell r="A662">
            <v>7902403</v>
          </cell>
          <cell r="B662" t="str">
            <v>QUEIJO RALADO</v>
          </cell>
          <cell r="C662">
            <v>99</v>
          </cell>
          <cell r="D662" t="str">
            <v>nao se aplica</v>
          </cell>
          <cell r="E662">
            <v>37</v>
          </cell>
          <cell r="F662" t="str">
            <v>Queijos processados</v>
          </cell>
          <cell r="G662">
            <v>0</v>
          </cell>
          <cell r="H662">
            <v>7902403</v>
          </cell>
          <cell r="I662" t="str">
            <v>040620</v>
          </cell>
          <cell r="J662" t="str">
            <v>04062</v>
          </cell>
          <cell r="K662" t="str">
            <v>0406</v>
          </cell>
          <cell r="L662" t="str">
            <v>040</v>
          </cell>
          <cell r="M662" t="str">
            <v>04</v>
          </cell>
          <cell r="N662">
            <v>1</v>
          </cell>
          <cell r="O662">
            <v>3</v>
          </cell>
        </row>
        <row r="663">
          <cell r="A663">
            <v>7902501</v>
          </cell>
          <cell r="B663" t="str">
            <v>QUEIJO PROVOLONE</v>
          </cell>
          <cell r="C663">
            <v>99</v>
          </cell>
          <cell r="D663" t="str">
            <v>nao se aplica</v>
          </cell>
          <cell r="E663">
            <v>37</v>
          </cell>
          <cell r="F663" t="str">
            <v>Queijos processados</v>
          </cell>
          <cell r="G663">
            <v>0</v>
          </cell>
          <cell r="H663" t="e">
            <v>#N/A</v>
          </cell>
          <cell r="I663" t="str">
            <v>040630</v>
          </cell>
          <cell r="J663" t="str">
            <v>04063</v>
          </cell>
          <cell r="K663" t="str">
            <v>0406</v>
          </cell>
          <cell r="L663" t="str">
            <v>040</v>
          </cell>
          <cell r="M663" t="str">
            <v>04</v>
          </cell>
          <cell r="N663">
            <v>1</v>
          </cell>
          <cell r="O663">
            <v>3</v>
          </cell>
        </row>
        <row r="664">
          <cell r="A664">
            <v>7902801</v>
          </cell>
          <cell r="B664" t="str">
            <v>QUEIJO POLENGUINHO</v>
          </cell>
          <cell r="C664">
            <v>99</v>
          </cell>
          <cell r="D664" t="str">
            <v>nao se aplica</v>
          </cell>
          <cell r="E664">
            <v>85</v>
          </cell>
          <cell r="F664" t="str">
            <v>Queijos ultraprocessados</v>
          </cell>
          <cell r="G664">
            <v>0</v>
          </cell>
          <cell r="H664">
            <v>7902801</v>
          </cell>
          <cell r="I664" t="str">
            <v>040630</v>
          </cell>
          <cell r="J664" t="str">
            <v>04063</v>
          </cell>
          <cell r="K664" t="str">
            <v>0406</v>
          </cell>
          <cell r="L664" t="str">
            <v>040</v>
          </cell>
          <cell r="M664" t="str">
            <v>04</v>
          </cell>
          <cell r="N664">
            <v>1</v>
          </cell>
          <cell r="O664">
            <v>3</v>
          </cell>
        </row>
        <row r="665">
          <cell r="A665">
            <v>7902901</v>
          </cell>
          <cell r="B665" t="str">
            <v>REQUEIJAO</v>
          </cell>
          <cell r="C665">
            <v>99</v>
          </cell>
          <cell r="D665" t="str">
            <v>nao se aplica</v>
          </cell>
          <cell r="E665">
            <v>85</v>
          </cell>
          <cell r="F665" t="str">
            <v>Queijos ultraprocessados</v>
          </cell>
          <cell r="G665">
            <v>0</v>
          </cell>
          <cell r="H665">
            <v>7902901</v>
          </cell>
          <cell r="I665" t="str">
            <v>040612</v>
          </cell>
          <cell r="J665" t="str">
            <v>04061</v>
          </cell>
          <cell r="K665" t="str">
            <v>0406</v>
          </cell>
          <cell r="L665" t="str">
            <v>040</v>
          </cell>
          <cell r="M665" t="str">
            <v>04</v>
          </cell>
          <cell r="N665">
            <v>1</v>
          </cell>
          <cell r="O665">
            <v>3</v>
          </cell>
        </row>
        <row r="666">
          <cell r="A666">
            <v>7902902</v>
          </cell>
          <cell r="B666" t="str">
            <v>QUEIJO CREMOSO</v>
          </cell>
          <cell r="C666">
            <v>99</v>
          </cell>
          <cell r="D666" t="str">
            <v>nao se aplica</v>
          </cell>
          <cell r="E666">
            <v>85</v>
          </cell>
          <cell r="F666" t="str">
            <v>Queijos ultraprocessados</v>
          </cell>
          <cell r="G666">
            <v>0</v>
          </cell>
          <cell r="H666">
            <v>7902902</v>
          </cell>
          <cell r="I666" t="str">
            <v>040610</v>
          </cell>
          <cell r="J666" t="str">
            <v>04061</v>
          </cell>
          <cell r="K666" t="str">
            <v>0406</v>
          </cell>
          <cell r="L666" t="str">
            <v>040</v>
          </cell>
          <cell r="M666" t="str">
            <v>04</v>
          </cell>
          <cell r="N666">
            <v>1</v>
          </cell>
          <cell r="O666">
            <v>3</v>
          </cell>
        </row>
        <row r="667">
          <cell r="A667">
            <v>7903001</v>
          </cell>
          <cell r="B667" t="str">
            <v>QUEIJO NAO ESPECIFICADO</v>
          </cell>
          <cell r="C667">
            <v>99</v>
          </cell>
          <cell r="D667" t="str">
            <v>nao se aplica</v>
          </cell>
          <cell r="E667">
            <v>37</v>
          </cell>
          <cell r="F667" t="str">
            <v>Queijos processados</v>
          </cell>
          <cell r="G667">
            <v>0</v>
          </cell>
          <cell r="H667" t="e">
            <v>#N/A</v>
          </cell>
          <cell r="I667" t="str">
            <v>040610</v>
          </cell>
          <cell r="J667" t="str">
            <v>04061</v>
          </cell>
          <cell r="K667" t="str">
            <v>0406</v>
          </cell>
          <cell r="L667" t="str">
            <v>040</v>
          </cell>
          <cell r="M667" t="str">
            <v>04</v>
          </cell>
          <cell r="N667">
            <v>1</v>
          </cell>
          <cell r="O667">
            <v>3</v>
          </cell>
        </row>
        <row r="668">
          <cell r="A668">
            <v>7903101</v>
          </cell>
          <cell r="B668" t="str">
            <v>LEITE COM SABOR</v>
          </cell>
          <cell r="C668">
            <v>99</v>
          </cell>
          <cell r="D668" t="str">
            <v>nao se aplica</v>
          </cell>
          <cell r="E668">
            <v>36</v>
          </cell>
          <cell r="F668" t="str">
            <v>Iogurtes e Bebidas lacteas</v>
          </cell>
          <cell r="G668">
            <v>0</v>
          </cell>
          <cell r="H668" t="e">
            <v>#N/A</v>
          </cell>
          <cell r="I668">
            <v>220290</v>
          </cell>
          <cell r="J668" t="str">
            <v>22029</v>
          </cell>
          <cell r="K668" t="str">
            <v>2202</v>
          </cell>
          <cell r="L668" t="str">
            <v>220</v>
          </cell>
          <cell r="M668" t="str">
            <v>22</v>
          </cell>
          <cell r="N668">
            <v>4</v>
          </cell>
          <cell r="O668">
            <v>4</v>
          </cell>
        </row>
        <row r="669">
          <cell r="A669">
            <v>7903102</v>
          </cell>
          <cell r="B669" t="str">
            <v>LEITE ACHOCOLATADO</v>
          </cell>
          <cell r="C669">
            <v>99</v>
          </cell>
          <cell r="D669" t="str">
            <v>nao se aplica</v>
          </cell>
          <cell r="E669">
            <v>36</v>
          </cell>
          <cell r="F669" t="str">
            <v>Iogurtes e Bebidas lacteas</v>
          </cell>
          <cell r="G669">
            <v>0</v>
          </cell>
          <cell r="H669" t="e">
            <v>#N/A</v>
          </cell>
          <cell r="I669">
            <v>220290</v>
          </cell>
          <cell r="J669" t="str">
            <v>22029</v>
          </cell>
          <cell r="K669" t="str">
            <v>2202</v>
          </cell>
          <cell r="L669" t="str">
            <v>220</v>
          </cell>
          <cell r="M669" t="str">
            <v>22</v>
          </cell>
          <cell r="N669">
            <v>4</v>
          </cell>
          <cell r="O669">
            <v>4</v>
          </cell>
        </row>
        <row r="670">
          <cell r="A670">
            <v>7903109</v>
          </cell>
          <cell r="B670" t="str">
            <v>LEITE AROMATIZADO</v>
          </cell>
          <cell r="C670">
            <v>99</v>
          </cell>
          <cell r="D670" t="str">
            <v>nao se aplica</v>
          </cell>
          <cell r="E670">
            <v>36</v>
          </cell>
          <cell r="F670" t="str">
            <v>Iogurtes e Bebidas lacteas</v>
          </cell>
          <cell r="G670">
            <v>0</v>
          </cell>
          <cell r="H670" t="e">
            <v>#N/A</v>
          </cell>
          <cell r="I670">
            <v>220290</v>
          </cell>
          <cell r="J670" t="str">
            <v>22029</v>
          </cell>
          <cell r="K670" t="str">
            <v>2202</v>
          </cell>
          <cell r="L670" t="str">
            <v>220</v>
          </cell>
          <cell r="M670" t="str">
            <v>22</v>
          </cell>
          <cell r="N670">
            <v>4</v>
          </cell>
          <cell r="O670">
            <v>4</v>
          </cell>
        </row>
        <row r="671">
          <cell r="A671">
            <v>7903110</v>
          </cell>
          <cell r="B671" t="str">
            <v>BEBIDA ACHOCOLATADA</v>
          </cell>
          <cell r="C671">
            <v>99</v>
          </cell>
          <cell r="D671" t="str">
            <v>nao se aplica</v>
          </cell>
          <cell r="E671">
            <v>36</v>
          </cell>
          <cell r="F671" t="str">
            <v>Iogurtes e Bebidas lacteas</v>
          </cell>
          <cell r="G671">
            <v>0</v>
          </cell>
          <cell r="H671" t="e">
            <v>#N/A</v>
          </cell>
          <cell r="I671">
            <v>220290</v>
          </cell>
          <cell r="J671" t="str">
            <v>22029</v>
          </cell>
          <cell r="K671" t="str">
            <v>2202</v>
          </cell>
          <cell r="L671" t="str">
            <v>220</v>
          </cell>
          <cell r="M671" t="str">
            <v>22</v>
          </cell>
          <cell r="N671">
            <v>4</v>
          </cell>
          <cell r="O671">
            <v>4</v>
          </cell>
        </row>
        <row r="672">
          <cell r="A672">
            <v>7903201</v>
          </cell>
          <cell r="B672" t="str">
            <v>NATA</v>
          </cell>
          <cell r="C672">
            <v>99</v>
          </cell>
          <cell r="D672" t="str">
            <v>nao se aplica</v>
          </cell>
          <cell r="E672">
            <v>60</v>
          </cell>
          <cell r="F672" t="str">
            <v>Nata</v>
          </cell>
          <cell r="G672">
            <v>0</v>
          </cell>
          <cell r="H672" t="e">
            <v>#N/A</v>
          </cell>
          <cell r="I672" t="str">
            <v>040150</v>
          </cell>
          <cell r="J672" t="str">
            <v>04015</v>
          </cell>
          <cell r="K672" t="str">
            <v>0401</v>
          </cell>
          <cell r="L672" t="str">
            <v>040</v>
          </cell>
          <cell r="M672" t="str">
            <v>04</v>
          </cell>
          <cell r="N672">
            <v>1</v>
          </cell>
          <cell r="O672">
            <v>2</v>
          </cell>
        </row>
        <row r="673">
          <cell r="A673">
            <v>7903301</v>
          </cell>
          <cell r="B673" t="str">
            <v>QUEIJO GORGONZOLA</v>
          </cell>
          <cell r="C673">
            <v>99</v>
          </cell>
          <cell r="D673" t="str">
            <v>nao se aplica</v>
          </cell>
          <cell r="E673">
            <v>37</v>
          </cell>
          <cell r="F673" t="str">
            <v>Queijos processados</v>
          </cell>
          <cell r="G673">
            <v>0</v>
          </cell>
          <cell r="H673" t="e">
            <v>#N/A</v>
          </cell>
          <cell r="I673" t="str">
            <v>040640</v>
          </cell>
          <cell r="J673" t="str">
            <v>04064</v>
          </cell>
          <cell r="K673" t="str">
            <v>0406</v>
          </cell>
          <cell r="L673" t="str">
            <v>040</v>
          </cell>
          <cell r="M673" t="str">
            <v>04</v>
          </cell>
          <cell r="N673">
            <v>1</v>
          </cell>
          <cell r="O673">
            <v>3</v>
          </cell>
        </row>
        <row r="674">
          <cell r="A674">
            <v>7903402</v>
          </cell>
          <cell r="B674" t="str">
            <v>TOFU</v>
          </cell>
          <cell r="C674">
            <v>99</v>
          </cell>
          <cell r="D674" t="str">
            <v>nao se aplica</v>
          </cell>
          <cell r="E674">
            <v>96</v>
          </cell>
          <cell r="F674" t="str">
            <v>Outros alimentos processados</v>
          </cell>
          <cell r="G674">
            <v>0</v>
          </cell>
          <cell r="H674">
            <v>7903402</v>
          </cell>
          <cell r="I674">
            <v>200510</v>
          </cell>
          <cell r="J674" t="str">
            <v>20051</v>
          </cell>
          <cell r="K674" t="str">
            <v>2005</v>
          </cell>
          <cell r="L674" t="str">
            <v>200</v>
          </cell>
          <cell r="M674" t="str">
            <v>20</v>
          </cell>
          <cell r="N674">
            <v>2</v>
          </cell>
          <cell r="O674">
            <v>4</v>
          </cell>
        </row>
        <row r="675">
          <cell r="A675">
            <v>7903501</v>
          </cell>
          <cell r="B675" t="str">
            <v>LEITE DE SOJA EM PO</v>
          </cell>
          <cell r="C675">
            <v>99</v>
          </cell>
          <cell r="D675" t="str">
            <v>nao se aplica</v>
          </cell>
          <cell r="E675">
            <v>18</v>
          </cell>
          <cell r="F675" t="str">
            <v xml:space="preserve">Outras bebidas nao alcoolicas </v>
          </cell>
          <cell r="G675">
            <v>0</v>
          </cell>
          <cell r="H675">
            <v>7903501</v>
          </cell>
          <cell r="I675">
            <v>220290</v>
          </cell>
          <cell r="J675" t="str">
            <v>22029</v>
          </cell>
          <cell r="K675" t="str">
            <v>2202</v>
          </cell>
          <cell r="L675" t="str">
            <v>220</v>
          </cell>
          <cell r="M675" t="str">
            <v>22</v>
          </cell>
          <cell r="N675">
            <v>4</v>
          </cell>
          <cell r="O675">
            <v>4</v>
          </cell>
        </row>
        <row r="676">
          <cell r="A676">
            <v>7903601</v>
          </cell>
          <cell r="B676" t="str">
            <v>LEITE DE VACA DESNATADO</v>
          </cell>
          <cell r="C676">
            <v>99</v>
          </cell>
          <cell r="D676" t="str">
            <v>nao se aplica</v>
          </cell>
          <cell r="E676">
            <v>25</v>
          </cell>
          <cell r="F676" t="str">
            <v xml:space="preserve">Leite </v>
          </cell>
          <cell r="G676">
            <v>0</v>
          </cell>
          <cell r="H676">
            <v>7903601</v>
          </cell>
          <cell r="I676" t="str">
            <v>040110</v>
          </cell>
          <cell r="J676" t="str">
            <v>04011</v>
          </cell>
          <cell r="K676" t="str">
            <v>0401</v>
          </cell>
          <cell r="L676" t="str">
            <v>040</v>
          </cell>
          <cell r="M676" t="str">
            <v>04</v>
          </cell>
          <cell r="N676">
            <v>1</v>
          </cell>
          <cell r="O676">
            <v>1</v>
          </cell>
        </row>
        <row r="677">
          <cell r="A677">
            <v>7903702</v>
          </cell>
          <cell r="B677" t="str">
            <v>LEITE DE VACA SEMIDESNATADO</v>
          </cell>
          <cell r="C677">
            <v>99</v>
          </cell>
          <cell r="D677" t="str">
            <v>nao se aplica</v>
          </cell>
          <cell r="E677">
            <v>25</v>
          </cell>
          <cell r="F677" t="str">
            <v xml:space="preserve">Leite </v>
          </cell>
          <cell r="G677">
            <v>0</v>
          </cell>
          <cell r="H677">
            <v>7903702</v>
          </cell>
          <cell r="I677" t="str">
            <v>040120</v>
          </cell>
          <cell r="J677" t="str">
            <v>04012</v>
          </cell>
          <cell r="K677" t="str">
            <v>0401</v>
          </cell>
          <cell r="L677" t="str">
            <v>040</v>
          </cell>
          <cell r="M677" t="str">
            <v>04</v>
          </cell>
          <cell r="N677">
            <v>1</v>
          </cell>
          <cell r="O677">
            <v>1</v>
          </cell>
        </row>
        <row r="678">
          <cell r="A678">
            <v>7903801</v>
          </cell>
          <cell r="B678" t="str">
            <v>LEITE NAO ESPECIFICADO PASTEURIZADO</v>
          </cell>
          <cell r="C678">
            <v>99</v>
          </cell>
          <cell r="D678" t="str">
            <v>nao se aplica</v>
          </cell>
          <cell r="E678">
            <v>25</v>
          </cell>
          <cell r="F678" t="str">
            <v xml:space="preserve">Leite </v>
          </cell>
          <cell r="G678">
            <v>0</v>
          </cell>
          <cell r="H678" t="e">
            <v>#N/A</v>
          </cell>
          <cell r="I678" t="str">
            <v>040120</v>
          </cell>
          <cell r="J678" t="str">
            <v>04012</v>
          </cell>
          <cell r="K678" t="str">
            <v>0401</v>
          </cell>
          <cell r="L678" t="str">
            <v>040</v>
          </cell>
          <cell r="M678" t="str">
            <v>04</v>
          </cell>
          <cell r="N678">
            <v>1</v>
          </cell>
          <cell r="O678">
            <v>1</v>
          </cell>
        </row>
        <row r="679">
          <cell r="A679">
            <v>7903901</v>
          </cell>
          <cell r="B679" t="str">
            <v>IOGURTE DE QUALQUER SABOR LIGHT</v>
          </cell>
          <cell r="C679">
            <v>99</v>
          </cell>
          <cell r="D679" t="str">
            <v>nao se aplica</v>
          </cell>
          <cell r="E679">
            <v>36</v>
          </cell>
          <cell r="F679" t="str">
            <v>Iogurtes e Bebidas lacteas</v>
          </cell>
          <cell r="G679">
            <v>0</v>
          </cell>
          <cell r="H679" t="e">
            <v>#N/A</v>
          </cell>
          <cell r="I679" t="str">
            <v>040311</v>
          </cell>
          <cell r="J679" t="str">
            <v>04031</v>
          </cell>
          <cell r="K679" t="str">
            <v>0403</v>
          </cell>
          <cell r="L679" t="str">
            <v>040</v>
          </cell>
          <cell r="M679" t="str">
            <v>04</v>
          </cell>
          <cell r="N679">
            <v>1</v>
          </cell>
          <cell r="O679">
            <v>4</v>
          </cell>
        </row>
        <row r="680">
          <cell r="A680">
            <v>7904001</v>
          </cell>
          <cell r="B680" t="str">
            <v>IOGURTE DE QUALQUER SABOR DIET</v>
          </cell>
          <cell r="C680">
            <v>99</v>
          </cell>
          <cell r="D680" t="str">
            <v>nao se aplica</v>
          </cell>
          <cell r="E680">
            <v>36</v>
          </cell>
          <cell r="F680" t="str">
            <v>Iogurtes e Bebidas lacteas</v>
          </cell>
          <cell r="G680">
            <v>0</v>
          </cell>
          <cell r="H680">
            <v>7904001</v>
          </cell>
          <cell r="I680" t="str">
            <v>040311</v>
          </cell>
          <cell r="J680" t="str">
            <v>04031</v>
          </cell>
          <cell r="K680" t="str">
            <v>0403</v>
          </cell>
          <cell r="L680" t="str">
            <v>040</v>
          </cell>
          <cell r="M680" t="str">
            <v>04</v>
          </cell>
          <cell r="N680">
            <v>1</v>
          </cell>
          <cell r="O680">
            <v>4</v>
          </cell>
        </row>
        <row r="681">
          <cell r="A681">
            <v>7904201</v>
          </cell>
          <cell r="B681" t="str">
            <v>MARGARINA LIGHT</v>
          </cell>
          <cell r="C681">
            <v>99</v>
          </cell>
          <cell r="D681" t="str">
            <v>nao se aplica</v>
          </cell>
          <cell r="E681">
            <v>2</v>
          </cell>
          <cell r="F681" t="str">
            <v>Margarina</v>
          </cell>
          <cell r="G681">
            <v>0</v>
          </cell>
          <cell r="H681" t="e">
            <v>#N/A</v>
          </cell>
          <cell r="I681">
            <v>151710</v>
          </cell>
          <cell r="J681" t="str">
            <v>15171</v>
          </cell>
          <cell r="K681" t="str">
            <v>1517</v>
          </cell>
          <cell r="L681" t="str">
            <v>151</v>
          </cell>
          <cell r="M681" t="str">
            <v>15</v>
          </cell>
          <cell r="N681">
            <v>3</v>
          </cell>
          <cell r="O681">
            <v>4</v>
          </cell>
        </row>
        <row r="682">
          <cell r="A682">
            <v>7905103</v>
          </cell>
          <cell r="B682" t="str">
            <v>MUSSARELA LIGHT</v>
          </cell>
          <cell r="C682">
            <v>99</v>
          </cell>
          <cell r="D682" t="str">
            <v>nao se aplica</v>
          </cell>
          <cell r="E682">
            <v>37</v>
          </cell>
          <cell r="F682" t="str">
            <v>Queijos processados</v>
          </cell>
          <cell r="G682">
            <v>0</v>
          </cell>
          <cell r="H682" t="e">
            <v>#N/A</v>
          </cell>
          <cell r="I682" t="str">
            <v>040611</v>
          </cell>
          <cell r="J682" t="str">
            <v>04061</v>
          </cell>
          <cell r="K682" t="str">
            <v>0406</v>
          </cell>
          <cell r="L682" t="str">
            <v>040</v>
          </cell>
          <cell r="M682" t="str">
            <v>04</v>
          </cell>
          <cell r="N682">
            <v>1</v>
          </cell>
          <cell r="O682">
            <v>3</v>
          </cell>
        </row>
        <row r="683">
          <cell r="A683">
            <v>7905104</v>
          </cell>
          <cell r="B683" t="str">
            <v>QUEIJO MUSSARELA LIGHT</v>
          </cell>
          <cell r="C683">
            <v>99</v>
          </cell>
          <cell r="D683" t="str">
            <v>nao se aplica</v>
          </cell>
          <cell r="E683">
            <v>37</v>
          </cell>
          <cell r="F683" t="str">
            <v>Queijos processados</v>
          </cell>
          <cell r="G683">
            <v>0</v>
          </cell>
          <cell r="H683">
            <v>7905104</v>
          </cell>
          <cell r="I683" t="str">
            <v>040611</v>
          </cell>
          <cell r="J683" t="str">
            <v>04061</v>
          </cell>
          <cell r="K683" t="str">
            <v>0406</v>
          </cell>
          <cell r="L683" t="str">
            <v>040</v>
          </cell>
          <cell r="M683" t="str">
            <v>04</v>
          </cell>
          <cell r="N683">
            <v>1</v>
          </cell>
          <cell r="O683">
            <v>3</v>
          </cell>
        </row>
        <row r="684">
          <cell r="A684">
            <v>7905601</v>
          </cell>
          <cell r="B684" t="str">
            <v>CREME DE LEITE LIGHT</v>
          </cell>
          <cell r="C684">
            <v>99</v>
          </cell>
          <cell r="D684" t="str">
            <v>nao se aplica</v>
          </cell>
          <cell r="E684">
            <v>86</v>
          </cell>
          <cell r="F684" t="str">
            <v>Creme de leite upp</v>
          </cell>
          <cell r="G684">
            <v>0</v>
          </cell>
          <cell r="H684" t="e">
            <v>#N/A</v>
          </cell>
          <cell r="I684" t="str">
            <v>040150</v>
          </cell>
          <cell r="J684" t="str">
            <v>04015</v>
          </cell>
          <cell r="K684" t="str">
            <v>0401</v>
          </cell>
          <cell r="L684" t="str">
            <v>040</v>
          </cell>
          <cell r="M684" t="str">
            <v>04</v>
          </cell>
          <cell r="N684">
            <v>1</v>
          </cell>
          <cell r="O684">
            <v>2</v>
          </cell>
        </row>
        <row r="685">
          <cell r="A685">
            <v>7905901</v>
          </cell>
          <cell r="B685" t="str">
            <v>QUEIJO PRATO LIGHT</v>
          </cell>
          <cell r="C685">
            <v>99</v>
          </cell>
          <cell r="D685" t="str">
            <v>nao se aplica</v>
          </cell>
          <cell r="E685">
            <v>37</v>
          </cell>
          <cell r="F685" t="str">
            <v>Queijos processados</v>
          </cell>
          <cell r="G685">
            <v>0</v>
          </cell>
          <cell r="H685" t="e">
            <v>#N/A</v>
          </cell>
          <cell r="I685" t="str">
            <v>040630</v>
          </cell>
          <cell r="J685" t="str">
            <v>04063</v>
          </cell>
          <cell r="K685" t="str">
            <v>0406</v>
          </cell>
          <cell r="L685" t="str">
            <v>040</v>
          </cell>
          <cell r="M685" t="str">
            <v>04</v>
          </cell>
          <cell r="N685">
            <v>1</v>
          </cell>
          <cell r="O685">
            <v>3</v>
          </cell>
        </row>
        <row r="686">
          <cell r="A686">
            <v>7906001</v>
          </cell>
          <cell r="B686" t="str">
            <v>QUEIJO DE MINAS LIGHT</v>
          </cell>
          <cell r="C686">
            <v>99</v>
          </cell>
          <cell r="D686" t="str">
            <v>nao se aplica</v>
          </cell>
          <cell r="E686">
            <v>37</v>
          </cell>
          <cell r="F686" t="str">
            <v>Queijos processados</v>
          </cell>
          <cell r="G686">
            <v>0</v>
          </cell>
          <cell r="H686" t="e">
            <v>#N/A</v>
          </cell>
          <cell r="I686" t="str">
            <v>040610</v>
          </cell>
          <cell r="J686" t="str">
            <v>04061</v>
          </cell>
          <cell r="K686" t="str">
            <v>0406</v>
          </cell>
          <cell r="L686" t="str">
            <v>040</v>
          </cell>
          <cell r="M686" t="str">
            <v>04</v>
          </cell>
          <cell r="N686">
            <v>1</v>
          </cell>
          <cell r="O686">
            <v>3</v>
          </cell>
        </row>
        <row r="687">
          <cell r="A687">
            <v>7906005</v>
          </cell>
          <cell r="B687" t="str">
            <v>QUEIJO DE COALHO LIGHT</v>
          </cell>
          <cell r="C687">
            <v>99</v>
          </cell>
          <cell r="D687" t="str">
            <v>nao se aplica</v>
          </cell>
          <cell r="E687">
            <v>37</v>
          </cell>
          <cell r="F687" t="str">
            <v>Queijos processados</v>
          </cell>
          <cell r="G687">
            <v>0</v>
          </cell>
          <cell r="H687" t="e">
            <v>#N/A</v>
          </cell>
          <cell r="I687" t="str">
            <v>040630</v>
          </cell>
          <cell r="J687" t="str">
            <v>04063</v>
          </cell>
          <cell r="K687" t="str">
            <v>0406</v>
          </cell>
          <cell r="L687" t="str">
            <v>040</v>
          </cell>
          <cell r="M687" t="str">
            <v>04</v>
          </cell>
          <cell r="N687">
            <v>1</v>
          </cell>
          <cell r="O687">
            <v>3</v>
          </cell>
        </row>
        <row r="688">
          <cell r="A688">
            <v>7906201</v>
          </cell>
          <cell r="B688" t="str">
            <v>QUEIJO RICOTA LIGHT</v>
          </cell>
          <cell r="C688">
            <v>99</v>
          </cell>
          <cell r="D688" t="str">
            <v>nao se aplica</v>
          </cell>
          <cell r="E688">
            <v>37</v>
          </cell>
          <cell r="F688" t="str">
            <v>Queijos processados</v>
          </cell>
          <cell r="G688">
            <v>0</v>
          </cell>
          <cell r="H688">
            <v>7906201</v>
          </cell>
          <cell r="I688" t="str">
            <v>040612</v>
          </cell>
          <cell r="J688" t="str">
            <v>04061</v>
          </cell>
          <cell r="K688" t="str">
            <v>0406</v>
          </cell>
          <cell r="L688" t="str">
            <v>040</v>
          </cell>
          <cell r="M688" t="str">
            <v>04</v>
          </cell>
          <cell r="N688">
            <v>1</v>
          </cell>
          <cell r="O688">
            <v>3</v>
          </cell>
        </row>
        <row r="689">
          <cell r="A689">
            <v>7906401</v>
          </cell>
          <cell r="B689" t="str">
            <v>QUEIJO POLENGUINHO LIGHT</v>
          </cell>
          <cell r="C689">
            <v>99</v>
          </cell>
          <cell r="D689" t="str">
            <v>nao se aplica</v>
          </cell>
          <cell r="E689">
            <v>85</v>
          </cell>
          <cell r="F689" t="str">
            <v>Queijos ultraprocessados</v>
          </cell>
          <cell r="G689">
            <v>0</v>
          </cell>
          <cell r="H689">
            <v>7906401</v>
          </cell>
          <cell r="I689" t="str">
            <v>040630</v>
          </cell>
          <cell r="J689" t="str">
            <v>04063</v>
          </cell>
          <cell r="K689" t="str">
            <v>0406</v>
          </cell>
          <cell r="L689" t="str">
            <v>040</v>
          </cell>
          <cell r="M689" t="str">
            <v>04</v>
          </cell>
          <cell r="N689">
            <v>1</v>
          </cell>
          <cell r="O689">
            <v>3</v>
          </cell>
        </row>
        <row r="690">
          <cell r="A690">
            <v>7906501</v>
          </cell>
          <cell r="B690" t="str">
            <v>REQUEIJAO LIGHT</v>
          </cell>
          <cell r="C690">
            <v>99</v>
          </cell>
          <cell r="D690" t="str">
            <v>nao se aplica</v>
          </cell>
          <cell r="E690">
            <v>85</v>
          </cell>
          <cell r="F690" t="str">
            <v>Queijos ultraprocessados</v>
          </cell>
          <cell r="G690">
            <v>0</v>
          </cell>
          <cell r="H690">
            <v>7906501</v>
          </cell>
          <cell r="I690" t="str">
            <v>040612</v>
          </cell>
          <cell r="J690" t="str">
            <v>04061</v>
          </cell>
          <cell r="K690" t="str">
            <v>0406</v>
          </cell>
          <cell r="L690" t="str">
            <v>040</v>
          </cell>
          <cell r="M690" t="str">
            <v>04</v>
          </cell>
          <cell r="N690">
            <v>1</v>
          </cell>
          <cell r="O690">
            <v>3</v>
          </cell>
        </row>
        <row r="691">
          <cell r="A691">
            <v>7906601</v>
          </cell>
          <cell r="B691" t="str">
            <v>QUEIJO NAO ESPECIFICADO LIGHT</v>
          </cell>
          <cell r="C691">
            <v>99</v>
          </cell>
          <cell r="D691" t="str">
            <v>nao se aplica</v>
          </cell>
          <cell r="E691">
            <v>37</v>
          </cell>
          <cell r="F691" t="str">
            <v>Queijos processados</v>
          </cell>
          <cell r="G691">
            <v>0</v>
          </cell>
          <cell r="H691" t="e">
            <v>#N/A</v>
          </cell>
          <cell r="I691" t="str">
            <v>040610</v>
          </cell>
          <cell r="J691" t="str">
            <v>04061</v>
          </cell>
          <cell r="K691" t="str">
            <v>0406</v>
          </cell>
          <cell r="L691" t="str">
            <v>040</v>
          </cell>
          <cell r="M691" t="str">
            <v>04</v>
          </cell>
          <cell r="N691">
            <v>1</v>
          </cell>
          <cell r="O691">
            <v>3</v>
          </cell>
        </row>
        <row r="692">
          <cell r="A692">
            <v>7906702</v>
          </cell>
          <cell r="B692" t="str">
            <v>LEITE ACHOCOLATADO LIGHT</v>
          </cell>
          <cell r="C692">
            <v>99</v>
          </cell>
          <cell r="D692" t="str">
            <v>nao se aplica</v>
          </cell>
          <cell r="E692">
            <v>36</v>
          </cell>
          <cell r="F692" t="str">
            <v>Iogurtes e Bebidas lacteas</v>
          </cell>
          <cell r="G692">
            <v>0</v>
          </cell>
          <cell r="H692" t="e">
            <v>#N/A</v>
          </cell>
          <cell r="I692">
            <v>220290</v>
          </cell>
          <cell r="J692" t="str">
            <v>22029</v>
          </cell>
          <cell r="K692" t="str">
            <v>2202</v>
          </cell>
          <cell r="L692" t="str">
            <v>220</v>
          </cell>
          <cell r="M692" t="str">
            <v>22</v>
          </cell>
          <cell r="N692">
            <v>4</v>
          </cell>
          <cell r="O692">
            <v>4</v>
          </cell>
        </row>
        <row r="693">
          <cell r="A693">
            <v>7906710</v>
          </cell>
          <cell r="B693" t="str">
            <v>BEBIDA ACHOCOLATADA LIGHT</v>
          </cell>
          <cell r="C693">
            <v>99</v>
          </cell>
          <cell r="D693" t="str">
            <v>nao se aplica</v>
          </cell>
          <cell r="E693">
            <v>36</v>
          </cell>
          <cell r="F693" t="str">
            <v>Iogurtes e Bebidas lacteas</v>
          </cell>
          <cell r="G693">
            <v>0</v>
          </cell>
          <cell r="H693" t="e">
            <v>#N/A</v>
          </cell>
          <cell r="I693">
            <v>220290</v>
          </cell>
          <cell r="J693" t="str">
            <v>22029</v>
          </cell>
          <cell r="K693" t="str">
            <v>2202</v>
          </cell>
          <cell r="L693" t="str">
            <v>220</v>
          </cell>
          <cell r="M693" t="str">
            <v>22</v>
          </cell>
          <cell r="N693">
            <v>4</v>
          </cell>
          <cell r="O693">
            <v>4</v>
          </cell>
        </row>
        <row r="694">
          <cell r="A694">
            <v>7906801</v>
          </cell>
          <cell r="B694" t="str">
            <v>LEITE COM SABOR DIET</v>
          </cell>
          <cell r="C694">
            <v>99</v>
          </cell>
          <cell r="D694" t="str">
            <v>nao se aplica</v>
          </cell>
          <cell r="E694">
            <v>36</v>
          </cell>
          <cell r="F694" t="str">
            <v>Iogurtes e Bebidas lacteas</v>
          </cell>
          <cell r="G694">
            <v>0</v>
          </cell>
          <cell r="H694" t="e">
            <v>#N/A</v>
          </cell>
          <cell r="I694">
            <v>220290</v>
          </cell>
          <cell r="J694" t="str">
            <v>22029</v>
          </cell>
          <cell r="K694" t="str">
            <v>2202</v>
          </cell>
          <cell r="L694" t="str">
            <v>220</v>
          </cell>
          <cell r="M694" t="str">
            <v>22</v>
          </cell>
          <cell r="N694">
            <v>4</v>
          </cell>
          <cell r="O694">
            <v>4</v>
          </cell>
        </row>
        <row r="695">
          <cell r="A695">
            <v>7906802</v>
          </cell>
          <cell r="B695" t="str">
            <v>LEITE ACHOCOLATADO DIET</v>
          </cell>
          <cell r="C695">
            <v>99</v>
          </cell>
          <cell r="D695" t="str">
            <v>nao se aplica</v>
          </cell>
          <cell r="E695">
            <v>36</v>
          </cell>
          <cell r="F695" t="str">
            <v>Iogurtes e Bebidas lacteas</v>
          </cell>
          <cell r="G695">
            <v>0</v>
          </cell>
          <cell r="H695" t="e">
            <v>#N/A</v>
          </cell>
          <cell r="I695">
            <v>220290</v>
          </cell>
          <cell r="J695" t="str">
            <v>22029</v>
          </cell>
          <cell r="K695" t="str">
            <v>2202</v>
          </cell>
          <cell r="L695" t="str">
            <v>220</v>
          </cell>
          <cell r="M695" t="str">
            <v>22</v>
          </cell>
          <cell r="N695">
            <v>4</v>
          </cell>
          <cell r="O695">
            <v>4</v>
          </cell>
        </row>
        <row r="696">
          <cell r="A696">
            <v>7906901</v>
          </cell>
          <cell r="B696" t="str">
            <v>LEITE DE SOJA EM PO LIGHT</v>
          </cell>
          <cell r="C696">
            <v>99</v>
          </cell>
          <cell r="D696" t="str">
            <v>nao se aplica</v>
          </cell>
          <cell r="E696">
            <v>18</v>
          </cell>
          <cell r="F696" t="str">
            <v xml:space="preserve">Outras bebidas nao alcoolicas </v>
          </cell>
          <cell r="G696">
            <v>0</v>
          </cell>
          <cell r="H696" t="e">
            <v>#N/A</v>
          </cell>
          <cell r="I696">
            <v>220290</v>
          </cell>
          <cell r="J696" t="str">
            <v>22029</v>
          </cell>
          <cell r="K696" t="str">
            <v>2202</v>
          </cell>
          <cell r="L696" t="str">
            <v>220</v>
          </cell>
          <cell r="M696" t="str">
            <v>22</v>
          </cell>
          <cell r="N696">
            <v>4</v>
          </cell>
          <cell r="O696">
            <v>4</v>
          </cell>
        </row>
        <row r="697">
          <cell r="A697">
            <v>7907101</v>
          </cell>
          <cell r="B697" t="str">
            <v>MANTEIGA COM OU SEM SAL LIGHT</v>
          </cell>
          <cell r="C697">
            <v>99</v>
          </cell>
          <cell r="D697" t="str">
            <v>nao se aplica</v>
          </cell>
          <cell r="E697">
            <v>45</v>
          </cell>
          <cell r="F697" t="str">
            <v>Manteiga</v>
          </cell>
          <cell r="G697">
            <v>0</v>
          </cell>
          <cell r="H697">
            <v>7907101</v>
          </cell>
          <cell r="I697" t="str">
            <v>040510</v>
          </cell>
          <cell r="J697" t="str">
            <v>04051</v>
          </cell>
          <cell r="K697" t="str">
            <v>0405</v>
          </cell>
          <cell r="L697" t="str">
            <v>040</v>
          </cell>
          <cell r="M697" t="str">
            <v>04</v>
          </cell>
          <cell r="N697">
            <v>1</v>
          </cell>
          <cell r="O697">
            <v>2</v>
          </cell>
        </row>
        <row r="698">
          <cell r="A698">
            <v>7980001</v>
          </cell>
          <cell r="B698" t="str">
            <v>LEITE SEM LACTOSE</v>
          </cell>
          <cell r="C698">
            <v>99</v>
          </cell>
          <cell r="D698" t="str">
            <v>nao se aplica</v>
          </cell>
          <cell r="E698">
            <v>25</v>
          </cell>
          <cell r="F698" t="str">
            <v xml:space="preserve">Leite </v>
          </cell>
          <cell r="G698">
            <v>0</v>
          </cell>
          <cell r="H698">
            <v>7980001</v>
          </cell>
          <cell r="I698" t="str">
            <v>040110</v>
          </cell>
          <cell r="J698" t="str">
            <v>04011</v>
          </cell>
          <cell r="K698" t="str">
            <v>0401</v>
          </cell>
          <cell r="L698" t="str">
            <v>040</v>
          </cell>
          <cell r="M698" t="str">
            <v>04</v>
          </cell>
          <cell r="N698">
            <v>1</v>
          </cell>
          <cell r="O698">
            <v>1</v>
          </cell>
        </row>
        <row r="699">
          <cell r="A699">
            <v>7980101</v>
          </cell>
          <cell r="B699" t="str">
            <v>KEFIR</v>
          </cell>
          <cell r="C699">
            <v>99</v>
          </cell>
          <cell r="D699" t="str">
            <v>nao se aplica</v>
          </cell>
          <cell r="E699">
            <v>24</v>
          </cell>
          <cell r="F699" t="str">
            <v>iogurte integral</v>
          </cell>
          <cell r="G699">
            <v>0</v>
          </cell>
          <cell r="H699">
            <v>7980101</v>
          </cell>
          <cell r="I699" t="str">
            <v>040390</v>
          </cell>
          <cell r="J699" t="str">
            <v>04039</v>
          </cell>
          <cell r="K699" t="str">
            <v>0403</v>
          </cell>
          <cell r="L699" t="str">
            <v>040</v>
          </cell>
          <cell r="M699" t="str">
            <v>04</v>
          </cell>
          <cell r="N699">
            <v>1</v>
          </cell>
          <cell r="O699">
            <v>3</v>
          </cell>
        </row>
        <row r="700">
          <cell r="A700">
            <v>8000101</v>
          </cell>
          <cell r="B700" t="str">
            <v>PAO, FRANCÃ‹S, NAO ESPECIFICADO</v>
          </cell>
          <cell r="C700">
            <v>99</v>
          </cell>
          <cell r="D700" t="str">
            <v>nao se aplica</v>
          </cell>
          <cell r="E700">
            <v>84</v>
          </cell>
          <cell r="F700" t="str">
            <v>Pao frances</v>
          </cell>
          <cell r="G700">
            <v>0</v>
          </cell>
          <cell r="H700">
            <v>8000101</v>
          </cell>
          <cell r="I700">
            <v>190120</v>
          </cell>
          <cell r="J700" t="str">
            <v>19012</v>
          </cell>
          <cell r="K700" t="str">
            <v>1901</v>
          </cell>
          <cell r="L700" t="str">
            <v>190</v>
          </cell>
          <cell r="M700" t="str">
            <v>19</v>
          </cell>
          <cell r="N700">
            <v>2</v>
          </cell>
          <cell r="O700">
            <v>3</v>
          </cell>
        </row>
        <row r="701">
          <cell r="A701">
            <v>8000102</v>
          </cell>
          <cell r="B701" t="str">
            <v>PAO D'AGUA NAO ESPECIFICADO</v>
          </cell>
          <cell r="C701">
            <v>99</v>
          </cell>
          <cell r="D701" t="str">
            <v>nao se aplica</v>
          </cell>
          <cell r="E701">
            <v>84</v>
          </cell>
          <cell r="F701" t="str">
            <v>Pao frances</v>
          </cell>
          <cell r="G701">
            <v>0</v>
          </cell>
          <cell r="H701" t="e">
            <v>#N/A</v>
          </cell>
          <cell r="I701">
            <v>190120</v>
          </cell>
          <cell r="J701" t="str">
            <v>19012</v>
          </cell>
          <cell r="K701" t="str">
            <v>1901</v>
          </cell>
          <cell r="L701" t="str">
            <v>190</v>
          </cell>
          <cell r="M701" t="str">
            <v>19</v>
          </cell>
          <cell r="N701">
            <v>2</v>
          </cell>
          <cell r="O701">
            <v>3</v>
          </cell>
        </row>
        <row r="702">
          <cell r="A702">
            <v>8000103</v>
          </cell>
          <cell r="B702" t="str">
            <v>PAO DE HAMBURGUER</v>
          </cell>
          <cell r="C702">
            <v>99</v>
          </cell>
          <cell r="D702" t="str">
            <v>nao se aplica</v>
          </cell>
          <cell r="E702">
            <v>29</v>
          </cell>
          <cell r="F702" t="str">
            <v>Paes ultraprocessados</v>
          </cell>
          <cell r="G702">
            <v>0</v>
          </cell>
          <cell r="H702">
            <v>8000103</v>
          </cell>
          <cell r="I702" t="str">
            <v>190590</v>
          </cell>
          <cell r="J702" t="str">
            <v>19059</v>
          </cell>
          <cell r="K702" t="str">
            <v>1905</v>
          </cell>
          <cell r="L702" t="str">
            <v>190</v>
          </cell>
          <cell r="M702" t="str">
            <v>19</v>
          </cell>
          <cell r="N702">
            <v>4</v>
          </cell>
          <cell r="O702">
            <v>4</v>
          </cell>
        </row>
        <row r="703">
          <cell r="A703">
            <v>8000105</v>
          </cell>
          <cell r="B703" t="str">
            <v>PAO DE SAL</v>
          </cell>
          <cell r="C703">
            <v>99</v>
          </cell>
          <cell r="D703" t="str">
            <v>nao se aplica</v>
          </cell>
          <cell r="E703">
            <v>84</v>
          </cell>
          <cell r="F703" t="str">
            <v>Pao frances</v>
          </cell>
          <cell r="G703">
            <v>0</v>
          </cell>
          <cell r="H703" t="e">
            <v>#N/A</v>
          </cell>
          <cell r="I703">
            <v>190120</v>
          </cell>
          <cell r="J703" t="str">
            <v>19012</v>
          </cell>
          <cell r="K703" t="str">
            <v>1901</v>
          </cell>
          <cell r="L703" t="str">
            <v>190</v>
          </cell>
          <cell r="M703" t="str">
            <v>19</v>
          </cell>
          <cell r="N703">
            <v>2</v>
          </cell>
          <cell r="O703">
            <v>3</v>
          </cell>
        </row>
        <row r="704">
          <cell r="A704">
            <v>8000106</v>
          </cell>
          <cell r="B704" t="str">
            <v>PAO DE TRIGO</v>
          </cell>
          <cell r="C704">
            <v>99</v>
          </cell>
          <cell r="D704" t="str">
            <v>nao se aplica</v>
          </cell>
          <cell r="E704">
            <v>84</v>
          </cell>
          <cell r="F704" t="str">
            <v>Pao frances</v>
          </cell>
          <cell r="G704">
            <v>0</v>
          </cell>
          <cell r="H704" t="e">
            <v>#N/A</v>
          </cell>
          <cell r="I704">
            <v>190120</v>
          </cell>
          <cell r="J704" t="str">
            <v>19012</v>
          </cell>
          <cell r="K704" t="str">
            <v>1901</v>
          </cell>
          <cell r="L704" t="str">
            <v>190</v>
          </cell>
          <cell r="M704" t="str">
            <v>19</v>
          </cell>
          <cell r="N704">
            <v>2</v>
          </cell>
          <cell r="O704">
            <v>3</v>
          </cell>
        </row>
        <row r="705">
          <cell r="A705">
            <v>8000107</v>
          </cell>
          <cell r="B705" t="str">
            <v>PAO CACETINHO, NAO ESPECIFICADO</v>
          </cell>
          <cell r="C705">
            <v>99</v>
          </cell>
          <cell r="D705" t="str">
            <v>nao se aplica</v>
          </cell>
          <cell r="E705">
            <v>84</v>
          </cell>
          <cell r="F705" t="str">
            <v>Pao frances</v>
          </cell>
          <cell r="G705">
            <v>0</v>
          </cell>
          <cell r="H705" t="e">
            <v>#N/A</v>
          </cell>
          <cell r="I705">
            <v>190120</v>
          </cell>
          <cell r="J705" t="str">
            <v>19012</v>
          </cell>
          <cell r="K705" t="str">
            <v>1901</v>
          </cell>
          <cell r="L705" t="str">
            <v>190</v>
          </cell>
          <cell r="M705" t="str">
            <v>19</v>
          </cell>
          <cell r="N705">
            <v>2</v>
          </cell>
          <cell r="O705">
            <v>3</v>
          </cell>
        </row>
        <row r="706">
          <cell r="A706">
            <v>8000109</v>
          </cell>
          <cell r="B706" t="str">
            <v>PAO CARECA</v>
          </cell>
          <cell r="C706">
            <v>99</v>
          </cell>
          <cell r="D706" t="str">
            <v>nao se aplica</v>
          </cell>
          <cell r="E706">
            <v>84</v>
          </cell>
          <cell r="F706" t="str">
            <v>Pao frances</v>
          </cell>
          <cell r="G706">
            <v>0</v>
          </cell>
          <cell r="H706" t="e">
            <v>#N/A</v>
          </cell>
          <cell r="I706">
            <v>190120</v>
          </cell>
          <cell r="J706" t="str">
            <v>19012</v>
          </cell>
          <cell r="K706" t="str">
            <v>1901</v>
          </cell>
          <cell r="L706" t="str">
            <v>190</v>
          </cell>
          <cell r="M706" t="str">
            <v>19</v>
          </cell>
          <cell r="N706">
            <v>2</v>
          </cell>
          <cell r="O706">
            <v>3</v>
          </cell>
        </row>
        <row r="707">
          <cell r="A707">
            <v>8000145</v>
          </cell>
          <cell r="B707" t="str">
            <v>PAO CIABATA</v>
          </cell>
          <cell r="C707">
            <v>99</v>
          </cell>
          <cell r="D707" t="str">
            <v>nao se aplica</v>
          </cell>
          <cell r="E707">
            <v>84</v>
          </cell>
          <cell r="F707" t="str">
            <v>Pao frances</v>
          </cell>
          <cell r="G707">
            <v>0</v>
          </cell>
          <cell r="H707">
            <v>8000145</v>
          </cell>
          <cell r="I707">
            <v>190120</v>
          </cell>
          <cell r="J707" t="str">
            <v>19012</v>
          </cell>
          <cell r="K707" t="str">
            <v>1901</v>
          </cell>
          <cell r="L707" t="str">
            <v>190</v>
          </cell>
          <cell r="M707" t="str">
            <v>19</v>
          </cell>
          <cell r="N707">
            <v>2</v>
          </cell>
          <cell r="O707">
            <v>3</v>
          </cell>
        </row>
        <row r="708">
          <cell r="A708">
            <v>8000157</v>
          </cell>
          <cell r="B708" t="str">
            <v>PAO, BRANCO NAO ESPECIFICADO</v>
          </cell>
          <cell r="C708">
            <v>99</v>
          </cell>
          <cell r="D708" t="str">
            <v>nao se aplica</v>
          </cell>
          <cell r="E708">
            <v>84</v>
          </cell>
          <cell r="F708" t="str">
            <v>Pao frances</v>
          </cell>
          <cell r="G708">
            <v>0</v>
          </cell>
          <cell r="H708" t="e">
            <v>#N/A</v>
          </cell>
          <cell r="I708">
            <v>190120</v>
          </cell>
          <cell r="J708" t="str">
            <v>19012</v>
          </cell>
          <cell r="K708" t="str">
            <v>1901</v>
          </cell>
          <cell r="L708" t="str">
            <v>190</v>
          </cell>
          <cell r="M708" t="str">
            <v>19</v>
          </cell>
          <cell r="N708">
            <v>2</v>
          </cell>
          <cell r="O708">
            <v>3</v>
          </cell>
        </row>
        <row r="709">
          <cell r="A709">
            <v>8000158</v>
          </cell>
          <cell r="B709" t="str">
            <v>PAOZINHO</v>
          </cell>
          <cell r="C709">
            <v>99</v>
          </cell>
          <cell r="D709" t="str">
            <v>nao se aplica</v>
          </cell>
          <cell r="E709">
            <v>84</v>
          </cell>
          <cell r="F709" t="str">
            <v>Pao frances</v>
          </cell>
          <cell r="G709">
            <v>0</v>
          </cell>
          <cell r="H709" t="e">
            <v>#N/A</v>
          </cell>
          <cell r="I709">
            <v>190120</v>
          </cell>
          <cell r="J709" t="str">
            <v>19012</v>
          </cell>
          <cell r="K709" t="str">
            <v>1901</v>
          </cell>
          <cell r="L709" t="str">
            <v>190</v>
          </cell>
          <cell r="M709" t="str">
            <v>19</v>
          </cell>
          <cell r="N709">
            <v>2</v>
          </cell>
          <cell r="O709">
            <v>3</v>
          </cell>
        </row>
        <row r="710">
          <cell r="A710">
            <v>8000201</v>
          </cell>
          <cell r="B710" t="str">
            <v>PAO DOCE</v>
          </cell>
          <cell r="C710">
            <v>99</v>
          </cell>
          <cell r="D710" t="str">
            <v>nao se aplica</v>
          </cell>
          <cell r="E710">
            <v>29</v>
          </cell>
          <cell r="F710" t="str">
            <v>Paes ultraprocessados</v>
          </cell>
          <cell r="G710">
            <v>0</v>
          </cell>
          <cell r="H710" t="e">
            <v>#N/A</v>
          </cell>
          <cell r="I710" t="str">
            <v>190590</v>
          </cell>
          <cell r="J710" t="str">
            <v>19059</v>
          </cell>
          <cell r="K710" t="str">
            <v>1905</v>
          </cell>
          <cell r="L710" t="str">
            <v>190</v>
          </cell>
          <cell r="M710" t="str">
            <v>19</v>
          </cell>
          <cell r="N710">
            <v>4</v>
          </cell>
          <cell r="O710">
            <v>3</v>
          </cell>
        </row>
        <row r="711">
          <cell r="A711">
            <v>8000203</v>
          </cell>
          <cell r="B711" t="str">
            <v>CHINEQUE</v>
          </cell>
          <cell r="C711">
            <v>99</v>
          </cell>
          <cell r="D711" t="str">
            <v>nao se aplica</v>
          </cell>
          <cell r="E711">
            <v>9</v>
          </cell>
          <cell r="F711" t="str">
            <v xml:space="preserve">Paes doces, bolos e tortas doces </v>
          </cell>
          <cell r="G711">
            <v>0</v>
          </cell>
          <cell r="H711" t="e">
            <v>#N/A</v>
          </cell>
          <cell r="I711">
            <v>190520</v>
          </cell>
          <cell r="J711" t="str">
            <v>19052</v>
          </cell>
          <cell r="K711" t="str">
            <v>1905</v>
          </cell>
          <cell r="L711" t="str">
            <v>190</v>
          </cell>
          <cell r="M711" t="str">
            <v>19</v>
          </cell>
          <cell r="N711">
            <v>4</v>
          </cell>
          <cell r="O711">
            <v>4</v>
          </cell>
        </row>
        <row r="712">
          <cell r="A712">
            <v>8000208</v>
          </cell>
          <cell r="B712" t="str">
            <v>PAO DOCE, COM RECHEIO</v>
          </cell>
          <cell r="C712">
            <v>99</v>
          </cell>
          <cell r="D712" t="str">
            <v>nao se aplica</v>
          </cell>
          <cell r="E712">
            <v>9</v>
          </cell>
          <cell r="F712" t="str">
            <v xml:space="preserve">Paes doces, bolos e tortas doces </v>
          </cell>
          <cell r="G712">
            <v>0</v>
          </cell>
          <cell r="H712" t="e">
            <v>#N/A</v>
          </cell>
          <cell r="I712" t="str">
            <v>190590</v>
          </cell>
          <cell r="J712" t="str">
            <v>19059</v>
          </cell>
          <cell r="K712" t="str">
            <v>1905</v>
          </cell>
          <cell r="L712" t="str">
            <v>190</v>
          </cell>
          <cell r="M712" t="str">
            <v>19</v>
          </cell>
          <cell r="N712">
            <v>4</v>
          </cell>
          <cell r="O712">
            <v>4</v>
          </cell>
        </row>
        <row r="713">
          <cell r="A713">
            <v>8000213</v>
          </cell>
          <cell r="B713" t="str">
            <v>PAO DE LEITE</v>
          </cell>
          <cell r="C713">
            <v>99</v>
          </cell>
          <cell r="D713" t="str">
            <v>nao se aplica</v>
          </cell>
          <cell r="E713">
            <v>9</v>
          </cell>
          <cell r="F713" t="str">
            <v xml:space="preserve">Paes doces, bolos e tortas doces </v>
          </cell>
          <cell r="G713">
            <v>0</v>
          </cell>
          <cell r="H713">
            <v>8000213</v>
          </cell>
          <cell r="I713" t="str">
            <v>190590</v>
          </cell>
          <cell r="J713" t="str">
            <v>19059</v>
          </cell>
          <cell r="K713" t="str">
            <v>1905</v>
          </cell>
          <cell r="L713" t="str">
            <v>190</v>
          </cell>
          <cell r="M713" t="str">
            <v>19</v>
          </cell>
          <cell r="N713">
            <v>4</v>
          </cell>
          <cell r="O713">
            <v>4</v>
          </cell>
        </row>
        <row r="714">
          <cell r="A714">
            <v>8000223</v>
          </cell>
          <cell r="B714" t="str">
            <v>PAO DE COCO</v>
          </cell>
          <cell r="C714">
            <v>99</v>
          </cell>
          <cell r="D714" t="str">
            <v>nao se aplica</v>
          </cell>
          <cell r="E714">
            <v>9</v>
          </cell>
          <cell r="F714" t="str">
            <v xml:space="preserve">Paes doces, bolos e tortas doces </v>
          </cell>
          <cell r="G714">
            <v>0</v>
          </cell>
          <cell r="H714" t="e">
            <v>#N/A</v>
          </cell>
          <cell r="I714" t="str">
            <v>190590</v>
          </cell>
          <cell r="J714" t="str">
            <v>19059</v>
          </cell>
          <cell r="K714" t="str">
            <v>1905</v>
          </cell>
          <cell r="L714" t="str">
            <v>190</v>
          </cell>
          <cell r="M714" t="str">
            <v>19</v>
          </cell>
          <cell r="N714">
            <v>4</v>
          </cell>
          <cell r="O714">
            <v>4</v>
          </cell>
        </row>
        <row r="715">
          <cell r="A715">
            <v>8000229</v>
          </cell>
          <cell r="B715" t="str">
            <v>PAO DE MEL</v>
          </cell>
          <cell r="C715">
            <v>99</v>
          </cell>
          <cell r="D715" t="str">
            <v>nao se aplica</v>
          </cell>
          <cell r="E715">
            <v>9</v>
          </cell>
          <cell r="F715" t="str">
            <v xml:space="preserve">Paes doces, bolos e tortas doces </v>
          </cell>
          <cell r="G715">
            <v>0</v>
          </cell>
          <cell r="H715" t="e">
            <v>#N/A</v>
          </cell>
          <cell r="I715">
            <v>190520</v>
          </cell>
          <cell r="J715" t="str">
            <v>19052</v>
          </cell>
          <cell r="K715" t="str">
            <v>1905</v>
          </cell>
          <cell r="L715" t="str">
            <v>190</v>
          </cell>
          <cell r="M715" t="str">
            <v>19</v>
          </cell>
          <cell r="N715">
            <v>4</v>
          </cell>
          <cell r="O715">
            <v>4</v>
          </cell>
        </row>
        <row r="716">
          <cell r="A716">
            <v>8000234</v>
          </cell>
          <cell r="B716" t="str">
            <v>PANETONE</v>
          </cell>
          <cell r="C716">
            <v>99</v>
          </cell>
          <cell r="D716" t="str">
            <v>nao se aplica</v>
          </cell>
          <cell r="E716">
            <v>9</v>
          </cell>
          <cell r="F716" t="str">
            <v xml:space="preserve">Paes doces, bolos e tortas doces </v>
          </cell>
          <cell r="G716">
            <v>0</v>
          </cell>
          <cell r="H716" t="e">
            <v>#N/A</v>
          </cell>
          <cell r="I716">
            <v>190520</v>
          </cell>
          <cell r="J716" t="str">
            <v>19052</v>
          </cell>
          <cell r="K716" t="str">
            <v>1905</v>
          </cell>
          <cell r="L716" t="str">
            <v>190</v>
          </cell>
          <cell r="M716" t="str">
            <v>19</v>
          </cell>
          <cell r="N716">
            <v>4</v>
          </cell>
          <cell r="O716">
            <v>4</v>
          </cell>
        </row>
        <row r="717">
          <cell r="A717">
            <v>8000237</v>
          </cell>
          <cell r="B717" t="str">
            <v>BISNAGUINHA</v>
          </cell>
          <cell r="C717">
            <v>99</v>
          </cell>
          <cell r="D717" t="str">
            <v>nao se aplica</v>
          </cell>
          <cell r="E717">
            <v>29</v>
          </cell>
          <cell r="F717" t="str">
            <v>Paes ultraprocessados</v>
          </cell>
          <cell r="G717">
            <v>0</v>
          </cell>
          <cell r="H717">
            <v>8000237</v>
          </cell>
          <cell r="I717" t="str">
            <v>190590</v>
          </cell>
          <cell r="J717" t="str">
            <v>19059</v>
          </cell>
          <cell r="K717" t="str">
            <v>1905</v>
          </cell>
          <cell r="L717" t="str">
            <v>190</v>
          </cell>
          <cell r="M717" t="str">
            <v>19</v>
          </cell>
          <cell r="N717">
            <v>4</v>
          </cell>
          <cell r="O717">
            <v>4</v>
          </cell>
        </row>
        <row r="718">
          <cell r="A718">
            <v>8000240</v>
          </cell>
          <cell r="B718" t="str">
            <v>CROISSANT</v>
          </cell>
          <cell r="C718">
            <v>99</v>
          </cell>
          <cell r="D718" t="str">
            <v>nao se aplica</v>
          </cell>
          <cell r="E718">
            <v>29</v>
          </cell>
          <cell r="F718" t="str">
            <v>Paes ultraprocessados</v>
          </cell>
          <cell r="G718">
            <v>0</v>
          </cell>
          <cell r="H718">
            <v>8000240</v>
          </cell>
          <cell r="I718" t="str">
            <v>190590</v>
          </cell>
          <cell r="J718" t="str">
            <v>19059</v>
          </cell>
          <cell r="K718" t="str">
            <v>1905</v>
          </cell>
          <cell r="L718" t="str">
            <v>190</v>
          </cell>
          <cell r="M718" t="str">
            <v>19</v>
          </cell>
          <cell r="N718">
            <v>4</v>
          </cell>
          <cell r="O718">
            <v>4</v>
          </cell>
        </row>
        <row r="719">
          <cell r="A719">
            <v>8000245</v>
          </cell>
          <cell r="B719" t="str">
            <v>PAO AUSTRALIANO</v>
          </cell>
          <cell r="C719">
            <v>99</v>
          </cell>
          <cell r="D719" t="str">
            <v>nao se aplica</v>
          </cell>
          <cell r="E719">
            <v>29</v>
          </cell>
          <cell r="F719" t="str">
            <v>Paes ultraprocessados</v>
          </cell>
          <cell r="G719">
            <v>0</v>
          </cell>
          <cell r="H719" t="e">
            <v>#N/A</v>
          </cell>
          <cell r="I719" t="str">
            <v>190590</v>
          </cell>
          <cell r="J719" t="str">
            <v>19059</v>
          </cell>
          <cell r="K719" t="str">
            <v>1905</v>
          </cell>
          <cell r="L719" t="str">
            <v>190</v>
          </cell>
          <cell r="M719" t="str">
            <v>19</v>
          </cell>
          <cell r="N719">
            <v>4</v>
          </cell>
          <cell r="O719">
            <v>4</v>
          </cell>
        </row>
        <row r="720">
          <cell r="A720">
            <v>8000249</v>
          </cell>
          <cell r="B720" t="str">
            <v>PAO DOCE, SEM RECHEIO</v>
          </cell>
          <cell r="C720">
            <v>99</v>
          </cell>
          <cell r="D720" t="str">
            <v>nao se aplica</v>
          </cell>
          <cell r="E720">
            <v>9</v>
          </cell>
          <cell r="F720" t="str">
            <v xml:space="preserve">Paes doces, bolos e tortas doces </v>
          </cell>
          <cell r="G720">
            <v>0</v>
          </cell>
          <cell r="H720" t="e">
            <v>#N/A</v>
          </cell>
          <cell r="I720" t="str">
            <v>190590</v>
          </cell>
          <cell r="J720" t="str">
            <v>19059</v>
          </cell>
          <cell r="K720" t="str">
            <v>1905</v>
          </cell>
          <cell r="L720" t="str">
            <v>190</v>
          </cell>
          <cell r="M720" t="str">
            <v>19</v>
          </cell>
          <cell r="N720">
            <v>4</v>
          </cell>
          <cell r="O720">
            <v>4</v>
          </cell>
        </row>
        <row r="721">
          <cell r="A721">
            <v>8000501</v>
          </cell>
          <cell r="B721" t="str">
            <v>PAO DE FORMA INDUSTRIALIZADO DE QUALQUER MARCA</v>
          </cell>
          <cell r="C721">
            <v>99</v>
          </cell>
          <cell r="D721" t="str">
            <v>nao se aplica</v>
          </cell>
          <cell r="E721">
            <v>29</v>
          </cell>
          <cell r="F721" t="str">
            <v>Paes ultraprocessados</v>
          </cell>
          <cell r="G721">
            <v>0</v>
          </cell>
          <cell r="H721">
            <v>8000501</v>
          </cell>
          <cell r="I721" t="str">
            <v>190590</v>
          </cell>
          <cell r="J721" t="str">
            <v>19059</v>
          </cell>
          <cell r="K721" t="str">
            <v>1905</v>
          </cell>
          <cell r="L721" t="str">
            <v>190</v>
          </cell>
          <cell r="M721" t="str">
            <v>19</v>
          </cell>
          <cell r="N721">
            <v>4</v>
          </cell>
          <cell r="O721">
            <v>4</v>
          </cell>
        </row>
        <row r="722">
          <cell r="A722">
            <v>8000801</v>
          </cell>
          <cell r="B722" t="str">
            <v>PAO DE QUEIJO</v>
          </cell>
          <cell r="C722">
            <v>99</v>
          </cell>
          <cell r="D722" t="str">
            <v>nao se aplica</v>
          </cell>
          <cell r="E722">
            <v>29</v>
          </cell>
          <cell r="F722" t="str">
            <v>Paes ultraprocessados</v>
          </cell>
          <cell r="G722">
            <v>0</v>
          </cell>
          <cell r="H722">
            <v>8000801</v>
          </cell>
          <cell r="I722">
            <v>190120</v>
          </cell>
          <cell r="J722" t="str">
            <v>19012</v>
          </cell>
          <cell r="K722" t="str">
            <v>1901</v>
          </cell>
          <cell r="L722" t="str">
            <v>190</v>
          </cell>
          <cell r="M722" t="str">
            <v>19</v>
          </cell>
          <cell r="N722">
            <v>4</v>
          </cell>
          <cell r="O722">
            <v>4</v>
          </cell>
        </row>
        <row r="723">
          <cell r="A723">
            <v>8001101</v>
          </cell>
          <cell r="B723" t="str">
            <v>PAO DE MILHO</v>
          </cell>
          <cell r="C723">
            <v>99</v>
          </cell>
          <cell r="D723" t="str">
            <v>nao se aplica</v>
          </cell>
          <cell r="E723">
            <v>29</v>
          </cell>
          <cell r="F723" t="str">
            <v>Paes ultraprocessados</v>
          </cell>
          <cell r="G723">
            <v>0</v>
          </cell>
          <cell r="H723">
            <v>8001101</v>
          </cell>
          <cell r="I723" t="str">
            <v>190590</v>
          </cell>
          <cell r="J723" t="str">
            <v>19059</v>
          </cell>
          <cell r="K723" t="str">
            <v>1905</v>
          </cell>
          <cell r="L723" t="str">
            <v>190</v>
          </cell>
          <cell r="M723" t="str">
            <v>19</v>
          </cell>
          <cell r="N723">
            <v>4</v>
          </cell>
          <cell r="O723">
            <v>4</v>
          </cell>
        </row>
        <row r="724">
          <cell r="A724">
            <v>8001301</v>
          </cell>
          <cell r="B724" t="str">
            <v>PAO DE CENTEIO</v>
          </cell>
          <cell r="C724">
            <v>99</v>
          </cell>
          <cell r="D724" t="str">
            <v>nao se aplica</v>
          </cell>
          <cell r="E724">
            <v>29</v>
          </cell>
          <cell r="F724" t="str">
            <v>Paes ultraprocessados</v>
          </cell>
          <cell r="G724">
            <v>0</v>
          </cell>
          <cell r="H724">
            <v>8001301</v>
          </cell>
          <cell r="I724" t="str">
            <v>190590</v>
          </cell>
          <cell r="J724" t="str">
            <v>19059</v>
          </cell>
          <cell r="K724" t="str">
            <v>1905</v>
          </cell>
          <cell r="L724" t="str">
            <v>190</v>
          </cell>
          <cell r="M724" t="str">
            <v>19</v>
          </cell>
          <cell r="N724">
            <v>4</v>
          </cell>
          <cell r="O724">
            <v>4</v>
          </cell>
        </row>
        <row r="725">
          <cell r="A725">
            <v>8001302</v>
          </cell>
          <cell r="B725" t="str">
            <v>PAO PRETO NAO ESPECIFICADO</v>
          </cell>
          <cell r="C725">
            <v>99</v>
          </cell>
          <cell r="D725" t="str">
            <v>nao se aplica</v>
          </cell>
          <cell r="E725">
            <v>29</v>
          </cell>
          <cell r="F725" t="str">
            <v>Paes ultraprocessados</v>
          </cell>
          <cell r="G725">
            <v>0</v>
          </cell>
          <cell r="H725" t="e">
            <v>#N/A</v>
          </cell>
          <cell r="I725" t="str">
            <v>190590</v>
          </cell>
          <cell r="J725" t="str">
            <v>19059</v>
          </cell>
          <cell r="K725" t="str">
            <v>1905</v>
          </cell>
          <cell r="L725" t="str">
            <v>190</v>
          </cell>
          <cell r="M725" t="str">
            <v>19</v>
          </cell>
          <cell r="N725">
            <v>4</v>
          </cell>
          <cell r="O725">
            <v>4</v>
          </cell>
        </row>
        <row r="726">
          <cell r="A726">
            <v>8001401</v>
          </cell>
          <cell r="B726" t="str">
            <v>PAO INTEGRAL</v>
          </cell>
          <cell r="C726">
            <v>99</v>
          </cell>
          <cell r="D726" t="str">
            <v>nao se aplica</v>
          </cell>
          <cell r="E726">
            <v>29</v>
          </cell>
          <cell r="F726" t="str">
            <v>Paes ultraprocessados</v>
          </cell>
          <cell r="G726">
            <v>0</v>
          </cell>
          <cell r="H726">
            <v>8001401</v>
          </cell>
          <cell r="I726" t="str">
            <v>190590</v>
          </cell>
          <cell r="J726" t="str">
            <v>19059</v>
          </cell>
          <cell r="K726" t="str">
            <v>1905</v>
          </cell>
          <cell r="L726" t="str">
            <v>190</v>
          </cell>
          <cell r="M726" t="str">
            <v>19</v>
          </cell>
          <cell r="N726">
            <v>4</v>
          </cell>
          <cell r="O726">
            <v>4</v>
          </cell>
        </row>
        <row r="727">
          <cell r="A727">
            <v>8001407</v>
          </cell>
          <cell r="B727" t="str">
            <v>PAO ARABE INTEGRAL</v>
          </cell>
          <cell r="C727">
            <v>99</v>
          </cell>
          <cell r="D727" t="str">
            <v>nao se aplica</v>
          </cell>
          <cell r="E727">
            <v>29</v>
          </cell>
          <cell r="F727" t="str">
            <v>Paes ultraprocessados</v>
          </cell>
          <cell r="G727">
            <v>0</v>
          </cell>
          <cell r="H727" t="e">
            <v>#N/A</v>
          </cell>
          <cell r="I727" t="str">
            <v>190590</v>
          </cell>
          <cell r="J727" t="str">
            <v>19059</v>
          </cell>
          <cell r="K727" t="str">
            <v>1905</v>
          </cell>
          <cell r="L727" t="str">
            <v>190</v>
          </cell>
          <cell r="M727" t="str">
            <v>19</v>
          </cell>
          <cell r="N727">
            <v>4</v>
          </cell>
          <cell r="O727">
            <v>4</v>
          </cell>
        </row>
        <row r="728">
          <cell r="A728">
            <v>8001408</v>
          </cell>
          <cell r="B728" t="str">
            <v>PAO CACETINHO INTEGRAL</v>
          </cell>
          <cell r="C728">
            <v>99</v>
          </cell>
          <cell r="D728" t="str">
            <v>nao se aplica</v>
          </cell>
          <cell r="E728">
            <v>84</v>
          </cell>
          <cell r="F728" t="str">
            <v>Pao frances</v>
          </cell>
          <cell r="G728">
            <v>0</v>
          </cell>
          <cell r="H728">
            <v>8001408</v>
          </cell>
          <cell r="I728" t="str">
            <v>190590</v>
          </cell>
          <cell r="J728" t="str">
            <v>19059</v>
          </cell>
          <cell r="K728" t="str">
            <v>1905</v>
          </cell>
          <cell r="L728" t="str">
            <v>190</v>
          </cell>
          <cell r="M728" t="str">
            <v>19</v>
          </cell>
          <cell r="N728">
            <v>4</v>
          </cell>
          <cell r="O728">
            <v>4</v>
          </cell>
        </row>
        <row r="729">
          <cell r="A729">
            <v>8001409</v>
          </cell>
          <cell r="B729" t="str">
            <v>PAO CARECA INTEGRAL</v>
          </cell>
          <cell r="C729">
            <v>99</v>
          </cell>
          <cell r="D729" t="str">
            <v>nao se aplica</v>
          </cell>
          <cell r="E729">
            <v>84</v>
          </cell>
          <cell r="F729" t="str">
            <v>Pao frances</v>
          </cell>
          <cell r="G729">
            <v>0</v>
          </cell>
          <cell r="H729" t="e">
            <v>#N/A</v>
          </cell>
          <cell r="I729" t="str">
            <v>190590</v>
          </cell>
          <cell r="J729" t="str">
            <v>19059</v>
          </cell>
          <cell r="K729" t="str">
            <v>1905</v>
          </cell>
          <cell r="L729" t="str">
            <v>190</v>
          </cell>
          <cell r="M729" t="str">
            <v>19</v>
          </cell>
          <cell r="N729">
            <v>4</v>
          </cell>
          <cell r="O729">
            <v>4</v>
          </cell>
        </row>
        <row r="730">
          <cell r="A730">
            <v>8001410</v>
          </cell>
          <cell r="B730" t="str">
            <v>PAO CENTEIO INTEGRAL</v>
          </cell>
          <cell r="C730">
            <v>99</v>
          </cell>
          <cell r="D730" t="str">
            <v>nao se aplica</v>
          </cell>
          <cell r="E730">
            <v>29</v>
          </cell>
          <cell r="F730" t="str">
            <v>Paes ultraprocessados</v>
          </cell>
          <cell r="G730">
            <v>0</v>
          </cell>
          <cell r="H730" t="e">
            <v>#N/A</v>
          </cell>
          <cell r="I730" t="str">
            <v>190590</v>
          </cell>
          <cell r="J730" t="str">
            <v>19059</v>
          </cell>
          <cell r="K730" t="str">
            <v>1905</v>
          </cell>
          <cell r="L730" t="str">
            <v>190</v>
          </cell>
          <cell r="M730" t="str">
            <v>19</v>
          </cell>
          <cell r="N730">
            <v>4</v>
          </cell>
          <cell r="O730">
            <v>4</v>
          </cell>
        </row>
        <row r="731">
          <cell r="A731">
            <v>8001411</v>
          </cell>
          <cell r="B731" t="str">
            <v>PAO DE SAL INTEGRAL</v>
          </cell>
          <cell r="C731">
            <v>99</v>
          </cell>
          <cell r="D731" t="str">
            <v>nao se aplica</v>
          </cell>
          <cell r="E731">
            <v>84</v>
          </cell>
          <cell r="F731" t="str">
            <v>Pao frances</v>
          </cell>
          <cell r="G731">
            <v>0</v>
          </cell>
          <cell r="H731" t="e">
            <v>#N/A</v>
          </cell>
          <cell r="I731" t="str">
            <v>190590</v>
          </cell>
          <cell r="J731" t="str">
            <v>19059</v>
          </cell>
          <cell r="K731" t="str">
            <v>1905</v>
          </cell>
          <cell r="L731" t="str">
            <v>190</v>
          </cell>
          <cell r="M731" t="str">
            <v>19</v>
          </cell>
          <cell r="N731">
            <v>4</v>
          </cell>
          <cell r="O731">
            <v>4</v>
          </cell>
        </row>
        <row r="732">
          <cell r="A732">
            <v>8001412</v>
          </cell>
          <cell r="B732" t="str">
            <v>PAO DE TRIGO INTEGRAL</v>
          </cell>
          <cell r="C732">
            <v>99</v>
          </cell>
          <cell r="D732" t="str">
            <v>nao se aplica</v>
          </cell>
          <cell r="E732">
            <v>84</v>
          </cell>
          <cell r="F732" t="str">
            <v>Pao frances</v>
          </cell>
          <cell r="G732">
            <v>0</v>
          </cell>
          <cell r="H732" t="e">
            <v>#N/A</v>
          </cell>
          <cell r="I732" t="str">
            <v>190590</v>
          </cell>
          <cell r="J732" t="str">
            <v>19059</v>
          </cell>
          <cell r="K732" t="str">
            <v>1905</v>
          </cell>
          <cell r="L732" t="str">
            <v>190</v>
          </cell>
          <cell r="M732" t="str">
            <v>19</v>
          </cell>
          <cell r="N732">
            <v>4</v>
          </cell>
          <cell r="O732">
            <v>4</v>
          </cell>
        </row>
        <row r="733">
          <cell r="A733">
            <v>8001413</v>
          </cell>
          <cell r="B733" t="str">
            <v>PAO FRANCÃ‹S INTEGRAL</v>
          </cell>
          <cell r="C733">
            <v>99</v>
          </cell>
          <cell r="D733" t="str">
            <v>nao se aplica</v>
          </cell>
          <cell r="E733">
            <v>84</v>
          </cell>
          <cell r="F733" t="str">
            <v>Pao frances</v>
          </cell>
          <cell r="G733">
            <v>0</v>
          </cell>
          <cell r="H733" t="e">
            <v>#N/A</v>
          </cell>
          <cell r="I733">
            <v>190120</v>
          </cell>
          <cell r="J733" t="str">
            <v>19012</v>
          </cell>
          <cell r="K733" t="str">
            <v>1901</v>
          </cell>
          <cell r="L733" t="str">
            <v>190</v>
          </cell>
          <cell r="M733" t="str">
            <v>19</v>
          </cell>
          <cell r="N733">
            <v>4</v>
          </cell>
          <cell r="O733">
            <v>4</v>
          </cell>
        </row>
        <row r="734">
          <cell r="A734">
            <v>8001414</v>
          </cell>
          <cell r="B734" t="str">
            <v>PAOZINHO INTEGRAL</v>
          </cell>
          <cell r="C734">
            <v>99</v>
          </cell>
          <cell r="D734" t="str">
            <v>nao se aplica</v>
          </cell>
          <cell r="E734">
            <v>84</v>
          </cell>
          <cell r="F734" t="str">
            <v>Pao frances</v>
          </cell>
          <cell r="G734">
            <v>0</v>
          </cell>
          <cell r="H734" t="e">
            <v>#N/A</v>
          </cell>
          <cell r="I734">
            <v>190120</v>
          </cell>
          <cell r="J734" t="str">
            <v>19012</v>
          </cell>
          <cell r="K734" t="str">
            <v>1901</v>
          </cell>
          <cell r="L734" t="str">
            <v>190</v>
          </cell>
          <cell r="M734" t="str">
            <v>19</v>
          </cell>
          <cell r="N734">
            <v>4</v>
          </cell>
          <cell r="O734">
            <v>4</v>
          </cell>
        </row>
        <row r="735">
          <cell r="A735">
            <v>8001501</v>
          </cell>
          <cell r="B735" t="str">
            <v>PAO NAO ESPECIFICADO</v>
          </cell>
          <cell r="C735">
            <v>99</v>
          </cell>
          <cell r="D735" t="str">
            <v>nao se aplica</v>
          </cell>
          <cell r="E735">
            <v>84</v>
          </cell>
          <cell r="F735" t="str">
            <v>Pao frances</v>
          </cell>
          <cell r="G735">
            <v>0</v>
          </cell>
          <cell r="H735" t="e">
            <v>#N/A</v>
          </cell>
          <cell r="I735" t="str">
            <v>190590</v>
          </cell>
          <cell r="J735" t="str">
            <v>19059</v>
          </cell>
          <cell r="K735" t="str">
            <v>1905</v>
          </cell>
          <cell r="L735" t="str">
            <v>190</v>
          </cell>
          <cell r="M735" t="str">
            <v>19</v>
          </cell>
          <cell r="N735">
            <v>4</v>
          </cell>
          <cell r="O735">
            <v>3</v>
          </cell>
        </row>
        <row r="736">
          <cell r="A736">
            <v>8001901</v>
          </cell>
          <cell r="B736" t="str">
            <v>TORRADA DE QUALQUER PAO</v>
          </cell>
          <cell r="C736">
            <v>99</v>
          </cell>
          <cell r="D736" t="str">
            <v>nao se aplica</v>
          </cell>
          <cell r="E736">
            <v>29</v>
          </cell>
          <cell r="F736" t="str">
            <v>Paes ultraprocessados</v>
          </cell>
          <cell r="G736">
            <v>0</v>
          </cell>
          <cell r="H736">
            <v>8001901</v>
          </cell>
          <cell r="I736">
            <v>190540</v>
          </cell>
          <cell r="J736" t="str">
            <v>19054</v>
          </cell>
          <cell r="K736" t="str">
            <v>1905</v>
          </cell>
          <cell r="L736" t="str">
            <v>190</v>
          </cell>
          <cell r="M736" t="str">
            <v>19</v>
          </cell>
          <cell r="N736">
            <v>4</v>
          </cell>
          <cell r="O736">
            <v>4</v>
          </cell>
        </row>
        <row r="737">
          <cell r="A737">
            <v>8002001</v>
          </cell>
          <cell r="B737" t="str">
            <v>ROSCA DOCE</v>
          </cell>
          <cell r="C737">
            <v>99</v>
          </cell>
          <cell r="D737" t="str">
            <v>nao se aplica</v>
          </cell>
          <cell r="E737">
            <v>9</v>
          </cell>
          <cell r="F737" t="str">
            <v xml:space="preserve">Paes doces, bolos e tortas doces </v>
          </cell>
          <cell r="G737">
            <v>0</v>
          </cell>
          <cell r="H737" t="e">
            <v>#N/A</v>
          </cell>
          <cell r="I737">
            <v>190520</v>
          </cell>
          <cell r="J737" t="str">
            <v>19052</v>
          </cell>
          <cell r="K737" t="str">
            <v>1905</v>
          </cell>
          <cell r="L737" t="str">
            <v>190</v>
          </cell>
          <cell r="M737" t="str">
            <v>19</v>
          </cell>
          <cell r="N737">
            <v>4</v>
          </cell>
          <cell r="O737">
            <v>4</v>
          </cell>
        </row>
        <row r="738">
          <cell r="A738">
            <v>8002002</v>
          </cell>
          <cell r="B738" t="str">
            <v>ROSQUINHA DOCE</v>
          </cell>
          <cell r="C738">
            <v>99</v>
          </cell>
          <cell r="D738" t="str">
            <v>nao se aplica</v>
          </cell>
          <cell r="E738">
            <v>49</v>
          </cell>
          <cell r="F738" t="str">
            <v xml:space="preserve">Bolacha/ biscoito doce </v>
          </cell>
          <cell r="G738">
            <v>0</v>
          </cell>
          <cell r="H738" t="e">
            <v>#N/A</v>
          </cell>
          <cell r="I738" t="str">
            <v>190530</v>
          </cell>
          <cell r="J738" t="str">
            <v>19053</v>
          </cell>
          <cell r="K738" t="str">
            <v>1905</v>
          </cell>
          <cell r="L738" t="str">
            <v>190</v>
          </cell>
          <cell r="M738" t="str">
            <v>19</v>
          </cell>
          <cell r="N738">
            <v>4</v>
          </cell>
          <cell r="O738">
            <v>4</v>
          </cell>
        </row>
        <row r="739">
          <cell r="A739">
            <v>8002101</v>
          </cell>
          <cell r="B739" t="str">
            <v>ROSCA SALGADA</v>
          </cell>
          <cell r="C739">
            <v>99</v>
          </cell>
          <cell r="D739" t="str">
            <v>nao se aplica</v>
          </cell>
          <cell r="E739">
            <v>6</v>
          </cell>
          <cell r="F739" t="str">
            <v>Bolacha/biscoito salgado</v>
          </cell>
          <cell r="G739">
            <v>0</v>
          </cell>
          <cell r="H739" t="e">
            <v>#N/A</v>
          </cell>
          <cell r="I739" t="str">
            <v>190530</v>
          </cell>
          <cell r="J739" t="str">
            <v>19053</v>
          </cell>
          <cell r="K739" t="str">
            <v>1905</v>
          </cell>
          <cell r="L739" t="str">
            <v>190</v>
          </cell>
          <cell r="M739" t="str">
            <v>19</v>
          </cell>
          <cell r="N739">
            <v>4</v>
          </cell>
          <cell r="O739">
            <v>4</v>
          </cell>
        </row>
        <row r="740">
          <cell r="A740">
            <v>8002106</v>
          </cell>
          <cell r="B740" t="str">
            <v>ROSQUINHA SALGADA</v>
          </cell>
          <cell r="C740">
            <v>99</v>
          </cell>
          <cell r="D740" t="str">
            <v>nao se aplica</v>
          </cell>
          <cell r="E740">
            <v>6</v>
          </cell>
          <cell r="F740" t="str">
            <v>Bolacha/biscoito salgado</v>
          </cell>
          <cell r="G740">
            <v>0</v>
          </cell>
          <cell r="H740" t="e">
            <v>#N/A</v>
          </cell>
          <cell r="I740" t="str">
            <v>190590</v>
          </cell>
          <cell r="J740" t="str">
            <v>19059</v>
          </cell>
          <cell r="K740" t="str">
            <v>1905</v>
          </cell>
          <cell r="L740" t="str">
            <v>190</v>
          </cell>
          <cell r="M740" t="str">
            <v>19</v>
          </cell>
          <cell r="N740">
            <v>4</v>
          </cell>
          <cell r="O740">
            <v>4</v>
          </cell>
        </row>
        <row r="741">
          <cell r="A741">
            <v>8002201</v>
          </cell>
          <cell r="B741" t="str">
            <v>BISCOITO SALGADO</v>
          </cell>
          <cell r="C741">
            <v>99</v>
          </cell>
          <cell r="D741" t="str">
            <v>nao se aplica</v>
          </cell>
          <cell r="E741">
            <v>6</v>
          </cell>
          <cell r="F741" t="str">
            <v>Bolacha/biscoito salgado</v>
          </cell>
          <cell r="G741">
            <v>0</v>
          </cell>
          <cell r="H741">
            <v>8002201</v>
          </cell>
          <cell r="I741" t="str">
            <v>190590</v>
          </cell>
          <cell r="J741" t="str">
            <v>19059</v>
          </cell>
          <cell r="K741" t="str">
            <v>1905</v>
          </cell>
          <cell r="L741" t="str">
            <v>190</v>
          </cell>
          <cell r="M741" t="str">
            <v>19</v>
          </cell>
          <cell r="N741">
            <v>4</v>
          </cell>
          <cell r="O741">
            <v>4</v>
          </cell>
        </row>
        <row r="742">
          <cell r="A742">
            <v>8002205</v>
          </cell>
          <cell r="B742" t="str">
            <v>PRESUNTINHO BISCOITO</v>
          </cell>
          <cell r="C742">
            <v>99</v>
          </cell>
          <cell r="D742" t="str">
            <v>nao se aplica</v>
          </cell>
          <cell r="E742">
            <v>6</v>
          </cell>
          <cell r="F742" t="str">
            <v>Bolacha/biscoito salgado</v>
          </cell>
          <cell r="G742">
            <v>0</v>
          </cell>
          <cell r="H742">
            <v>8002205</v>
          </cell>
          <cell r="I742">
            <v>200520</v>
          </cell>
          <cell r="J742" t="str">
            <v>20052</v>
          </cell>
          <cell r="K742" t="str">
            <v>2005</v>
          </cell>
          <cell r="L742" t="str">
            <v>200</v>
          </cell>
          <cell r="M742" t="str">
            <v>20</v>
          </cell>
          <cell r="N742">
            <v>4</v>
          </cell>
          <cell r="O742">
            <v>4</v>
          </cell>
        </row>
        <row r="743">
          <cell r="A743">
            <v>8002212</v>
          </cell>
          <cell r="B743" t="str">
            <v>BISCOITO DE POLVILHO</v>
          </cell>
          <cell r="C743">
            <v>99</v>
          </cell>
          <cell r="D743" t="str">
            <v>nao se aplica</v>
          </cell>
          <cell r="E743">
            <v>49</v>
          </cell>
          <cell r="F743" t="str">
            <v xml:space="preserve">Bolacha/ biscoito doce </v>
          </cell>
          <cell r="G743">
            <v>0</v>
          </cell>
          <cell r="H743">
            <v>8002212</v>
          </cell>
          <cell r="I743" t="str">
            <v>190530</v>
          </cell>
          <cell r="J743" t="str">
            <v>19053</v>
          </cell>
          <cell r="K743" t="str">
            <v>1905</v>
          </cell>
          <cell r="L743" t="str">
            <v>190</v>
          </cell>
          <cell r="M743" t="str">
            <v>19</v>
          </cell>
          <cell r="N743">
            <v>4</v>
          </cell>
          <cell r="O743">
            <v>4</v>
          </cell>
        </row>
        <row r="744">
          <cell r="A744">
            <v>8002217</v>
          </cell>
          <cell r="B744" t="str">
            <v>GRESSINI / GRISSINI (PALITO DE PAO)</v>
          </cell>
          <cell r="C744">
            <v>99</v>
          </cell>
          <cell r="D744" t="str">
            <v>nao se aplica</v>
          </cell>
          <cell r="E744">
            <v>29</v>
          </cell>
          <cell r="F744" t="str">
            <v>Paes ultraprocessados</v>
          </cell>
          <cell r="G744">
            <v>0</v>
          </cell>
          <cell r="H744" t="e">
            <v>#N/A</v>
          </cell>
          <cell r="I744" t="str">
            <v>190590</v>
          </cell>
          <cell r="J744" t="str">
            <v>19059</v>
          </cell>
          <cell r="K744" t="str">
            <v>1905</v>
          </cell>
          <cell r="L744" t="str">
            <v>190</v>
          </cell>
          <cell r="M744" t="str">
            <v>19</v>
          </cell>
          <cell r="N744">
            <v>4</v>
          </cell>
          <cell r="O744">
            <v>4</v>
          </cell>
        </row>
        <row r="745">
          <cell r="A745">
            <v>8002225</v>
          </cell>
          <cell r="B745" t="str">
            <v>BOLACHA SALGADA</v>
          </cell>
          <cell r="C745">
            <v>99</v>
          </cell>
          <cell r="D745" t="str">
            <v>nao se aplica</v>
          </cell>
          <cell r="E745">
            <v>6</v>
          </cell>
          <cell r="F745" t="str">
            <v>Bolacha/biscoito salgado</v>
          </cell>
          <cell r="G745">
            <v>0</v>
          </cell>
          <cell r="H745" t="e">
            <v>#N/A</v>
          </cell>
          <cell r="I745">
            <v>190530</v>
          </cell>
          <cell r="J745" t="str">
            <v>19053</v>
          </cell>
          <cell r="K745" t="str">
            <v>1905</v>
          </cell>
          <cell r="L745" t="str">
            <v>190</v>
          </cell>
          <cell r="M745" t="str">
            <v>19</v>
          </cell>
          <cell r="N745">
            <v>4</v>
          </cell>
          <cell r="O745">
            <v>4</v>
          </cell>
        </row>
        <row r="746">
          <cell r="A746">
            <v>8002227</v>
          </cell>
          <cell r="B746" t="str">
            <v>CHIPS (SALGADINHOS)</v>
          </cell>
          <cell r="C746">
            <v>99</v>
          </cell>
          <cell r="D746" t="str">
            <v>nao se aplica</v>
          </cell>
          <cell r="E746">
            <v>13</v>
          </cell>
          <cell r="F746" t="str">
            <v>Salgadinho</v>
          </cell>
          <cell r="G746">
            <v>0</v>
          </cell>
          <cell r="H746" t="e">
            <v>#N/A</v>
          </cell>
          <cell r="I746">
            <v>190410</v>
          </cell>
          <cell r="J746" t="str">
            <v>19041</v>
          </cell>
          <cell r="K746" t="str">
            <v>1904</v>
          </cell>
          <cell r="L746" t="str">
            <v>190</v>
          </cell>
          <cell r="M746" t="str">
            <v>19</v>
          </cell>
          <cell r="N746">
            <v>4</v>
          </cell>
          <cell r="O746">
            <v>4</v>
          </cell>
        </row>
        <row r="747">
          <cell r="A747">
            <v>8002230</v>
          </cell>
          <cell r="B747" t="str">
            <v>BACONZITOS</v>
          </cell>
          <cell r="C747">
            <v>99</v>
          </cell>
          <cell r="D747" t="str">
            <v>nao se aplica</v>
          </cell>
          <cell r="E747">
            <v>13</v>
          </cell>
          <cell r="F747" t="str">
            <v>Salgadinho</v>
          </cell>
          <cell r="G747">
            <v>0</v>
          </cell>
          <cell r="H747">
            <v>8002230</v>
          </cell>
          <cell r="I747">
            <v>200520</v>
          </cell>
          <cell r="J747" t="str">
            <v>20052</v>
          </cell>
          <cell r="K747" t="str">
            <v>2005</v>
          </cell>
          <cell r="L747" t="str">
            <v>200</v>
          </cell>
          <cell r="M747" t="str">
            <v>20</v>
          </cell>
          <cell r="N747">
            <v>4</v>
          </cell>
          <cell r="O747">
            <v>4</v>
          </cell>
        </row>
        <row r="748">
          <cell r="A748">
            <v>8002236</v>
          </cell>
          <cell r="B748" t="str">
            <v>BISCOITO SALGADO INTEGRAL</v>
          </cell>
          <cell r="C748">
            <v>99</v>
          </cell>
          <cell r="D748" t="str">
            <v>nao se aplica</v>
          </cell>
          <cell r="E748">
            <v>6</v>
          </cell>
          <cell r="F748" t="str">
            <v>Bolacha/biscoito salgado</v>
          </cell>
          <cell r="G748">
            <v>0</v>
          </cell>
          <cell r="H748">
            <v>8002236</v>
          </cell>
          <cell r="I748">
            <v>190530</v>
          </cell>
          <cell r="J748" t="str">
            <v>19053</v>
          </cell>
          <cell r="K748" t="str">
            <v>1905</v>
          </cell>
          <cell r="L748" t="str">
            <v>190</v>
          </cell>
          <cell r="M748" t="str">
            <v>19</v>
          </cell>
          <cell r="N748">
            <v>4</v>
          </cell>
          <cell r="O748">
            <v>4</v>
          </cell>
        </row>
        <row r="749">
          <cell r="A749">
            <v>8002246</v>
          </cell>
          <cell r="B749" t="str">
            <v>SALGADINHO DE MILHO (TIPO DORITOS, FANDAGOS, CHEETOS)</v>
          </cell>
          <cell r="C749">
            <v>99</v>
          </cell>
          <cell r="D749" t="str">
            <v>nao se aplica</v>
          </cell>
          <cell r="E749">
            <v>13</v>
          </cell>
          <cell r="F749" t="str">
            <v>Salgadinho</v>
          </cell>
          <cell r="G749">
            <v>0</v>
          </cell>
          <cell r="H749" t="e">
            <v>#N/A</v>
          </cell>
          <cell r="I749">
            <v>190410</v>
          </cell>
          <cell r="J749" t="str">
            <v>19041</v>
          </cell>
          <cell r="K749" t="str">
            <v>1904</v>
          </cell>
          <cell r="L749" t="str">
            <v>190</v>
          </cell>
          <cell r="M749" t="str">
            <v>19</v>
          </cell>
          <cell r="N749">
            <v>4</v>
          </cell>
          <cell r="O749">
            <v>4</v>
          </cell>
        </row>
        <row r="750">
          <cell r="A750">
            <v>8002252</v>
          </cell>
          <cell r="B750" t="str">
            <v>TORRADA CENTEIO</v>
          </cell>
          <cell r="C750">
            <v>99</v>
          </cell>
          <cell r="D750" t="str">
            <v>nao se aplica</v>
          </cell>
          <cell r="E750">
            <v>29</v>
          </cell>
          <cell r="F750" t="str">
            <v>Paes ultraprocessados</v>
          </cell>
          <cell r="G750">
            <v>0</v>
          </cell>
          <cell r="H750">
            <v>8002252</v>
          </cell>
          <cell r="I750">
            <v>190540</v>
          </cell>
          <cell r="J750" t="str">
            <v>19054</v>
          </cell>
          <cell r="K750" t="str">
            <v>1905</v>
          </cell>
          <cell r="L750" t="str">
            <v>190</v>
          </cell>
          <cell r="M750" t="str">
            <v>19</v>
          </cell>
          <cell r="N750">
            <v>4</v>
          </cell>
          <cell r="O750">
            <v>4</v>
          </cell>
        </row>
        <row r="751">
          <cell r="A751">
            <v>8002253</v>
          </cell>
          <cell r="B751" t="str">
            <v>TORRADA DOCE</v>
          </cell>
          <cell r="C751">
            <v>99</v>
          </cell>
          <cell r="D751" t="str">
            <v>nao se aplica</v>
          </cell>
          <cell r="E751">
            <v>29</v>
          </cell>
          <cell r="F751" t="str">
            <v>Paes ultraprocessados</v>
          </cell>
          <cell r="G751">
            <v>0</v>
          </cell>
          <cell r="H751" t="e">
            <v>#N/A</v>
          </cell>
          <cell r="I751">
            <v>190540</v>
          </cell>
          <cell r="J751" t="str">
            <v>19054</v>
          </cell>
          <cell r="K751" t="str">
            <v>1905</v>
          </cell>
          <cell r="L751" t="str">
            <v>190</v>
          </cell>
          <cell r="M751" t="str">
            <v>19</v>
          </cell>
          <cell r="N751">
            <v>4</v>
          </cell>
          <cell r="O751">
            <v>4</v>
          </cell>
        </row>
        <row r="752">
          <cell r="A752">
            <v>8002254</v>
          </cell>
          <cell r="B752" t="str">
            <v>TORRADA INTEGRAL</v>
          </cell>
          <cell r="C752">
            <v>99</v>
          </cell>
          <cell r="D752" t="str">
            <v>nao se aplica</v>
          </cell>
          <cell r="E752">
            <v>29</v>
          </cell>
          <cell r="F752" t="str">
            <v>Paes ultraprocessados</v>
          </cell>
          <cell r="G752">
            <v>0</v>
          </cell>
          <cell r="H752" t="e">
            <v>#N/A</v>
          </cell>
          <cell r="I752">
            <v>190540</v>
          </cell>
          <cell r="J752" t="str">
            <v>19054</v>
          </cell>
          <cell r="K752" t="str">
            <v>1905</v>
          </cell>
          <cell r="L752" t="str">
            <v>190</v>
          </cell>
          <cell r="M752" t="str">
            <v>19</v>
          </cell>
          <cell r="N752">
            <v>4</v>
          </cell>
          <cell r="O752">
            <v>4</v>
          </cell>
        </row>
        <row r="753">
          <cell r="A753">
            <v>8002255</v>
          </cell>
          <cell r="B753" t="str">
            <v>SALGADINHO BATATA CHIPS (TIPO RUFFLES)</v>
          </cell>
          <cell r="C753">
            <v>99</v>
          </cell>
          <cell r="D753" t="str">
            <v>nao se aplica</v>
          </cell>
          <cell r="E753">
            <v>13</v>
          </cell>
          <cell r="F753" t="str">
            <v>Salgadinho</v>
          </cell>
          <cell r="G753">
            <v>0</v>
          </cell>
          <cell r="H753">
            <v>8002255</v>
          </cell>
          <cell r="I753">
            <v>190410</v>
          </cell>
          <cell r="J753" t="str">
            <v>19041</v>
          </cell>
          <cell r="K753" t="str">
            <v>1904</v>
          </cell>
          <cell r="L753" t="str">
            <v>190</v>
          </cell>
          <cell r="M753" t="str">
            <v>19</v>
          </cell>
          <cell r="N753">
            <v>4</v>
          </cell>
          <cell r="O753">
            <v>4</v>
          </cell>
        </row>
        <row r="754">
          <cell r="A754">
            <v>8002256</v>
          </cell>
          <cell r="B754" t="str">
            <v>SALGADINHO TIPO TORCIDA</v>
          </cell>
          <cell r="C754">
            <v>99</v>
          </cell>
          <cell r="D754" t="str">
            <v>nao se aplica</v>
          </cell>
          <cell r="E754">
            <v>13</v>
          </cell>
          <cell r="F754" t="str">
            <v>Salgadinho</v>
          </cell>
          <cell r="G754">
            <v>0</v>
          </cell>
          <cell r="H754" t="e">
            <v>#N/A</v>
          </cell>
          <cell r="I754">
            <v>190410</v>
          </cell>
          <cell r="J754" t="str">
            <v>19041</v>
          </cell>
          <cell r="K754" t="str">
            <v>1904</v>
          </cell>
          <cell r="L754" t="str">
            <v>190</v>
          </cell>
          <cell r="M754" t="str">
            <v>19</v>
          </cell>
          <cell r="N754">
            <v>4</v>
          </cell>
          <cell r="O754">
            <v>4</v>
          </cell>
        </row>
        <row r="755">
          <cell r="A755">
            <v>8002301</v>
          </cell>
          <cell r="B755" t="str">
            <v>BISCOITO DOCE</v>
          </cell>
          <cell r="C755">
            <v>99</v>
          </cell>
          <cell r="D755" t="str">
            <v>nao se aplica</v>
          </cell>
          <cell r="E755">
            <v>49</v>
          </cell>
          <cell r="F755" t="str">
            <v xml:space="preserve">Bolacha/ biscoito doce </v>
          </cell>
          <cell r="G755">
            <v>0</v>
          </cell>
          <cell r="H755">
            <v>8002301</v>
          </cell>
          <cell r="I755" t="str">
            <v>190530</v>
          </cell>
          <cell r="J755" t="str">
            <v>19053</v>
          </cell>
          <cell r="K755" t="str">
            <v>1905</v>
          </cell>
          <cell r="L755" t="str">
            <v>190</v>
          </cell>
          <cell r="M755" t="str">
            <v>19</v>
          </cell>
          <cell r="N755">
            <v>4</v>
          </cell>
          <cell r="O755">
            <v>4</v>
          </cell>
        </row>
        <row r="756">
          <cell r="A756">
            <v>8002302</v>
          </cell>
          <cell r="B756" t="str">
            <v>CAVACO CHINES</v>
          </cell>
          <cell r="C756">
            <v>99</v>
          </cell>
          <cell r="D756" t="str">
            <v>nao se aplica</v>
          </cell>
          <cell r="E756">
            <v>49</v>
          </cell>
          <cell r="F756" t="str">
            <v xml:space="preserve">Bolacha/ biscoito doce </v>
          </cell>
          <cell r="G756">
            <v>0</v>
          </cell>
          <cell r="H756">
            <v>8002302</v>
          </cell>
          <cell r="I756" t="str">
            <v>190530</v>
          </cell>
          <cell r="J756" t="str">
            <v>19053</v>
          </cell>
          <cell r="K756" t="str">
            <v>1905</v>
          </cell>
          <cell r="L756" t="str">
            <v>190</v>
          </cell>
          <cell r="M756" t="str">
            <v>19</v>
          </cell>
          <cell r="N756">
            <v>4</v>
          </cell>
          <cell r="O756">
            <v>4</v>
          </cell>
        </row>
        <row r="757">
          <cell r="A757">
            <v>8002305</v>
          </cell>
          <cell r="B757" t="str">
            <v>SEQUILHO</v>
          </cell>
          <cell r="C757">
            <v>99</v>
          </cell>
          <cell r="D757" t="str">
            <v>nao se aplica</v>
          </cell>
          <cell r="E757">
            <v>49</v>
          </cell>
          <cell r="F757" t="str">
            <v xml:space="preserve">Bolacha/ biscoito doce </v>
          </cell>
          <cell r="G757">
            <v>0</v>
          </cell>
          <cell r="H757" t="e">
            <v>#N/A</v>
          </cell>
          <cell r="I757" t="str">
            <v>190530</v>
          </cell>
          <cell r="J757" t="str">
            <v>19053</v>
          </cell>
          <cell r="K757" t="str">
            <v>1905</v>
          </cell>
          <cell r="L757" t="str">
            <v>190</v>
          </cell>
          <cell r="M757" t="str">
            <v>19</v>
          </cell>
          <cell r="N757">
            <v>4</v>
          </cell>
          <cell r="O757">
            <v>4</v>
          </cell>
        </row>
        <row r="758">
          <cell r="A758">
            <v>8002306</v>
          </cell>
          <cell r="B758" t="str">
            <v>TARECO</v>
          </cell>
          <cell r="C758">
            <v>99</v>
          </cell>
          <cell r="D758" t="str">
            <v>nao se aplica</v>
          </cell>
          <cell r="E758">
            <v>49</v>
          </cell>
          <cell r="F758" t="str">
            <v xml:space="preserve">Bolacha/ biscoito doce </v>
          </cell>
          <cell r="G758">
            <v>0</v>
          </cell>
          <cell r="H758" t="e">
            <v>#N/A</v>
          </cell>
          <cell r="I758" t="str">
            <v>190530</v>
          </cell>
          <cell r="J758" t="str">
            <v>19053</v>
          </cell>
          <cell r="K758" t="str">
            <v>1905</v>
          </cell>
          <cell r="L758" t="str">
            <v>190</v>
          </cell>
          <cell r="M758" t="str">
            <v>19</v>
          </cell>
          <cell r="N758">
            <v>4</v>
          </cell>
          <cell r="O758">
            <v>4</v>
          </cell>
        </row>
        <row r="759">
          <cell r="A759">
            <v>8002309</v>
          </cell>
          <cell r="B759" t="str">
            <v>SOLDA</v>
          </cell>
          <cell r="C759">
            <v>99</v>
          </cell>
          <cell r="D759" t="str">
            <v>nao se aplica</v>
          </cell>
          <cell r="E759">
            <v>6</v>
          </cell>
          <cell r="F759" t="str">
            <v>Bolacha/biscoito salgado</v>
          </cell>
          <cell r="G759">
            <v>0</v>
          </cell>
          <cell r="H759" t="e">
            <v>#N/A</v>
          </cell>
          <cell r="I759">
            <v>190530</v>
          </cell>
          <cell r="J759" t="str">
            <v>19053</v>
          </cell>
          <cell r="K759" t="str">
            <v>1905</v>
          </cell>
          <cell r="L759" t="str">
            <v>190</v>
          </cell>
          <cell r="M759" t="str">
            <v>19</v>
          </cell>
          <cell r="N759">
            <v>4</v>
          </cell>
          <cell r="O759">
            <v>4</v>
          </cell>
        </row>
        <row r="760">
          <cell r="A760">
            <v>8002315</v>
          </cell>
          <cell r="B760" t="str">
            <v>BREVIDADE</v>
          </cell>
          <cell r="C760">
            <v>99</v>
          </cell>
          <cell r="D760" t="str">
            <v>nao se aplica</v>
          </cell>
          <cell r="E760">
            <v>49</v>
          </cell>
          <cell r="F760" t="str">
            <v xml:space="preserve">Bolacha/ biscoito doce </v>
          </cell>
          <cell r="G760">
            <v>0</v>
          </cell>
          <cell r="H760" t="e">
            <v>#N/A</v>
          </cell>
          <cell r="I760" t="str">
            <v>190530</v>
          </cell>
          <cell r="J760" t="str">
            <v>19053</v>
          </cell>
          <cell r="K760" t="str">
            <v>1905</v>
          </cell>
          <cell r="L760" t="str">
            <v>190</v>
          </cell>
          <cell r="M760" t="str">
            <v>19</v>
          </cell>
          <cell r="N760">
            <v>4</v>
          </cell>
          <cell r="O760">
            <v>4</v>
          </cell>
        </row>
        <row r="761">
          <cell r="A761">
            <v>8002334</v>
          </cell>
          <cell r="B761" t="str">
            <v>BOLACHA DOCE</v>
          </cell>
          <cell r="C761">
            <v>99</v>
          </cell>
          <cell r="D761" t="str">
            <v>nao se aplica</v>
          </cell>
          <cell r="E761">
            <v>49</v>
          </cell>
          <cell r="F761" t="str">
            <v xml:space="preserve">Bolacha/ biscoito doce </v>
          </cell>
          <cell r="G761">
            <v>0</v>
          </cell>
          <cell r="H761" t="e">
            <v>#N/A</v>
          </cell>
          <cell r="I761" t="str">
            <v>190530</v>
          </cell>
          <cell r="J761" t="str">
            <v>19053</v>
          </cell>
          <cell r="K761" t="str">
            <v>1905</v>
          </cell>
          <cell r="L761" t="str">
            <v>190</v>
          </cell>
          <cell r="M761" t="str">
            <v>19</v>
          </cell>
          <cell r="N761">
            <v>4</v>
          </cell>
          <cell r="O761">
            <v>4</v>
          </cell>
        </row>
        <row r="762">
          <cell r="A762">
            <v>8002335</v>
          </cell>
          <cell r="B762" t="str">
            <v>MARIA MALUCA (BOLACHA DOCE)</v>
          </cell>
          <cell r="C762">
            <v>99</v>
          </cell>
          <cell r="D762" t="str">
            <v>nao se aplica</v>
          </cell>
          <cell r="E762">
            <v>49</v>
          </cell>
          <cell r="F762" t="str">
            <v xml:space="preserve">Bolacha/ biscoito doce </v>
          </cell>
          <cell r="G762">
            <v>0</v>
          </cell>
          <cell r="H762" t="e">
            <v>#N/A</v>
          </cell>
          <cell r="I762" t="str">
            <v>190530</v>
          </cell>
          <cell r="J762" t="str">
            <v>19053</v>
          </cell>
          <cell r="K762" t="str">
            <v>1905</v>
          </cell>
          <cell r="L762" t="str">
            <v>190</v>
          </cell>
          <cell r="M762" t="str">
            <v>19</v>
          </cell>
          <cell r="N762">
            <v>4</v>
          </cell>
          <cell r="O762">
            <v>4</v>
          </cell>
        </row>
        <row r="763">
          <cell r="A763">
            <v>8002502</v>
          </cell>
          <cell r="B763" t="str">
            <v>ROCAMBOLE</v>
          </cell>
          <cell r="C763">
            <v>99</v>
          </cell>
          <cell r="D763" t="str">
            <v>nao se aplica</v>
          </cell>
          <cell r="E763">
            <v>9</v>
          </cell>
          <cell r="F763" t="str">
            <v xml:space="preserve">Paes doces, bolos e tortas doces </v>
          </cell>
          <cell r="G763">
            <v>0</v>
          </cell>
          <cell r="H763" t="e">
            <v>#N/A</v>
          </cell>
          <cell r="I763">
            <v>190520</v>
          </cell>
          <cell r="J763" t="str">
            <v>19052</v>
          </cell>
          <cell r="K763" t="str">
            <v>1905</v>
          </cell>
          <cell r="L763" t="str">
            <v>190</v>
          </cell>
          <cell r="M763" t="str">
            <v>19</v>
          </cell>
          <cell r="N763">
            <v>4</v>
          </cell>
          <cell r="O763">
            <v>4</v>
          </cell>
        </row>
        <row r="764">
          <cell r="A764">
            <v>8002508</v>
          </cell>
          <cell r="B764" t="str">
            <v>ROCAMBOLE DOCE</v>
          </cell>
          <cell r="C764">
            <v>99</v>
          </cell>
          <cell r="D764" t="str">
            <v>nao se aplica</v>
          </cell>
          <cell r="E764">
            <v>9</v>
          </cell>
          <cell r="F764" t="str">
            <v xml:space="preserve">Paes doces, bolos e tortas doces </v>
          </cell>
          <cell r="G764">
            <v>0</v>
          </cell>
          <cell r="H764" t="e">
            <v>#N/A</v>
          </cell>
          <cell r="I764">
            <v>190520</v>
          </cell>
          <cell r="J764" t="str">
            <v>19052</v>
          </cell>
          <cell r="K764" t="str">
            <v>1905</v>
          </cell>
          <cell r="L764" t="str">
            <v>190</v>
          </cell>
          <cell r="M764" t="str">
            <v>19</v>
          </cell>
          <cell r="N764">
            <v>4</v>
          </cell>
          <cell r="O764">
            <v>4</v>
          </cell>
        </row>
        <row r="765">
          <cell r="A765">
            <v>8002605</v>
          </cell>
          <cell r="B765" t="str">
            <v>ANGUSOR DE MILHO</v>
          </cell>
          <cell r="C765">
            <v>99</v>
          </cell>
          <cell r="D765" t="str">
            <v>nao se aplica</v>
          </cell>
          <cell r="E765">
            <v>9</v>
          </cell>
          <cell r="F765" t="str">
            <v xml:space="preserve">Paes doces, bolos e tortas doces </v>
          </cell>
          <cell r="G765">
            <v>0</v>
          </cell>
          <cell r="H765" t="e">
            <v>#N/A</v>
          </cell>
          <cell r="I765">
            <v>190520</v>
          </cell>
          <cell r="J765" t="str">
            <v>19052</v>
          </cell>
          <cell r="K765" t="str">
            <v>1905</v>
          </cell>
          <cell r="L765" t="str">
            <v>190</v>
          </cell>
          <cell r="M765" t="str">
            <v>19</v>
          </cell>
          <cell r="N765">
            <v>4</v>
          </cell>
          <cell r="O765">
            <v>4</v>
          </cell>
        </row>
        <row r="766">
          <cell r="A766">
            <v>8002609</v>
          </cell>
          <cell r="B766" t="str">
            <v>GRUSTOLI (BOLINHO DOCE)</v>
          </cell>
          <cell r="C766">
            <v>99</v>
          </cell>
          <cell r="D766" t="str">
            <v>nao se aplica</v>
          </cell>
          <cell r="E766">
            <v>9</v>
          </cell>
          <cell r="F766" t="str">
            <v xml:space="preserve">Paes doces, bolos e tortas doces </v>
          </cell>
          <cell r="G766">
            <v>0</v>
          </cell>
          <cell r="H766" t="e">
            <v>#N/A</v>
          </cell>
          <cell r="I766">
            <v>190520</v>
          </cell>
          <cell r="J766" t="str">
            <v>19052</v>
          </cell>
          <cell r="K766" t="str">
            <v>1905</v>
          </cell>
          <cell r="L766" t="str">
            <v>190</v>
          </cell>
          <cell r="M766" t="str">
            <v>19</v>
          </cell>
          <cell r="N766">
            <v>4</v>
          </cell>
          <cell r="O766">
            <v>4</v>
          </cell>
        </row>
        <row r="767">
          <cell r="A767">
            <v>8003501</v>
          </cell>
          <cell r="B767" t="str">
            <v>TORTAS DOCES DE QUALQUER SABOR</v>
          </cell>
          <cell r="C767">
            <v>99</v>
          </cell>
          <cell r="D767" t="str">
            <v>nao se aplica</v>
          </cell>
          <cell r="E767">
            <v>9</v>
          </cell>
          <cell r="F767" t="str">
            <v xml:space="preserve">Paes doces, bolos e tortas doces </v>
          </cell>
          <cell r="G767">
            <v>0</v>
          </cell>
          <cell r="H767">
            <v>8003501</v>
          </cell>
          <cell r="I767">
            <v>190520</v>
          </cell>
          <cell r="J767" t="str">
            <v>19052</v>
          </cell>
          <cell r="K767" t="str">
            <v>1905</v>
          </cell>
          <cell r="L767" t="str">
            <v>190</v>
          </cell>
          <cell r="M767" t="str">
            <v>19</v>
          </cell>
          <cell r="N767">
            <v>4</v>
          </cell>
          <cell r="O767">
            <v>4</v>
          </cell>
        </row>
        <row r="768">
          <cell r="A768">
            <v>8003701</v>
          </cell>
          <cell r="B768" t="str">
            <v>SONHO</v>
          </cell>
          <cell r="C768">
            <v>99</v>
          </cell>
          <cell r="D768" t="str">
            <v>nao se aplica</v>
          </cell>
          <cell r="E768">
            <v>9</v>
          </cell>
          <cell r="F768" t="str">
            <v xml:space="preserve">Paes doces, bolos e tortas doces </v>
          </cell>
          <cell r="G768">
            <v>0</v>
          </cell>
          <cell r="H768" t="e">
            <v>#N/A</v>
          </cell>
          <cell r="I768">
            <v>190520</v>
          </cell>
          <cell r="J768" t="str">
            <v>19052</v>
          </cell>
          <cell r="K768" t="str">
            <v>1905</v>
          </cell>
          <cell r="L768" t="str">
            <v>190</v>
          </cell>
          <cell r="M768" t="str">
            <v>19</v>
          </cell>
          <cell r="N768">
            <v>4</v>
          </cell>
          <cell r="O768">
            <v>4</v>
          </cell>
        </row>
        <row r="769">
          <cell r="A769">
            <v>8003702</v>
          </cell>
          <cell r="B769" t="str">
            <v>FILHOS (BOLINHO DE FARINHA DE TRIGO E OVOS)</v>
          </cell>
          <cell r="C769">
            <v>99</v>
          </cell>
          <cell r="D769" t="str">
            <v>nao se aplica</v>
          </cell>
          <cell r="E769">
            <v>9</v>
          </cell>
          <cell r="F769" t="str">
            <v xml:space="preserve">Paes doces, bolos e tortas doces </v>
          </cell>
          <cell r="G769">
            <v>0</v>
          </cell>
          <cell r="H769" t="e">
            <v>#N/A</v>
          </cell>
          <cell r="I769" t="str">
            <v>190590</v>
          </cell>
          <cell r="J769" t="str">
            <v>19059</v>
          </cell>
          <cell r="K769" t="str">
            <v>1905</v>
          </cell>
          <cell r="L769" t="str">
            <v>190</v>
          </cell>
          <cell r="M769" t="str">
            <v>19</v>
          </cell>
          <cell r="N769">
            <v>4</v>
          </cell>
          <cell r="O769">
            <v>4</v>
          </cell>
        </row>
        <row r="770">
          <cell r="A770">
            <v>8003902</v>
          </cell>
          <cell r="B770" t="str">
            <v>BRIOCHE</v>
          </cell>
          <cell r="C770">
            <v>99</v>
          </cell>
          <cell r="D770" t="str">
            <v>nao se aplica</v>
          </cell>
          <cell r="E770">
            <v>9</v>
          </cell>
          <cell r="F770" t="str">
            <v xml:space="preserve">Paes doces, bolos e tortas doces </v>
          </cell>
          <cell r="G770">
            <v>0</v>
          </cell>
          <cell r="H770" t="e">
            <v>#N/A</v>
          </cell>
          <cell r="I770">
            <v>190520</v>
          </cell>
          <cell r="J770" t="str">
            <v>19052</v>
          </cell>
          <cell r="K770" t="str">
            <v>1905</v>
          </cell>
          <cell r="L770" t="str">
            <v>190</v>
          </cell>
          <cell r="M770" t="str">
            <v>19</v>
          </cell>
          <cell r="N770">
            <v>4</v>
          </cell>
          <cell r="O770">
            <v>4</v>
          </cell>
        </row>
        <row r="771">
          <cell r="A771">
            <v>8004403</v>
          </cell>
          <cell r="B771" t="str">
            <v>PAO DE ALHO</v>
          </cell>
          <cell r="C771">
            <v>99</v>
          </cell>
          <cell r="D771" t="str">
            <v>nao se aplica</v>
          </cell>
          <cell r="E771">
            <v>29</v>
          </cell>
          <cell r="F771" t="str">
            <v>Paes ultraprocessados</v>
          </cell>
          <cell r="G771">
            <v>0</v>
          </cell>
          <cell r="H771" t="e">
            <v>#N/A</v>
          </cell>
          <cell r="I771" t="str">
            <v>190590</v>
          </cell>
          <cell r="J771" t="str">
            <v>19059</v>
          </cell>
          <cell r="K771" t="str">
            <v>1905</v>
          </cell>
          <cell r="L771" t="str">
            <v>190</v>
          </cell>
          <cell r="M771" t="str">
            <v>19</v>
          </cell>
          <cell r="N771">
            <v>4</v>
          </cell>
          <cell r="O771">
            <v>4</v>
          </cell>
        </row>
        <row r="772">
          <cell r="A772">
            <v>8004701</v>
          </cell>
          <cell r="B772" t="str">
            <v>BROA</v>
          </cell>
          <cell r="C772">
            <v>99</v>
          </cell>
          <cell r="D772" t="str">
            <v>nao se aplica</v>
          </cell>
          <cell r="E772">
            <v>9</v>
          </cell>
          <cell r="F772" t="str">
            <v xml:space="preserve">Paes doces, bolos e tortas doces </v>
          </cell>
          <cell r="G772">
            <v>0</v>
          </cell>
          <cell r="H772" t="e">
            <v>#N/A</v>
          </cell>
          <cell r="I772">
            <v>190520</v>
          </cell>
          <cell r="J772" t="str">
            <v>19052</v>
          </cell>
          <cell r="K772" t="str">
            <v>1905</v>
          </cell>
          <cell r="L772" t="str">
            <v>190</v>
          </cell>
          <cell r="M772" t="str">
            <v>19</v>
          </cell>
          <cell r="N772">
            <v>4</v>
          </cell>
          <cell r="O772">
            <v>4</v>
          </cell>
        </row>
        <row r="773">
          <cell r="A773">
            <v>8004801</v>
          </cell>
          <cell r="B773" t="str">
            <v>BISCOITO RECHEADO</v>
          </cell>
          <cell r="C773">
            <v>99</v>
          </cell>
          <cell r="D773" t="str">
            <v>nao se aplica</v>
          </cell>
          <cell r="E773">
            <v>49</v>
          </cell>
          <cell r="F773" t="str">
            <v xml:space="preserve">Bolacha/ biscoito doce </v>
          </cell>
          <cell r="G773">
            <v>0</v>
          </cell>
          <cell r="H773">
            <v>8004801</v>
          </cell>
          <cell r="I773" t="str">
            <v>190530</v>
          </cell>
          <cell r="J773" t="str">
            <v>19053</v>
          </cell>
          <cell r="K773" t="str">
            <v>1905</v>
          </cell>
          <cell r="L773" t="str">
            <v>190</v>
          </cell>
          <cell r="M773" t="str">
            <v>19</v>
          </cell>
          <cell r="N773">
            <v>4</v>
          </cell>
          <cell r="O773">
            <v>4</v>
          </cell>
        </row>
        <row r="774">
          <cell r="A774">
            <v>8004807</v>
          </cell>
          <cell r="B774" t="str">
            <v>WAFFER (BISCOITO)</v>
          </cell>
          <cell r="C774">
            <v>99</v>
          </cell>
          <cell r="D774" t="str">
            <v>nao se aplica</v>
          </cell>
          <cell r="E774">
            <v>49</v>
          </cell>
          <cell r="F774" t="str">
            <v xml:space="preserve">Bolacha/ biscoito doce </v>
          </cell>
          <cell r="G774">
            <v>0</v>
          </cell>
          <cell r="H774">
            <v>8004807</v>
          </cell>
          <cell r="I774" t="str">
            <v>190530</v>
          </cell>
          <cell r="J774" t="str">
            <v>19053</v>
          </cell>
          <cell r="K774" t="str">
            <v>1905</v>
          </cell>
          <cell r="L774" t="str">
            <v>190</v>
          </cell>
          <cell r="M774" t="str">
            <v>19</v>
          </cell>
          <cell r="N774">
            <v>4</v>
          </cell>
          <cell r="O774">
            <v>4</v>
          </cell>
        </row>
        <row r="775">
          <cell r="A775">
            <v>8004809</v>
          </cell>
          <cell r="B775" t="str">
            <v>ALFAJORES (BISCOITO)</v>
          </cell>
          <cell r="C775">
            <v>99</v>
          </cell>
          <cell r="D775" t="str">
            <v>nao se aplica</v>
          </cell>
          <cell r="E775">
            <v>49</v>
          </cell>
          <cell r="F775" t="str">
            <v xml:space="preserve">Bolacha/ biscoito doce </v>
          </cell>
          <cell r="G775">
            <v>0</v>
          </cell>
          <cell r="H775" t="e">
            <v>#N/A</v>
          </cell>
          <cell r="I775" t="str">
            <v>190530</v>
          </cell>
          <cell r="J775" t="str">
            <v>19053</v>
          </cell>
          <cell r="K775" t="str">
            <v>1905</v>
          </cell>
          <cell r="L775" t="str">
            <v>190</v>
          </cell>
          <cell r="M775" t="str">
            <v>19</v>
          </cell>
          <cell r="N775">
            <v>4</v>
          </cell>
          <cell r="O775">
            <v>4</v>
          </cell>
        </row>
        <row r="776">
          <cell r="A776">
            <v>8004810</v>
          </cell>
          <cell r="B776" t="str">
            <v>BOLACHA RECHEADA</v>
          </cell>
          <cell r="C776">
            <v>99</v>
          </cell>
          <cell r="D776" t="str">
            <v>nao se aplica</v>
          </cell>
          <cell r="E776">
            <v>49</v>
          </cell>
          <cell r="F776" t="str">
            <v xml:space="preserve">Bolacha/ biscoito doce </v>
          </cell>
          <cell r="G776">
            <v>0</v>
          </cell>
          <cell r="H776" t="e">
            <v>#N/A</v>
          </cell>
          <cell r="I776" t="str">
            <v>190530</v>
          </cell>
          <cell r="J776" t="str">
            <v>19053</v>
          </cell>
          <cell r="K776" t="str">
            <v>1905</v>
          </cell>
          <cell r="L776" t="str">
            <v>190</v>
          </cell>
          <cell r="M776" t="str">
            <v>19</v>
          </cell>
          <cell r="N776">
            <v>4</v>
          </cell>
          <cell r="O776">
            <v>4</v>
          </cell>
        </row>
        <row r="777">
          <cell r="A777">
            <v>8004813</v>
          </cell>
          <cell r="B777" t="str">
            <v>ROSCA RECHEADA</v>
          </cell>
          <cell r="C777">
            <v>99</v>
          </cell>
          <cell r="D777" t="str">
            <v>nao se aplica</v>
          </cell>
          <cell r="E777">
            <v>9</v>
          </cell>
          <cell r="F777" t="str">
            <v xml:space="preserve">Paes doces, bolos e tortas doces </v>
          </cell>
          <cell r="G777">
            <v>0</v>
          </cell>
          <cell r="H777" t="e">
            <v>#N/A</v>
          </cell>
          <cell r="I777">
            <v>190520</v>
          </cell>
          <cell r="J777" t="str">
            <v>19052</v>
          </cell>
          <cell r="K777" t="str">
            <v>1905</v>
          </cell>
          <cell r="L777" t="str">
            <v>190</v>
          </cell>
          <cell r="M777" t="str">
            <v>19</v>
          </cell>
          <cell r="N777">
            <v>4</v>
          </cell>
          <cell r="O777">
            <v>4</v>
          </cell>
        </row>
        <row r="778">
          <cell r="A778">
            <v>8004814</v>
          </cell>
          <cell r="B778" t="str">
            <v>ROSQUINHA RECHEADA DE QUALQUER SABOR</v>
          </cell>
          <cell r="C778">
            <v>99</v>
          </cell>
          <cell r="D778" t="str">
            <v>nao se aplica</v>
          </cell>
          <cell r="E778">
            <v>49</v>
          </cell>
          <cell r="F778" t="str">
            <v xml:space="preserve">Bolacha/ biscoito doce </v>
          </cell>
          <cell r="G778">
            <v>0</v>
          </cell>
          <cell r="H778" t="e">
            <v>#N/A</v>
          </cell>
          <cell r="I778" t="str">
            <v>190530</v>
          </cell>
          <cell r="J778" t="str">
            <v>19053</v>
          </cell>
          <cell r="K778" t="str">
            <v>1905</v>
          </cell>
          <cell r="L778" t="str">
            <v>190</v>
          </cell>
          <cell r="M778" t="str">
            <v>19</v>
          </cell>
          <cell r="N778">
            <v>4</v>
          </cell>
          <cell r="O778">
            <v>4</v>
          </cell>
        </row>
        <row r="779">
          <cell r="A779">
            <v>8005201</v>
          </cell>
          <cell r="B779" t="str">
            <v>BISCOITO NÃO ESPECIFICADO</v>
          </cell>
          <cell r="C779">
            <v>99</v>
          </cell>
          <cell r="D779" t="str">
            <v>nao se aplica</v>
          </cell>
          <cell r="E779">
            <v>6</v>
          </cell>
          <cell r="F779" t="str">
            <v>Bolacha/biscoito salgado</v>
          </cell>
          <cell r="G779">
            <v>0</v>
          </cell>
          <cell r="H779" t="e">
            <v>#N/A</v>
          </cell>
          <cell r="I779">
            <v>190530</v>
          </cell>
          <cell r="J779" t="str">
            <v>19053</v>
          </cell>
          <cell r="K779" t="str">
            <v>1905</v>
          </cell>
          <cell r="L779" t="str">
            <v>190</v>
          </cell>
          <cell r="M779" t="str">
            <v>19</v>
          </cell>
          <cell r="N779">
            <v>4</v>
          </cell>
          <cell r="O779">
            <v>4</v>
          </cell>
        </row>
        <row r="780">
          <cell r="A780">
            <v>8006401</v>
          </cell>
          <cell r="B780" t="str">
            <v>PAO ARABE NAO ESPECIFICADO</v>
          </cell>
          <cell r="C780">
            <v>99</v>
          </cell>
          <cell r="D780" t="str">
            <v>nao se aplica</v>
          </cell>
          <cell r="E780">
            <v>29</v>
          </cell>
          <cell r="F780" t="str">
            <v>Paes ultraprocessados</v>
          </cell>
          <cell r="G780">
            <v>0</v>
          </cell>
          <cell r="H780">
            <v>8006401</v>
          </cell>
          <cell r="I780" t="str">
            <v>190590</v>
          </cell>
          <cell r="J780" t="str">
            <v>19059</v>
          </cell>
          <cell r="K780" t="str">
            <v>1905</v>
          </cell>
          <cell r="L780" t="str">
            <v>190</v>
          </cell>
          <cell r="M780" t="str">
            <v>19</v>
          </cell>
          <cell r="N780">
            <v>4</v>
          </cell>
          <cell r="O780">
            <v>4</v>
          </cell>
        </row>
        <row r="781">
          <cell r="A781">
            <v>8006501</v>
          </cell>
          <cell r="B781" t="str">
            <v>PAO DIET (DE FORMA INDUSTRIALIZADO)</v>
          </cell>
          <cell r="C781">
            <v>99</v>
          </cell>
          <cell r="D781" t="str">
            <v>nao se aplica</v>
          </cell>
          <cell r="E781">
            <v>29</v>
          </cell>
          <cell r="F781" t="str">
            <v>Paes ultraprocessados</v>
          </cell>
          <cell r="G781">
            <v>0</v>
          </cell>
          <cell r="H781">
            <v>8006501</v>
          </cell>
          <cell r="I781" t="str">
            <v>190590</v>
          </cell>
          <cell r="J781" t="str">
            <v>19059</v>
          </cell>
          <cell r="K781" t="str">
            <v>1905</v>
          </cell>
          <cell r="L781" t="str">
            <v>190</v>
          </cell>
          <cell r="M781" t="str">
            <v>19</v>
          </cell>
          <cell r="N781">
            <v>4</v>
          </cell>
          <cell r="O781">
            <v>4</v>
          </cell>
        </row>
        <row r="782">
          <cell r="A782">
            <v>8006601</v>
          </cell>
          <cell r="B782" t="str">
            <v>PAO LIGHT (DE FORMA INDUSTRIALIZADO)</v>
          </cell>
          <cell r="C782">
            <v>99</v>
          </cell>
          <cell r="D782" t="str">
            <v>nao se aplica</v>
          </cell>
          <cell r="E782">
            <v>29</v>
          </cell>
          <cell r="F782" t="str">
            <v>Paes ultraprocessados</v>
          </cell>
          <cell r="G782">
            <v>0</v>
          </cell>
          <cell r="H782" t="e">
            <v>#N/A</v>
          </cell>
          <cell r="I782" t="str">
            <v>190590</v>
          </cell>
          <cell r="J782" t="str">
            <v>19059</v>
          </cell>
          <cell r="K782" t="str">
            <v>1905</v>
          </cell>
          <cell r="L782" t="str">
            <v>190</v>
          </cell>
          <cell r="M782" t="str">
            <v>19</v>
          </cell>
          <cell r="N782">
            <v>4</v>
          </cell>
          <cell r="O782">
            <v>4</v>
          </cell>
        </row>
        <row r="783">
          <cell r="A783">
            <v>8006701</v>
          </cell>
          <cell r="B783" t="str">
            <v>PAO DE QUEIJO LIGHT</v>
          </cell>
          <cell r="C783">
            <v>99</v>
          </cell>
          <cell r="D783" t="str">
            <v>nao se aplica</v>
          </cell>
          <cell r="E783">
            <v>29</v>
          </cell>
          <cell r="F783" t="str">
            <v>Paes ultraprocessados</v>
          </cell>
          <cell r="G783">
            <v>0</v>
          </cell>
          <cell r="H783" t="e">
            <v>#N/A</v>
          </cell>
          <cell r="I783" t="str">
            <v>190590</v>
          </cell>
          <cell r="J783" t="str">
            <v>19059</v>
          </cell>
          <cell r="K783" t="str">
            <v>1905</v>
          </cell>
          <cell r="L783" t="str">
            <v>190</v>
          </cell>
          <cell r="M783" t="str">
            <v>19</v>
          </cell>
          <cell r="N783">
            <v>4</v>
          </cell>
          <cell r="O783">
            <v>3</v>
          </cell>
        </row>
        <row r="784">
          <cell r="A784">
            <v>8006801</v>
          </cell>
          <cell r="B784" t="str">
            <v>PAO INTEGRAL LIGHT</v>
          </cell>
          <cell r="C784">
            <v>99</v>
          </cell>
          <cell r="D784" t="str">
            <v>nao se aplica</v>
          </cell>
          <cell r="E784">
            <v>29</v>
          </cell>
          <cell r="F784" t="str">
            <v>Paes ultraprocessados</v>
          </cell>
          <cell r="G784">
            <v>0</v>
          </cell>
          <cell r="H784" t="e">
            <v>#N/A</v>
          </cell>
          <cell r="I784" t="str">
            <v>190590</v>
          </cell>
          <cell r="J784" t="str">
            <v>19059</v>
          </cell>
          <cell r="K784" t="str">
            <v>1905</v>
          </cell>
          <cell r="L784" t="str">
            <v>190</v>
          </cell>
          <cell r="M784" t="str">
            <v>19</v>
          </cell>
          <cell r="N784">
            <v>4</v>
          </cell>
          <cell r="O784">
            <v>3</v>
          </cell>
        </row>
        <row r="785">
          <cell r="A785">
            <v>8007101</v>
          </cell>
          <cell r="B785" t="str">
            <v>TORTAS DOCES DE QUALQUER SABOR DIET</v>
          </cell>
          <cell r="C785">
            <v>99</v>
          </cell>
          <cell r="D785" t="str">
            <v>nao se aplica</v>
          </cell>
          <cell r="E785">
            <v>9</v>
          </cell>
          <cell r="F785" t="str">
            <v xml:space="preserve">Paes doces, bolos e tortas doces </v>
          </cell>
          <cell r="G785">
            <v>0</v>
          </cell>
          <cell r="H785" t="e">
            <v>#N/A</v>
          </cell>
          <cell r="I785" t="str">
            <v>190590</v>
          </cell>
          <cell r="J785" t="str">
            <v>19059</v>
          </cell>
          <cell r="K785" t="str">
            <v>1905</v>
          </cell>
          <cell r="L785" t="str">
            <v>190</v>
          </cell>
          <cell r="M785" t="str">
            <v>19</v>
          </cell>
          <cell r="N785">
            <v>4</v>
          </cell>
          <cell r="O785">
            <v>4</v>
          </cell>
        </row>
        <row r="786">
          <cell r="A786">
            <v>8007501</v>
          </cell>
          <cell r="B786" t="str">
            <v>BOLO DE CHOCOLATE LIGHT</v>
          </cell>
          <cell r="C786">
            <v>99</v>
          </cell>
          <cell r="D786" t="str">
            <v>nao se aplica</v>
          </cell>
          <cell r="E786">
            <v>9</v>
          </cell>
          <cell r="F786" t="str">
            <v xml:space="preserve">Paes doces, bolos e tortas doces </v>
          </cell>
          <cell r="G786">
            <v>0</v>
          </cell>
          <cell r="H786" t="e">
            <v>#N/A</v>
          </cell>
          <cell r="I786">
            <v>190520</v>
          </cell>
          <cell r="J786" t="str">
            <v>19052</v>
          </cell>
          <cell r="K786" t="str">
            <v>1905</v>
          </cell>
          <cell r="L786" t="str">
            <v>190</v>
          </cell>
          <cell r="M786" t="str">
            <v>19</v>
          </cell>
          <cell r="N786">
            <v>4</v>
          </cell>
          <cell r="O786">
            <v>4</v>
          </cell>
        </row>
        <row r="787">
          <cell r="A787">
            <v>8007701</v>
          </cell>
          <cell r="B787" t="str">
            <v>BOLO DE LARANJA LIGHT</v>
          </cell>
          <cell r="C787">
            <v>99</v>
          </cell>
          <cell r="D787" t="str">
            <v>nao se aplica</v>
          </cell>
          <cell r="G787">
            <v>0</v>
          </cell>
          <cell r="H787">
            <v>0</v>
          </cell>
          <cell r="I787">
            <v>190520</v>
          </cell>
          <cell r="J787" t="str">
            <v>19052</v>
          </cell>
          <cell r="K787" t="str">
            <v>1905</v>
          </cell>
          <cell r="L787" t="str">
            <v>190</v>
          </cell>
          <cell r="M787" t="str">
            <v>19</v>
          </cell>
          <cell r="N787">
            <v>4</v>
          </cell>
          <cell r="O787">
            <v>4</v>
          </cell>
        </row>
        <row r="788">
          <cell r="A788">
            <v>8008201</v>
          </cell>
          <cell r="B788" t="str">
            <v>BOLO DE CENOURA DIET</v>
          </cell>
          <cell r="C788">
            <v>99</v>
          </cell>
          <cell r="D788" t="str">
            <v>nao se aplica</v>
          </cell>
          <cell r="E788">
            <v>9</v>
          </cell>
          <cell r="F788" t="str">
            <v xml:space="preserve">Paes doces, bolos e tortas doces </v>
          </cell>
          <cell r="G788">
            <v>0</v>
          </cell>
          <cell r="H788" t="e">
            <v>#N/A</v>
          </cell>
          <cell r="I788">
            <v>190520</v>
          </cell>
          <cell r="J788" t="str">
            <v>19052</v>
          </cell>
          <cell r="K788" t="str">
            <v>1905</v>
          </cell>
          <cell r="L788" t="str">
            <v>190</v>
          </cell>
          <cell r="M788" t="str">
            <v>19</v>
          </cell>
          <cell r="N788">
            <v>4</v>
          </cell>
          <cell r="O788">
            <v>4</v>
          </cell>
        </row>
        <row r="789">
          <cell r="A789">
            <v>8008301</v>
          </cell>
          <cell r="B789" t="str">
            <v>BISCOITO RECHEADO LIGHT</v>
          </cell>
          <cell r="C789">
            <v>99</v>
          </cell>
          <cell r="D789" t="str">
            <v>nao se aplica</v>
          </cell>
          <cell r="E789">
            <v>49</v>
          </cell>
          <cell r="F789" t="str">
            <v xml:space="preserve">Bolacha/ biscoito doce </v>
          </cell>
          <cell r="G789">
            <v>0</v>
          </cell>
          <cell r="H789">
            <v>8008301</v>
          </cell>
          <cell r="I789" t="str">
            <v>190530</v>
          </cell>
          <cell r="J789" t="str">
            <v>19053</v>
          </cell>
          <cell r="K789" t="str">
            <v>1905</v>
          </cell>
          <cell r="L789" t="str">
            <v>190</v>
          </cell>
          <cell r="M789" t="str">
            <v>19</v>
          </cell>
          <cell r="N789">
            <v>4</v>
          </cell>
          <cell r="O789">
            <v>4</v>
          </cell>
        </row>
        <row r="790">
          <cell r="A790">
            <v>8008305</v>
          </cell>
          <cell r="B790" t="str">
            <v>BISCOITO WAFFER LIGHT</v>
          </cell>
          <cell r="C790">
            <v>99</v>
          </cell>
          <cell r="D790" t="str">
            <v>nao se aplica</v>
          </cell>
          <cell r="E790">
            <v>49</v>
          </cell>
          <cell r="F790" t="str">
            <v xml:space="preserve">Bolacha/ biscoito doce </v>
          </cell>
          <cell r="G790">
            <v>0</v>
          </cell>
          <cell r="H790">
            <v>8008305</v>
          </cell>
          <cell r="I790" t="str">
            <v>190530</v>
          </cell>
          <cell r="J790" t="str">
            <v>19053</v>
          </cell>
          <cell r="K790" t="str">
            <v>1905</v>
          </cell>
          <cell r="L790" t="str">
            <v>190</v>
          </cell>
          <cell r="M790" t="str">
            <v>19</v>
          </cell>
          <cell r="N790">
            <v>4</v>
          </cell>
          <cell r="O790">
            <v>4</v>
          </cell>
        </row>
        <row r="791">
          <cell r="A791">
            <v>8008310</v>
          </cell>
          <cell r="B791" t="str">
            <v>BOLACHA RECHEADA LIGHT</v>
          </cell>
          <cell r="C791">
            <v>99</v>
          </cell>
          <cell r="D791" t="str">
            <v>nao se aplica</v>
          </cell>
          <cell r="E791">
            <v>49</v>
          </cell>
          <cell r="F791" t="str">
            <v xml:space="preserve">Bolacha/ biscoito doce </v>
          </cell>
          <cell r="G791">
            <v>0</v>
          </cell>
          <cell r="H791" t="e">
            <v>#N/A</v>
          </cell>
          <cell r="I791" t="str">
            <v>190530</v>
          </cell>
          <cell r="J791" t="str">
            <v>19053</v>
          </cell>
          <cell r="K791" t="str">
            <v>1905</v>
          </cell>
          <cell r="L791" t="str">
            <v>190</v>
          </cell>
          <cell r="M791" t="str">
            <v>19</v>
          </cell>
          <cell r="N791">
            <v>4</v>
          </cell>
          <cell r="O791">
            <v>4</v>
          </cell>
        </row>
        <row r="792">
          <cell r="A792">
            <v>8008401</v>
          </cell>
          <cell r="B792" t="str">
            <v>BISCOITO RECHEADO DIET</v>
          </cell>
          <cell r="C792">
            <v>99</v>
          </cell>
          <cell r="D792" t="str">
            <v>nao se aplica</v>
          </cell>
          <cell r="E792">
            <v>49</v>
          </cell>
          <cell r="F792" t="str">
            <v xml:space="preserve">Bolacha/ biscoito doce </v>
          </cell>
          <cell r="G792">
            <v>0</v>
          </cell>
          <cell r="H792">
            <v>8008401</v>
          </cell>
          <cell r="I792" t="str">
            <v>190530</v>
          </cell>
          <cell r="J792" t="str">
            <v>19053</v>
          </cell>
          <cell r="K792" t="str">
            <v>1905</v>
          </cell>
          <cell r="L792" t="str">
            <v>190</v>
          </cell>
          <cell r="M792" t="str">
            <v>19</v>
          </cell>
          <cell r="N792">
            <v>4</v>
          </cell>
          <cell r="O792">
            <v>4</v>
          </cell>
        </row>
        <row r="793">
          <cell r="A793">
            <v>8008408</v>
          </cell>
          <cell r="B793" t="str">
            <v>ROSQUINHA RECHEADA DE QUALQUER SABOR DIET</v>
          </cell>
          <cell r="C793">
            <v>99</v>
          </cell>
          <cell r="D793" t="str">
            <v>nao se aplica</v>
          </cell>
          <cell r="E793">
            <v>49</v>
          </cell>
          <cell r="F793" t="str">
            <v xml:space="preserve">Bolacha/ biscoito doce </v>
          </cell>
          <cell r="G793">
            <v>0</v>
          </cell>
          <cell r="H793" t="e">
            <v>#N/A</v>
          </cell>
          <cell r="I793" t="str">
            <v>190530</v>
          </cell>
          <cell r="J793" t="str">
            <v>19053</v>
          </cell>
          <cell r="K793" t="str">
            <v>1905</v>
          </cell>
          <cell r="L793" t="str">
            <v>190</v>
          </cell>
          <cell r="M793" t="str">
            <v>19</v>
          </cell>
          <cell r="N793">
            <v>4</v>
          </cell>
          <cell r="O793">
            <v>4</v>
          </cell>
        </row>
        <row r="794">
          <cell r="A794">
            <v>8008410</v>
          </cell>
          <cell r="B794" t="str">
            <v>BOLACHA RECHEADA DIET</v>
          </cell>
          <cell r="C794">
            <v>99</v>
          </cell>
          <cell r="D794" t="str">
            <v>nao se aplica</v>
          </cell>
          <cell r="E794">
            <v>49</v>
          </cell>
          <cell r="F794" t="str">
            <v xml:space="preserve">Bolacha/ biscoito doce </v>
          </cell>
          <cell r="G794">
            <v>0</v>
          </cell>
          <cell r="H794" t="e">
            <v>#N/A</v>
          </cell>
          <cell r="I794" t="str">
            <v>190530</v>
          </cell>
          <cell r="J794" t="str">
            <v>19053</v>
          </cell>
          <cell r="K794" t="str">
            <v>1905</v>
          </cell>
          <cell r="L794" t="str">
            <v>190</v>
          </cell>
          <cell r="M794" t="str">
            <v>19</v>
          </cell>
          <cell r="N794">
            <v>4</v>
          </cell>
          <cell r="O794">
            <v>4</v>
          </cell>
        </row>
        <row r="795">
          <cell r="A795">
            <v>8010034</v>
          </cell>
          <cell r="B795" t="str">
            <v>PANETONE DIET</v>
          </cell>
          <cell r="C795">
            <v>99</v>
          </cell>
          <cell r="D795" t="str">
            <v>nao se aplica</v>
          </cell>
          <cell r="E795">
            <v>9</v>
          </cell>
          <cell r="F795" t="str">
            <v xml:space="preserve">Paes doces, bolos e tortas doces </v>
          </cell>
          <cell r="G795">
            <v>0</v>
          </cell>
          <cell r="H795" t="e">
            <v>#N/A</v>
          </cell>
          <cell r="I795">
            <v>190520</v>
          </cell>
          <cell r="J795" t="str">
            <v>19052</v>
          </cell>
          <cell r="K795" t="str">
            <v>1905</v>
          </cell>
          <cell r="L795" t="str">
            <v>190</v>
          </cell>
          <cell r="M795" t="str">
            <v>19</v>
          </cell>
          <cell r="N795">
            <v>4</v>
          </cell>
          <cell r="O795">
            <v>4</v>
          </cell>
        </row>
        <row r="796">
          <cell r="A796">
            <v>8010101</v>
          </cell>
          <cell r="B796" t="str">
            <v>BISCOITO SALGADO LIGHT</v>
          </cell>
          <cell r="C796">
            <v>99</v>
          </cell>
          <cell r="D796" t="str">
            <v>nao se aplica</v>
          </cell>
          <cell r="E796">
            <v>6</v>
          </cell>
          <cell r="F796" t="str">
            <v>Bolacha/biscoito salgado</v>
          </cell>
          <cell r="G796">
            <v>0</v>
          </cell>
          <cell r="H796">
            <v>8010101</v>
          </cell>
          <cell r="I796">
            <v>190530</v>
          </cell>
          <cell r="J796" t="str">
            <v>19053</v>
          </cell>
          <cell r="K796" t="str">
            <v>1905</v>
          </cell>
          <cell r="L796" t="str">
            <v>190</v>
          </cell>
          <cell r="M796" t="str">
            <v>19</v>
          </cell>
          <cell r="N796">
            <v>4</v>
          </cell>
          <cell r="O796">
            <v>4</v>
          </cell>
        </row>
        <row r="797">
          <cell r="A797">
            <v>8010125</v>
          </cell>
          <cell r="B797" t="str">
            <v>BOLACHA SALGADA LIGHT</v>
          </cell>
          <cell r="C797">
            <v>99</v>
          </cell>
          <cell r="D797" t="str">
            <v>nao se aplica</v>
          </cell>
          <cell r="E797">
            <v>6</v>
          </cell>
          <cell r="F797" t="str">
            <v>Bolacha/biscoito salgado</v>
          </cell>
          <cell r="G797">
            <v>0</v>
          </cell>
          <cell r="H797" t="e">
            <v>#N/A</v>
          </cell>
          <cell r="I797" t="str">
            <v>190590</v>
          </cell>
          <cell r="J797" t="str">
            <v>19059</v>
          </cell>
          <cell r="K797" t="str">
            <v>1905</v>
          </cell>
          <cell r="L797" t="str">
            <v>190</v>
          </cell>
          <cell r="M797" t="str">
            <v>19</v>
          </cell>
          <cell r="N797">
            <v>4</v>
          </cell>
          <cell r="O797">
            <v>4</v>
          </cell>
        </row>
        <row r="798">
          <cell r="A798">
            <v>8010127</v>
          </cell>
          <cell r="B798" t="str">
            <v>CHIPS (SALGADINHOS) LIGHT</v>
          </cell>
          <cell r="C798">
            <v>99</v>
          </cell>
          <cell r="D798" t="str">
            <v>nao se aplica</v>
          </cell>
          <cell r="E798">
            <v>13</v>
          </cell>
          <cell r="F798" t="str">
            <v>Salgadinho</v>
          </cell>
          <cell r="G798">
            <v>0</v>
          </cell>
          <cell r="H798" t="e">
            <v>#N/A</v>
          </cell>
          <cell r="I798">
            <v>190410</v>
          </cell>
          <cell r="J798" t="str">
            <v>19041</v>
          </cell>
          <cell r="K798" t="str">
            <v>1904</v>
          </cell>
          <cell r="L798" t="str">
            <v>190</v>
          </cell>
          <cell r="M798" t="str">
            <v>19</v>
          </cell>
          <cell r="N798">
            <v>4</v>
          </cell>
          <cell r="O798">
            <v>4</v>
          </cell>
        </row>
        <row r="799">
          <cell r="A799">
            <v>8010401</v>
          </cell>
          <cell r="B799" t="str">
            <v>BISCOITO DOCE LIGHT</v>
          </cell>
          <cell r="C799">
            <v>99</v>
          </cell>
          <cell r="D799" t="str">
            <v>nao se aplica</v>
          </cell>
          <cell r="E799">
            <v>49</v>
          </cell>
          <cell r="F799" t="str">
            <v xml:space="preserve">Bolacha/ biscoito doce </v>
          </cell>
          <cell r="G799">
            <v>0</v>
          </cell>
          <cell r="H799">
            <v>8010401</v>
          </cell>
          <cell r="I799" t="str">
            <v>190530</v>
          </cell>
          <cell r="J799" t="str">
            <v>19053</v>
          </cell>
          <cell r="K799" t="str">
            <v>1905</v>
          </cell>
          <cell r="L799" t="str">
            <v>190</v>
          </cell>
          <cell r="M799" t="str">
            <v>19</v>
          </cell>
          <cell r="N799">
            <v>4</v>
          </cell>
          <cell r="O799">
            <v>4</v>
          </cell>
        </row>
        <row r="800">
          <cell r="A800">
            <v>8010434</v>
          </cell>
          <cell r="B800" t="str">
            <v>BOLACHA DOCE LIGHT</v>
          </cell>
          <cell r="C800">
            <v>99</v>
          </cell>
          <cell r="D800" t="str">
            <v>nao se aplica</v>
          </cell>
          <cell r="E800">
            <v>49</v>
          </cell>
          <cell r="F800" t="str">
            <v xml:space="preserve">Bolacha/ biscoito doce </v>
          </cell>
          <cell r="G800">
            <v>0</v>
          </cell>
          <cell r="H800" t="e">
            <v>#N/A</v>
          </cell>
          <cell r="I800" t="str">
            <v>190530</v>
          </cell>
          <cell r="J800" t="str">
            <v>19053</v>
          </cell>
          <cell r="K800" t="str">
            <v>1905</v>
          </cell>
          <cell r="L800" t="str">
            <v>190</v>
          </cell>
          <cell r="M800" t="str">
            <v>19</v>
          </cell>
          <cell r="N800">
            <v>4</v>
          </cell>
          <cell r="O800">
            <v>4</v>
          </cell>
        </row>
        <row r="801">
          <cell r="A801">
            <v>8010501</v>
          </cell>
          <cell r="B801" t="str">
            <v>BISCOITO DOCE DIET</v>
          </cell>
          <cell r="C801">
            <v>99</v>
          </cell>
          <cell r="D801" t="str">
            <v>nao se aplica</v>
          </cell>
          <cell r="E801">
            <v>49</v>
          </cell>
          <cell r="F801" t="str">
            <v xml:space="preserve">Bolacha/ biscoito doce </v>
          </cell>
          <cell r="G801">
            <v>0</v>
          </cell>
          <cell r="H801">
            <v>8010501</v>
          </cell>
          <cell r="I801" t="str">
            <v>190530</v>
          </cell>
          <cell r="J801" t="str">
            <v>19053</v>
          </cell>
          <cell r="K801" t="str">
            <v>1905</v>
          </cell>
          <cell r="L801" t="str">
            <v>190</v>
          </cell>
          <cell r="M801" t="str">
            <v>19</v>
          </cell>
          <cell r="N801">
            <v>4</v>
          </cell>
          <cell r="O801">
            <v>4</v>
          </cell>
        </row>
        <row r="802">
          <cell r="A802">
            <v>8010534</v>
          </cell>
          <cell r="B802" t="str">
            <v>BOLACHA DOCE DIET</v>
          </cell>
          <cell r="C802">
            <v>99</v>
          </cell>
          <cell r="D802" t="str">
            <v>nao se aplica</v>
          </cell>
          <cell r="E802">
            <v>49</v>
          </cell>
          <cell r="F802" t="str">
            <v xml:space="preserve">Bolacha/ biscoito doce </v>
          </cell>
          <cell r="G802">
            <v>0</v>
          </cell>
          <cell r="H802" t="e">
            <v>#N/A</v>
          </cell>
          <cell r="I802" t="str">
            <v>190530</v>
          </cell>
          <cell r="J802" t="str">
            <v>19053</v>
          </cell>
          <cell r="K802" t="str">
            <v>1905</v>
          </cell>
          <cell r="L802" t="str">
            <v>190</v>
          </cell>
          <cell r="M802" t="str">
            <v>19</v>
          </cell>
          <cell r="N802">
            <v>4</v>
          </cell>
          <cell r="O802">
            <v>4</v>
          </cell>
        </row>
        <row r="803">
          <cell r="A803">
            <v>8011601</v>
          </cell>
          <cell r="B803" t="str">
            <v>PAO PARA WRAP NAO ESPECIFICADO</v>
          </cell>
          <cell r="C803">
            <v>99</v>
          </cell>
          <cell r="D803" t="str">
            <v>nao se aplica</v>
          </cell>
          <cell r="E803">
            <v>29</v>
          </cell>
          <cell r="F803" t="str">
            <v>Paes ultraprocessados</v>
          </cell>
          <cell r="G803">
            <v>0</v>
          </cell>
          <cell r="H803" t="e">
            <v>#N/A</v>
          </cell>
          <cell r="I803" t="str">
            <v>190590</v>
          </cell>
          <cell r="J803" t="str">
            <v>19059</v>
          </cell>
          <cell r="K803" t="str">
            <v>1905</v>
          </cell>
          <cell r="L803" t="str">
            <v>190</v>
          </cell>
          <cell r="M803" t="str">
            <v>19</v>
          </cell>
          <cell r="N803">
            <v>4</v>
          </cell>
          <cell r="O803">
            <v>4</v>
          </cell>
        </row>
        <row r="804">
          <cell r="A804">
            <v>8011602</v>
          </cell>
          <cell r="B804" t="str">
            <v>PAO SEM GLUTEN NAO ESPECIFICADO</v>
          </cell>
          <cell r="C804">
            <v>99</v>
          </cell>
          <cell r="D804" t="str">
            <v>nao se aplica</v>
          </cell>
          <cell r="E804">
            <v>29</v>
          </cell>
          <cell r="F804" t="str">
            <v>Paes ultraprocessados</v>
          </cell>
          <cell r="G804">
            <v>0</v>
          </cell>
          <cell r="H804" t="e">
            <v>#N/A</v>
          </cell>
          <cell r="I804" t="str">
            <v>190590</v>
          </cell>
          <cell r="J804" t="str">
            <v>19059</v>
          </cell>
          <cell r="K804" t="str">
            <v>1905</v>
          </cell>
          <cell r="L804" t="str">
            <v>190</v>
          </cell>
          <cell r="M804" t="str">
            <v>19</v>
          </cell>
          <cell r="N804">
            <v>4</v>
          </cell>
          <cell r="O804">
            <v>4</v>
          </cell>
        </row>
        <row r="805">
          <cell r="A805">
            <v>8011701</v>
          </cell>
          <cell r="B805" t="str">
            <v>PAO DE BATATA</v>
          </cell>
          <cell r="C805">
            <v>99</v>
          </cell>
          <cell r="D805" t="str">
            <v>nao se aplica</v>
          </cell>
          <cell r="E805">
            <v>12</v>
          </cell>
          <cell r="F805" t="str">
            <v>salgados</v>
          </cell>
          <cell r="G805">
            <v>0</v>
          </cell>
          <cell r="H805">
            <v>8011701</v>
          </cell>
          <cell r="I805" t="str">
            <v>190590</v>
          </cell>
          <cell r="J805" t="str">
            <v>19059</v>
          </cell>
          <cell r="K805" t="str">
            <v>1905</v>
          </cell>
          <cell r="L805" t="str">
            <v>190</v>
          </cell>
          <cell r="M805" t="str">
            <v>19</v>
          </cell>
          <cell r="N805">
            <v>4</v>
          </cell>
          <cell r="O805">
            <v>4</v>
          </cell>
        </row>
        <row r="806">
          <cell r="A806">
            <v>8011801</v>
          </cell>
          <cell r="B806" t="str">
            <v>PAO DE BATATA, RECHEADO</v>
          </cell>
          <cell r="C806">
            <v>99</v>
          </cell>
          <cell r="D806" t="str">
            <v>nao se aplica</v>
          </cell>
          <cell r="E806">
            <v>12</v>
          </cell>
          <cell r="F806" t="str">
            <v>salgados</v>
          </cell>
          <cell r="G806">
            <v>0</v>
          </cell>
          <cell r="H806" t="e">
            <v>#N/A</v>
          </cell>
          <cell r="I806" t="str">
            <v>190590</v>
          </cell>
          <cell r="J806" t="str">
            <v>19059</v>
          </cell>
          <cell r="K806" t="str">
            <v>1905</v>
          </cell>
          <cell r="L806" t="str">
            <v>190</v>
          </cell>
          <cell r="M806" t="str">
            <v>19</v>
          </cell>
          <cell r="N806">
            <v>4</v>
          </cell>
          <cell r="O806">
            <v>4</v>
          </cell>
        </row>
        <row r="807">
          <cell r="A807">
            <v>8011901</v>
          </cell>
          <cell r="B807" t="str">
            <v>SALGADINHO DE ARROZ (TIPO CAMIL)</v>
          </cell>
          <cell r="C807">
            <v>99</v>
          </cell>
          <cell r="D807" t="str">
            <v>nao se aplica</v>
          </cell>
          <cell r="E807">
            <v>84</v>
          </cell>
          <cell r="F807" t="str">
            <v>Pao frances</v>
          </cell>
          <cell r="G807">
            <v>0</v>
          </cell>
          <cell r="H807" t="e">
            <v>#N/A</v>
          </cell>
          <cell r="I807">
            <v>190410</v>
          </cell>
          <cell r="J807" t="str">
            <v>19041</v>
          </cell>
          <cell r="K807" t="str">
            <v>1904</v>
          </cell>
          <cell r="L807" t="str">
            <v>190</v>
          </cell>
          <cell r="M807" t="str">
            <v>19</v>
          </cell>
          <cell r="N807">
            <v>4</v>
          </cell>
          <cell r="O807">
            <v>4</v>
          </cell>
        </row>
        <row r="808">
          <cell r="A808">
            <v>8080001</v>
          </cell>
          <cell r="B808" t="str">
            <v>PAO CASEIRO</v>
          </cell>
          <cell r="C808">
            <v>99</v>
          </cell>
          <cell r="D808" t="str">
            <v>nao se aplica</v>
          </cell>
          <cell r="E808"/>
          <cell r="F808" t="str">
            <v/>
          </cell>
          <cell r="G808">
            <v>0</v>
          </cell>
          <cell r="H808">
            <v>8080001</v>
          </cell>
          <cell r="I808">
            <v>190120</v>
          </cell>
          <cell r="J808" t="str">
            <v>19012</v>
          </cell>
          <cell r="K808" t="str">
            <v>1901</v>
          </cell>
          <cell r="L808" t="str">
            <v>190</v>
          </cell>
          <cell r="M808" t="str">
            <v>19</v>
          </cell>
          <cell r="N808">
            <v>4</v>
          </cell>
          <cell r="O808">
            <v>3</v>
          </cell>
        </row>
        <row r="809">
          <cell r="A809">
            <v>8100101</v>
          </cell>
          <cell r="B809" t="str">
            <v>CARNE SECA</v>
          </cell>
          <cell r="C809">
            <v>1</v>
          </cell>
          <cell r="D809" t="str">
            <v>assado(a)</v>
          </cell>
          <cell r="E809">
            <v>17</v>
          </cell>
          <cell r="F809" t="str">
            <v>Carnes secas, salgadas e defumadas</v>
          </cell>
          <cell r="G809">
            <v>0</v>
          </cell>
          <cell r="H809">
            <v>8100101</v>
          </cell>
          <cell r="I809" t="str">
            <v>021020</v>
          </cell>
          <cell r="J809" t="str">
            <v>02102</v>
          </cell>
          <cell r="K809" t="str">
            <v>0210</v>
          </cell>
          <cell r="L809" t="str">
            <v>021</v>
          </cell>
          <cell r="M809" t="str">
            <v>02</v>
          </cell>
          <cell r="N809">
            <v>1</v>
          </cell>
          <cell r="O809">
            <v>3</v>
          </cell>
        </row>
        <row r="810">
          <cell r="A810">
            <v>8100102</v>
          </cell>
          <cell r="B810" t="str">
            <v>CARNE DE CHARQUE</v>
          </cell>
          <cell r="C810">
            <v>1</v>
          </cell>
          <cell r="D810" t="str">
            <v>assado(a)</v>
          </cell>
          <cell r="E810">
            <v>17</v>
          </cell>
          <cell r="F810" t="str">
            <v>Carnes secas, salgadas e defumadas</v>
          </cell>
          <cell r="G810">
            <v>0</v>
          </cell>
          <cell r="H810">
            <v>8100102</v>
          </cell>
          <cell r="I810" t="str">
            <v>021020</v>
          </cell>
          <cell r="J810" t="str">
            <v>02102</v>
          </cell>
          <cell r="K810" t="str">
            <v>0210</v>
          </cell>
          <cell r="L810" t="str">
            <v>021</v>
          </cell>
          <cell r="M810" t="str">
            <v>02</v>
          </cell>
          <cell r="N810">
            <v>1</v>
          </cell>
          <cell r="O810">
            <v>3</v>
          </cell>
        </row>
        <row r="811">
          <cell r="A811">
            <v>8100103</v>
          </cell>
          <cell r="B811" t="str">
            <v>JABA</v>
          </cell>
          <cell r="C811">
            <v>1</v>
          </cell>
          <cell r="D811" t="str">
            <v>assado(a)</v>
          </cell>
          <cell r="E811">
            <v>17</v>
          </cell>
          <cell r="F811" t="str">
            <v>Carnes secas, salgadas e defumadas</v>
          </cell>
          <cell r="G811">
            <v>0</v>
          </cell>
          <cell r="H811" t="e">
            <v>#N/A</v>
          </cell>
          <cell r="I811" t="str">
            <v>021020</v>
          </cell>
          <cell r="J811" t="str">
            <v>02102</v>
          </cell>
          <cell r="K811" t="str">
            <v>0210</v>
          </cell>
          <cell r="L811" t="str">
            <v>021</v>
          </cell>
          <cell r="M811" t="str">
            <v>02</v>
          </cell>
          <cell r="N811">
            <v>1</v>
          </cell>
          <cell r="O811">
            <v>3</v>
          </cell>
        </row>
        <row r="812">
          <cell r="A812">
            <v>8100201</v>
          </cell>
          <cell r="B812" t="str">
            <v>CARNE DE SOL</v>
          </cell>
          <cell r="C812">
            <v>1</v>
          </cell>
          <cell r="D812" t="str">
            <v>assado(a)</v>
          </cell>
          <cell r="E812">
            <v>17</v>
          </cell>
          <cell r="F812" t="str">
            <v>Carnes secas, salgadas e defumadas</v>
          </cell>
          <cell r="G812">
            <v>0</v>
          </cell>
          <cell r="H812" t="e">
            <v>#N/A</v>
          </cell>
          <cell r="I812" t="str">
            <v>021020</v>
          </cell>
          <cell r="J812" t="str">
            <v>02102</v>
          </cell>
          <cell r="K812" t="str">
            <v>0210</v>
          </cell>
          <cell r="L812" t="str">
            <v>021</v>
          </cell>
          <cell r="M812" t="str">
            <v>02</v>
          </cell>
          <cell r="N812">
            <v>1</v>
          </cell>
          <cell r="O812">
            <v>3</v>
          </cell>
        </row>
        <row r="813">
          <cell r="A813">
            <v>8100202</v>
          </cell>
          <cell r="B813" t="str">
            <v>CARNE DO SERTAO</v>
          </cell>
          <cell r="C813">
            <v>1</v>
          </cell>
          <cell r="D813" t="str">
            <v>assado(a)</v>
          </cell>
          <cell r="E813">
            <v>17</v>
          </cell>
          <cell r="F813" t="str">
            <v>Carnes secas, salgadas e defumadas</v>
          </cell>
          <cell r="G813">
            <v>0</v>
          </cell>
          <cell r="H813" t="e">
            <v>#N/A</v>
          </cell>
          <cell r="I813" t="str">
            <v>021020</v>
          </cell>
          <cell r="J813" t="str">
            <v>02102</v>
          </cell>
          <cell r="K813" t="str">
            <v>0210</v>
          </cell>
          <cell r="L813" t="str">
            <v>021</v>
          </cell>
          <cell r="M813" t="str">
            <v>02</v>
          </cell>
          <cell r="N813">
            <v>1</v>
          </cell>
          <cell r="O813">
            <v>3</v>
          </cell>
        </row>
        <row r="814">
          <cell r="A814">
            <v>8100502</v>
          </cell>
          <cell r="B814" t="str">
            <v>HAMBURGUER DE CARNE BOVINA</v>
          </cell>
          <cell r="C814">
            <v>1</v>
          </cell>
          <cell r="D814" t="str">
            <v>assado(a)</v>
          </cell>
          <cell r="E814">
            <v>19</v>
          </cell>
          <cell r="F814" t="str">
            <v>Embutidos e outras carnes ultraprocessadas</v>
          </cell>
          <cell r="G814">
            <v>0</v>
          </cell>
          <cell r="H814">
            <v>8100502</v>
          </cell>
          <cell r="I814" t="str">
            <v>160250</v>
          </cell>
          <cell r="J814" t="str">
            <v>16025</v>
          </cell>
          <cell r="K814" t="str">
            <v>1602</v>
          </cell>
          <cell r="L814" t="str">
            <v>160</v>
          </cell>
          <cell r="M814" t="str">
            <v>16</v>
          </cell>
          <cell r="N814">
            <v>4</v>
          </cell>
          <cell r="O814">
            <v>4</v>
          </cell>
        </row>
        <row r="815">
          <cell r="A815">
            <v>8100802</v>
          </cell>
          <cell r="B815" t="str">
            <v>COPA DE PORCO DEFUMADA</v>
          </cell>
          <cell r="C815">
            <v>99</v>
          </cell>
          <cell r="D815" t="str">
            <v>nao se aplica</v>
          </cell>
          <cell r="E815">
            <v>17</v>
          </cell>
          <cell r="F815" t="str">
            <v>Carnes secas, salgadas e defumadas</v>
          </cell>
          <cell r="G815">
            <v>0</v>
          </cell>
          <cell r="H815">
            <v>8100802</v>
          </cell>
          <cell r="I815" t="str">
            <v>021019</v>
          </cell>
          <cell r="J815" t="str">
            <v>02101</v>
          </cell>
          <cell r="K815" t="str">
            <v>0210</v>
          </cell>
          <cell r="L815" t="str">
            <v>021</v>
          </cell>
          <cell r="M815" t="str">
            <v>02</v>
          </cell>
          <cell r="N815">
            <v>1</v>
          </cell>
          <cell r="O815">
            <v>3</v>
          </cell>
        </row>
        <row r="816">
          <cell r="A816">
            <v>8101005</v>
          </cell>
          <cell r="B816" t="str">
            <v>BACON</v>
          </cell>
          <cell r="C816">
            <v>1</v>
          </cell>
          <cell r="D816" t="str">
            <v>assado(a)</v>
          </cell>
          <cell r="E816">
            <v>17</v>
          </cell>
          <cell r="F816" t="str">
            <v>Carnes secas, salgadas e defumadas</v>
          </cell>
          <cell r="G816">
            <v>0</v>
          </cell>
          <cell r="H816" t="e">
            <v>#N/A</v>
          </cell>
          <cell r="I816" t="str">
            <v>021012</v>
          </cell>
          <cell r="J816" t="str">
            <v>02101</v>
          </cell>
          <cell r="K816" t="str">
            <v>0210</v>
          </cell>
          <cell r="L816" t="str">
            <v>021</v>
          </cell>
          <cell r="M816" t="str">
            <v>02</v>
          </cell>
          <cell r="N816">
            <v>1</v>
          </cell>
          <cell r="O816">
            <v>3</v>
          </cell>
        </row>
        <row r="817">
          <cell r="A817">
            <v>8101101</v>
          </cell>
          <cell r="B817" t="str">
            <v>HAMBURGUER DE FRANGO</v>
          </cell>
          <cell r="C817">
            <v>1</v>
          </cell>
          <cell r="D817" t="str">
            <v>assado(a)</v>
          </cell>
          <cell r="E817">
            <v>19</v>
          </cell>
          <cell r="F817" t="str">
            <v>Embutidos e outras carnes ultraprocessadas</v>
          </cell>
          <cell r="G817">
            <v>0</v>
          </cell>
          <cell r="H817">
            <v>8101101</v>
          </cell>
          <cell r="I817">
            <v>160232</v>
          </cell>
          <cell r="J817" t="str">
            <v>16023</v>
          </cell>
          <cell r="K817" t="str">
            <v>1602</v>
          </cell>
          <cell r="L817" t="str">
            <v>160</v>
          </cell>
          <cell r="M817" t="str">
            <v>16</v>
          </cell>
          <cell r="N817">
            <v>4</v>
          </cell>
          <cell r="O817">
            <v>4</v>
          </cell>
        </row>
        <row r="818">
          <cell r="A818">
            <v>8102101</v>
          </cell>
          <cell r="B818" t="str">
            <v>SALSICHA NO VAREJO</v>
          </cell>
          <cell r="C818">
            <v>1</v>
          </cell>
          <cell r="D818" t="str">
            <v>assado(a)</v>
          </cell>
          <cell r="E818">
            <v>19</v>
          </cell>
          <cell r="F818" t="str">
            <v>Embutidos e outras carnes ultraprocessadas</v>
          </cell>
          <cell r="G818">
            <v>0</v>
          </cell>
          <cell r="H818">
            <v>8102101</v>
          </cell>
          <cell r="I818">
            <v>160101</v>
          </cell>
          <cell r="J818" t="str">
            <v>16010</v>
          </cell>
          <cell r="K818" t="str">
            <v>1601</v>
          </cell>
          <cell r="L818" t="str">
            <v>160</v>
          </cell>
          <cell r="M818" t="str">
            <v>16</v>
          </cell>
          <cell r="N818">
            <v>4</v>
          </cell>
          <cell r="O818">
            <v>4</v>
          </cell>
        </row>
        <row r="819">
          <cell r="A819">
            <v>8102103</v>
          </cell>
          <cell r="B819" t="str">
            <v>SALSICHAO</v>
          </cell>
          <cell r="C819">
            <v>1</v>
          </cell>
          <cell r="D819" t="str">
            <v>assado(a)</v>
          </cell>
          <cell r="E819">
            <v>19</v>
          </cell>
          <cell r="F819" t="str">
            <v>Embutidos e outras carnes ultraprocessadas</v>
          </cell>
          <cell r="G819">
            <v>0</v>
          </cell>
          <cell r="H819">
            <v>8102103</v>
          </cell>
          <cell r="I819">
            <v>160101</v>
          </cell>
          <cell r="J819" t="str">
            <v>16010</v>
          </cell>
          <cell r="K819" t="str">
            <v>1601</v>
          </cell>
          <cell r="L819" t="str">
            <v>160</v>
          </cell>
          <cell r="M819" t="str">
            <v>16</v>
          </cell>
          <cell r="N819">
            <v>4</v>
          </cell>
          <cell r="O819">
            <v>4</v>
          </cell>
        </row>
        <row r="820">
          <cell r="A820">
            <v>8102204</v>
          </cell>
          <cell r="B820" t="str">
            <v>LINGUICA (SUÍNA, BOVINA, MISTA, ETC)</v>
          </cell>
          <cell r="C820">
            <v>1</v>
          </cell>
          <cell r="D820" t="str">
            <v>assado(a)</v>
          </cell>
          <cell r="E820">
            <v>19</v>
          </cell>
          <cell r="F820" t="str">
            <v>Embutidos e outras carnes ultraprocessadas</v>
          </cell>
          <cell r="G820">
            <v>0</v>
          </cell>
          <cell r="H820">
            <v>8102204</v>
          </cell>
          <cell r="I820" t="str">
            <v>160100</v>
          </cell>
          <cell r="J820" t="str">
            <v>16010</v>
          </cell>
          <cell r="K820" t="str">
            <v>1601</v>
          </cell>
          <cell r="L820" t="str">
            <v>160</v>
          </cell>
          <cell r="M820" t="str">
            <v>16</v>
          </cell>
          <cell r="N820">
            <v>4</v>
          </cell>
          <cell r="O820">
            <v>4</v>
          </cell>
        </row>
        <row r="821">
          <cell r="A821">
            <v>8102205</v>
          </cell>
          <cell r="B821" t="str">
            <v>LINGUICA CALABRESA</v>
          </cell>
          <cell r="C821">
            <v>1</v>
          </cell>
          <cell r="D821" t="str">
            <v>assado(a)</v>
          </cell>
          <cell r="E821">
            <v>19</v>
          </cell>
          <cell r="F821" t="str">
            <v>Embutidos e outras carnes ultraprocessadas</v>
          </cell>
          <cell r="G821">
            <v>0</v>
          </cell>
          <cell r="H821">
            <v>8102205</v>
          </cell>
          <cell r="I821" t="str">
            <v>160100</v>
          </cell>
          <cell r="J821" t="str">
            <v>16010</v>
          </cell>
          <cell r="K821" t="str">
            <v>1601</v>
          </cell>
          <cell r="L821" t="str">
            <v>160</v>
          </cell>
          <cell r="M821" t="str">
            <v>16</v>
          </cell>
          <cell r="N821">
            <v>4</v>
          </cell>
          <cell r="O821">
            <v>4</v>
          </cell>
        </row>
        <row r="822">
          <cell r="A822">
            <v>8102207</v>
          </cell>
          <cell r="B822" t="str">
            <v>LINGUICA DE FRANGO</v>
          </cell>
          <cell r="C822">
            <v>1</v>
          </cell>
          <cell r="D822" t="str">
            <v>assado(a)</v>
          </cell>
          <cell r="E822">
            <v>19</v>
          </cell>
          <cell r="F822" t="str">
            <v>Embutidos e outras carnes ultraprocessadas</v>
          </cell>
          <cell r="G822">
            <v>0</v>
          </cell>
          <cell r="H822">
            <v>8102207</v>
          </cell>
          <cell r="I822">
            <v>160232</v>
          </cell>
          <cell r="J822" t="str">
            <v>16023</v>
          </cell>
          <cell r="K822" t="str">
            <v>1602</v>
          </cell>
          <cell r="L822" t="str">
            <v>160</v>
          </cell>
          <cell r="M822" t="str">
            <v>16</v>
          </cell>
          <cell r="N822">
            <v>4</v>
          </cell>
          <cell r="O822">
            <v>4</v>
          </cell>
        </row>
        <row r="823">
          <cell r="A823">
            <v>8102401</v>
          </cell>
          <cell r="B823" t="str">
            <v>CHOURICO</v>
          </cell>
          <cell r="C823">
            <v>1</v>
          </cell>
          <cell r="D823" t="str">
            <v>assado(a)</v>
          </cell>
          <cell r="E823">
            <v>19</v>
          </cell>
          <cell r="F823" t="str">
            <v>Embutidos e outras carnes ultraprocessadas</v>
          </cell>
          <cell r="G823">
            <v>0</v>
          </cell>
          <cell r="H823" t="e">
            <v>#N/A</v>
          </cell>
          <cell r="I823">
            <v>160102</v>
          </cell>
          <cell r="J823" t="str">
            <v>16010</v>
          </cell>
          <cell r="K823" t="str">
            <v>1601</v>
          </cell>
          <cell r="L823" t="str">
            <v>160</v>
          </cell>
          <cell r="M823" t="str">
            <v>16</v>
          </cell>
          <cell r="N823">
            <v>4</v>
          </cell>
          <cell r="O823">
            <v>4</v>
          </cell>
        </row>
        <row r="824">
          <cell r="A824">
            <v>8102402</v>
          </cell>
          <cell r="B824" t="str">
            <v>MORCELA</v>
          </cell>
          <cell r="C824">
            <v>99</v>
          </cell>
          <cell r="D824" t="str">
            <v>nao se aplica</v>
          </cell>
          <cell r="E824">
            <v>19</v>
          </cell>
          <cell r="F824" t="str">
            <v>Embutidos e outras carnes ultraprocessadas</v>
          </cell>
          <cell r="G824">
            <v>0</v>
          </cell>
          <cell r="H824" t="e">
            <v>#N/A</v>
          </cell>
          <cell r="I824">
            <v>160102</v>
          </cell>
          <cell r="J824" t="str">
            <v>16010</v>
          </cell>
          <cell r="K824" t="str">
            <v>1601</v>
          </cell>
          <cell r="L824" t="str">
            <v>160</v>
          </cell>
          <cell r="M824" t="str">
            <v>16</v>
          </cell>
          <cell r="N824">
            <v>4</v>
          </cell>
          <cell r="O824">
            <v>4</v>
          </cell>
        </row>
        <row r="825">
          <cell r="A825">
            <v>8102403</v>
          </cell>
          <cell r="B825" t="str">
            <v>MORCILHA</v>
          </cell>
          <cell r="C825">
            <v>1</v>
          </cell>
          <cell r="D825" t="str">
            <v>assado(a)</v>
          </cell>
          <cell r="E825">
            <v>19</v>
          </cell>
          <cell r="F825" t="str">
            <v>Embutidos e outras carnes ultraprocessadas</v>
          </cell>
          <cell r="G825">
            <v>0</v>
          </cell>
          <cell r="H825" t="e">
            <v>#N/A</v>
          </cell>
          <cell r="I825">
            <v>160102</v>
          </cell>
          <cell r="J825" t="str">
            <v>16010</v>
          </cell>
          <cell r="K825" t="str">
            <v>1601</v>
          </cell>
          <cell r="L825" t="str">
            <v>160</v>
          </cell>
          <cell r="M825" t="str">
            <v>16</v>
          </cell>
          <cell r="N825">
            <v>4</v>
          </cell>
          <cell r="O825">
            <v>4</v>
          </cell>
        </row>
        <row r="826">
          <cell r="A826">
            <v>8102601</v>
          </cell>
          <cell r="B826" t="str">
            <v>MORTADELA</v>
          </cell>
          <cell r="C826">
            <v>1</v>
          </cell>
          <cell r="D826" t="str">
            <v>assado(a)</v>
          </cell>
          <cell r="E826">
            <v>19</v>
          </cell>
          <cell r="F826" t="str">
            <v>Embutidos e outras carnes ultraprocessadas</v>
          </cell>
          <cell r="G826">
            <v>0</v>
          </cell>
          <cell r="H826">
            <v>8102601</v>
          </cell>
          <cell r="I826">
            <v>160102</v>
          </cell>
          <cell r="J826" t="str">
            <v>16010</v>
          </cell>
          <cell r="K826" t="str">
            <v>1601</v>
          </cell>
          <cell r="L826" t="str">
            <v>160</v>
          </cell>
          <cell r="M826" t="str">
            <v>16</v>
          </cell>
          <cell r="N826">
            <v>4</v>
          </cell>
          <cell r="O826">
            <v>4</v>
          </cell>
        </row>
        <row r="827">
          <cell r="A827">
            <v>8102701</v>
          </cell>
          <cell r="B827" t="str">
            <v>SALAME</v>
          </cell>
          <cell r="C827">
            <v>1</v>
          </cell>
          <cell r="D827" t="str">
            <v>assado(a)</v>
          </cell>
          <cell r="E827">
            <v>19</v>
          </cell>
          <cell r="F827" t="str">
            <v>Embutidos e outras carnes ultraprocessadas</v>
          </cell>
          <cell r="G827">
            <v>0</v>
          </cell>
          <cell r="H827">
            <v>8102701</v>
          </cell>
          <cell r="I827">
            <v>160102</v>
          </cell>
          <cell r="J827" t="str">
            <v>16010</v>
          </cell>
          <cell r="K827" t="str">
            <v>1601</v>
          </cell>
          <cell r="L827" t="str">
            <v>160</v>
          </cell>
          <cell r="M827" t="str">
            <v>16</v>
          </cell>
          <cell r="N827">
            <v>4</v>
          </cell>
          <cell r="O827">
            <v>4</v>
          </cell>
        </row>
        <row r="828">
          <cell r="A828">
            <v>8102702</v>
          </cell>
          <cell r="B828" t="str">
            <v>SALAMINHO</v>
          </cell>
          <cell r="C828">
            <v>1</v>
          </cell>
          <cell r="D828" t="str">
            <v>assado(a)</v>
          </cell>
          <cell r="E828">
            <v>19</v>
          </cell>
          <cell r="F828" t="str">
            <v>Embutidos e outras carnes ultraprocessadas</v>
          </cell>
          <cell r="G828">
            <v>0</v>
          </cell>
          <cell r="H828" t="e">
            <v>#N/A</v>
          </cell>
          <cell r="I828">
            <v>160102</v>
          </cell>
          <cell r="J828" t="str">
            <v>16010</v>
          </cell>
          <cell r="K828" t="str">
            <v>1601</v>
          </cell>
          <cell r="L828" t="str">
            <v>160</v>
          </cell>
          <cell r="M828" t="str">
            <v>16</v>
          </cell>
          <cell r="N828">
            <v>4</v>
          </cell>
          <cell r="O828">
            <v>4</v>
          </cell>
        </row>
        <row r="829">
          <cell r="A829">
            <v>8102801</v>
          </cell>
          <cell r="B829" t="str">
            <v>BLANQUET DE PERU</v>
          </cell>
          <cell r="C829">
            <v>4</v>
          </cell>
          <cell r="D829" t="str">
            <v>cru(a)</v>
          </cell>
          <cell r="E829">
            <v>19</v>
          </cell>
          <cell r="F829" t="str">
            <v>Embutidos e outras carnes ultraprocessadas</v>
          </cell>
          <cell r="G829">
            <v>0</v>
          </cell>
          <cell r="H829">
            <v>8102801</v>
          </cell>
          <cell r="I829" t="str">
            <v>160231</v>
          </cell>
          <cell r="J829" t="str">
            <v>16023</v>
          </cell>
          <cell r="K829" t="str">
            <v>1602</v>
          </cell>
          <cell r="L829" t="str">
            <v>160</v>
          </cell>
          <cell r="M829" t="str">
            <v>16</v>
          </cell>
          <cell r="N829">
            <v>4</v>
          </cell>
          <cell r="O829">
            <v>4</v>
          </cell>
        </row>
        <row r="830">
          <cell r="A830">
            <v>8102901</v>
          </cell>
          <cell r="B830" t="str">
            <v>PRESUNTO</v>
          </cell>
          <cell r="C830">
            <v>1</v>
          </cell>
          <cell r="D830" t="str">
            <v>assado(a)</v>
          </cell>
          <cell r="E830">
            <v>19</v>
          </cell>
          <cell r="F830" t="str">
            <v>Embutidos e outras carnes ultraprocessadas</v>
          </cell>
          <cell r="G830">
            <v>0</v>
          </cell>
          <cell r="H830">
            <v>8102901</v>
          </cell>
          <cell r="I830" t="str">
            <v>021019</v>
          </cell>
          <cell r="J830" t="str">
            <v>02101</v>
          </cell>
          <cell r="K830" t="str">
            <v>0210</v>
          </cell>
          <cell r="L830" t="str">
            <v>021</v>
          </cell>
          <cell r="M830" t="str">
            <v>02</v>
          </cell>
          <cell r="N830">
            <v>1</v>
          </cell>
          <cell r="O830">
            <v>3</v>
          </cell>
        </row>
        <row r="831">
          <cell r="A831">
            <v>8102905</v>
          </cell>
          <cell r="B831" t="str">
            <v>PRESUNTO PARMA</v>
          </cell>
          <cell r="C831">
            <v>4</v>
          </cell>
          <cell r="D831" t="str">
            <v>cru(a)</v>
          </cell>
          <cell r="E831">
            <v>17</v>
          </cell>
          <cell r="F831" t="str">
            <v>Carnes secas, salgadas e defumadas</v>
          </cell>
          <cell r="G831">
            <v>0</v>
          </cell>
          <cell r="H831">
            <v>8102905</v>
          </cell>
          <cell r="I831" t="str">
            <v>021019</v>
          </cell>
          <cell r="J831" t="str">
            <v>02101</v>
          </cell>
          <cell r="K831" t="str">
            <v>0210</v>
          </cell>
          <cell r="L831" t="str">
            <v>021</v>
          </cell>
          <cell r="M831" t="str">
            <v>02</v>
          </cell>
          <cell r="N831">
            <v>1</v>
          </cell>
          <cell r="O831">
            <v>3</v>
          </cell>
        </row>
        <row r="832">
          <cell r="A832">
            <v>8103101</v>
          </cell>
          <cell r="B832" t="str">
            <v>HAMBURGUER NAO ESPECIFICADO</v>
          </cell>
          <cell r="C832">
            <v>1</v>
          </cell>
          <cell r="D832" t="str">
            <v>assado(a)</v>
          </cell>
          <cell r="E832">
            <v>19</v>
          </cell>
          <cell r="F832" t="str">
            <v>Embutidos e outras carnes ultraprocessadas</v>
          </cell>
          <cell r="G832">
            <v>0</v>
          </cell>
          <cell r="H832" t="e">
            <v>#N/A</v>
          </cell>
          <cell r="I832" t="str">
            <v>160250</v>
          </cell>
          <cell r="J832" t="str">
            <v>16025</v>
          </cell>
          <cell r="K832" t="str">
            <v>1602</v>
          </cell>
          <cell r="L832" t="str">
            <v>160</v>
          </cell>
          <cell r="M832" t="str">
            <v>16</v>
          </cell>
          <cell r="N832">
            <v>4</v>
          </cell>
          <cell r="O832">
            <v>4</v>
          </cell>
        </row>
        <row r="833">
          <cell r="A833">
            <v>8103601</v>
          </cell>
          <cell r="B833" t="str">
            <v>APRESUNTADO</v>
          </cell>
          <cell r="C833">
            <v>1</v>
          </cell>
          <cell r="D833" t="str">
            <v>assado(a)</v>
          </cell>
          <cell r="E833">
            <v>19</v>
          </cell>
          <cell r="F833" t="str">
            <v>Embutidos e outras carnes ultraprocessadas</v>
          </cell>
          <cell r="G833">
            <v>0</v>
          </cell>
          <cell r="H833" t="e">
            <v>#N/A</v>
          </cell>
          <cell r="I833" t="str">
            <v>160249</v>
          </cell>
          <cell r="J833" t="str">
            <v>16024</v>
          </cell>
          <cell r="K833" t="str">
            <v>1602</v>
          </cell>
          <cell r="L833" t="str">
            <v>160</v>
          </cell>
          <cell r="M833" t="str">
            <v>16</v>
          </cell>
          <cell r="N833">
            <v>4</v>
          </cell>
          <cell r="O833">
            <v>4</v>
          </cell>
        </row>
        <row r="834">
          <cell r="A834">
            <v>8103901</v>
          </cell>
          <cell r="B834" t="str">
            <v>PURURUCA DE PORCO</v>
          </cell>
          <cell r="C834">
            <v>1</v>
          </cell>
          <cell r="D834" t="str">
            <v>assado(a)</v>
          </cell>
          <cell r="E834">
            <v>17</v>
          </cell>
          <cell r="F834" t="str">
            <v>Carnes secas, salgadas e defumadas</v>
          </cell>
          <cell r="G834">
            <v>0</v>
          </cell>
          <cell r="H834" t="e">
            <v>#N/A</v>
          </cell>
          <cell r="I834" t="str">
            <v>021019</v>
          </cell>
          <cell r="J834" t="str">
            <v>02101</v>
          </cell>
          <cell r="K834" t="str">
            <v>0210</v>
          </cell>
          <cell r="L834" t="str">
            <v>021</v>
          </cell>
          <cell r="M834" t="str">
            <v>02</v>
          </cell>
          <cell r="N834">
            <v>1</v>
          </cell>
          <cell r="O834">
            <v>3</v>
          </cell>
        </row>
        <row r="835">
          <cell r="A835">
            <v>8103902</v>
          </cell>
          <cell r="B835" t="str">
            <v>PELE DE PORCO PREPARADA (PURURUCA)</v>
          </cell>
          <cell r="C835">
            <v>1</v>
          </cell>
          <cell r="D835" t="str">
            <v>assado(a)</v>
          </cell>
          <cell r="E835">
            <v>17</v>
          </cell>
          <cell r="F835" t="str">
            <v>Carnes secas, salgadas e defumadas</v>
          </cell>
          <cell r="G835">
            <v>0</v>
          </cell>
          <cell r="H835" t="e">
            <v>#N/A</v>
          </cell>
          <cell r="I835" t="str">
            <v>021019</v>
          </cell>
          <cell r="J835" t="str">
            <v>02101</v>
          </cell>
          <cell r="K835" t="str">
            <v>0210</v>
          </cell>
          <cell r="L835" t="str">
            <v>021</v>
          </cell>
          <cell r="M835" t="str">
            <v>02</v>
          </cell>
          <cell r="N835">
            <v>1</v>
          </cell>
          <cell r="O835">
            <v>3</v>
          </cell>
        </row>
        <row r="836">
          <cell r="A836">
            <v>8104001</v>
          </cell>
          <cell r="B836" t="str">
            <v>PATE (FÍGADO, CALABRESA, FRANGO, PRESUNTO, ETC)</v>
          </cell>
          <cell r="C836">
            <v>3</v>
          </cell>
          <cell r="D836" t="str">
            <v>cozido(a) sem gordura</v>
          </cell>
          <cell r="E836">
            <v>19</v>
          </cell>
          <cell r="F836" t="str">
            <v>Embutidos e outras carnes ultraprocessadas</v>
          </cell>
          <cell r="G836">
            <v>0</v>
          </cell>
          <cell r="H836">
            <v>8104001</v>
          </cell>
          <cell r="I836" t="str">
            <v>160220</v>
          </cell>
          <cell r="J836" t="str">
            <v>16022</v>
          </cell>
          <cell r="K836" t="str">
            <v>1602</v>
          </cell>
          <cell r="L836" t="str">
            <v>160</v>
          </cell>
          <cell r="M836" t="str">
            <v>16</v>
          </cell>
          <cell r="N836">
            <v>4</v>
          </cell>
          <cell r="O836">
            <v>4</v>
          </cell>
        </row>
        <row r="837">
          <cell r="A837">
            <v>8104601</v>
          </cell>
          <cell r="B837" t="str">
            <v>CARNE SALGADA NAO ESPECIFICADA</v>
          </cell>
          <cell r="C837">
            <v>1</v>
          </cell>
          <cell r="D837" t="str">
            <v>assado(a)</v>
          </cell>
          <cell r="E837">
            <v>17</v>
          </cell>
          <cell r="F837" t="str">
            <v>Carnes secas, salgadas e defumadas</v>
          </cell>
          <cell r="G837">
            <v>0</v>
          </cell>
          <cell r="H837">
            <v>8104601</v>
          </cell>
          <cell r="I837" t="str">
            <v>021020</v>
          </cell>
          <cell r="J837" t="str">
            <v>02102</v>
          </cell>
          <cell r="K837" t="str">
            <v>0210</v>
          </cell>
          <cell r="L837" t="str">
            <v>021</v>
          </cell>
          <cell r="M837" t="str">
            <v>02</v>
          </cell>
          <cell r="N837">
            <v>1</v>
          </cell>
          <cell r="O837">
            <v>3</v>
          </cell>
        </row>
        <row r="838">
          <cell r="A838">
            <v>8104904</v>
          </cell>
          <cell r="B838" t="str">
            <v>MINI CHICKEN EMPANADO</v>
          </cell>
          <cell r="C838">
            <v>1</v>
          </cell>
          <cell r="D838" t="str">
            <v>assado(a)</v>
          </cell>
          <cell r="E838">
            <v>19</v>
          </cell>
          <cell r="F838" t="str">
            <v>Embutidos e outras carnes ultraprocessadas</v>
          </cell>
          <cell r="G838">
            <v>0</v>
          </cell>
          <cell r="H838" t="e">
            <v>#N/A</v>
          </cell>
          <cell r="I838" t="str">
            <v>160230</v>
          </cell>
          <cell r="J838" t="str">
            <v>16023</v>
          </cell>
          <cell r="K838" t="str">
            <v>1602</v>
          </cell>
          <cell r="L838" t="str">
            <v>160</v>
          </cell>
          <cell r="M838" t="str">
            <v>16</v>
          </cell>
          <cell r="N838">
            <v>4</v>
          </cell>
          <cell r="O838">
            <v>4</v>
          </cell>
        </row>
        <row r="839">
          <cell r="A839">
            <v>8105001</v>
          </cell>
          <cell r="B839" t="str">
            <v>MORTADELA LIGHT</v>
          </cell>
          <cell r="C839">
            <v>3</v>
          </cell>
          <cell r="D839" t="str">
            <v>cozido(a) sem gordura</v>
          </cell>
          <cell r="E839">
            <v>19</v>
          </cell>
          <cell r="F839" t="str">
            <v>Embutidos e outras carnes ultraprocessadas</v>
          </cell>
          <cell r="G839">
            <v>0</v>
          </cell>
          <cell r="H839">
            <v>8105001</v>
          </cell>
          <cell r="I839">
            <v>160102</v>
          </cell>
          <cell r="J839" t="str">
            <v>16010</v>
          </cell>
          <cell r="K839" t="str">
            <v>1601</v>
          </cell>
          <cell r="L839" t="str">
            <v>160</v>
          </cell>
          <cell r="M839" t="str">
            <v>16</v>
          </cell>
          <cell r="N839">
            <v>4</v>
          </cell>
          <cell r="O839">
            <v>4</v>
          </cell>
        </row>
        <row r="840">
          <cell r="A840">
            <v>8200101</v>
          </cell>
          <cell r="B840" t="str">
            <v>REFRIGERANTE DE COLA TRADICIONAL</v>
          </cell>
          <cell r="C840">
            <v>99</v>
          </cell>
          <cell r="D840" t="str">
            <v>nao se aplica</v>
          </cell>
          <cell r="E840">
            <v>5</v>
          </cell>
          <cell r="F840" t="str">
            <v>Refrigerante</v>
          </cell>
          <cell r="G840">
            <v>0</v>
          </cell>
          <cell r="H840">
            <v>8200101</v>
          </cell>
          <cell r="I840" t="str">
            <v>220210 </v>
          </cell>
          <cell r="J840" t="str">
            <v>22021</v>
          </cell>
          <cell r="K840" t="str">
            <v>2202</v>
          </cell>
          <cell r="L840" t="str">
            <v>220</v>
          </cell>
          <cell r="M840" t="str">
            <v>22</v>
          </cell>
          <cell r="N840">
            <v>4</v>
          </cell>
          <cell r="O840">
            <v>4</v>
          </cell>
        </row>
        <row r="841">
          <cell r="A841">
            <v>8200102</v>
          </cell>
          <cell r="B841" t="str">
            <v>COCA COLA TRADICIONAL</v>
          </cell>
          <cell r="C841">
            <v>99</v>
          </cell>
          <cell r="D841" t="str">
            <v>nao se aplica</v>
          </cell>
          <cell r="E841">
            <v>5</v>
          </cell>
          <cell r="F841" t="str">
            <v>Refrigerante</v>
          </cell>
          <cell r="G841">
            <v>0</v>
          </cell>
          <cell r="H841" t="e">
            <v>#N/A</v>
          </cell>
          <cell r="I841" t="str">
            <v>220210 </v>
          </cell>
          <cell r="J841" t="str">
            <v>22021</v>
          </cell>
          <cell r="K841" t="str">
            <v>2202</v>
          </cell>
          <cell r="L841" t="str">
            <v>220</v>
          </cell>
          <cell r="M841" t="str">
            <v>22</v>
          </cell>
          <cell r="N841">
            <v>4</v>
          </cell>
          <cell r="O841">
            <v>4</v>
          </cell>
        </row>
        <row r="842">
          <cell r="A842">
            <v>8200202</v>
          </cell>
          <cell r="B842" t="str">
            <v>FANTA LARANJA TRADICIONAL</v>
          </cell>
          <cell r="C842">
            <v>99</v>
          </cell>
          <cell r="D842" t="str">
            <v>nao se aplica</v>
          </cell>
          <cell r="E842">
            <v>5</v>
          </cell>
          <cell r="F842" t="str">
            <v>Refrigerante</v>
          </cell>
          <cell r="G842">
            <v>0</v>
          </cell>
          <cell r="H842">
            <v>8200202</v>
          </cell>
          <cell r="I842" t="str">
            <v>220210 </v>
          </cell>
          <cell r="J842" t="str">
            <v>22021</v>
          </cell>
          <cell r="K842" t="str">
            <v>2202</v>
          </cell>
          <cell r="L842" t="str">
            <v>220</v>
          </cell>
          <cell r="M842" t="str">
            <v>22</v>
          </cell>
          <cell r="N842">
            <v>4</v>
          </cell>
          <cell r="O842">
            <v>4</v>
          </cell>
        </row>
        <row r="843">
          <cell r="A843">
            <v>8200208</v>
          </cell>
          <cell r="B843" t="str">
            <v>SUKITA TRADICIONAL</v>
          </cell>
          <cell r="C843">
            <v>99</v>
          </cell>
          <cell r="D843" t="str">
            <v>nao se aplica</v>
          </cell>
          <cell r="E843">
            <v>5</v>
          </cell>
          <cell r="F843" t="str">
            <v>Refrigerante</v>
          </cell>
          <cell r="G843">
            <v>0</v>
          </cell>
          <cell r="H843" t="e">
            <v>#N/A</v>
          </cell>
          <cell r="I843" t="str">
            <v>220210 </v>
          </cell>
          <cell r="J843" t="str">
            <v>22021</v>
          </cell>
          <cell r="K843" t="str">
            <v>2202</v>
          </cell>
          <cell r="L843" t="str">
            <v>220</v>
          </cell>
          <cell r="M843" t="str">
            <v>22</v>
          </cell>
          <cell r="N843">
            <v>4</v>
          </cell>
          <cell r="O843">
            <v>4</v>
          </cell>
        </row>
        <row r="844">
          <cell r="A844">
            <v>8200211</v>
          </cell>
          <cell r="B844" t="str">
            <v>REFRIGERANTE DE LARANJA TRADICIONAL</v>
          </cell>
          <cell r="C844">
            <v>99</v>
          </cell>
          <cell r="D844" t="str">
            <v>nao se aplica</v>
          </cell>
          <cell r="E844">
            <v>5</v>
          </cell>
          <cell r="F844" t="str">
            <v>Refrigerante</v>
          </cell>
          <cell r="G844">
            <v>0</v>
          </cell>
          <cell r="H844" t="e">
            <v>#N/A</v>
          </cell>
          <cell r="I844" t="str">
            <v>220210 </v>
          </cell>
          <cell r="J844" t="str">
            <v>22021</v>
          </cell>
          <cell r="K844" t="str">
            <v>2202</v>
          </cell>
          <cell r="L844" t="str">
            <v>220</v>
          </cell>
          <cell r="M844" t="str">
            <v>22</v>
          </cell>
          <cell r="N844">
            <v>4</v>
          </cell>
          <cell r="O844">
            <v>4</v>
          </cell>
        </row>
        <row r="845">
          <cell r="A845">
            <v>8200301</v>
          </cell>
          <cell r="B845" t="str">
            <v>REFRIGERANTE DE GUARANA TRADICIONAL</v>
          </cell>
          <cell r="C845">
            <v>99</v>
          </cell>
          <cell r="D845" t="str">
            <v>nao se aplica</v>
          </cell>
          <cell r="E845">
            <v>5</v>
          </cell>
          <cell r="F845" t="str">
            <v>Refrigerante</v>
          </cell>
          <cell r="G845">
            <v>0</v>
          </cell>
          <cell r="H845">
            <v>8200301</v>
          </cell>
          <cell r="I845" t="str">
            <v>220210 </v>
          </cell>
          <cell r="J845" t="str">
            <v>22021</v>
          </cell>
          <cell r="K845" t="str">
            <v>2202</v>
          </cell>
          <cell r="L845" t="str">
            <v>220</v>
          </cell>
          <cell r="M845" t="str">
            <v>22</v>
          </cell>
          <cell r="N845">
            <v>4</v>
          </cell>
          <cell r="O845">
            <v>4</v>
          </cell>
        </row>
        <row r="846">
          <cell r="A846">
            <v>8200302</v>
          </cell>
          <cell r="B846" t="str">
            <v>GUARANA TRADICIONAL</v>
          </cell>
          <cell r="C846">
            <v>99</v>
          </cell>
          <cell r="D846" t="str">
            <v>nao se aplica</v>
          </cell>
          <cell r="E846">
            <v>5</v>
          </cell>
          <cell r="F846" t="str">
            <v>Refrigerante</v>
          </cell>
          <cell r="G846">
            <v>0</v>
          </cell>
          <cell r="H846" t="e">
            <v>#N/A</v>
          </cell>
          <cell r="I846" t="str">
            <v>220210 </v>
          </cell>
          <cell r="J846" t="str">
            <v>22021</v>
          </cell>
          <cell r="K846" t="str">
            <v>2202</v>
          </cell>
          <cell r="L846" t="str">
            <v>220</v>
          </cell>
          <cell r="M846" t="str">
            <v>22</v>
          </cell>
          <cell r="N846">
            <v>4</v>
          </cell>
          <cell r="O846">
            <v>4</v>
          </cell>
        </row>
        <row r="847">
          <cell r="A847">
            <v>8200308</v>
          </cell>
          <cell r="B847" t="str">
            <v>REFRESCO DE GUARANA NATURAL</v>
          </cell>
          <cell r="C847">
            <v>99</v>
          </cell>
          <cell r="D847" t="str">
            <v>nao se aplica</v>
          </cell>
          <cell r="E847">
            <v>5</v>
          </cell>
          <cell r="F847" t="str">
            <v>Refrigerante</v>
          </cell>
          <cell r="G847">
            <v>0</v>
          </cell>
          <cell r="H847" t="e">
            <v>#N/A</v>
          </cell>
          <cell r="I847" t="str">
            <v>220210 </v>
          </cell>
          <cell r="J847" t="str">
            <v>22021</v>
          </cell>
          <cell r="K847" t="str">
            <v>2202</v>
          </cell>
          <cell r="L847" t="str">
            <v>220</v>
          </cell>
          <cell r="M847" t="str">
            <v>22</v>
          </cell>
          <cell r="N847">
            <v>4</v>
          </cell>
          <cell r="O847">
            <v>4</v>
          </cell>
        </row>
        <row r="848">
          <cell r="A848">
            <v>8200407</v>
          </cell>
          <cell r="B848" t="str">
            <v>SPRIT REFRIGERANTE TRADICIONAL</v>
          </cell>
          <cell r="C848">
            <v>99</v>
          </cell>
          <cell r="D848" t="str">
            <v>nao se aplica</v>
          </cell>
          <cell r="E848">
            <v>5</v>
          </cell>
          <cell r="F848" t="str">
            <v>Refrigerante</v>
          </cell>
          <cell r="G848">
            <v>0</v>
          </cell>
          <cell r="H848">
            <v>8200407</v>
          </cell>
          <cell r="I848" t="str">
            <v>220210 </v>
          </cell>
          <cell r="J848" t="str">
            <v>22021</v>
          </cell>
          <cell r="K848" t="str">
            <v>2202</v>
          </cell>
          <cell r="L848" t="str">
            <v>220</v>
          </cell>
          <cell r="M848" t="str">
            <v>22</v>
          </cell>
          <cell r="N848">
            <v>4</v>
          </cell>
          <cell r="O848">
            <v>4</v>
          </cell>
        </row>
        <row r="849">
          <cell r="A849">
            <v>8200411</v>
          </cell>
          <cell r="B849" t="str">
            <v>REFRIGERANTE, LIMAO, TRADICIONAL</v>
          </cell>
          <cell r="C849">
            <v>99</v>
          </cell>
          <cell r="D849" t="str">
            <v>nao se aplica</v>
          </cell>
          <cell r="E849">
            <v>5</v>
          </cell>
          <cell r="F849" t="str">
            <v>Refrigerante</v>
          </cell>
          <cell r="G849">
            <v>0</v>
          </cell>
          <cell r="H849" t="e">
            <v>#N/A</v>
          </cell>
          <cell r="I849" t="str">
            <v>220210 </v>
          </cell>
          <cell r="J849" t="str">
            <v>22021</v>
          </cell>
          <cell r="K849" t="str">
            <v>2202</v>
          </cell>
          <cell r="L849" t="str">
            <v>220</v>
          </cell>
          <cell r="M849" t="str">
            <v>22</v>
          </cell>
          <cell r="N849">
            <v>4</v>
          </cell>
          <cell r="O849">
            <v>4</v>
          </cell>
        </row>
        <row r="850">
          <cell r="A850">
            <v>8200505</v>
          </cell>
          <cell r="B850" t="str">
            <v>FANTA UVA TRADICIONAL</v>
          </cell>
          <cell r="C850">
            <v>99</v>
          </cell>
          <cell r="D850" t="str">
            <v>nao se aplica</v>
          </cell>
          <cell r="E850">
            <v>5</v>
          </cell>
          <cell r="F850" t="str">
            <v>Refrigerante</v>
          </cell>
          <cell r="G850">
            <v>0</v>
          </cell>
          <cell r="H850" t="e">
            <v>#N/A</v>
          </cell>
          <cell r="I850" t="str">
            <v>220210 </v>
          </cell>
          <cell r="J850" t="str">
            <v>22021</v>
          </cell>
          <cell r="K850" t="str">
            <v>2202</v>
          </cell>
          <cell r="L850" t="str">
            <v>220</v>
          </cell>
          <cell r="M850" t="str">
            <v>22</v>
          </cell>
          <cell r="N850">
            <v>4</v>
          </cell>
          <cell r="O850">
            <v>4</v>
          </cell>
        </row>
        <row r="851">
          <cell r="A851">
            <v>8200507</v>
          </cell>
          <cell r="B851" t="str">
            <v>REFRIGERANTE, UVA, TRADICIONAL</v>
          </cell>
          <cell r="C851">
            <v>99</v>
          </cell>
          <cell r="D851" t="str">
            <v>nao se aplica</v>
          </cell>
          <cell r="E851">
            <v>5</v>
          </cell>
          <cell r="F851" t="str">
            <v>Refrigerante</v>
          </cell>
          <cell r="G851">
            <v>0</v>
          </cell>
          <cell r="H851" t="e">
            <v>#N/A</v>
          </cell>
          <cell r="I851" t="str">
            <v>220210 </v>
          </cell>
          <cell r="J851" t="str">
            <v>22021</v>
          </cell>
          <cell r="K851" t="str">
            <v>2202</v>
          </cell>
          <cell r="L851" t="str">
            <v>220</v>
          </cell>
          <cell r="M851" t="str">
            <v>22</v>
          </cell>
          <cell r="N851">
            <v>4</v>
          </cell>
          <cell r="O851">
            <v>4</v>
          </cell>
        </row>
        <row r="852">
          <cell r="A852">
            <v>8200701</v>
          </cell>
          <cell r="B852" t="str">
            <v>REFRIGERANTE DE COLA LIGHT</v>
          </cell>
          <cell r="C852">
            <v>99</v>
          </cell>
          <cell r="D852" t="str">
            <v>nao se aplica</v>
          </cell>
          <cell r="E852">
            <v>5</v>
          </cell>
          <cell r="F852" t="str">
            <v>Refrigerante</v>
          </cell>
          <cell r="G852">
            <v>0</v>
          </cell>
          <cell r="H852">
            <v>8200701</v>
          </cell>
          <cell r="I852" t="str">
            <v>220210 </v>
          </cell>
          <cell r="J852" t="str">
            <v>22021</v>
          </cell>
          <cell r="K852" t="str">
            <v>2202</v>
          </cell>
          <cell r="L852" t="str">
            <v>220</v>
          </cell>
          <cell r="M852" t="str">
            <v>22</v>
          </cell>
          <cell r="N852">
            <v>4</v>
          </cell>
          <cell r="O852">
            <v>4</v>
          </cell>
        </row>
        <row r="853">
          <cell r="A853">
            <v>8200702</v>
          </cell>
          <cell r="B853" t="str">
            <v>COCA COLA LIGHT</v>
          </cell>
          <cell r="C853">
            <v>99</v>
          </cell>
          <cell r="D853" t="str">
            <v>nao se aplica</v>
          </cell>
          <cell r="E853">
            <v>5</v>
          </cell>
          <cell r="F853" t="str">
            <v>Refrigerante</v>
          </cell>
          <cell r="G853">
            <v>0</v>
          </cell>
          <cell r="H853" t="e">
            <v>#N/A</v>
          </cell>
          <cell r="I853" t="str">
            <v>220210 </v>
          </cell>
          <cell r="J853" t="str">
            <v>22021</v>
          </cell>
          <cell r="K853" t="str">
            <v>2202</v>
          </cell>
          <cell r="L853" t="str">
            <v>220</v>
          </cell>
          <cell r="M853" t="str">
            <v>22</v>
          </cell>
          <cell r="N853">
            <v>4</v>
          </cell>
          <cell r="O853">
            <v>4</v>
          </cell>
        </row>
        <row r="854">
          <cell r="A854">
            <v>8200801</v>
          </cell>
          <cell r="B854" t="str">
            <v>REFRIGERANTE DE COLA DIET</v>
          </cell>
          <cell r="C854">
            <v>99</v>
          </cell>
          <cell r="D854" t="str">
            <v>nao se aplica</v>
          </cell>
          <cell r="E854">
            <v>5</v>
          </cell>
          <cell r="F854" t="str">
            <v>Refrigerante</v>
          </cell>
          <cell r="G854">
            <v>0</v>
          </cell>
          <cell r="H854" t="e">
            <v>#N/A</v>
          </cell>
          <cell r="I854" t="str">
            <v>220210 </v>
          </cell>
          <cell r="J854" t="str">
            <v>22021</v>
          </cell>
          <cell r="K854" t="str">
            <v>2202</v>
          </cell>
          <cell r="L854" t="str">
            <v>220</v>
          </cell>
          <cell r="M854" t="str">
            <v>22</v>
          </cell>
          <cell r="N854">
            <v>4</v>
          </cell>
          <cell r="O854">
            <v>4</v>
          </cell>
        </row>
        <row r="855">
          <cell r="A855">
            <v>8201004</v>
          </cell>
          <cell r="B855" t="str">
            <v>AGUA, MINERAL NAO ESPECIFICADO</v>
          </cell>
          <cell r="C855">
            <v>99</v>
          </cell>
          <cell r="D855" t="str">
            <v>nao se aplica</v>
          </cell>
          <cell r="E855">
            <v>95</v>
          </cell>
          <cell r="F855" t="str">
            <v>Agua</v>
          </cell>
          <cell r="G855">
            <v>0</v>
          </cell>
          <cell r="H855">
            <v>8201004</v>
          </cell>
          <cell r="I855">
            <v>220110</v>
          </cell>
          <cell r="J855" t="str">
            <v>22011</v>
          </cell>
          <cell r="K855" t="str">
            <v>2201</v>
          </cell>
          <cell r="L855" t="str">
            <v>220</v>
          </cell>
          <cell r="M855" t="str">
            <v>22</v>
          </cell>
          <cell r="N855">
            <v>4</v>
          </cell>
          <cell r="O855">
            <v>1</v>
          </cell>
        </row>
        <row r="856">
          <cell r="A856">
            <v>8201005</v>
          </cell>
          <cell r="B856" t="str">
            <v>AGUA, MINERAL, NAO GASEIFICADA</v>
          </cell>
          <cell r="C856">
            <v>99</v>
          </cell>
          <cell r="D856" t="str">
            <v>nao se aplica</v>
          </cell>
          <cell r="E856">
            <v>95</v>
          </cell>
          <cell r="F856" t="str">
            <v>Agua</v>
          </cell>
          <cell r="G856">
            <v>0</v>
          </cell>
          <cell r="H856" t="e">
            <v>#N/A</v>
          </cell>
          <cell r="I856">
            <v>220110</v>
          </cell>
          <cell r="J856" t="str">
            <v>22011</v>
          </cell>
          <cell r="K856" t="str">
            <v>2201</v>
          </cell>
          <cell r="L856" t="str">
            <v>220</v>
          </cell>
          <cell r="M856" t="str">
            <v>22</v>
          </cell>
          <cell r="N856">
            <v>4</v>
          </cell>
          <cell r="O856">
            <v>1</v>
          </cell>
        </row>
        <row r="857">
          <cell r="A857">
            <v>8201007</v>
          </cell>
          <cell r="B857" t="str">
            <v>AGUA, MINERAL GASEIFICADA</v>
          </cell>
          <cell r="C857">
            <v>99</v>
          </cell>
          <cell r="D857" t="str">
            <v>nao se aplica</v>
          </cell>
          <cell r="E857">
            <v>95</v>
          </cell>
          <cell r="F857" t="str">
            <v>Agua</v>
          </cell>
          <cell r="G857">
            <v>0</v>
          </cell>
          <cell r="H857" t="e">
            <v>#N/A</v>
          </cell>
          <cell r="I857">
            <v>220110</v>
          </cell>
          <cell r="J857" t="str">
            <v>22011</v>
          </cell>
          <cell r="K857" t="str">
            <v>2201</v>
          </cell>
          <cell r="L857" t="str">
            <v>220</v>
          </cell>
          <cell r="M857" t="str">
            <v>22</v>
          </cell>
          <cell r="N857">
            <v>4</v>
          </cell>
          <cell r="O857">
            <v>1</v>
          </cell>
        </row>
        <row r="858">
          <cell r="A858">
            <v>8201015</v>
          </cell>
          <cell r="B858" t="str">
            <v>AGUA, MINERAL GASEIFICADA, COM SUMO DE FRUTA</v>
          </cell>
          <cell r="C858">
            <v>99</v>
          </cell>
          <cell r="D858" t="str">
            <v>nao se aplica</v>
          </cell>
          <cell r="E858"/>
          <cell r="F858" t="str">
            <v/>
          </cell>
          <cell r="G858">
            <v>0</v>
          </cell>
          <cell r="H858">
            <v>8201015</v>
          </cell>
          <cell r="I858" t="str">
            <v>220210 </v>
          </cell>
          <cell r="J858" t="str">
            <v>22021</v>
          </cell>
          <cell r="K858" t="str">
            <v>2202</v>
          </cell>
          <cell r="L858" t="str">
            <v>220</v>
          </cell>
          <cell r="M858" t="str">
            <v>22</v>
          </cell>
          <cell r="N858">
            <v>4</v>
          </cell>
          <cell r="O858">
            <v>1</v>
          </cell>
        </row>
        <row r="859">
          <cell r="A859">
            <v>8201017</v>
          </cell>
          <cell r="B859" t="str">
            <v>BEBIDA REFRIGERANTE, TIPO H2OHÂ®</v>
          </cell>
          <cell r="C859">
            <v>99</v>
          </cell>
          <cell r="D859" t="str">
            <v>nao se aplica</v>
          </cell>
          <cell r="E859">
            <v>5</v>
          </cell>
          <cell r="F859" t="str">
            <v>Refrigerante</v>
          </cell>
          <cell r="G859">
            <v>0</v>
          </cell>
          <cell r="H859" t="e">
            <v>#N/A</v>
          </cell>
          <cell r="I859" t="str">
            <v>220210 </v>
          </cell>
          <cell r="J859" t="str">
            <v>22021</v>
          </cell>
          <cell r="K859" t="str">
            <v>2202</v>
          </cell>
          <cell r="L859" t="str">
            <v>220</v>
          </cell>
          <cell r="M859" t="str">
            <v>22</v>
          </cell>
          <cell r="N859">
            <v>4</v>
          </cell>
          <cell r="O859">
            <v>1</v>
          </cell>
        </row>
        <row r="860">
          <cell r="A860">
            <v>8201104</v>
          </cell>
          <cell r="B860" t="str">
            <v>MATE TRADICIONAL</v>
          </cell>
          <cell r="C860">
            <v>99</v>
          </cell>
          <cell r="D860" t="str">
            <v>nao se aplica</v>
          </cell>
          <cell r="E860">
            <v>42</v>
          </cell>
          <cell r="F860" t="str">
            <v>Cafe e cha</v>
          </cell>
          <cell r="G860">
            <v>0</v>
          </cell>
          <cell r="H860">
            <v>8201104</v>
          </cell>
          <cell r="I860" t="str">
            <v>090210</v>
          </cell>
          <cell r="J860" t="str">
            <v>09021</v>
          </cell>
          <cell r="K860" t="str">
            <v>0902</v>
          </cell>
          <cell r="L860" t="str">
            <v>090</v>
          </cell>
          <cell r="M860" t="str">
            <v>09</v>
          </cell>
          <cell r="N860">
            <v>2</v>
          </cell>
          <cell r="O860">
            <v>1</v>
          </cell>
        </row>
        <row r="861">
          <cell r="A861">
            <v>8201511</v>
          </cell>
          <cell r="B861" t="str">
            <v>REFRIGERANTE DE LARANJA DIET</v>
          </cell>
          <cell r="C861">
            <v>99</v>
          </cell>
          <cell r="D861" t="str">
            <v>nao se aplica</v>
          </cell>
          <cell r="E861">
            <v>5</v>
          </cell>
          <cell r="F861" t="str">
            <v>Refrigerante</v>
          </cell>
          <cell r="G861">
            <v>0</v>
          </cell>
          <cell r="H861">
            <v>8201511</v>
          </cell>
          <cell r="I861" t="str">
            <v>220210 </v>
          </cell>
          <cell r="J861" t="str">
            <v>22021</v>
          </cell>
          <cell r="K861" t="str">
            <v>2202</v>
          </cell>
          <cell r="L861" t="str">
            <v>220</v>
          </cell>
          <cell r="M861" t="str">
            <v>22</v>
          </cell>
          <cell r="N861">
            <v>4</v>
          </cell>
          <cell r="O861">
            <v>4</v>
          </cell>
        </row>
        <row r="862">
          <cell r="A862">
            <v>8201601</v>
          </cell>
          <cell r="B862" t="str">
            <v>REFRIGERANTE DE GUARANA LIGHT</v>
          </cell>
          <cell r="C862">
            <v>99</v>
          </cell>
          <cell r="D862" t="str">
            <v>nao se aplica</v>
          </cell>
          <cell r="E862">
            <v>5</v>
          </cell>
          <cell r="F862" t="str">
            <v>Refrigerante</v>
          </cell>
          <cell r="G862">
            <v>0</v>
          </cell>
          <cell r="H862">
            <v>8201601</v>
          </cell>
          <cell r="I862" t="str">
            <v>220210 </v>
          </cell>
          <cell r="J862" t="str">
            <v>22021</v>
          </cell>
          <cell r="K862" t="str">
            <v>2202</v>
          </cell>
          <cell r="L862" t="str">
            <v>220</v>
          </cell>
          <cell r="M862" t="str">
            <v>22</v>
          </cell>
          <cell r="N862">
            <v>4</v>
          </cell>
          <cell r="O862">
            <v>4</v>
          </cell>
        </row>
        <row r="863">
          <cell r="A863">
            <v>8201602</v>
          </cell>
          <cell r="B863" t="str">
            <v>GUARANA LIGHT</v>
          </cell>
          <cell r="C863">
            <v>99</v>
          </cell>
          <cell r="D863" t="str">
            <v>nao se aplica</v>
          </cell>
          <cell r="E863">
            <v>5</v>
          </cell>
          <cell r="F863" t="str">
            <v>Refrigerante</v>
          </cell>
          <cell r="G863">
            <v>0</v>
          </cell>
          <cell r="H863" t="e">
            <v>#N/A</v>
          </cell>
          <cell r="I863" t="str">
            <v>220210 </v>
          </cell>
          <cell r="J863" t="str">
            <v>22021</v>
          </cell>
          <cell r="K863" t="str">
            <v>2202</v>
          </cell>
          <cell r="L863" t="str">
            <v>220</v>
          </cell>
          <cell r="M863" t="str">
            <v>22</v>
          </cell>
          <cell r="N863">
            <v>4</v>
          </cell>
          <cell r="O863">
            <v>4</v>
          </cell>
        </row>
        <row r="864">
          <cell r="A864">
            <v>8201802</v>
          </cell>
          <cell r="B864" t="str">
            <v>TUBAINA TRADICIONAL</v>
          </cell>
          <cell r="C864">
            <v>99</v>
          </cell>
          <cell r="D864" t="str">
            <v>nao se aplica</v>
          </cell>
          <cell r="E864">
            <v>5</v>
          </cell>
          <cell r="F864" t="str">
            <v>Refrigerante</v>
          </cell>
          <cell r="G864">
            <v>0</v>
          </cell>
          <cell r="H864" t="e">
            <v>#N/A</v>
          </cell>
          <cell r="I864" t="str">
            <v>220210 </v>
          </cell>
          <cell r="J864" t="str">
            <v>22021</v>
          </cell>
          <cell r="K864" t="str">
            <v>2202</v>
          </cell>
          <cell r="L864" t="str">
            <v>220</v>
          </cell>
          <cell r="M864" t="str">
            <v>22</v>
          </cell>
          <cell r="N864">
            <v>4</v>
          </cell>
          <cell r="O864">
            <v>4</v>
          </cell>
        </row>
        <row r="865">
          <cell r="A865">
            <v>8202001</v>
          </cell>
          <cell r="B865" t="str">
            <v>CALDO DE CANA</v>
          </cell>
          <cell r="C865">
            <v>99</v>
          </cell>
          <cell r="D865" t="str">
            <v>nao se aplica</v>
          </cell>
          <cell r="E865">
            <v>21</v>
          </cell>
          <cell r="F865" t="str">
            <v>Fruta</v>
          </cell>
          <cell r="G865">
            <v>0</v>
          </cell>
          <cell r="H865" t="e">
            <v>#N/A</v>
          </cell>
          <cell r="I865" t="str">
            <v>200990</v>
          </cell>
          <cell r="J865" t="str">
            <v>20099</v>
          </cell>
          <cell r="K865" t="str">
            <v>2009</v>
          </cell>
          <cell r="L865" t="str">
            <v>200</v>
          </cell>
          <cell r="M865" t="str">
            <v>20</v>
          </cell>
          <cell r="N865">
            <v>4</v>
          </cell>
          <cell r="O865">
            <v>1</v>
          </cell>
        </row>
        <row r="866">
          <cell r="A866">
            <v>8202002</v>
          </cell>
          <cell r="B866" t="str">
            <v>GARAPA</v>
          </cell>
          <cell r="C866">
            <v>99</v>
          </cell>
          <cell r="D866" t="str">
            <v>nao se aplica</v>
          </cell>
          <cell r="E866">
            <v>40</v>
          </cell>
          <cell r="F866" t="str">
            <v>Acucares</v>
          </cell>
          <cell r="G866">
            <v>0</v>
          </cell>
          <cell r="H866" t="e">
            <v>#N/A</v>
          </cell>
          <cell r="I866" t="str">
            <v>200990</v>
          </cell>
          <cell r="J866" t="str">
            <v>20099</v>
          </cell>
          <cell r="K866" t="str">
            <v>2009</v>
          </cell>
          <cell r="L866" t="str">
            <v>200</v>
          </cell>
          <cell r="M866" t="str">
            <v>20</v>
          </cell>
          <cell r="N866">
            <v>4</v>
          </cell>
          <cell r="O866">
            <v>1</v>
          </cell>
        </row>
        <row r="867">
          <cell r="A867">
            <v>8202101</v>
          </cell>
          <cell r="B867" t="str">
            <v>AGUA DE COCO</v>
          </cell>
          <cell r="C867">
            <v>99</v>
          </cell>
          <cell r="D867" t="str">
            <v>nao se aplica</v>
          </cell>
          <cell r="E867">
            <v>43</v>
          </cell>
          <cell r="F867" t="str">
            <v>Suco natural</v>
          </cell>
          <cell r="G867">
            <v>0</v>
          </cell>
          <cell r="H867">
            <v>8202101</v>
          </cell>
          <cell r="I867">
            <v>200989</v>
          </cell>
          <cell r="J867" t="str">
            <v>20098</v>
          </cell>
          <cell r="K867" t="str">
            <v>2009</v>
          </cell>
          <cell r="L867" t="str">
            <v>200</v>
          </cell>
          <cell r="M867" t="str">
            <v>20</v>
          </cell>
          <cell r="N867">
            <v>4</v>
          </cell>
          <cell r="O867">
            <v>1</v>
          </cell>
        </row>
        <row r="868">
          <cell r="A868">
            <v>8202402</v>
          </cell>
          <cell r="B868" t="str">
            <v>Q-SUCO</v>
          </cell>
          <cell r="C868">
            <v>99</v>
          </cell>
          <cell r="D868" t="str">
            <v>nao se aplica</v>
          </cell>
          <cell r="E868">
            <v>4</v>
          </cell>
          <cell r="F868" t="str">
            <v>Suco artificial</v>
          </cell>
          <cell r="G868">
            <v>0</v>
          </cell>
          <cell r="H868">
            <v>8202402</v>
          </cell>
          <cell r="I868" t="str">
            <v>220290</v>
          </cell>
          <cell r="J868" t="str">
            <v>22029</v>
          </cell>
          <cell r="K868" t="str">
            <v>2202</v>
          </cell>
          <cell r="L868" t="str">
            <v>220</v>
          </cell>
          <cell r="M868" t="str">
            <v>22</v>
          </cell>
          <cell r="N868">
            <v>4</v>
          </cell>
          <cell r="O868">
            <v>4</v>
          </cell>
        </row>
        <row r="869">
          <cell r="A869">
            <v>8202403</v>
          </cell>
          <cell r="B869" t="str">
            <v>Q-REFRESKO</v>
          </cell>
          <cell r="C869">
            <v>99</v>
          </cell>
          <cell r="D869" t="str">
            <v>nao se aplica</v>
          </cell>
          <cell r="E869">
            <v>4</v>
          </cell>
          <cell r="F869" t="str">
            <v>Suco artificial</v>
          </cell>
          <cell r="G869">
            <v>0</v>
          </cell>
          <cell r="H869" t="e">
            <v>#N/A</v>
          </cell>
          <cell r="I869" t="str">
            <v>220290</v>
          </cell>
          <cell r="J869" t="str">
            <v>22029</v>
          </cell>
          <cell r="K869" t="str">
            <v>2202</v>
          </cell>
          <cell r="L869" t="str">
            <v>220</v>
          </cell>
          <cell r="M869" t="str">
            <v>22</v>
          </cell>
          <cell r="N869">
            <v>4</v>
          </cell>
          <cell r="O869">
            <v>4</v>
          </cell>
        </row>
        <row r="870">
          <cell r="A870">
            <v>8202602</v>
          </cell>
          <cell r="B870" t="str">
            <v>NESCAFE</v>
          </cell>
          <cell r="C870">
            <v>99</v>
          </cell>
          <cell r="D870" t="str">
            <v>nao se aplica</v>
          </cell>
          <cell r="G870">
            <v>0</v>
          </cell>
          <cell r="H870">
            <v>0</v>
          </cell>
          <cell r="I870">
            <v>210111</v>
          </cell>
          <cell r="J870" t="str">
            <v>21011</v>
          </cell>
          <cell r="K870" t="str">
            <v>2101</v>
          </cell>
          <cell r="L870" t="str">
            <v>210</v>
          </cell>
          <cell r="M870" t="str">
            <v>21</v>
          </cell>
          <cell r="N870">
            <v>4</v>
          </cell>
          <cell r="O870">
            <v>4</v>
          </cell>
        </row>
        <row r="871">
          <cell r="A871">
            <v>8202701</v>
          </cell>
          <cell r="B871" t="str">
            <v>CHA PRETO</v>
          </cell>
          <cell r="C871">
            <v>99</v>
          </cell>
          <cell r="D871" t="str">
            <v>nao se aplica</v>
          </cell>
          <cell r="E871">
            <v>42</v>
          </cell>
          <cell r="F871" t="str">
            <v>Cafe e cha</v>
          </cell>
          <cell r="G871">
            <v>0</v>
          </cell>
          <cell r="H871">
            <v>8202701</v>
          </cell>
          <cell r="I871" t="str">
            <v>090210</v>
          </cell>
          <cell r="J871" t="str">
            <v>09021</v>
          </cell>
          <cell r="K871" t="str">
            <v>0902</v>
          </cell>
          <cell r="L871" t="str">
            <v>090</v>
          </cell>
          <cell r="M871" t="str">
            <v>09</v>
          </cell>
          <cell r="N871">
            <v>2</v>
          </cell>
          <cell r="O871">
            <v>1</v>
          </cell>
        </row>
        <row r="872">
          <cell r="A872">
            <v>8202801</v>
          </cell>
          <cell r="B872" t="str">
            <v>CHA MATE</v>
          </cell>
          <cell r="C872">
            <v>99</v>
          </cell>
          <cell r="D872" t="str">
            <v>nao se aplica</v>
          </cell>
          <cell r="E872">
            <v>42</v>
          </cell>
          <cell r="F872" t="str">
            <v>Cafe e cha</v>
          </cell>
          <cell r="G872">
            <v>0</v>
          </cell>
          <cell r="H872">
            <v>8202801</v>
          </cell>
          <cell r="I872" t="str">
            <v>090210</v>
          </cell>
          <cell r="J872" t="str">
            <v>09021</v>
          </cell>
          <cell r="K872" t="str">
            <v>0902</v>
          </cell>
          <cell r="L872" t="str">
            <v>090</v>
          </cell>
          <cell r="M872" t="str">
            <v>09</v>
          </cell>
          <cell r="N872">
            <v>2</v>
          </cell>
          <cell r="O872">
            <v>1</v>
          </cell>
        </row>
        <row r="873">
          <cell r="A873">
            <v>8202803</v>
          </cell>
          <cell r="B873" t="str">
            <v>ERVA MATE</v>
          </cell>
          <cell r="C873">
            <v>99</v>
          </cell>
          <cell r="D873" t="str">
            <v>nao se aplica</v>
          </cell>
          <cell r="E873">
            <v>42</v>
          </cell>
          <cell r="F873" t="str">
            <v>Cafe e cha</v>
          </cell>
          <cell r="G873">
            <v>0</v>
          </cell>
          <cell r="H873" t="e">
            <v>#N/A</v>
          </cell>
          <cell r="I873" t="str">
            <v>090210</v>
          </cell>
          <cell r="J873" t="str">
            <v>09021</v>
          </cell>
          <cell r="K873" t="str">
            <v>0902</v>
          </cell>
          <cell r="L873" t="str">
            <v>090</v>
          </cell>
          <cell r="M873" t="str">
            <v>09</v>
          </cell>
          <cell r="N873">
            <v>2</v>
          </cell>
          <cell r="O873">
            <v>1</v>
          </cell>
        </row>
        <row r="874">
          <cell r="A874">
            <v>8202804</v>
          </cell>
          <cell r="B874" t="str">
            <v>CHIMARRAO</v>
          </cell>
          <cell r="C874">
            <v>99</v>
          </cell>
          <cell r="D874" t="str">
            <v>nao se aplica</v>
          </cell>
          <cell r="E874">
            <v>42</v>
          </cell>
          <cell r="F874" t="str">
            <v>Cafe e cha</v>
          </cell>
          <cell r="G874">
            <v>0</v>
          </cell>
          <cell r="H874" t="e">
            <v>#N/A</v>
          </cell>
          <cell r="I874" t="str">
            <v>090210</v>
          </cell>
          <cell r="J874" t="str">
            <v>09021</v>
          </cell>
          <cell r="K874" t="str">
            <v>0902</v>
          </cell>
          <cell r="L874" t="str">
            <v>090</v>
          </cell>
          <cell r="M874" t="str">
            <v>09</v>
          </cell>
          <cell r="N874">
            <v>2</v>
          </cell>
          <cell r="O874">
            <v>1</v>
          </cell>
        </row>
        <row r="875">
          <cell r="A875">
            <v>8202805</v>
          </cell>
          <cell r="B875" t="str">
            <v>TERERE</v>
          </cell>
          <cell r="C875">
            <v>99</v>
          </cell>
          <cell r="D875" t="str">
            <v>nao se aplica</v>
          </cell>
          <cell r="E875">
            <v>42</v>
          </cell>
          <cell r="F875" t="str">
            <v>Cafe e cha</v>
          </cell>
          <cell r="G875">
            <v>0</v>
          </cell>
          <cell r="H875" t="e">
            <v>#N/A</v>
          </cell>
          <cell r="I875" t="str">
            <v>090210</v>
          </cell>
          <cell r="J875" t="str">
            <v>09021</v>
          </cell>
          <cell r="K875" t="str">
            <v>0902</v>
          </cell>
          <cell r="L875" t="str">
            <v>090</v>
          </cell>
          <cell r="M875" t="str">
            <v>09</v>
          </cell>
          <cell r="N875">
            <v>2</v>
          </cell>
          <cell r="O875">
            <v>1</v>
          </cell>
        </row>
        <row r="876">
          <cell r="A876">
            <v>8203501</v>
          </cell>
          <cell r="B876" t="str">
            <v>REFRIGERANTE NAO ESPECIFICADO</v>
          </cell>
          <cell r="C876">
            <v>99</v>
          </cell>
          <cell r="D876" t="str">
            <v>nao se aplica</v>
          </cell>
          <cell r="E876">
            <v>5</v>
          </cell>
          <cell r="F876" t="str">
            <v>Refrigerante</v>
          </cell>
          <cell r="G876">
            <v>0</v>
          </cell>
          <cell r="H876" t="e">
            <v>#N/A</v>
          </cell>
          <cell r="I876" t="str">
            <v>220210 </v>
          </cell>
          <cell r="J876" t="str">
            <v>22021</v>
          </cell>
          <cell r="K876" t="str">
            <v>2202</v>
          </cell>
          <cell r="L876" t="str">
            <v>220</v>
          </cell>
          <cell r="M876" t="str">
            <v>22</v>
          </cell>
          <cell r="N876">
            <v>4</v>
          </cell>
          <cell r="O876">
            <v>4</v>
          </cell>
        </row>
        <row r="877">
          <cell r="A877">
            <v>8203603</v>
          </cell>
          <cell r="B877" t="str">
            <v>CEVADA EM PO</v>
          </cell>
          <cell r="C877">
            <v>99</v>
          </cell>
          <cell r="D877" t="str">
            <v>nao se aplica</v>
          </cell>
          <cell r="E877"/>
          <cell r="F877" t="str">
            <v/>
          </cell>
          <cell r="G877">
            <v>0</v>
          </cell>
          <cell r="H877">
            <v>8203603</v>
          </cell>
          <cell r="I877" t="str">
            <v>100390</v>
          </cell>
          <cell r="J877" t="str">
            <v>10039</v>
          </cell>
          <cell r="K877" t="str">
            <v>1003</v>
          </cell>
          <cell r="L877" t="str">
            <v>100</v>
          </cell>
          <cell r="M877" t="str">
            <v>10</v>
          </cell>
          <cell r="N877">
            <v>2</v>
          </cell>
          <cell r="O877">
            <v>1</v>
          </cell>
        </row>
        <row r="878">
          <cell r="A878">
            <v>8204503</v>
          </cell>
          <cell r="B878" t="str">
            <v>CHOCOMILK</v>
          </cell>
          <cell r="C878">
            <v>99</v>
          </cell>
          <cell r="D878" t="str">
            <v>nao se aplica</v>
          </cell>
          <cell r="E878">
            <v>36</v>
          </cell>
          <cell r="F878" t="str">
            <v>Iogurtes e Bebidas lacteas</v>
          </cell>
          <cell r="G878">
            <v>0</v>
          </cell>
          <cell r="H878" t="e">
            <v>#N/A</v>
          </cell>
          <cell r="I878">
            <v>220290</v>
          </cell>
          <cell r="J878" t="str">
            <v>22029</v>
          </cell>
          <cell r="K878" t="str">
            <v>2202</v>
          </cell>
          <cell r="L878" t="str">
            <v>220</v>
          </cell>
          <cell r="M878" t="str">
            <v>22</v>
          </cell>
          <cell r="N878">
            <v>4</v>
          </cell>
          <cell r="O878">
            <v>4</v>
          </cell>
        </row>
        <row r="879">
          <cell r="A879">
            <v>8204902</v>
          </cell>
          <cell r="B879" t="str">
            <v>AGUA TONICA TRADICIONAL</v>
          </cell>
          <cell r="C879">
            <v>99</v>
          </cell>
          <cell r="D879" t="str">
            <v>nao se aplica</v>
          </cell>
          <cell r="E879">
            <v>5</v>
          </cell>
          <cell r="F879" t="str">
            <v>Refrigerante</v>
          </cell>
          <cell r="G879">
            <v>0</v>
          </cell>
          <cell r="H879">
            <v>8204902</v>
          </cell>
          <cell r="I879" t="str">
            <v>220210 </v>
          </cell>
          <cell r="J879" t="str">
            <v>22021</v>
          </cell>
          <cell r="K879" t="str">
            <v>2202</v>
          </cell>
          <cell r="L879" t="str">
            <v>220</v>
          </cell>
          <cell r="M879" t="str">
            <v>22</v>
          </cell>
          <cell r="N879">
            <v>4</v>
          </cell>
          <cell r="O879">
            <v>4</v>
          </cell>
        </row>
        <row r="880">
          <cell r="A880">
            <v>8205201</v>
          </cell>
          <cell r="B880" t="str">
            <v>CHA DIET (PRETO, CAMOMILA, ERVA CIDREIRA, CAPIM LIMAO, ETC)</v>
          </cell>
          <cell r="C880">
            <v>99</v>
          </cell>
          <cell r="D880" t="str">
            <v>nao se aplica</v>
          </cell>
          <cell r="E880">
            <v>18</v>
          </cell>
          <cell r="F880" t="str">
            <v xml:space="preserve">Outras bebidas nao alcoolicas </v>
          </cell>
          <cell r="G880">
            <v>0</v>
          </cell>
          <cell r="H880">
            <v>8205201</v>
          </cell>
          <cell r="I880" t="str">
            <v>090210</v>
          </cell>
          <cell r="J880" t="str">
            <v>09021</v>
          </cell>
          <cell r="K880" t="str">
            <v>0902</v>
          </cell>
          <cell r="L880" t="str">
            <v>090</v>
          </cell>
          <cell r="M880" t="str">
            <v>09</v>
          </cell>
          <cell r="N880">
            <v>2</v>
          </cell>
          <cell r="O880">
            <v>1</v>
          </cell>
        </row>
        <row r="881">
          <cell r="A881">
            <v>8205801</v>
          </cell>
          <cell r="B881" t="str">
            <v>ENERGETICO</v>
          </cell>
          <cell r="C881">
            <v>99</v>
          </cell>
          <cell r="D881" t="str">
            <v>nao se aplica</v>
          </cell>
          <cell r="E881">
            <v>18</v>
          </cell>
          <cell r="F881" t="str">
            <v xml:space="preserve">Outras bebidas nao alcoolicas </v>
          </cell>
          <cell r="G881">
            <v>0</v>
          </cell>
          <cell r="H881">
            <v>8205801</v>
          </cell>
          <cell r="I881" t="str">
            <v>220290</v>
          </cell>
          <cell r="J881" t="str">
            <v>22029</v>
          </cell>
          <cell r="K881" t="str">
            <v>2202</v>
          </cell>
          <cell r="L881" t="str">
            <v>220</v>
          </cell>
          <cell r="M881" t="str">
            <v>22</v>
          </cell>
          <cell r="N881">
            <v>4</v>
          </cell>
          <cell r="O881">
            <v>4</v>
          </cell>
        </row>
        <row r="882">
          <cell r="A882">
            <v>8205803</v>
          </cell>
          <cell r="B882" t="str">
            <v>GATORADE</v>
          </cell>
          <cell r="C882">
            <v>99</v>
          </cell>
          <cell r="D882" t="str">
            <v>nao se aplica</v>
          </cell>
          <cell r="E882">
            <v>18</v>
          </cell>
          <cell r="F882" t="str">
            <v xml:space="preserve">Outras bebidas nao alcoolicas </v>
          </cell>
          <cell r="G882">
            <v>0</v>
          </cell>
          <cell r="H882">
            <v>8205803</v>
          </cell>
          <cell r="I882" t="str">
            <v>220290</v>
          </cell>
          <cell r="J882" t="str">
            <v>22029</v>
          </cell>
          <cell r="K882" t="str">
            <v>2202</v>
          </cell>
          <cell r="L882" t="str">
            <v>220</v>
          </cell>
          <cell r="M882" t="str">
            <v>22</v>
          </cell>
          <cell r="N882">
            <v>4</v>
          </cell>
          <cell r="O882">
            <v>4</v>
          </cell>
        </row>
        <row r="883">
          <cell r="A883">
            <v>8205805</v>
          </cell>
          <cell r="B883" t="str">
            <v>BEBIDA ISOTONICA</v>
          </cell>
          <cell r="C883">
            <v>99</v>
          </cell>
          <cell r="D883" t="str">
            <v>nao se aplica</v>
          </cell>
          <cell r="E883">
            <v>18</v>
          </cell>
          <cell r="F883" t="str">
            <v xml:space="preserve">Outras bebidas nao alcoolicas </v>
          </cell>
          <cell r="G883">
            <v>0</v>
          </cell>
          <cell r="H883" t="e">
            <v>#N/A</v>
          </cell>
          <cell r="I883" t="str">
            <v>220290</v>
          </cell>
          <cell r="J883" t="str">
            <v>22029</v>
          </cell>
          <cell r="K883" t="str">
            <v>2202</v>
          </cell>
          <cell r="L883" t="str">
            <v>220</v>
          </cell>
          <cell r="M883" t="str">
            <v>22</v>
          </cell>
          <cell r="N883">
            <v>4</v>
          </cell>
          <cell r="O883">
            <v>4</v>
          </cell>
        </row>
        <row r="884">
          <cell r="A884">
            <v>8205901</v>
          </cell>
          <cell r="B884" t="str">
            <v>BEBIDA ENERGETICA</v>
          </cell>
          <cell r="C884">
            <v>99</v>
          </cell>
          <cell r="D884" t="str">
            <v>nao se aplica</v>
          </cell>
          <cell r="E884">
            <v>18</v>
          </cell>
          <cell r="F884" t="str">
            <v xml:space="preserve">Outras bebidas nao alcoolicas </v>
          </cell>
          <cell r="G884">
            <v>0</v>
          </cell>
          <cell r="H884" t="e">
            <v>#N/A</v>
          </cell>
          <cell r="I884" t="str">
            <v>220290</v>
          </cell>
          <cell r="J884" t="str">
            <v>22029</v>
          </cell>
          <cell r="K884" t="str">
            <v>2202</v>
          </cell>
          <cell r="L884" t="str">
            <v>220</v>
          </cell>
          <cell r="M884" t="str">
            <v>22</v>
          </cell>
          <cell r="N884">
            <v>4</v>
          </cell>
          <cell r="O884">
            <v>4</v>
          </cell>
        </row>
        <row r="885">
          <cell r="A885">
            <v>8206301</v>
          </cell>
          <cell r="B885" t="str">
            <v>CHA (PRETO, CAMOMILA, ERVA CIDREIRA, CAPIM LIMAO, ETC)</v>
          </cell>
          <cell r="C885">
            <v>99</v>
          </cell>
          <cell r="D885" t="str">
            <v>nao se aplica</v>
          </cell>
          <cell r="E885">
            <v>42</v>
          </cell>
          <cell r="F885" t="str">
            <v>Cafe e cha</v>
          </cell>
          <cell r="G885">
            <v>0</v>
          </cell>
          <cell r="H885" t="e">
            <v>#N/A</v>
          </cell>
          <cell r="I885" t="str">
            <v>090210</v>
          </cell>
          <cell r="J885" t="str">
            <v>09021</v>
          </cell>
          <cell r="K885" t="str">
            <v>0902</v>
          </cell>
          <cell r="L885" t="str">
            <v>090</v>
          </cell>
          <cell r="M885" t="str">
            <v>09</v>
          </cell>
          <cell r="N885">
            <v>2</v>
          </cell>
          <cell r="O885">
            <v>1</v>
          </cell>
        </row>
        <row r="886">
          <cell r="A886">
            <v>8207401</v>
          </cell>
          <cell r="B886" t="str">
            <v>REFRIGERANTE DE GUARANA DIET</v>
          </cell>
          <cell r="C886">
            <v>99</v>
          </cell>
          <cell r="D886" t="str">
            <v>nao se aplica</v>
          </cell>
          <cell r="E886">
            <v>5</v>
          </cell>
          <cell r="F886" t="str">
            <v>Refrigerante</v>
          </cell>
          <cell r="G886">
            <v>0</v>
          </cell>
          <cell r="H886" t="e">
            <v>#N/A</v>
          </cell>
          <cell r="I886" t="str">
            <v>220210 </v>
          </cell>
          <cell r="J886" t="str">
            <v>22021</v>
          </cell>
          <cell r="K886" t="str">
            <v>2202</v>
          </cell>
          <cell r="L886" t="str">
            <v>220</v>
          </cell>
          <cell r="M886" t="str">
            <v>22</v>
          </cell>
          <cell r="N886">
            <v>4</v>
          </cell>
          <cell r="O886">
            <v>4</v>
          </cell>
        </row>
        <row r="887">
          <cell r="A887">
            <v>8207402</v>
          </cell>
          <cell r="B887" t="str">
            <v>GUARANA DIET</v>
          </cell>
          <cell r="C887">
            <v>99</v>
          </cell>
          <cell r="D887" t="str">
            <v>nao se aplica</v>
          </cell>
          <cell r="E887">
            <v>5</v>
          </cell>
          <cell r="F887" t="str">
            <v>Refrigerante</v>
          </cell>
          <cell r="G887">
            <v>0</v>
          </cell>
          <cell r="H887" t="e">
            <v>#N/A</v>
          </cell>
          <cell r="I887" t="str">
            <v>220210 </v>
          </cell>
          <cell r="J887" t="str">
            <v>22021</v>
          </cell>
          <cell r="K887" t="str">
            <v>2202</v>
          </cell>
          <cell r="L887" t="str">
            <v>220</v>
          </cell>
          <cell r="M887" t="str">
            <v>22</v>
          </cell>
          <cell r="N887">
            <v>4</v>
          </cell>
          <cell r="O887">
            <v>4</v>
          </cell>
        </row>
        <row r="888">
          <cell r="A888">
            <v>8207501</v>
          </cell>
          <cell r="B888" t="str">
            <v>REFRIGERANTE, LIMAO, LIGHT</v>
          </cell>
          <cell r="C888">
            <v>99</v>
          </cell>
          <cell r="D888" t="str">
            <v>nao se aplica</v>
          </cell>
          <cell r="E888">
            <v>5</v>
          </cell>
          <cell r="F888" t="str">
            <v>Refrigerante</v>
          </cell>
          <cell r="G888">
            <v>0</v>
          </cell>
          <cell r="H888">
            <v>8207501</v>
          </cell>
          <cell r="I888" t="str">
            <v>220210 </v>
          </cell>
          <cell r="J888" t="str">
            <v>22021</v>
          </cell>
          <cell r="K888" t="str">
            <v>2202</v>
          </cell>
          <cell r="L888" t="str">
            <v>220</v>
          </cell>
          <cell r="M888" t="str">
            <v>22</v>
          </cell>
          <cell r="N888">
            <v>4</v>
          </cell>
          <cell r="O888">
            <v>4</v>
          </cell>
        </row>
        <row r="889">
          <cell r="A889">
            <v>8207601</v>
          </cell>
          <cell r="B889" t="str">
            <v>REFRIGERANTE DE LIMAO DIET</v>
          </cell>
          <cell r="C889">
            <v>99</v>
          </cell>
          <cell r="D889" t="str">
            <v>nao se aplica</v>
          </cell>
          <cell r="E889">
            <v>5</v>
          </cell>
          <cell r="F889" t="str">
            <v>Refrigerante</v>
          </cell>
          <cell r="G889">
            <v>0</v>
          </cell>
          <cell r="H889" t="e">
            <v>#N/A</v>
          </cell>
          <cell r="I889" t="str">
            <v>220210 </v>
          </cell>
          <cell r="J889" t="str">
            <v>22021</v>
          </cell>
          <cell r="K889" t="str">
            <v>2202</v>
          </cell>
          <cell r="L889" t="str">
            <v>220</v>
          </cell>
          <cell r="M889" t="str">
            <v>22</v>
          </cell>
          <cell r="N889">
            <v>4</v>
          </cell>
          <cell r="O889">
            <v>4</v>
          </cell>
        </row>
        <row r="890">
          <cell r="A890">
            <v>8207701</v>
          </cell>
          <cell r="B890" t="str">
            <v>REFRIGERANTE, UVA, DIET / LIGHT</v>
          </cell>
          <cell r="C890">
            <v>99</v>
          </cell>
          <cell r="D890" t="str">
            <v>nao se aplica</v>
          </cell>
          <cell r="E890">
            <v>5</v>
          </cell>
          <cell r="F890" t="str">
            <v>Refrigerante</v>
          </cell>
          <cell r="G890">
            <v>0</v>
          </cell>
          <cell r="H890">
            <v>8207701</v>
          </cell>
          <cell r="I890" t="str">
            <v>220210 </v>
          </cell>
          <cell r="J890" t="str">
            <v>22021</v>
          </cell>
          <cell r="K890" t="str">
            <v>2202</v>
          </cell>
          <cell r="L890" t="str">
            <v>220</v>
          </cell>
          <cell r="M890" t="str">
            <v>22</v>
          </cell>
          <cell r="N890">
            <v>4</v>
          </cell>
          <cell r="O890">
            <v>4</v>
          </cell>
        </row>
        <row r="891">
          <cell r="A891">
            <v>8209002</v>
          </cell>
          <cell r="B891" t="str">
            <v>AGUA TONICA LIGHT</v>
          </cell>
          <cell r="C891">
            <v>99</v>
          </cell>
          <cell r="D891" t="str">
            <v>nao se aplica</v>
          </cell>
          <cell r="E891">
            <v>5</v>
          </cell>
          <cell r="F891" t="str">
            <v>Refrigerante</v>
          </cell>
          <cell r="G891">
            <v>0</v>
          </cell>
          <cell r="H891" t="e">
            <v>#N/A</v>
          </cell>
          <cell r="I891" t="str">
            <v>220210 </v>
          </cell>
          <cell r="J891" t="str">
            <v>22021</v>
          </cell>
          <cell r="K891" t="str">
            <v>2202</v>
          </cell>
          <cell r="L891" t="str">
            <v>220</v>
          </cell>
          <cell r="M891" t="str">
            <v>22</v>
          </cell>
          <cell r="N891">
            <v>4</v>
          </cell>
          <cell r="O891">
            <v>4</v>
          </cell>
        </row>
        <row r="892">
          <cell r="A892">
            <v>8211002</v>
          </cell>
          <cell r="B892" t="str">
            <v>Q-SUCO LIGHT</v>
          </cell>
          <cell r="C892">
            <v>99</v>
          </cell>
          <cell r="D892" t="str">
            <v>nao se aplica</v>
          </cell>
          <cell r="E892">
            <v>4</v>
          </cell>
          <cell r="F892" t="str">
            <v>Suco artificial</v>
          </cell>
          <cell r="G892">
            <v>0</v>
          </cell>
          <cell r="H892" t="e">
            <v>#N/A</v>
          </cell>
          <cell r="I892" t="str">
            <v>220290</v>
          </cell>
          <cell r="J892" t="str">
            <v>22029</v>
          </cell>
          <cell r="K892" t="str">
            <v>2202</v>
          </cell>
          <cell r="L892" t="str">
            <v>220</v>
          </cell>
          <cell r="M892" t="str">
            <v>22</v>
          </cell>
          <cell r="N892">
            <v>4</v>
          </cell>
          <cell r="O892">
            <v>4</v>
          </cell>
        </row>
        <row r="893">
          <cell r="A893">
            <v>8211102</v>
          </cell>
          <cell r="B893" t="str">
            <v>Q-SUCO DIET</v>
          </cell>
          <cell r="C893">
            <v>99</v>
          </cell>
          <cell r="D893" t="str">
            <v>nao se aplica</v>
          </cell>
          <cell r="E893">
            <v>4</v>
          </cell>
          <cell r="F893" t="str">
            <v>Suco artificial</v>
          </cell>
          <cell r="G893">
            <v>0</v>
          </cell>
          <cell r="H893" t="e">
            <v>#N/A</v>
          </cell>
          <cell r="I893" t="str">
            <v>220290</v>
          </cell>
          <cell r="J893" t="str">
            <v>22029</v>
          </cell>
          <cell r="K893" t="str">
            <v>2202</v>
          </cell>
          <cell r="L893" t="str">
            <v>220</v>
          </cell>
          <cell r="M893" t="str">
            <v>22</v>
          </cell>
          <cell r="N893">
            <v>4</v>
          </cell>
          <cell r="O893">
            <v>4</v>
          </cell>
        </row>
        <row r="894">
          <cell r="A894">
            <v>8212802</v>
          </cell>
          <cell r="B894" t="str">
            <v>MATE DIET</v>
          </cell>
          <cell r="C894">
            <v>99</v>
          </cell>
          <cell r="D894" t="str">
            <v>nao se aplica</v>
          </cell>
          <cell r="E894">
            <v>18</v>
          </cell>
          <cell r="F894" t="str">
            <v xml:space="preserve">Outras bebidas nao alcoolicas </v>
          </cell>
          <cell r="G894">
            <v>0</v>
          </cell>
          <cell r="H894" t="e">
            <v>#N/A</v>
          </cell>
          <cell r="I894" t="str">
            <v>220290</v>
          </cell>
          <cell r="J894" t="str">
            <v>22029</v>
          </cell>
          <cell r="K894" t="str">
            <v>2202</v>
          </cell>
          <cell r="L894" t="str">
            <v>220</v>
          </cell>
          <cell r="M894" t="str">
            <v>22</v>
          </cell>
          <cell r="N894">
            <v>4</v>
          </cell>
          <cell r="O894">
            <v>4</v>
          </cell>
        </row>
        <row r="895">
          <cell r="A895">
            <v>8212902</v>
          </cell>
          <cell r="B895" t="str">
            <v>AGUA TONICA DIET</v>
          </cell>
          <cell r="C895">
            <v>99</v>
          </cell>
          <cell r="D895" t="str">
            <v>nao se aplica</v>
          </cell>
          <cell r="E895">
            <v>5</v>
          </cell>
          <cell r="F895" t="str">
            <v>Refrigerante</v>
          </cell>
          <cell r="G895">
            <v>0</v>
          </cell>
          <cell r="H895" t="e">
            <v>#N/A</v>
          </cell>
          <cell r="I895" t="str">
            <v>220210 </v>
          </cell>
          <cell r="J895" t="str">
            <v>22021</v>
          </cell>
          <cell r="K895" t="str">
            <v>2202</v>
          </cell>
          <cell r="L895" t="str">
            <v>220</v>
          </cell>
          <cell r="M895" t="str">
            <v>22</v>
          </cell>
          <cell r="N895">
            <v>4</v>
          </cell>
          <cell r="O895">
            <v>4</v>
          </cell>
        </row>
        <row r="896">
          <cell r="A896">
            <v>8213301</v>
          </cell>
          <cell r="B896" t="str">
            <v>CHA VERDE, CHA BRANCO, CHA VERMELHO</v>
          </cell>
          <cell r="C896">
            <v>99</v>
          </cell>
          <cell r="D896" t="str">
            <v>nao se aplica</v>
          </cell>
          <cell r="E896">
            <v>42</v>
          </cell>
          <cell r="F896" t="str">
            <v>Cafe e cha</v>
          </cell>
          <cell r="G896">
            <v>0</v>
          </cell>
          <cell r="H896" t="e">
            <v>#N/A</v>
          </cell>
          <cell r="I896" t="str">
            <v>090210</v>
          </cell>
          <cell r="J896" t="str">
            <v>09021</v>
          </cell>
          <cell r="K896" t="str">
            <v>0902</v>
          </cell>
          <cell r="L896" t="str">
            <v>090</v>
          </cell>
          <cell r="M896" t="str">
            <v>09</v>
          </cell>
          <cell r="N896">
            <v>4</v>
          </cell>
          <cell r="O896">
            <v>4</v>
          </cell>
        </row>
        <row r="897">
          <cell r="A897">
            <v>8215701</v>
          </cell>
          <cell r="B897" t="str">
            <v>CHA PRETO DESCAFEINADO</v>
          </cell>
          <cell r="C897">
            <v>99</v>
          </cell>
          <cell r="D897" t="str">
            <v>nao se aplica</v>
          </cell>
          <cell r="E897">
            <v>42</v>
          </cell>
          <cell r="F897" t="str">
            <v>Cafe e cha</v>
          </cell>
          <cell r="G897">
            <v>0</v>
          </cell>
          <cell r="H897" t="e">
            <v>#N/A</v>
          </cell>
          <cell r="I897" t="str">
            <v>090210</v>
          </cell>
          <cell r="J897" t="str">
            <v>09021</v>
          </cell>
          <cell r="K897" t="str">
            <v>0902</v>
          </cell>
          <cell r="L897" t="str">
            <v>090</v>
          </cell>
          <cell r="M897" t="str">
            <v>09</v>
          </cell>
          <cell r="N897">
            <v>4</v>
          </cell>
          <cell r="O897">
            <v>4</v>
          </cell>
        </row>
        <row r="898">
          <cell r="A898">
            <v>8215801</v>
          </cell>
          <cell r="B898" t="str">
            <v>CHA VERDE, BRANCO OU VERMELHO DIET OU LIGHT</v>
          </cell>
          <cell r="C898">
            <v>99</v>
          </cell>
          <cell r="D898" t="str">
            <v>nao se aplica</v>
          </cell>
          <cell r="E898">
            <v>18</v>
          </cell>
          <cell r="F898" t="str">
            <v xml:space="preserve">Outras bebidas nao alcoolicas </v>
          </cell>
          <cell r="G898">
            <v>0</v>
          </cell>
          <cell r="H898" t="e">
            <v>#N/A</v>
          </cell>
          <cell r="I898" t="str">
            <v>090210</v>
          </cell>
          <cell r="J898" t="str">
            <v>09021</v>
          </cell>
          <cell r="K898" t="str">
            <v>0902</v>
          </cell>
          <cell r="L898" t="str">
            <v>090</v>
          </cell>
          <cell r="M898" t="str">
            <v>09</v>
          </cell>
          <cell r="N898">
            <v>4</v>
          </cell>
          <cell r="O898">
            <v>4</v>
          </cell>
        </row>
        <row r="899">
          <cell r="A899">
            <v>8215901</v>
          </cell>
          <cell r="B899" t="str">
            <v>CHA, ERVAS NAO ESPECIFICADO</v>
          </cell>
          <cell r="C899">
            <v>99</v>
          </cell>
          <cell r="D899" t="str">
            <v>nao se aplica</v>
          </cell>
          <cell r="E899">
            <v>42</v>
          </cell>
          <cell r="F899" t="str">
            <v>Cafe e cha</v>
          </cell>
          <cell r="G899">
            <v>0</v>
          </cell>
          <cell r="H899" t="e">
            <v>#N/A</v>
          </cell>
          <cell r="I899" t="str">
            <v>090210</v>
          </cell>
          <cell r="J899" t="str">
            <v>09021</v>
          </cell>
          <cell r="K899" t="str">
            <v>0902</v>
          </cell>
          <cell r="L899" t="str">
            <v>090</v>
          </cell>
          <cell r="M899" t="str">
            <v>09</v>
          </cell>
          <cell r="N899">
            <v>4</v>
          </cell>
          <cell r="O899">
            <v>4</v>
          </cell>
        </row>
        <row r="900">
          <cell r="A900">
            <v>8216301</v>
          </cell>
          <cell r="B900" t="str">
            <v>AGUA, REDE PUBLICA</v>
          </cell>
          <cell r="C900">
            <v>99</v>
          </cell>
          <cell r="D900" t="str">
            <v>nao se aplica</v>
          </cell>
          <cell r="E900">
            <v>95</v>
          </cell>
          <cell r="F900" t="str">
            <v>Agua</v>
          </cell>
          <cell r="G900">
            <v>0</v>
          </cell>
          <cell r="H900" t="e">
            <v>#N/A</v>
          </cell>
          <cell r="I900" t="str">
            <v>000000</v>
          </cell>
          <cell r="J900" t="str">
            <v>00000</v>
          </cell>
          <cell r="K900" t="str">
            <v>0000</v>
          </cell>
          <cell r="L900" t="str">
            <v>000</v>
          </cell>
          <cell r="M900" t="str">
            <v>00</v>
          </cell>
          <cell r="N900" t="str">
            <v>0</v>
          </cell>
          <cell r="O900" t="str">
            <v>1</v>
          </cell>
        </row>
        <row r="901">
          <cell r="A901">
            <v>8216501</v>
          </cell>
          <cell r="B901" t="str">
            <v>ICE TEA TRADICIONAL</v>
          </cell>
          <cell r="C901">
            <v>99</v>
          </cell>
          <cell r="D901" t="str">
            <v>nao se aplica</v>
          </cell>
          <cell r="E901">
            <v>18</v>
          </cell>
          <cell r="F901" t="str">
            <v xml:space="preserve">Outras bebidas nao alcoolicas </v>
          </cell>
          <cell r="G901">
            <v>0</v>
          </cell>
          <cell r="H901">
            <v>8216501</v>
          </cell>
          <cell r="I901">
            <v>220100</v>
          </cell>
          <cell r="J901" t="str">
            <v>22010</v>
          </cell>
          <cell r="K901" t="str">
            <v>2201</v>
          </cell>
          <cell r="L901" t="str">
            <v>220</v>
          </cell>
          <cell r="M901" t="str">
            <v>22</v>
          </cell>
          <cell r="N901">
            <v>4</v>
          </cell>
          <cell r="O901">
            <v>4</v>
          </cell>
        </row>
        <row r="902">
          <cell r="A902">
            <v>8216701</v>
          </cell>
          <cell r="B902" t="str">
            <v>SUBSTITUTO DE CAFE NAO ESPECIFICADO</v>
          </cell>
          <cell r="C902">
            <v>99</v>
          </cell>
          <cell r="D902" t="str">
            <v>nao se aplica</v>
          </cell>
          <cell r="E902">
            <v>18</v>
          </cell>
          <cell r="F902" t="str">
            <v xml:space="preserve">Outras bebidas nao alcoolicas </v>
          </cell>
          <cell r="G902">
            <v>0</v>
          </cell>
          <cell r="H902">
            <v>8216701</v>
          </cell>
          <cell r="I902" t="str">
            <v>100390</v>
          </cell>
          <cell r="J902" t="str">
            <v>10039</v>
          </cell>
          <cell r="K902" t="str">
            <v>1003</v>
          </cell>
          <cell r="L902" t="str">
            <v>100</v>
          </cell>
          <cell r="M902" t="str">
            <v>10</v>
          </cell>
          <cell r="N902">
            <v>4</v>
          </cell>
          <cell r="O902">
            <v>4</v>
          </cell>
        </row>
        <row r="903">
          <cell r="A903">
            <v>8217001</v>
          </cell>
          <cell r="B903" t="str">
            <v>SUCO NATURAL DE FRUTA</v>
          </cell>
          <cell r="C903">
            <v>99</v>
          </cell>
          <cell r="D903" t="str">
            <v>nao se aplica</v>
          </cell>
          <cell r="E903">
            <v>43</v>
          </cell>
          <cell r="F903" t="str">
            <v xml:space="preserve">Suco natural </v>
          </cell>
          <cell r="G903">
            <v>0</v>
          </cell>
          <cell r="H903">
            <v>8217001</v>
          </cell>
          <cell r="I903" t="str">
            <v>200960</v>
          </cell>
          <cell r="J903" t="str">
            <v>20096</v>
          </cell>
          <cell r="K903" t="str">
            <v>2009</v>
          </cell>
          <cell r="L903" t="str">
            <v>200</v>
          </cell>
          <cell r="M903" t="str">
            <v>20</v>
          </cell>
          <cell r="N903">
            <v>4</v>
          </cell>
          <cell r="O903">
            <v>4</v>
          </cell>
        </row>
        <row r="904">
          <cell r="A904">
            <v>8217401</v>
          </cell>
          <cell r="B904" t="str">
            <v>TAMPICO</v>
          </cell>
          <cell r="C904">
            <v>99</v>
          </cell>
          <cell r="D904" t="str">
            <v>nao se aplica</v>
          </cell>
          <cell r="E904">
            <v>4</v>
          </cell>
          <cell r="F904" t="str">
            <v>Suco artificial</v>
          </cell>
          <cell r="G904">
            <v>0</v>
          </cell>
          <cell r="H904" t="e">
            <v>#N/A</v>
          </cell>
          <cell r="I904">
            <v>220100</v>
          </cell>
          <cell r="J904" t="str">
            <v>22010</v>
          </cell>
          <cell r="K904" t="str">
            <v>2201</v>
          </cell>
          <cell r="L904" t="str">
            <v>220</v>
          </cell>
          <cell r="M904" t="str">
            <v>22</v>
          </cell>
          <cell r="N904">
            <v>4</v>
          </cell>
          <cell r="O904">
            <v>4</v>
          </cell>
        </row>
        <row r="905">
          <cell r="A905">
            <v>8280001</v>
          </cell>
          <cell r="B905" t="str">
            <v>AGUA COM LIMAO OU OUTRAS FRUTAS/ HORTALICAS</v>
          </cell>
          <cell r="C905">
            <v>99</v>
          </cell>
          <cell r="D905" t="str">
            <v>nao se aplica</v>
          </cell>
          <cell r="E905"/>
          <cell r="F905" t="str">
            <v/>
          </cell>
          <cell r="G905">
            <v>0</v>
          </cell>
          <cell r="H905">
            <v>8280001</v>
          </cell>
          <cell r="I905">
            <v>220110</v>
          </cell>
          <cell r="J905" t="str">
            <v>22011</v>
          </cell>
          <cell r="K905" t="str">
            <v>2201</v>
          </cell>
          <cell r="L905" t="str">
            <v>220</v>
          </cell>
          <cell r="M905" t="str">
            <v>22</v>
          </cell>
          <cell r="N905">
            <v>4</v>
          </cell>
          <cell r="O905">
            <v>1</v>
          </cell>
        </row>
        <row r="906">
          <cell r="A906">
            <v>8280101</v>
          </cell>
          <cell r="B906" t="str">
            <v>SUCO INDUSTRIALIZADO</v>
          </cell>
          <cell r="C906">
            <v>99</v>
          </cell>
          <cell r="D906" t="str">
            <v>nao se aplica</v>
          </cell>
          <cell r="E906">
            <v>4</v>
          </cell>
          <cell r="F906" t="str">
            <v>Suco artificial</v>
          </cell>
          <cell r="G906">
            <v>0</v>
          </cell>
          <cell r="H906">
            <v>8280101</v>
          </cell>
          <cell r="I906" t="str">
            <v>200960</v>
          </cell>
          <cell r="J906" t="str">
            <v>20096</v>
          </cell>
          <cell r="K906" t="str">
            <v>2009</v>
          </cell>
          <cell r="L906" t="str">
            <v>200</v>
          </cell>
          <cell r="M906" t="str">
            <v>20</v>
          </cell>
          <cell r="N906">
            <v>4</v>
          </cell>
          <cell r="O906">
            <v>4</v>
          </cell>
        </row>
        <row r="907">
          <cell r="A907">
            <v>8280401</v>
          </cell>
          <cell r="B907" t="str">
            <v>SUCO DE TAMARINDO</v>
          </cell>
          <cell r="C907">
            <v>99</v>
          </cell>
          <cell r="D907" t="str">
            <v>nao se aplica</v>
          </cell>
          <cell r="E907">
            <v>43</v>
          </cell>
          <cell r="F907" t="str">
            <v xml:space="preserve">Suco natural </v>
          </cell>
          <cell r="G907">
            <v>0</v>
          </cell>
          <cell r="H907">
            <v>8280401</v>
          </cell>
          <cell r="I907" t="str">
            <v>200960</v>
          </cell>
          <cell r="J907" t="str">
            <v>20096</v>
          </cell>
          <cell r="K907" t="str">
            <v>2009</v>
          </cell>
          <cell r="L907" t="str">
            <v>200</v>
          </cell>
          <cell r="M907" t="str">
            <v>20</v>
          </cell>
          <cell r="N907">
            <v>4</v>
          </cell>
          <cell r="O907">
            <v>4</v>
          </cell>
        </row>
        <row r="908">
          <cell r="A908">
            <v>8280501</v>
          </cell>
          <cell r="B908" t="str">
            <v>SUCO DE UVA</v>
          </cell>
          <cell r="C908">
            <v>99</v>
          </cell>
          <cell r="D908" t="str">
            <v>nao se aplica</v>
          </cell>
          <cell r="E908">
            <v>4</v>
          </cell>
          <cell r="F908" t="str">
            <v>Suco artificial</v>
          </cell>
          <cell r="G908">
            <v>0</v>
          </cell>
          <cell r="H908" t="e">
            <v>#N/A</v>
          </cell>
          <cell r="I908" t="str">
            <v>200960</v>
          </cell>
          <cell r="J908" t="str">
            <v>20096</v>
          </cell>
          <cell r="K908" t="str">
            <v>2009</v>
          </cell>
          <cell r="L908" t="str">
            <v>200</v>
          </cell>
          <cell r="M908" t="str">
            <v>20</v>
          </cell>
          <cell r="N908">
            <v>4</v>
          </cell>
          <cell r="O908">
            <v>4</v>
          </cell>
        </row>
        <row r="909">
          <cell r="A909">
            <v>8300101</v>
          </cell>
          <cell r="B909" t="str">
            <v>CERVEJA (COM OU SEM ALCOOL)</v>
          </cell>
          <cell r="C909">
            <v>99</v>
          </cell>
          <cell r="D909" t="str">
            <v>nao se aplica</v>
          </cell>
          <cell r="E909">
            <v>88</v>
          </cell>
          <cell r="F909" t="str">
            <v>Fermentado</v>
          </cell>
          <cell r="G909">
            <v>0</v>
          </cell>
          <cell r="H909">
            <v>8300101</v>
          </cell>
          <cell r="I909" t="str">
            <v>220300</v>
          </cell>
          <cell r="J909" t="str">
            <v>22030</v>
          </cell>
          <cell r="K909" t="str">
            <v>2203</v>
          </cell>
          <cell r="L909" t="str">
            <v>220</v>
          </cell>
          <cell r="M909" t="str">
            <v>22</v>
          </cell>
          <cell r="N909">
            <v>4</v>
          </cell>
          <cell r="O909">
            <v>4</v>
          </cell>
        </row>
        <row r="910">
          <cell r="A910">
            <v>8300201</v>
          </cell>
          <cell r="B910" t="str">
            <v>CHOPP</v>
          </cell>
          <cell r="C910">
            <v>99</v>
          </cell>
          <cell r="D910" t="str">
            <v>nao se aplica</v>
          </cell>
          <cell r="E910">
            <v>88</v>
          </cell>
          <cell r="F910" t="str">
            <v>Fermentado</v>
          </cell>
          <cell r="G910">
            <v>0</v>
          </cell>
          <cell r="H910" t="e">
            <v>#N/A</v>
          </cell>
          <cell r="I910" t="str">
            <v>220300</v>
          </cell>
          <cell r="J910" t="str">
            <v>22030</v>
          </cell>
          <cell r="K910" t="str">
            <v>2203</v>
          </cell>
          <cell r="L910" t="str">
            <v>220</v>
          </cell>
          <cell r="M910" t="str">
            <v>22</v>
          </cell>
          <cell r="N910">
            <v>4</v>
          </cell>
          <cell r="O910">
            <v>4</v>
          </cell>
        </row>
        <row r="911">
          <cell r="A911">
            <v>8300301</v>
          </cell>
          <cell r="B911" t="str">
            <v>AGUARDENTE</v>
          </cell>
          <cell r="C911">
            <v>99</v>
          </cell>
          <cell r="D911" t="str">
            <v>nao se aplica</v>
          </cell>
          <cell r="E911">
            <v>87</v>
          </cell>
          <cell r="F911" t="str">
            <v>Destilado</v>
          </cell>
          <cell r="G911">
            <v>0</v>
          </cell>
          <cell r="H911">
            <v>8300301</v>
          </cell>
          <cell r="I911" t="str">
            <v>220840</v>
          </cell>
          <cell r="J911" t="str">
            <v>22084</v>
          </cell>
          <cell r="K911" t="str">
            <v>2208</v>
          </cell>
          <cell r="L911" t="str">
            <v>220</v>
          </cell>
          <cell r="M911" t="str">
            <v>22</v>
          </cell>
          <cell r="N911">
            <v>4</v>
          </cell>
          <cell r="O911">
            <v>4</v>
          </cell>
        </row>
        <row r="912">
          <cell r="A912">
            <v>8300302</v>
          </cell>
          <cell r="B912" t="str">
            <v>CACHACA</v>
          </cell>
          <cell r="C912">
            <v>99</v>
          </cell>
          <cell r="D912" t="str">
            <v>nao se aplica</v>
          </cell>
          <cell r="E912">
            <v>87</v>
          </cell>
          <cell r="F912" t="str">
            <v>Destilado</v>
          </cell>
          <cell r="G912">
            <v>0</v>
          </cell>
          <cell r="H912" t="e">
            <v>#N/A</v>
          </cell>
          <cell r="I912" t="str">
            <v>220840</v>
          </cell>
          <cell r="J912" t="str">
            <v>22084</v>
          </cell>
          <cell r="K912" t="str">
            <v>2208</v>
          </cell>
          <cell r="L912" t="str">
            <v>220</v>
          </cell>
          <cell r="M912" t="str">
            <v>22</v>
          </cell>
          <cell r="N912">
            <v>4</v>
          </cell>
          <cell r="O912">
            <v>4</v>
          </cell>
        </row>
        <row r="913">
          <cell r="A913">
            <v>8300701</v>
          </cell>
          <cell r="B913" t="str">
            <v>RUM</v>
          </cell>
          <cell r="C913">
            <v>99</v>
          </cell>
          <cell r="D913" t="str">
            <v>nao se aplica</v>
          </cell>
          <cell r="E913">
            <v>87</v>
          </cell>
          <cell r="F913" t="str">
            <v>Destilado</v>
          </cell>
          <cell r="G913">
            <v>0</v>
          </cell>
          <cell r="H913">
            <v>8300701</v>
          </cell>
          <cell r="I913" t="str">
            <v>220840</v>
          </cell>
          <cell r="J913" t="str">
            <v>22084</v>
          </cell>
          <cell r="K913" t="str">
            <v>2208</v>
          </cell>
          <cell r="L913" t="str">
            <v>220</v>
          </cell>
          <cell r="M913" t="str">
            <v>22</v>
          </cell>
          <cell r="N913">
            <v>4</v>
          </cell>
          <cell r="O913">
            <v>4</v>
          </cell>
        </row>
        <row r="914">
          <cell r="A914">
            <v>8300801</v>
          </cell>
          <cell r="B914" t="str">
            <v>VODKA</v>
          </cell>
          <cell r="C914">
            <v>99</v>
          </cell>
          <cell r="D914" t="str">
            <v>nao se aplica</v>
          </cell>
          <cell r="E914">
            <v>87</v>
          </cell>
          <cell r="F914" t="str">
            <v>Destilado</v>
          </cell>
          <cell r="G914">
            <v>0</v>
          </cell>
          <cell r="H914" t="e">
            <v>#N/A</v>
          </cell>
          <cell r="I914" t="str">
            <v>220840</v>
          </cell>
          <cell r="J914" t="str">
            <v>22084</v>
          </cell>
          <cell r="K914" t="str">
            <v>2208</v>
          </cell>
          <cell r="L914" t="str">
            <v>220</v>
          </cell>
          <cell r="M914" t="str">
            <v>22</v>
          </cell>
          <cell r="N914">
            <v>4</v>
          </cell>
          <cell r="O914">
            <v>4</v>
          </cell>
        </row>
        <row r="915">
          <cell r="A915">
            <v>8301001</v>
          </cell>
          <cell r="B915" t="str">
            <v>UISQUE</v>
          </cell>
          <cell r="C915">
            <v>99</v>
          </cell>
          <cell r="D915" t="str">
            <v>nao se aplica</v>
          </cell>
          <cell r="E915">
            <v>87</v>
          </cell>
          <cell r="F915" t="str">
            <v>Destilado</v>
          </cell>
          <cell r="G915">
            <v>0</v>
          </cell>
          <cell r="H915" t="e">
            <v>#N/A</v>
          </cell>
          <cell r="I915">
            <v>220830</v>
          </cell>
          <cell r="J915" t="str">
            <v>22083</v>
          </cell>
          <cell r="K915" t="str">
            <v>2208</v>
          </cell>
          <cell r="L915" t="str">
            <v>220</v>
          </cell>
          <cell r="M915" t="str">
            <v>22</v>
          </cell>
          <cell r="N915">
            <v>4</v>
          </cell>
          <cell r="O915">
            <v>4</v>
          </cell>
        </row>
        <row r="916">
          <cell r="A916">
            <v>8301002</v>
          </cell>
          <cell r="B916" t="str">
            <v>WHISKY</v>
          </cell>
          <cell r="C916">
            <v>99</v>
          </cell>
          <cell r="D916" t="str">
            <v>nao se aplica</v>
          </cell>
          <cell r="E916">
            <v>87</v>
          </cell>
          <cell r="F916" t="str">
            <v>Destilado</v>
          </cell>
          <cell r="G916">
            <v>0</v>
          </cell>
          <cell r="H916" t="e">
            <v>#N/A</v>
          </cell>
          <cell r="I916">
            <v>220830</v>
          </cell>
          <cell r="J916" t="str">
            <v>22083</v>
          </cell>
          <cell r="K916" t="str">
            <v>2208</v>
          </cell>
          <cell r="L916" t="str">
            <v>220</v>
          </cell>
          <cell r="M916" t="str">
            <v>22</v>
          </cell>
          <cell r="N916">
            <v>4</v>
          </cell>
          <cell r="O916">
            <v>4</v>
          </cell>
        </row>
        <row r="917">
          <cell r="A917">
            <v>8301201</v>
          </cell>
          <cell r="B917" t="str">
            <v>CHAMPANHE</v>
          </cell>
          <cell r="C917">
            <v>99</v>
          </cell>
          <cell r="D917" t="str">
            <v>nao se aplica</v>
          </cell>
          <cell r="E917">
            <v>88</v>
          </cell>
          <cell r="F917" t="str">
            <v>Fermentado</v>
          </cell>
          <cell r="G917">
            <v>0</v>
          </cell>
          <cell r="H917">
            <v>8301201</v>
          </cell>
          <cell r="I917" t="str">
            <v>220410</v>
          </cell>
          <cell r="J917" t="str">
            <v>22041</v>
          </cell>
          <cell r="K917" t="str">
            <v>2204</v>
          </cell>
          <cell r="L917" t="str">
            <v>220</v>
          </cell>
          <cell r="M917" t="str">
            <v>22</v>
          </cell>
          <cell r="N917">
            <v>4</v>
          </cell>
          <cell r="O917">
            <v>4</v>
          </cell>
        </row>
        <row r="918">
          <cell r="A918">
            <v>8301202</v>
          </cell>
          <cell r="B918" t="str">
            <v>SIDRA CHAMPANHE</v>
          </cell>
          <cell r="C918">
            <v>99</v>
          </cell>
          <cell r="D918" t="str">
            <v>nao se aplica</v>
          </cell>
          <cell r="E918">
            <v>88</v>
          </cell>
          <cell r="F918" t="str">
            <v>Fermentado</v>
          </cell>
          <cell r="G918">
            <v>0</v>
          </cell>
          <cell r="H918" t="e">
            <v>#N/A</v>
          </cell>
          <cell r="I918" t="str">
            <v>220600</v>
          </cell>
          <cell r="J918" t="str">
            <v>22060</v>
          </cell>
          <cell r="K918" t="str">
            <v>2206</v>
          </cell>
          <cell r="L918" t="str">
            <v>220</v>
          </cell>
          <cell r="M918" t="str">
            <v>22</v>
          </cell>
          <cell r="N918">
            <v>4</v>
          </cell>
          <cell r="O918">
            <v>4</v>
          </cell>
        </row>
        <row r="919">
          <cell r="A919">
            <v>8301203</v>
          </cell>
          <cell r="B919" t="str">
            <v>ESPUMANTE</v>
          </cell>
          <cell r="C919">
            <v>99</v>
          </cell>
          <cell r="D919" t="str">
            <v>nao se aplica</v>
          </cell>
          <cell r="E919">
            <v>88</v>
          </cell>
          <cell r="F919" t="str">
            <v>Fermentado</v>
          </cell>
          <cell r="G919">
            <v>0</v>
          </cell>
          <cell r="H919">
            <v>8301203</v>
          </cell>
          <cell r="I919" t="str">
            <v>220600</v>
          </cell>
          <cell r="J919" t="str">
            <v>22060</v>
          </cell>
          <cell r="K919" t="str">
            <v>2206</v>
          </cell>
          <cell r="L919" t="str">
            <v>220</v>
          </cell>
          <cell r="M919" t="str">
            <v>22</v>
          </cell>
          <cell r="N919">
            <v>4</v>
          </cell>
          <cell r="O919">
            <v>4</v>
          </cell>
        </row>
        <row r="920">
          <cell r="A920">
            <v>8301301</v>
          </cell>
          <cell r="B920" t="str">
            <v>VERMUTE</v>
          </cell>
          <cell r="C920">
            <v>99</v>
          </cell>
          <cell r="D920" t="str">
            <v>nao se aplica</v>
          </cell>
          <cell r="E920">
            <v>88</v>
          </cell>
          <cell r="F920" t="str">
            <v>Fermentado</v>
          </cell>
          <cell r="G920">
            <v>0</v>
          </cell>
          <cell r="H920">
            <v>8301301</v>
          </cell>
          <cell r="I920" t="str">
            <v>220600</v>
          </cell>
          <cell r="J920" t="str">
            <v>22060</v>
          </cell>
          <cell r="K920" t="str">
            <v>2206</v>
          </cell>
          <cell r="L920" t="str">
            <v>220</v>
          </cell>
          <cell r="M920" t="str">
            <v>22</v>
          </cell>
          <cell r="N920">
            <v>4</v>
          </cell>
          <cell r="O920">
            <v>4</v>
          </cell>
        </row>
        <row r="921">
          <cell r="A921">
            <v>8301501</v>
          </cell>
          <cell r="B921" t="str">
            <v>MARTINI</v>
          </cell>
          <cell r="C921">
            <v>99</v>
          </cell>
          <cell r="D921" t="str">
            <v>nao se aplica</v>
          </cell>
          <cell r="G921">
            <v>0</v>
          </cell>
          <cell r="H921">
            <v>0</v>
          </cell>
          <cell r="I921">
            <v>220600</v>
          </cell>
          <cell r="J921" t="str">
            <v>22060</v>
          </cell>
          <cell r="K921" t="str">
            <v>2206</v>
          </cell>
          <cell r="L921" t="str">
            <v>220</v>
          </cell>
          <cell r="M921" t="str">
            <v>22</v>
          </cell>
          <cell r="N921">
            <v>4</v>
          </cell>
          <cell r="O921">
            <v>4</v>
          </cell>
        </row>
        <row r="922">
          <cell r="A922">
            <v>8301601</v>
          </cell>
          <cell r="B922" t="str">
            <v>CONHAQUE</v>
          </cell>
          <cell r="C922">
            <v>99</v>
          </cell>
          <cell r="D922" t="str">
            <v>nao se aplica</v>
          </cell>
          <cell r="E922">
            <v>87</v>
          </cell>
          <cell r="F922" t="str">
            <v>Destilado</v>
          </cell>
          <cell r="G922">
            <v>0</v>
          </cell>
          <cell r="H922">
            <v>8301601</v>
          </cell>
          <cell r="I922" t="str">
            <v>220820</v>
          </cell>
          <cell r="J922" t="str">
            <v>22082</v>
          </cell>
          <cell r="K922" t="str">
            <v>2208</v>
          </cell>
          <cell r="L922" t="str">
            <v>220</v>
          </cell>
          <cell r="M922" t="str">
            <v>22</v>
          </cell>
          <cell r="N922">
            <v>4</v>
          </cell>
          <cell r="O922">
            <v>4</v>
          </cell>
        </row>
        <row r="923">
          <cell r="A923">
            <v>8301701</v>
          </cell>
          <cell r="B923" t="str">
            <v>DRINK DREHER</v>
          </cell>
          <cell r="C923">
            <v>99</v>
          </cell>
          <cell r="D923" t="str">
            <v>nao se aplica</v>
          </cell>
          <cell r="E923">
            <v>87</v>
          </cell>
          <cell r="F923" t="str">
            <v>Destilado</v>
          </cell>
          <cell r="G923">
            <v>0</v>
          </cell>
          <cell r="H923" t="e">
            <v>#N/A</v>
          </cell>
          <cell r="I923" t="str">
            <v>220840</v>
          </cell>
          <cell r="J923" t="str">
            <v>22084</v>
          </cell>
          <cell r="K923" t="str">
            <v>2208</v>
          </cell>
          <cell r="L923" t="str">
            <v>220</v>
          </cell>
          <cell r="M923" t="str">
            <v>22</v>
          </cell>
          <cell r="N923">
            <v>4</v>
          </cell>
          <cell r="O923">
            <v>4</v>
          </cell>
        </row>
        <row r="924">
          <cell r="A924">
            <v>8301901</v>
          </cell>
          <cell r="B924" t="str">
            <v>LICOR DE QUALQUER SABOR</v>
          </cell>
          <cell r="C924">
            <v>99</v>
          </cell>
          <cell r="D924" t="str">
            <v>nao se aplica</v>
          </cell>
          <cell r="E924">
            <v>87</v>
          </cell>
          <cell r="F924" t="str">
            <v>Destilado</v>
          </cell>
          <cell r="G924">
            <v>0</v>
          </cell>
          <cell r="H924" t="e">
            <v>#N/A</v>
          </cell>
          <cell r="I924" t="str">
            <v>220840</v>
          </cell>
          <cell r="J924" t="str">
            <v>22084</v>
          </cell>
          <cell r="K924" t="str">
            <v>2208</v>
          </cell>
          <cell r="L924" t="str">
            <v>220</v>
          </cell>
          <cell r="M924" t="str">
            <v>22</v>
          </cell>
          <cell r="N924">
            <v>4</v>
          </cell>
          <cell r="O924">
            <v>4</v>
          </cell>
        </row>
        <row r="925">
          <cell r="A925">
            <v>8302415</v>
          </cell>
          <cell r="B925" t="str">
            <v>VINHO</v>
          </cell>
          <cell r="C925">
            <v>99</v>
          </cell>
          <cell r="D925" t="str">
            <v>nao se aplica</v>
          </cell>
          <cell r="E925">
            <v>88</v>
          </cell>
          <cell r="F925" t="str">
            <v>Fermentado</v>
          </cell>
          <cell r="G925">
            <v>0</v>
          </cell>
          <cell r="H925">
            <v>8302415</v>
          </cell>
          <cell r="I925">
            <v>220429</v>
          </cell>
          <cell r="J925" t="str">
            <v>22042</v>
          </cell>
          <cell r="K925" t="str">
            <v>2204</v>
          </cell>
          <cell r="L925" t="str">
            <v>220</v>
          </cell>
          <cell r="M925" t="str">
            <v>22</v>
          </cell>
          <cell r="N925">
            <v>4</v>
          </cell>
          <cell r="O925">
            <v>4</v>
          </cell>
        </row>
        <row r="926">
          <cell r="A926">
            <v>8302416</v>
          </cell>
          <cell r="B926" t="str">
            <v>CATUABA</v>
          </cell>
          <cell r="C926">
            <v>99</v>
          </cell>
          <cell r="D926" t="str">
            <v>nao se aplica</v>
          </cell>
          <cell r="E926">
            <v>87</v>
          </cell>
          <cell r="F926" t="str">
            <v>Destilado</v>
          </cell>
          <cell r="G926">
            <v>0</v>
          </cell>
          <cell r="H926" t="e">
            <v>#N/A</v>
          </cell>
          <cell r="I926" t="str">
            <v>220840</v>
          </cell>
          <cell r="J926" t="str">
            <v>22084</v>
          </cell>
          <cell r="K926" t="str">
            <v>2208</v>
          </cell>
          <cell r="L926" t="str">
            <v>220</v>
          </cell>
          <cell r="M926" t="str">
            <v>22</v>
          </cell>
          <cell r="N926">
            <v>4</v>
          </cell>
          <cell r="O926">
            <v>4</v>
          </cell>
        </row>
        <row r="927">
          <cell r="A927">
            <v>8303301</v>
          </cell>
          <cell r="B927" t="str">
            <v>CERVEJA SEM ALCOOL</v>
          </cell>
          <cell r="C927">
            <v>99</v>
          </cell>
          <cell r="D927" t="str">
            <v>nao se aplica</v>
          </cell>
          <cell r="E927">
            <v>18</v>
          </cell>
          <cell r="F927" t="str">
            <v xml:space="preserve">Outras bebidas nao alcoolicas </v>
          </cell>
          <cell r="G927">
            <v>0</v>
          </cell>
          <cell r="H927">
            <v>8303301</v>
          </cell>
          <cell r="I927" t="str">
            <v>220300</v>
          </cell>
          <cell r="J927" t="str">
            <v>22030</v>
          </cell>
          <cell r="K927" t="str">
            <v>2203</v>
          </cell>
          <cell r="L927" t="str">
            <v>220</v>
          </cell>
          <cell r="M927" t="str">
            <v>22</v>
          </cell>
          <cell r="N927">
            <v>4</v>
          </cell>
          <cell r="O927">
            <v>4</v>
          </cell>
        </row>
        <row r="928">
          <cell r="A928">
            <v>8303501</v>
          </cell>
          <cell r="B928" t="str">
            <v>BEBIDA ALCOOLICA</v>
          </cell>
          <cell r="C928">
            <v>99</v>
          </cell>
          <cell r="D928" t="str">
            <v>nao se aplica</v>
          </cell>
          <cell r="E928">
            <v>87</v>
          </cell>
          <cell r="F928" t="str">
            <v>Destilado</v>
          </cell>
          <cell r="G928">
            <v>0</v>
          </cell>
          <cell r="H928" t="e">
            <v>#N/A</v>
          </cell>
          <cell r="I928" t="str">
            <v>220510</v>
          </cell>
          <cell r="J928" t="str">
            <v>22051</v>
          </cell>
          <cell r="K928" t="str">
            <v>2205</v>
          </cell>
          <cell r="L928" t="str">
            <v>220</v>
          </cell>
          <cell r="M928" t="str">
            <v>22</v>
          </cell>
          <cell r="N928">
            <v>4</v>
          </cell>
          <cell r="O928">
            <v>4</v>
          </cell>
        </row>
        <row r="929">
          <cell r="A929">
            <v>8305001</v>
          </cell>
          <cell r="B929" t="str">
            <v>COQUETEL DE FRUTAS SEM ALCOOL</v>
          </cell>
          <cell r="C929">
            <v>99</v>
          </cell>
          <cell r="D929" t="str">
            <v>nao se aplica</v>
          </cell>
          <cell r="E929">
            <v>18</v>
          </cell>
          <cell r="F929" t="str">
            <v xml:space="preserve">Outras bebidas nao alcoolicas </v>
          </cell>
          <cell r="G929">
            <v>0</v>
          </cell>
          <cell r="H929" t="e">
            <v>#N/A</v>
          </cell>
          <cell r="I929" t="str">
            <v>220840</v>
          </cell>
          <cell r="J929" t="str">
            <v>22084</v>
          </cell>
          <cell r="K929" t="str">
            <v>2208</v>
          </cell>
          <cell r="L929" t="str">
            <v>220</v>
          </cell>
          <cell r="M929" t="str">
            <v>22</v>
          </cell>
          <cell r="N929">
            <v>4</v>
          </cell>
          <cell r="O929">
            <v>4</v>
          </cell>
        </row>
        <row r="930">
          <cell r="A930">
            <v>8305201</v>
          </cell>
          <cell r="B930" t="str">
            <v>DRINK - MISTURA DE BEBIDAS</v>
          </cell>
          <cell r="C930">
            <v>99</v>
          </cell>
          <cell r="D930" t="str">
            <v>nao se aplica</v>
          </cell>
          <cell r="E930">
            <v>87</v>
          </cell>
          <cell r="F930" t="str">
            <v>Destilado</v>
          </cell>
          <cell r="G930">
            <v>0</v>
          </cell>
          <cell r="H930" t="e">
            <v>#N/A</v>
          </cell>
          <cell r="I930" t="str">
            <v>220840</v>
          </cell>
          <cell r="J930" t="str">
            <v>22084</v>
          </cell>
          <cell r="K930" t="str">
            <v>2208</v>
          </cell>
          <cell r="L930" t="str">
            <v>220</v>
          </cell>
          <cell r="M930" t="str">
            <v>22</v>
          </cell>
          <cell r="N930">
            <v>4</v>
          </cell>
          <cell r="O930">
            <v>4</v>
          </cell>
        </row>
        <row r="931">
          <cell r="A931">
            <v>8305501</v>
          </cell>
          <cell r="B931" t="str">
            <v>SAKE / SAQUE</v>
          </cell>
          <cell r="C931">
            <v>99</v>
          </cell>
          <cell r="D931" t="str">
            <v>nao se aplica</v>
          </cell>
          <cell r="E931">
            <v>88</v>
          </cell>
          <cell r="F931" t="str">
            <v>Fermentado</v>
          </cell>
          <cell r="G931">
            <v>0</v>
          </cell>
          <cell r="H931">
            <v>8305501</v>
          </cell>
          <cell r="I931" t="str">
            <v>220840</v>
          </cell>
          <cell r="J931" t="str">
            <v>22084</v>
          </cell>
          <cell r="K931" t="str">
            <v>2208</v>
          </cell>
          <cell r="L931" t="str">
            <v>220</v>
          </cell>
          <cell r="M931" t="str">
            <v>22</v>
          </cell>
          <cell r="N931">
            <v>4</v>
          </cell>
          <cell r="O931">
            <v>4</v>
          </cell>
        </row>
        <row r="932">
          <cell r="A932">
            <v>8305901</v>
          </cell>
          <cell r="B932" t="str">
            <v>VINHO, SEM ALCOOL</v>
          </cell>
          <cell r="C932">
            <v>99</v>
          </cell>
          <cell r="D932" t="str">
            <v>nao se aplica</v>
          </cell>
          <cell r="E932">
            <v>18</v>
          </cell>
          <cell r="F932" t="str">
            <v xml:space="preserve">Outras bebidas nao alcoolicas </v>
          </cell>
          <cell r="G932">
            <v>0</v>
          </cell>
          <cell r="H932" t="e">
            <v>#N/A</v>
          </cell>
          <cell r="I932">
            <v>220429</v>
          </cell>
          <cell r="J932" t="str">
            <v>22042</v>
          </cell>
          <cell r="K932" t="str">
            <v>2204</v>
          </cell>
          <cell r="L932" t="str">
            <v>220</v>
          </cell>
          <cell r="M932" t="str">
            <v>22</v>
          </cell>
          <cell r="N932">
            <v>4</v>
          </cell>
          <cell r="O932">
            <v>4</v>
          </cell>
        </row>
        <row r="933">
          <cell r="A933">
            <v>8400101</v>
          </cell>
          <cell r="B933" t="str">
            <v>AZEITE DE OLIVA</v>
          </cell>
          <cell r="C933">
            <v>99</v>
          </cell>
          <cell r="D933" t="str">
            <v>nao se aplica</v>
          </cell>
          <cell r="E933">
            <v>47</v>
          </cell>
          <cell r="F933" t="str">
            <v>Oleos/azeite</v>
          </cell>
          <cell r="G933">
            <v>0</v>
          </cell>
          <cell r="H933">
            <v>8400101</v>
          </cell>
          <cell r="I933" t="str">
            <v>150990</v>
          </cell>
          <cell r="J933" t="str">
            <v>15099</v>
          </cell>
          <cell r="K933" t="str">
            <v>1509</v>
          </cell>
          <cell r="L933" t="str">
            <v>150</v>
          </cell>
          <cell r="M933" t="str">
            <v>15</v>
          </cell>
          <cell r="N933">
            <v>3</v>
          </cell>
          <cell r="O933">
            <v>2</v>
          </cell>
        </row>
        <row r="934">
          <cell r="A934">
            <v>8400301</v>
          </cell>
          <cell r="B934" t="str">
            <v>OLEO DE SOJA</v>
          </cell>
          <cell r="C934">
            <v>99</v>
          </cell>
          <cell r="D934" t="str">
            <v>nao se aplica</v>
          </cell>
          <cell r="E934">
            <v>47</v>
          </cell>
          <cell r="F934" t="str">
            <v>Oleos/azeite</v>
          </cell>
          <cell r="G934">
            <v>0</v>
          </cell>
          <cell r="H934">
            <v>8400301</v>
          </cell>
          <cell r="I934" t="str">
            <v>150790</v>
          </cell>
          <cell r="J934" t="str">
            <v>15079</v>
          </cell>
          <cell r="K934" t="str">
            <v>1507</v>
          </cell>
          <cell r="L934" t="str">
            <v>150</v>
          </cell>
          <cell r="M934" t="str">
            <v>15</v>
          </cell>
          <cell r="N934">
            <v>3</v>
          </cell>
          <cell r="O934">
            <v>2</v>
          </cell>
        </row>
        <row r="935">
          <cell r="A935">
            <v>8400401</v>
          </cell>
          <cell r="B935" t="str">
            <v>OLEO, MILHO</v>
          </cell>
          <cell r="C935">
            <v>99</v>
          </cell>
          <cell r="D935" t="str">
            <v>nao se aplica</v>
          </cell>
          <cell r="E935">
            <v>47</v>
          </cell>
          <cell r="F935" t="str">
            <v>Oleos/azeite</v>
          </cell>
          <cell r="G935">
            <v>0</v>
          </cell>
          <cell r="H935">
            <v>8400401</v>
          </cell>
          <cell r="I935" t="str">
            <v>150790</v>
          </cell>
          <cell r="J935" t="str">
            <v>15079</v>
          </cell>
          <cell r="K935" t="str">
            <v>1507</v>
          </cell>
          <cell r="L935" t="str">
            <v>150</v>
          </cell>
          <cell r="M935" t="str">
            <v>15</v>
          </cell>
          <cell r="N935">
            <v>3</v>
          </cell>
          <cell r="O935">
            <v>2</v>
          </cell>
        </row>
        <row r="936">
          <cell r="A936">
            <v>8401801</v>
          </cell>
          <cell r="B936" t="str">
            <v>BANHA SUINA</v>
          </cell>
          <cell r="C936">
            <v>99</v>
          </cell>
          <cell r="D936" t="str">
            <v>nao se aplica</v>
          </cell>
          <cell r="G936">
            <v>0</v>
          </cell>
          <cell r="H936">
            <v>0</v>
          </cell>
          <cell r="I936">
            <v>150110</v>
          </cell>
          <cell r="J936" t="str">
            <v>15011</v>
          </cell>
          <cell r="K936" t="str">
            <v>1501</v>
          </cell>
          <cell r="L936" t="str">
            <v>150</v>
          </cell>
          <cell r="M936" t="str">
            <v>15</v>
          </cell>
          <cell r="N936">
            <v>1</v>
          </cell>
          <cell r="O936">
            <v>2</v>
          </cell>
        </row>
        <row r="937">
          <cell r="A937">
            <v>8403201</v>
          </cell>
          <cell r="B937" t="str">
            <v>OLEO NÃO ESPECIFICADO</v>
          </cell>
          <cell r="C937">
            <v>99</v>
          </cell>
          <cell r="D937" t="str">
            <v>nao se aplica</v>
          </cell>
          <cell r="G937">
            <v>0</v>
          </cell>
          <cell r="H937">
            <v>0</v>
          </cell>
          <cell r="I937">
            <v>150790</v>
          </cell>
          <cell r="J937" t="str">
            <v>15079</v>
          </cell>
          <cell r="K937" t="str">
            <v>1507</v>
          </cell>
          <cell r="L937" t="str">
            <v>150</v>
          </cell>
          <cell r="M937" t="str">
            <v>15</v>
          </cell>
          <cell r="N937">
            <v>3</v>
          </cell>
          <cell r="O937">
            <v>2</v>
          </cell>
        </row>
        <row r="938">
          <cell r="A938">
            <v>8403501</v>
          </cell>
          <cell r="B938" t="str">
            <v>OLEO DE DENDE</v>
          </cell>
          <cell r="C938"/>
          <cell r="E938"/>
          <cell r="G938">
            <v>0</v>
          </cell>
          <cell r="H938">
            <v>8403501</v>
          </cell>
          <cell r="I938" t="str">
            <v>151190</v>
          </cell>
          <cell r="J938" t="str">
            <v>15119</v>
          </cell>
          <cell r="K938" t="str">
            <v>1511</v>
          </cell>
          <cell r="L938" t="str">
            <v>151</v>
          </cell>
          <cell r="M938" t="str">
            <v>15</v>
          </cell>
          <cell r="N938">
            <v>3</v>
          </cell>
          <cell r="O938">
            <v>2</v>
          </cell>
        </row>
        <row r="939">
          <cell r="A939">
            <v>8403601</v>
          </cell>
          <cell r="B939" t="str">
            <v>OLEO, COCO</v>
          </cell>
          <cell r="C939">
            <v>99</v>
          </cell>
          <cell r="D939" t="str">
            <v>nao se aplica</v>
          </cell>
          <cell r="E939">
            <v>47</v>
          </cell>
          <cell r="F939" t="str">
            <v>Oleos/azeite</v>
          </cell>
          <cell r="G939">
            <v>0</v>
          </cell>
          <cell r="H939">
            <v>8403601</v>
          </cell>
          <cell r="I939" t="str">
            <v>150790</v>
          </cell>
          <cell r="J939" t="str">
            <v>15079</v>
          </cell>
          <cell r="K939" t="str">
            <v>1507</v>
          </cell>
          <cell r="L939" t="str">
            <v>150</v>
          </cell>
          <cell r="M939" t="str">
            <v>15</v>
          </cell>
          <cell r="N939">
            <v>3</v>
          </cell>
          <cell r="O939">
            <v>2</v>
          </cell>
        </row>
        <row r="940">
          <cell r="A940">
            <v>8500201</v>
          </cell>
          <cell r="B940" t="str">
            <v>SALGADINHO</v>
          </cell>
          <cell r="C940">
            <v>99</v>
          </cell>
          <cell r="D940" t="str">
            <v>nao se aplica</v>
          </cell>
          <cell r="E940">
            <v>13</v>
          </cell>
          <cell r="F940" t="str">
            <v>Salgadinho</v>
          </cell>
          <cell r="G940">
            <v>0</v>
          </cell>
          <cell r="H940" t="e">
            <v>#N/A</v>
          </cell>
          <cell r="I940">
            <v>190410</v>
          </cell>
          <cell r="J940" t="str">
            <v>19041</v>
          </cell>
          <cell r="K940" t="str">
            <v>1904</v>
          </cell>
          <cell r="L940" t="str">
            <v>190</v>
          </cell>
          <cell r="M940" t="str">
            <v>19</v>
          </cell>
          <cell r="N940">
            <v>4</v>
          </cell>
          <cell r="O940">
            <v>4</v>
          </cell>
        </row>
        <row r="941">
          <cell r="A941">
            <v>8500202</v>
          </cell>
          <cell r="B941" t="str">
            <v>PASTEL (QUEIJO, CARNE, PALMITO, ETC)</v>
          </cell>
          <cell r="C941">
            <v>99</v>
          </cell>
          <cell r="D941" t="str">
            <v>nao se aplica</v>
          </cell>
          <cell r="E941"/>
          <cell r="F941" t="str">
            <v/>
          </cell>
          <cell r="G941">
            <v>0</v>
          </cell>
          <cell r="H941">
            <v>8500202</v>
          </cell>
          <cell r="I941" t="str">
            <v>190220</v>
          </cell>
          <cell r="J941" t="str">
            <v>19022</v>
          </cell>
          <cell r="K941" t="str">
            <v>1902</v>
          </cell>
          <cell r="L941" t="str">
            <v>190</v>
          </cell>
          <cell r="M941" t="str">
            <v>19</v>
          </cell>
          <cell r="N941">
            <v>4</v>
          </cell>
          <cell r="O941">
            <v>4</v>
          </cell>
        </row>
        <row r="942">
          <cell r="A942">
            <v>8500203</v>
          </cell>
          <cell r="B942" t="str">
            <v>CROQUETE</v>
          </cell>
          <cell r="C942">
            <v>99</v>
          </cell>
          <cell r="D942" t="str">
            <v>nao se aplica</v>
          </cell>
          <cell r="E942">
            <v>12</v>
          </cell>
          <cell r="F942" t="str">
            <v>Salgados</v>
          </cell>
          <cell r="G942">
            <v>0</v>
          </cell>
          <cell r="H942">
            <v>8500203</v>
          </cell>
          <cell r="I942" t="str">
            <v>190220</v>
          </cell>
          <cell r="J942" t="str">
            <v>19022</v>
          </cell>
          <cell r="K942" t="str">
            <v>1902</v>
          </cell>
          <cell r="L942" t="str">
            <v>190</v>
          </cell>
          <cell r="M942" t="str">
            <v>19</v>
          </cell>
          <cell r="N942">
            <v>4</v>
          </cell>
          <cell r="O942">
            <v>4</v>
          </cell>
        </row>
        <row r="943">
          <cell r="A943">
            <v>8500205</v>
          </cell>
          <cell r="B943" t="str">
            <v>COXINHA</v>
          </cell>
          <cell r="C943">
            <v>99</v>
          </cell>
          <cell r="D943" t="str">
            <v>nao se aplica</v>
          </cell>
          <cell r="E943">
            <v>12</v>
          </cell>
          <cell r="F943" t="str">
            <v>Salgados</v>
          </cell>
          <cell r="G943">
            <v>0</v>
          </cell>
          <cell r="H943">
            <v>8500205</v>
          </cell>
          <cell r="I943" t="str">
            <v>190220</v>
          </cell>
          <cell r="J943" t="str">
            <v>19022</v>
          </cell>
          <cell r="K943" t="str">
            <v>1902</v>
          </cell>
          <cell r="L943" t="str">
            <v>190</v>
          </cell>
          <cell r="M943" t="str">
            <v>19</v>
          </cell>
          <cell r="N943">
            <v>4</v>
          </cell>
          <cell r="O943">
            <v>4</v>
          </cell>
        </row>
        <row r="944">
          <cell r="A944">
            <v>8500303</v>
          </cell>
          <cell r="B944" t="str">
            <v>HAMBURGUER (SANDUICHE)</v>
          </cell>
          <cell r="C944">
            <v>99</v>
          </cell>
          <cell r="D944" t="str">
            <v>nao se aplica</v>
          </cell>
          <cell r="G944">
            <v>0</v>
          </cell>
          <cell r="H944">
            <v>0</v>
          </cell>
          <cell r="I944">
            <v>160290</v>
          </cell>
          <cell r="J944" t="str">
            <v>16029</v>
          </cell>
          <cell r="K944" t="str">
            <v>1602</v>
          </cell>
          <cell r="L944" t="str">
            <v>160</v>
          </cell>
          <cell r="M944" t="str">
            <v>16</v>
          </cell>
          <cell r="N944">
            <v>4</v>
          </cell>
          <cell r="O944">
            <v>4</v>
          </cell>
        </row>
        <row r="945">
          <cell r="A945">
            <v>8500304</v>
          </cell>
          <cell r="B945" t="str">
            <v>CHEESBURGUER</v>
          </cell>
          <cell r="C945">
            <v>99</v>
          </cell>
          <cell r="D945" t="str">
            <v>nao se aplica</v>
          </cell>
          <cell r="E945">
            <v>3</v>
          </cell>
          <cell r="F945" t="str">
            <v>Fast food</v>
          </cell>
          <cell r="G945">
            <v>0</v>
          </cell>
          <cell r="H945" t="e">
            <v>#N/A</v>
          </cell>
          <cell r="I945" t="str">
            <v>160290</v>
          </cell>
          <cell r="J945" t="str">
            <v>16029</v>
          </cell>
          <cell r="K945" t="str">
            <v>1602</v>
          </cell>
          <cell r="L945" t="str">
            <v>160</v>
          </cell>
          <cell r="M945" t="str">
            <v>16</v>
          </cell>
          <cell r="N945">
            <v>4</v>
          </cell>
          <cell r="O945">
            <v>4</v>
          </cell>
        </row>
        <row r="946">
          <cell r="A946">
            <v>8500305</v>
          </cell>
          <cell r="B946" t="str">
            <v>EGGSBURGUER</v>
          </cell>
          <cell r="C946">
            <v>99</v>
          </cell>
          <cell r="D946" t="str">
            <v>nao se aplica</v>
          </cell>
          <cell r="E946">
            <v>3</v>
          </cell>
          <cell r="F946" t="str">
            <v>Fast food</v>
          </cell>
          <cell r="G946">
            <v>0</v>
          </cell>
          <cell r="H946" t="e">
            <v>#N/A</v>
          </cell>
          <cell r="I946" t="str">
            <v>160290</v>
          </cell>
          <cell r="J946" t="str">
            <v>16029</v>
          </cell>
          <cell r="K946" t="str">
            <v>1602</v>
          </cell>
          <cell r="L946" t="str">
            <v>160</v>
          </cell>
          <cell r="M946" t="str">
            <v>16</v>
          </cell>
          <cell r="N946">
            <v>4</v>
          </cell>
          <cell r="O946">
            <v>4</v>
          </cell>
        </row>
        <row r="947">
          <cell r="A947">
            <v>8500307</v>
          </cell>
          <cell r="B947" t="str">
            <v>BAURU</v>
          </cell>
          <cell r="C947">
            <v>99</v>
          </cell>
          <cell r="D947" t="str">
            <v>nao se aplica</v>
          </cell>
          <cell r="E947">
            <v>3</v>
          </cell>
          <cell r="F947" t="str">
            <v>Fast food</v>
          </cell>
          <cell r="G947">
            <v>0</v>
          </cell>
          <cell r="H947" t="e">
            <v>#N/A</v>
          </cell>
          <cell r="I947" t="str">
            <v>160290</v>
          </cell>
          <cell r="J947" t="str">
            <v>16029</v>
          </cell>
          <cell r="K947" t="str">
            <v>1602</v>
          </cell>
          <cell r="L947" t="str">
            <v>160</v>
          </cell>
          <cell r="M947" t="str">
            <v>16</v>
          </cell>
          <cell r="N947">
            <v>4</v>
          </cell>
          <cell r="O947">
            <v>4</v>
          </cell>
        </row>
        <row r="948">
          <cell r="A948">
            <v>8500308</v>
          </cell>
          <cell r="B948" t="str">
            <v>AMERICANO</v>
          </cell>
          <cell r="C948">
            <v>99</v>
          </cell>
          <cell r="D948" t="str">
            <v>nao se aplica</v>
          </cell>
          <cell r="E948">
            <v>3</v>
          </cell>
          <cell r="F948" t="str">
            <v>Fast food</v>
          </cell>
          <cell r="G948">
            <v>0</v>
          </cell>
          <cell r="H948" t="e">
            <v>#N/A</v>
          </cell>
          <cell r="I948" t="str">
            <v>160290</v>
          </cell>
          <cell r="J948" t="str">
            <v>16029</v>
          </cell>
          <cell r="K948" t="str">
            <v>1602</v>
          </cell>
          <cell r="L948" t="str">
            <v>160</v>
          </cell>
          <cell r="M948" t="str">
            <v>16</v>
          </cell>
          <cell r="N948">
            <v>4</v>
          </cell>
          <cell r="O948">
            <v>4</v>
          </cell>
        </row>
        <row r="949">
          <cell r="A949">
            <v>8500321</v>
          </cell>
          <cell r="B949" t="str">
            <v>CHEESE EGG</v>
          </cell>
          <cell r="C949">
            <v>99</v>
          </cell>
          <cell r="D949" t="str">
            <v>nao se aplica</v>
          </cell>
          <cell r="E949">
            <v>3</v>
          </cell>
          <cell r="F949" t="str">
            <v>Fast food</v>
          </cell>
          <cell r="G949">
            <v>0</v>
          </cell>
          <cell r="H949" t="e">
            <v>#N/A</v>
          </cell>
          <cell r="I949" t="str">
            <v>160290</v>
          </cell>
          <cell r="J949" t="str">
            <v>16029</v>
          </cell>
          <cell r="K949" t="str">
            <v>1602</v>
          </cell>
          <cell r="L949" t="str">
            <v>160</v>
          </cell>
          <cell r="M949" t="str">
            <v>16</v>
          </cell>
          <cell r="N949">
            <v>4</v>
          </cell>
          <cell r="O949">
            <v>4</v>
          </cell>
        </row>
        <row r="950">
          <cell r="A950">
            <v>8500322</v>
          </cell>
          <cell r="B950" t="str">
            <v>CHEESE TUDO</v>
          </cell>
          <cell r="C950">
            <v>99</v>
          </cell>
          <cell r="D950" t="str">
            <v>nao se aplica</v>
          </cell>
          <cell r="E950">
            <v>3</v>
          </cell>
          <cell r="F950" t="str">
            <v>Fast food</v>
          </cell>
          <cell r="G950">
            <v>0</v>
          </cell>
          <cell r="H950" t="e">
            <v>#N/A</v>
          </cell>
          <cell r="I950" t="str">
            <v>160290</v>
          </cell>
          <cell r="J950" t="str">
            <v>16029</v>
          </cell>
          <cell r="K950" t="str">
            <v>1602</v>
          </cell>
          <cell r="L950" t="str">
            <v>160</v>
          </cell>
          <cell r="M950" t="str">
            <v>16</v>
          </cell>
          <cell r="N950">
            <v>4</v>
          </cell>
          <cell r="O950">
            <v>4</v>
          </cell>
        </row>
        <row r="951">
          <cell r="A951">
            <v>8500357</v>
          </cell>
          <cell r="B951" t="str">
            <v>WRAP FRANGO OU GALINHA</v>
          </cell>
          <cell r="C951">
            <v>99</v>
          </cell>
          <cell r="D951" t="str">
            <v>nao se aplica</v>
          </cell>
          <cell r="E951">
            <v>3</v>
          </cell>
          <cell r="F951" t="str">
            <v>Fast food</v>
          </cell>
          <cell r="G951">
            <v>0</v>
          </cell>
          <cell r="H951" t="e">
            <v>#N/A</v>
          </cell>
          <cell r="I951" t="str">
            <v>160290</v>
          </cell>
          <cell r="J951" t="str">
            <v>16029</v>
          </cell>
          <cell r="K951" t="str">
            <v>1602</v>
          </cell>
          <cell r="L951" t="str">
            <v>160</v>
          </cell>
          <cell r="M951" t="str">
            <v>16</v>
          </cell>
          <cell r="N951">
            <v>4</v>
          </cell>
          <cell r="O951">
            <v>4</v>
          </cell>
        </row>
        <row r="952">
          <cell r="A952">
            <v>8500358</v>
          </cell>
          <cell r="B952" t="str">
            <v>WRAP, CARNE</v>
          </cell>
          <cell r="C952">
            <v>99</v>
          </cell>
          <cell r="D952" t="str">
            <v>nao se aplica</v>
          </cell>
          <cell r="E952">
            <v>3</v>
          </cell>
          <cell r="F952" t="str">
            <v>Fast food</v>
          </cell>
          <cell r="G952">
            <v>0</v>
          </cell>
          <cell r="H952" t="e">
            <v>#N/A</v>
          </cell>
          <cell r="I952" t="str">
            <v>160290</v>
          </cell>
          <cell r="J952" t="str">
            <v>16029</v>
          </cell>
          <cell r="K952" t="str">
            <v>1602</v>
          </cell>
          <cell r="L952" t="str">
            <v>160</v>
          </cell>
          <cell r="M952" t="str">
            <v>16</v>
          </cell>
          <cell r="N952">
            <v>4</v>
          </cell>
          <cell r="O952">
            <v>4</v>
          </cell>
        </row>
        <row r="953">
          <cell r="A953">
            <v>8500401</v>
          </cell>
          <cell r="B953" t="str">
            <v>SUCO</v>
          </cell>
          <cell r="C953">
            <v>99</v>
          </cell>
          <cell r="D953" t="str">
            <v>nao se aplica</v>
          </cell>
          <cell r="E953">
            <v>43</v>
          </cell>
          <cell r="F953" t="str">
            <v xml:space="preserve">Suco natural </v>
          </cell>
          <cell r="G953">
            <v>0</v>
          </cell>
          <cell r="H953">
            <v>8500401</v>
          </cell>
          <cell r="I953" t="str">
            <v>200960</v>
          </cell>
          <cell r="J953" t="str">
            <v>20096</v>
          </cell>
          <cell r="K953" t="str">
            <v>2009</v>
          </cell>
          <cell r="L953" t="str">
            <v>200</v>
          </cell>
          <cell r="M953" t="str">
            <v>20</v>
          </cell>
          <cell r="N953">
            <v>4</v>
          </cell>
          <cell r="O953">
            <v>4</v>
          </cell>
        </row>
        <row r="954">
          <cell r="A954">
            <v>8500402</v>
          </cell>
          <cell r="B954" t="str">
            <v>SUCO DE ABACAXI</v>
          </cell>
          <cell r="C954">
            <v>99</v>
          </cell>
          <cell r="D954" t="str">
            <v>nao se aplica</v>
          </cell>
          <cell r="G954">
            <v>0</v>
          </cell>
          <cell r="H954">
            <v>0</v>
          </cell>
          <cell r="I954">
            <v>200940</v>
          </cell>
          <cell r="J954" t="str">
            <v>20094</v>
          </cell>
          <cell r="K954" t="str">
            <v>2009</v>
          </cell>
          <cell r="L954" t="str">
            <v>200</v>
          </cell>
          <cell r="M954" t="str">
            <v>20</v>
          </cell>
          <cell r="N954">
            <v>4</v>
          </cell>
          <cell r="O954">
            <v>4</v>
          </cell>
        </row>
        <row r="955">
          <cell r="A955">
            <v>8500406</v>
          </cell>
          <cell r="B955" t="str">
            <v>SUCO DE GOIABA</v>
          </cell>
          <cell r="C955">
            <v>99</v>
          </cell>
          <cell r="D955" t="str">
            <v>nao se aplica</v>
          </cell>
          <cell r="E955">
            <v>4</v>
          </cell>
          <cell r="F955" t="str">
            <v>Suco artificial</v>
          </cell>
          <cell r="G955">
            <v>0</v>
          </cell>
          <cell r="H955" t="e">
            <v>#N/A</v>
          </cell>
          <cell r="I955" t="str">
            <v>220290</v>
          </cell>
          <cell r="J955" t="str">
            <v>22029</v>
          </cell>
          <cell r="K955" t="str">
            <v>2202</v>
          </cell>
          <cell r="L955" t="str">
            <v>220</v>
          </cell>
          <cell r="M955" t="str">
            <v>22</v>
          </cell>
          <cell r="N955">
            <v>4</v>
          </cell>
          <cell r="O955">
            <v>4</v>
          </cell>
        </row>
        <row r="956">
          <cell r="A956">
            <v>8500407</v>
          </cell>
          <cell r="B956" t="str">
            <v>SUCO DE LARANJA</v>
          </cell>
          <cell r="C956">
            <v>99</v>
          </cell>
          <cell r="D956" t="str">
            <v>nao se aplica</v>
          </cell>
          <cell r="E956">
            <v>43</v>
          </cell>
          <cell r="F956" t="str">
            <v xml:space="preserve">Suco natural </v>
          </cell>
          <cell r="G956">
            <v>0</v>
          </cell>
          <cell r="H956" t="e">
            <v>#N/A</v>
          </cell>
          <cell r="I956" t="str">
            <v>200919</v>
          </cell>
          <cell r="J956" t="str">
            <v>20091</v>
          </cell>
          <cell r="K956" t="str">
            <v>2009</v>
          </cell>
          <cell r="L956" t="str">
            <v>200</v>
          </cell>
          <cell r="M956" t="str">
            <v>20</v>
          </cell>
          <cell r="N956">
            <v>4</v>
          </cell>
          <cell r="O956">
            <v>4</v>
          </cell>
        </row>
        <row r="957">
          <cell r="A957">
            <v>8500413</v>
          </cell>
          <cell r="B957" t="str">
            <v>SUCO DE MANGA</v>
          </cell>
          <cell r="C957">
            <v>99</v>
          </cell>
          <cell r="D957" t="str">
            <v>nao se aplica</v>
          </cell>
          <cell r="E957">
            <v>4</v>
          </cell>
          <cell r="F957" t="str">
            <v>Suco artificial</v>
          </cell>
          <cell r="G957">
            <v>0</v>
          </cell>
          <cell r="H957" t="e">
            <v>#N/A</v>
          </cell>
          <cell r="I957" t="str">
            <v>220290</v>
          </cell>
          <cell r="J957" t="str">
            <v>22029</v>
          </cell>
          <cell r="K957" t="str">
            <v>2202</v>
          </cell>
          <cell r="L957" t="str">
            <v>220</v>
          </cell>
          <cell r="M957" t="str">
            <v>22</v>
          </cell>
          <cell r="N957">
            <v>4</v>
          </cell>
          <cell r="O957">
            <v>4</v>
          </cell>
        </row>
        <row r="958">
          <cell r="A958">
            <v>8500414</v>
          </cell>
          <cell r="B958" t="str">
            <v>SUCO DE MARACUJA</v>
          </cell>
          <cell r="C958">
            <v>99</v>
          </cell>
          <cell r="D958" t="str">
            <v>nao se aplica</v>
          </cell>
          <cell r="E958"/>
          <cell r="F958" t="str">
            <v/>
          </cell>
          <cell r="G958">
            <v>0</v>
          </cell>
          <cell r="H958">
            <v>8500414</v>
          </cell>
          <cell r="I958" t="str">
            <v>200990</v>
          </cell>
          <cell r="J958" t="str">
            <v>20099</v>
          </cell>
          <cell r="K958" t="str">
            <v>2009</v>
          </cell>
          <cell r="L958" t="str">
            <v>200</v>
          </cell>
          <cell r="M958" t="str">
            <v>20</v>
          </cell>
          <cell r="N958">
            <v>4</v>
          </cell>
          <cell r="O958">
            <v>4</v>
          </cell>
        </row>
        <row r="959">
          <cell r="A959">
            <v>8500417</v>
          </cell>
          <cell r="B959" t="str">
            <v>SUCO DE PESSEGO</v>
          </cell>
          <cell r="C959">
            <v>99</v>
          </cell>
          <cell r="D959" t="str">
            <v>nao se aplica</v>
          </cell>
          <cell r="E959">
            <v>4</v>
          </cell>
          <cell r="F959" t="str">
            <v>Suco artificial</v>
          </cell>
          <cell r="G959">
            <v>0</v>
          </cell>
          <cell r="H959">
            <v>8500417</v>
          </cell>
          <cell r="I959" t="str">
            <v>220290</v>
          </cell>
          <cell r="J959" t="str">
            <v>22029</v>
          </cell>
          <cell r="K959" t="str">
            <v>2202</v>
          </cell>
          <cell r="L959" t="str">
            <v>220</v>
          </cell>
          <cell r="M959" t="str">
            <v>22</v>
          </cell>
          <cell r="N959">
            <v>4</v>
          </cell>
          <cell r="O959">
            <v>4</v>
          </cell>
        </row>
        <row r="960">
          <cell r="A960">
            <v>8500418</v>
          </cell>
          <cell r="B960" t="str">
            <v>SUCO DE PESSEGO EM CALDA</v>
          </cell>
          <cell r="C960">
            <v>99</v>
          </cell>
          <cell r="D960" t="str">
            <v>nao se aplica</v>
          </cell>
          <cell r="E960">
            <v>4</v>
          </cell>
          <cell r="F960" t="str">
            <v>Suco artificial</v>
          </cell>
          <cell r="G960">
            <v>0</v>
          </cell>
          <cell r="H960" t="e">
            <v>#N/A</v>
          </cell>
          <cell r="I960" t="str">
            <v>220290</v>
          </cell>
          <cell r="J960" t="str">
            <v>22029</v>
          </cell>
          <cell r="K960" t="str">
            <v>2202</v>
          </cell>
          <cell r="L960" t="str">
            <v>220</v>
          </cell>
          <cell r="M960" t="str">
            <v>22</v>
          </cell>
          <cell r="N960">
            <v>4</v>
          </cell>
          <cell r="O960">
            <v>4</v>
          </cell>
        </row>
        <row r="961">
          <cell r="A961">
            <v>8500601</v>
          </cell>
          <cell r="B961" t="str">
            <v>REFRESCO</v>
          </cell>
          <cell r="C961">
            <v>99</v>
          </cell>
          <cell r="D961" t="str">
            <v>nao se aplica</v>
          </cell>
          <cell r="E961">
            <v>4</v>
          </cell>
          <cell r="F961" t="str">
            <v>Suco artificial</v>
          </cell>
          <cell r="G961">
            <v>0</v>
          </cell>
          <cell r="H961" t="e">
            <v>#N/A</v>
          </cell>
          <cell r="I961" t="str">
            <v>220290</v>
          </cell>
          <cell r="J961" t="str">
            <v>22029</v>
          </cell>
          <cell r="K961" t="str">
            <v>2202</v>
          </cell>
          <cell r="L961" t="str">
            <v>220</v>
          </cell>
          <cell r="M961" t="str">
            <v>22</v>
          </cell>
          <cell r="N961">
            <v>4</v>
          </cell>
          <cell r="O961">
            <v>4</v>
          </cell>
        </row>
        <row r="962">
          <cell r="A962">
            <v>8500602</v>
          </cell>
          <cell r="B962" t="str">
            <v>REFRESCO DE CAJU</v>
          </cell>
          <cell r="C962">
            <v>99</v>
          </cell>
          <cell r="D962" t="str">
            <v>nao se aplica</v>
          </cell>
          <cell r="E962">
            <v>4</v>
          </cell>
          <cell r="F962" t="str">
            <v>Suco artificial</v>
          </cell>
          <cell r="G962">
            <v>0</v>
          </cell>
          <cell r="H962" t="e">
            <v>#N/A</v>
          </cell>
          <cell r="I962" t="str">
            <v>220290</v>
          </cell>
          <cell r="J962" t="str">
            <v>22029</v>
          </cell>
          <cell r="K962" t="str">
            <v>2202</v>
          </cell>
          <cell r="L962" t="str">
            <v>220</v>
          </cell>
          <cell r="M962" t="str">
            <v>22</v>
          </cell>
          <cell r="N962">
            <v>4</v>
          </cell>
          <cell r="O962">
            <v>4</v>
          </cell>
        </row>
        <row r="963">
          <cell r="A963">
            <v>8500603</v>
          </cell>
          <cell r="B963" t="str">
            <v>REFRESCO DE GROSELHA</v>
          </cell>
          <cell r="C963">
            <v>99</v>
          </cell>
          <cell r="D963" t="str">
            <v>nao se aplica</v>
          </cell>
          <cell r="E963">
            <v>4</v>
          </cell>
          <cell r="F963" t="str">
            <v>Suco artificial</v>
          </cell>
          <cell r="G963">
            <v>0</v>
          </cell>
          <cell r="H963">
            <v>8500603</v>
          </cell>
          <cell r="I963" t="str">
            <v>220290</v>
          </cell>
          <cell r="J963" t="str">
            <v>22029</v>
          </cell>
          <cell r="K963" t="str">
            <v>2202</v>
          </cell>
          <cell r="L963" t="str">
            <v>220</v>
          </cell>
          <cell r="M963" t="str">
            <v>22</v>
          </cell>
          <cell r="N963">
            <v>4</v>
          </cell>
          <cell r="O963">
            <v>4</v>
          </cell>
        </row>
        <row r="964">
          <cell r="A964">
            <v>8500604</v>
          </cell>
          <cell r="B964" t="str">
            <v>REFRESCO DE LARANJA</v>
          </cell>
          <cell r="C964">
            <v>99</v>
          </cell>
          <cell r="D964" t="str">
            <v>nao se aplica</v>
          </cell>
          <cell r="E964">
            <v>4</v>
          </cell>
          <cell r="F964" t="str">
            <v>Suco artificial</v>
          </cell>
          <cell r="G964">
            <v>0</v>
          </cell>
          <cell r="H964" t="e">
            <v>#N/A</v>
          </cell>
          <cell r="I964" t="str">
            <v>220290</v>
          </cell>
          <cell r="J964" t="str">
            <v>22029</v>
          </cell>
          <cell r="K964" t="str">
            <v>2202</v>
          </cell>
          <cell r="L964" t="str">
            <v>220</v>
          </cell>
          <cell r="M964" t="str">
            <v>22</v>
          </cell>
          <cell r="N964">
            <v>4</v>
          </cell>
          <cell r="O964">
            <v>4</v>
          </cell>
        </row>
        <row r="965">
          <cell r="A965">
            <v>8500605</v>
          </cell>
          <cell r="B965" t="str">
            <v>REFRESCO DE MARACUJA</v>
          </cell>
          <cell r="C965">
            <v>99</v>
          </cell>
          <cell r="D965" t="str">
            <v>nao se aplica</v>
          </cell>
          <cell r="E965">
            <v>4</v>
          </cell>
          <cell r="F965" t="str">
            <v>Suco artificial</v>
          </cell>
          <cell r="G965">
            <v>0</v>
          </cell>
          <cell r="H965" t="e">
            <v>#N/A</v>
          </cell>
          <cell r="I965" t="str">
            <v>220290</v>
          </cell>
          <cell r="J965" t="str">
            <v>22029</v>
          </cell>
          <cell r="K965" t="str">
            <v>2202</v>
          </cell>
          <cell r="L965" t="str">
            <v>220</v>
          </cell>
          <cell r="M965" t="str">
            <v>22</v>
          </cell>
          <cell r="N965">
            <v>4</v>
          </cell>
          <cell r="O965">
            <v>4</v>
          </cell>
        </row>
        <row r="966">
          <cell r="A966">
            <v>8500606</v>
          </cell>
          <cell r="B966" t="str">
            <v>REFRESCO DE LIMAO</v>
          </cell>
          <cell r="C966">
            <v>99</v>
          </cell>
          <cell r="D966" t="str">
            <v>nao se aplica</v>
          </cell>
          <cell r="E966">
            <v>4</v>
          </cell>
          <cell r="F966" t="str">
            <v>Suco artificial</v>
          </cell>
          <cell r="G966">
            <v>0</v>
          </cell>
          <cell r="H966" t="e">
            <v>#N/A</v>
          </cell>
          <cell r="I966" t="str">
            <v>220290</v>
          </cell>
          <cell r="J966" t="str">
            <v>22029</v>
          </cell>
          <cell r="K966" t="str">
            <v>2202</v>
          </cell>
          <cell r="L966" t="str">
            <v>220</v>
          </cell>
          <cell r="M966" t="str">
            <v>22</v>
          </cell>
          <cell r="N966">
            <v>4</v>
          </cell>
          <cell r="O966">
            <v>4</v>
          </cell>
        </row>
        <row r="967">
          <cell r="A967">
            <v>8500607</v>
          </cell>
          <cell r="B967" t="str">
            <v>REFRESCO CLIGHT</v>
          </cell>
          <cell r="C967">
            <v>99</v>
          </cell>
          <cell r="D967" t="str">
            <v>nao se aplica</v>
          </cell>
          <cell r="E967">
            <v>4</v>
          </cell>
          <cell r="F967" t="str">
            <v>Suco artificial</v>
          </cell>
          <cell r="G967">
            <v>0</v>
          </cell>
          <cell r="H967" t="e">
            <v>#N/A</v>
          </cell>
          <cell r="I967" t="str">
            <v>220290</v>
          </cell>
          <cell r="J967" t="str">
            <v>22029</v>
          </cell>
          <cell r="K967" t="str">
            <v>2202</v>
          </cell>
          <cell r="L967" t="str">
            <v>220</v>
          </cell>
          <cell r="M967" t="str">
            <v>22</v>
          </cell>
          <cell r="N967">
            <v>4</v>
          </cell>
          <cell r="O967">
            <v>4</v>
          </cell>
        </row>
        <row r="968">
          <cell r="A968">
            <v>8500608</v>
          </cell>
          <cell r="B968" t="str">
            <v>REFRESCO DE GUARANA NATURAL LIGHT / DIET</v>
          </cell>
          <cell r="C968">
            <v>99</v>
          </cell>
          <cell r="D968" t="str">
            <v>nao se aplica</v>
          </cell>
          <cell r="E968">
            <v>4</v>
          </cell>
          <cell r="F968" t="str">
            <v>Suco artificial</v>
          </cell>
          <cell r="G968">
            <v>0</v>
          </cell>
          <cell r="H968" t="e">
            <v>#N/A</v>
          </cell>
          <cell r="I968" t="str">
            <v>220290</v>
          </cell>
          <cell r="J968" t="str">
            <v>22029</v>
          </cell>
          <cell r="K968" t="str">
            <v>2202</v>
          </cell>
          <cell r="L968" t="str">
            <v>220</v>
          </cell>
          <cell r="M968" t="str">
            <v>22</v>
          </cell>
          <cell r="N968">
            <v>4</v>
          </cell>
          <cell r="O968">
            <v>4</v>
          </cell>
        </row>
        <row r="969">
          <cell r="A969">
            <v>8500609</v>
          </cell>
          <cell r="B969" t="str">
            <v>REFRESCO TANG</v>
          </cell>
          <cell r="C969">
            <v>99</v>
          </cell>
          <cell r="D969" t="str">
            <v>nao se aplica</v>
          </cell>
          <cell r="E969">
            <v>4</v>
          </cell>
          <cell r="F969" t="str">
            <v>Suco artificial</v>
          </cell>
          <cell r="G969">
            <v>0</v>
          </cell>
          <cell r="H969" t="e">
            <v>#N/A</v>
          </cell>
          <cell r="I969" t="str">
            <v>220290</v>
          </cell>
          <cell r="J969" t="str">
            <v>22029</v>
          </cell>
          <cell r="K969" t="str">
            <v>2202</v>
          </cell>
          <cell r="L969" t="str">
            <v>220</v>
          </cell>
          <cell r="M969" t="str">
            <v>22</v>
          </cell>
          <cell r="N969">
            <v>4</v>
          </cell>
          <cell r="O969">
            <v>4</v>
          </cell>
        </row>
        <row r="970">
          <cell r="A970">
            <v>8500903</v>
          </cell>
          <cell r="B970" t="str">
            <v>PIZZA</v>
          </cell>
          <cell r="C970">
            <v>99</v>
          </cell>
          <cell r="D970" t="str">
            <v>nao se aplica</v>
          </cell>
          <cell r="E970">
            <v>83</v>
          </cell>
          <cell r="F970" t="str">
            <v>Pizza</v>
          </cell>
          <cell r="G970">
            <v>0</v>
          </cell>
          <cell r="H970">
            <v>8500903</v>
          </cell>
          <cell r="I970" t="str">
            <v>190590</v>
          </cell>
          <cell r="J970" t="str">
            <v>19059</v>
          </cell>
          <cell r="K970" t="str">
            <v>1905</v>
          </cell>
          <cell r="L970" t="str">
            <v>190</v>
          </cell>
          <cell r="M970" t="str">
            <v>19</v>
          </cell>
          <cell r="N970">
            <v>4</v>
          </cell>
          <cell r="O970">
            <v>4</v>
          </cell>
        </row>
        <row r="971">
          <cell r="A971">
            <v>8500905</v>
          </cell>
          <cell r="B971" t="str">
            <v>NHOQUE</v>
          </cell>
          <cell r="C971">
            <v>99</v>
          </cell>
          <cell r="D971" t="str">
            <v>nao se aplica</v>
          </cell>
          <cell r="E971"/>
          <cell r="F971" t="str">
            <v/>
          </cell>
          <cell r="G971">
            <v>0</v>
          </cell>
          <cell r="H971">
            <v>8500905</v>
          </cell>
          <cell r="I971">
            <v>190230</v>
          </cell>
          <cell r="J971" t="str">
            <v>19023</v>
          </cell>
          <cell r="K971" t="str">
            <v>1902</v>
          </cell>
          <cell r="L971" t="str">
            <v>190</v>
          </cell>
          <cell r="M971" t="str">
            <v>19</v>
          </cell>
          <cell r="N971">
            <v>4</v>
          </cell>
          <cell r="O971">
            <v>1</v>
          </cell>
        </row>
        <row r="972">
          <cell r="A972">
            <v>8500914</v>
          </cell>
          <cell r="B972" t="str">
            <v>PIZZA CALABREZA</v>
          </cell>
          <cell r="C972">
            <v>99</v>
          </cell>
          <cell r="D972" t="str">
            <v>nao se aplica</v>
          </cell>
          <cell r="G972">
            <v>0</v>
          </cell>
          <cell r="H972">
            <v>0</v>
          </cell>
          <cell r="I972">
            <v>190590</v>
          </cell>
          <cell r="J972" t="str">
            <v>19059</v>
          </cell>
          <cell r="K972" t="str">
            <v>1905</v>
          </cell>
          <cell r="L972" t="str">
            <v>190</v>
          </cell>
          <cell r="M972" t="str">
            <v>19</v>
          </cell>
          <cell r="N972">
            <v>4</v>
          </cell>
          <cell r="O972">
            <v>4</v>
          </cell>
        </row>
        <row r="973">
          <cell r="A973">
            <v>8500915</v>
          </cell>
          <cell r="B973" t="str">
            <v>PIZZA MUZZARELA</v>
          </cell>
          <cell r="C973">
            <v>99</v>
          </cell>
          <cell r="D973" t="str">
            <v>nao se aplica</v>
          </cell>
          <cell r="G973">
            <v>0</v>
          </cell>
          <cell r="H973">
            <v>0</v>
          </cell>
          <cell r="I973">
            <v>190590</v>
          </cell>
          <cell r="J973" t="str">
            <v>19059</v>
          </cell>
          <cell r="K973" t="str">
            <v>1905</v>
          </cell>
          <cell r="L973" t="str">
            <v>190</v>
          </cell>
          <cell r="M973" t="str">
            <v>19</v>
          </cell>
          <cell r="N973">
            <v>4</v>
          </cell>
          <cell r="O973">
            <v>4</v>
          </cell>
        </row>
        <row r="974">
          <cell r="A974">
            <v>8500916</v>
          </cell>
          <cell r="B974" t="str">
            <v>PIZZA PRESUNTO</v>
          </cell>
          <cell r="C974">
            <v>99</v>
          </cell>
          <cell r="D974" t="str">
            <v>nao se aplica</v>
          </cell>
          <cell r="G974">
            <v>0</v>
          </cell>
          <cell r="H974">
            <v>0</v>
          </cell>
          <cell r="I974">
            <v>190590</v>
          </cell>
          <cell r="J974" t="str">
            <v>19059</v>
          </cell>
          <cell r="K974" t="str">
            <v>1905</v>
          </cell>
          <cell r="L974" t="str">
            <v>190</v>
          </cell>
          <cell r="M974" t="str">
            <v>19</v>
          </cell>
          <cell r="N974">
            <v>4</v>
          </cell>
          <cell r="O974">
            <v>4</v>
          </cell>
        </row>
        <row r="975">
          <cell r="A975">
            <v>8501004</v>
          </cell>
          <cell r="B975" t="str">
            <v>GALETO</v>
          </cell>
          <cell r="C975">
            <v>99</v>
          </cell>
          <cell r="D975" t="str">
            <v>nao se aplica</v>
          </cell>
          <cell r="E975"/>
          <cell r="F975" t="str">
            <v/>
          </cell>
          <cell r="G975">
            <v>0</v>
          </cell>
          <cell r="H975">
            <v>8501004</v>
          </cell>
          <cell r="I975" t="str">
            <v>020711</v>
          </cell>
          <cell r="J975" t="str">
            <v>02071</v>
          </cell>
          <cell r="K975" t="str">
            <v>0207</v>
          </cell>
          <cell r="L975" t="str">
            <v>020</v>
          </cell>
          <cell r="M975" t="str">
            <v>02</v>
          </cell>
          <cell r="N975">
            <v>1</v>
          </cell>
          <cell r="O975">
            <v>1</v>
          </cell>
        </row>
        <row r="976">
          <cell r="A976">
            <v>8501202</v>
          </cell>
          <cell r="B976" t="str">
            <v>PIPOCA DOCE OU SALGADA</v>
          </cell>
          <cell r="C976">
            <v>99</v>
          </cell>
          <cell r="D976" t="str">
            <v>nao se aplica</v>
          </cell>
          <cell r="E976">
            <v>13</v>
          </cell>
          <cell r="F976" t="str">
            <v>Salgadinho</v>
          </cell>
          <cell r="G976">
            <v>0</v>
          </cell>
          <cell r="H976" t="e">
            <v>#N/A</v>
          </cell>
          <cell r="I976" t="str">
            <v>100590</v>
          </cell>
          <cell r="J976" t="str">
            <v>10059</v>
          </cell>
          <cell r="K976" t="str">
            <v>1005</v>
          </cell>
          <cell r="L976" t="str">
            <v>100</v>
          </cell>
          <cell r="M976" t="str">
            <v>10</v>
          </cell>
          <cell r="N976">
            <v>2</v>
          </cell>
          <cell r="O976">
            <v>4</v>
          </cell>
        </row>
        <row r="977">
          <cell r="A977">
            <v>8501302</v>
          </cell>
          <cell r="B977" t="str">
            <v>CAFE</v>
          </cell>
          <cell r="C977">
            <v>99</v>
          </cell>
          <cell r="D977" t="str">
            <v>nao se aplica</v>
          </cell>
          <cell r="E977">
            <v>42</v>
          </cell>
          <cell r="F977" t="str">
            <v>Cafe e cha</v>
          </cell>
          <cell r="G977">
            <v>0</v>
          </cell>
          <cell r="H977">
            <v>8501302</v>
          </cell>
          <cell r="I977" t="str">
            <v>090121</v>
          </cell>
          <cell r="J977" t="str">
            <v>09012</v>
          </cell>
          <cell r="K977" t="str">
            <v>0901</v>
          </cell>
          <cell r="L977" t="str">
            <v>090</v>
          </cell>
          <cell r="M977" t="str">
            <v>09</v>
          </cell>
          <cell r="N977">
            <v>1</v>
          </cell>
          <cell r="O977">
            <v>1</v>
          </cell>
        </row>
        <row r="978">
          <cell r="A978">
            <v>8501304</v>
          </cell>
          <cell r="B978" t="str">
            <v>CAFE TIPO EXPRESSO</v>
          </cell>
          <cell r="C978">
            <v>99</v>
          </cell>
          <cell r="D978" t="str">
            <v>nao se aplica</v>
          </cell>
          <cell r="E978">
            <v>42</v>
          </cell>
          <cell r="F978" t="str">
            <v>Cafe e cha</v>
          </cell>
          <cell r="G978">
            <v>0</v>
          </cell>
          <cell r="H978">
            <v>8501304</v>
          </cell>
          <cell r="I978" t="str">
            <v>090121</v>
          </cell>
          <cell r="J978" t="str">
            <v>09012</v>
          </cell>
          <cell r="K978" t="str">
            <v>0901</v>
          </cell>
          <cell r="L978" t="str">
            <v>090</v>
          </cell>
          <cell r="M978" t="str">
            <v>09</v>
          </cell>
          <cell r="N978">
            <v>1</v>
          </cell>
          <cell r="O978">
            <v>1</v>
          </cell>
        </row>
        <row r="979">
          <cell r="A979">
            <v>8501305</v>
          </cell>
          <cell r="B979" t="str">
            <v>CAFE TIPO CAPUCCINO</v>
          </cell>
          <cell r="C979">
            <v>99</v>
          </cell>
          <cell r="D979" t="str">
            <v>nao se aplica</v>
          </cell>
          <cell r="E979">
            <v>36</v>
          </cell>
          <cell r="F979" t="str">
            <v>Iogurtes e Bebidas lacteas</v>
          </cell>
          <cell r="G979">
            <v>0</v>
          </cell>
          <cell r="H979" t="e">
            <v>#N/A</v>
          </cell>
          <cell r="I979" t="str">
            <v>090121</v>
          </cell>
          <cell r="J979" t="str">
            <v>09012</v>
          </cell>
          <cell r="K979" t="str">
            <v>0901</v>
          </cell>
          <cell r="L979" t="str">
            <v>090</v>
          </cell>
          <cell r="M979" t="str">
            <v>09</v>
          </cell>
          <cell r="N979">
            <v>1</v>
          </cell>
          <cell r="O979">
            <v>4</v>
          </cell>
        </row>
        <row r="980">
          <cell r="A980">
            <v>8501306</v>
          </cell>
          <cell r="B980" t="str">
            <v>CAFE CAPPUCINO DESCAFEINADO</v>
          </cell>
          <cell r="C980">
            <v>99</v>
          </cell>
          <cell r="D980" t="str">
            <v>nao se aplica</v>
          </cell>
          <cell r="E980">
            <v>36</v>
          </cell>
          <cell r="F980" t="str">
            <v>Iogurtes e Bebidas lacteas</v>
          </cell>
          <cell r="G980">
            <v>0</v>
          </cell>
          <cell r="H980" t="e">
            <v>#N/A</v>
          </cell>
          <cell r="I980" t="str">
            <v>090121</v>
          </cell>
          <cell r="J980" t="str">
            <v>09012</v>
          </cell>
          <cell r="K980" t="str">
            <v>0901</v>
          </cell>
          <cell r="L980" t="str">
            <v>090</v>
          </cell>
          <cell r="M980" t="str">
            <v>09</v>
          </cell>
          <cell r="N980">
            <v>1</v>
          </cell>
          <cell r="O980">
            <v>4</v>
          </cell>
        </row>
        <row r="981">
          <cell r="A981">
            <v>8501307</v>
          </cell>
          <cell r="B981" t="str">
            <v>CAFE CAPPUCINO LIGHT / DIET</v>
          </cell>
          <cell r="C981">
            <v>99</v>
          </cell>
          <cell r="D981" t="str">
            <v>nao se aplica</v>
          </cell>
          <cell r="E981">
            <v>36</v>
          </cell>
          <cell r="F981" t="str">
            <v>Iogurtes e Bebidas lacteas</v>
          </cell>
          <cell r="G981">
            <v>0</v>
          </cell>
          <cell r="H981" t="e">
            <v>#N/A</v>
          </cell>
          <cell r="I981" t="str">
            <v>090121</v>
          </cell>
          <cell r="J981" t="str">
            <v>09012</v>
          </cell>
          <cell r="K981" t="str">
            <v>0901</v>
          </cell>
          <cell r="L981" t="str">
            <v>090</v>
          </cell>
          <cell r="M981" t="str">
            <v>09</v>
          </cell>
          <cell r="N981">
            <v>1</v>
          </cell>
          <cell r="O981">
            <v>4</v>
          </cell>
        </row>
        <row r="982">
          <cell r="A982">
            <v>8501308</v>
          </cell>
          <cell r="B982" t="str">
            <v>CAFE CARIOCA</v>
          </cell>
          <cell r="C982">
            <v>99</v>
          </cell>
          <cell r="D982" t="str">
            <v>nao se aplica</v>
          </cell>
          <cell r="E982">
            <v>42</v>
          </cell>
          <cell r="F982" t="str">
            <v>Cafe e cha</v>
          </cell>
          <cell r="G982">
            <v>0</v>
          </cell>
          <cell r="H982">
            <v>8501308</v>
          </cell>
          <cell r="I982" t="str">
            <v>090121</v>
          </cell>
          <cell r="J982" t="str">
            <v>09012</v>
          </cell>
          <cell r="K982" t="str">
            <v>0901</v>
          </cell>
          <cell r="L982" t="str">
            <v>090</v>
          </cell>
          <cell r="M982" t="str">
            <v>09</v>
          </cell>
          <cell r="N982">
            <v>1</v>
          </cell>
          <cell r="O982">
            <v>4</v>
          </cell>
        </row>
        <row r="983">
          <cell r="A983">
            <v>8501310</v>
          </cell>
          <cell r="B983" t="str">
            <v>CAFE DESCAFEINADO</v>
          </cell>
          <cell r="C983">
            <v>99</v>
          </cell>
          <cell r="D983" t="str">
            <v>nao se aplica</v>
          </cell>
          <cell r="E983">
            <v>42</v>
          </cell>
          <cell r="F983" t="str">
            <v>Cafe e cha</v>
          </cell>
          <cell r="G983">
            <v>0</v>
          </cell>
          <cell r="H983">
            <v>8501310</v>
          </cell>
          <cell r="I983" t="str">
            <v>090121</v>
          </cell>
          <cell r="J983" t="str">
            <v>09012</v>
          </cell>
          <cell r="K983" t="str">
            <v>0901</v>
          </cell>
          <cell r="L983" t="str">
            <v>090</v>
          </cell>
          <cell r="M983" t="str">
            <v>09</v>
          </cell>
          <cell r="N983">
            <v>1</v>
          </cell>
          <cell r="O983">
            <v>4</v>
          </cell>
        </row>
        <row r="984">
          <cell r="A984">
            <v>8501311</v>
          </cell>
          <cell r="B984" t="str">
            <v>CAFE EXPRESSO DESCAFEINADO</v>
          </cell>
          <cell r="C984">
            <v>99</v>
          </cell>
          <cell r="D984" t="str">
            <v>nao se aplica</v>
          </cell>
          <cell r="E984">
            <v>42</v>
          </cell>
          <cell r="F984" t="str">
            <v>Cafe e cha</v>
          </cell>
          <cell r="G984">
            <v>0</v>
          </cell>
          <cell r="H984" t="e">
            <v>#N/A</v>
          </cell>
          <cell r="I984" t="str">
            <v>090121</v>
          </cell>
          <cell r="J984" t="str">
            <v>09012</v>
          </cell>
          <cell r="K984" t="str">
            <v>0901</v>
          </cell>
          <cell r="L984" t="str">
            <v>090</v>
          </cell>
          <cell r="M984" t="str">
            <v>09</v>
          </cell>
          <cell r="N984">
            <v>1</v>
          </cell>
          <cell r="O984">
            <v>4</v>
          </cell>
        </row>
        <row r="985">
          <cell r="A985">
            <v>8501402</v>
          </cell>
          <cell r="B985" t="str">
            <v>MILHO COZIDO</v>
          </cell>
          <cell r="C985">
            <v>99</v>
          </cell>
          <cell r="D985" t="str">
            <v>nao se aplica</v>
          </cell>
          <cell r="E985"/>
          <cell r="F985" t="str">
            <v/>
          </cell>
          <cell r="G985">
            <v>0</v>
          </cell>
          <cell r="H985">
            <v>8501402</v>
          </cell>
          <cell r="I985" t="str">
            <v>100590</v>
          </cell>
          <cell r="J985" t="str">
            <v>10059</v>
          </cell>
          <cell r="K985" t="str">
            <v>1005</v>
          </cell>
          <cell r="L985" t="str">
            <v>100</v>
          </cell>
          <cell r="M985" t="str">
            <v>10</v>
          </cell>
          <cell r="N985">
            <v>2</v>
          </cell>
          <cell r="O985">
            <v>2</v>
          </cell>
        </row>
        <row r="986">
          <cell r="A986">
            <v>8501502</v>
          </cell>
          <cell r="B986" t="str">
            <v>BATATA PALITO</v>
          </cell>
          <cell r="C986">
            <v>99</v>
          </cell>
          <cell r="D986" t="str">
            <v>nao se aplica</v>
          </cell>
          <cell r="E986">
            <v>13</v>
          </cell>
          <cell r="F986" t="str">
            <v>Salgadinho</v>
          </cell>
          <cell r="G986">
            <v>0</v>
          </cell>
          <cell r="H986" t="e">
            <v>#N/A</v>
          </cell>
          <cell r="I986">
            <v>200520</v>
          </cell>
          <cell r="J986" t="str">
            <v>20052</v>
          </cell>
          <cell r="K986" t="str">
            <v>2005</v>
          </cell>
          <cell r="L986" t="str">
            <v>200</v>
          </cell>
          <cell r="M986" t="str">
            <v>20</v>
          </cell>
          <cell r="N986">
            <v>4</v>
          </cell>
          <cell r="O986">
            <v>4</v>
          </cell>
        </row>
        <row r="987">
          <cell r="A987">
            <v>8501503</v>
          </cell>
          <cell r="B987" t="str">
            <v>BATATA PALHA</v>
          </cell>
          <cell r="C987">
            <v>99</v>
          </cell>
          <cell r="D987" t="str">
            <v>nao se aplica</v>
          </cell>
          <cell r="E987">
            <v>13</v>
          </cell>
          <cell r="F987" t="str">
            <v>Salgadinho</v>
          </cell>
          <cell r="G987">
            <v>0</v>
          </cell>
          <cell r="H987" t="e">
            <v>#N/A</v>
          </cell>
          <cell r="I987">
            <v>200520</v>
          </cell>
          <cell r="J987" t="str">
            <v>20052</v>
          </cell>
          <cell r="K987" t="str">
            <v>2005</v>
          </cell>
          <cell r="L987" t="str">
            <v>200</v>
          </cell>
          <cell r="M987" t="str">
            <v>20</v>
          </cell>
          <cell r="N987">
            <v>4</v>
          </cell>
          <cell r="O987">
            <v>4</v>
          </cell>
        </row>
        <row r="988">
          <cell r="A988">
            <v>8501904</v>
          </cell>
          <cell r="B988" t="str">
            <v>CURAU</v>
          </cell>
          <cell r="C988">
            <v>99</v>
          </cell>
          <cell r="D988" t="str">
            <v>nao se aplica</v>
          </cell>
          <cell r="E988"/>
          <cell r="F988" t="str">
            <v/>
          </cell>
          <cell r="G988">
            <v>0</v>
          </cell>
          <cell r="H988">
            <v>8501904</v>
          </cell>
          <cell r="I988">
            <v>190190</v>
          </cell>
          <cell r="J988" t="str">
            <v>19019</v>
          </cell>
          <cell r="K988" t="str">
            <v>1901</v>
          </cell>
          <cell r="L988" t="str">
            <v>190</v>
          </cell>
          <cell r="M988" t="str">
            <v>19</v>
          </cell>
          <cell r="N988">
            <v>4</v>
          </cell>
          <cell r="O988">
            <v>4</v>
          </cell>
        </row>
        <row r="989">
          <cell r="A989">
            <v>8502101</v>
          </cell>
          <cell r="B989" t="str">
            <v>FAROFA PRONTA LIGHT</v>
          </cell>
          <cell r="C989">
            <v>99</v>
          </cell>
          <cell r="D989" t="str">
            <v>nao se aplica</v>
          </cell>
          <cell r="E989">
            <v>61</v>
          </cell>
          <cell r="F989" t="str">
            <v>Refeicoes prontas massa</v>
          </cell>
          <cell r="G989">
            <v>0</v>
          </cell>
          <cell r="H989">
            <v>8502101</v>
          </cell>
          <cell r="I989">
            <v>110620</v>
          </cell>
          <cell r="J989" t="str">
            <v>11062</v>
          </cell>
          <cell r="K989" t="str">
            <v>1106</v>
          </cell>
          <cell r="L989" t="str">
            <v>110</v>
          </cell>
          <cell r="M989" t="str">
            <v>11</v>
          </cell>
          <cell r="N989">
            <v>4</v>
          </cell>
          <cell r="O989">
            <v>4</v>
          </cell>
        </row>
        <row r="990">
          <cell r="A990">
            <v>8502901</v>
          </cell>
          <cell r="B990" t="str">
            <v>FAROFA PRONTA</v>
          </cell>
          <cell r="C990">
            <v>99</v>
          </cell>
          <cell r="D990" t="str">
            <v>nao se aplica</v>
          </cell>
          <cell r="E990">
            <v>61</v>
          </cell>
          <cell r="F990" t="str">
            <v>Refeicoes prontas massa</v>
          </cell>
          <cell r="G990">
            <v>0</v>
          </cell>
          <cell r="H990" t="e">
            <v>#N/A</v>
          </cell>
          <cell r="I990">
            <v>110620</v>
          </cell>
          <cell r="J990" t="str">
            <v>11062</v>
          </cell>
          <cell r="K990" t="str">
            <v>1106</v>
          </cell>
          <cell r="L990" t="str">
            <v>110</v>
          </cell>
          <cell r="M990" t="str">
            <v>11</v>
          </cell>
          <cell r="N990">
            <v>4</v>
          </cell>
          <cell r="O990">
            <v>4</v>
          </cell>
        </row>
        <row r="991">
          <cell r="A991">
            <v>8503202</v>
          </cell>
          <cell r="B991" t="str">
            <v>CALDO DE CARNE</v>
          </cell>
          <cell r="C991">
            <v>99</v>
          </cell>
          <cell r="D991" t="str">
            <v>nao se aplica</v>
          </cell>
          <cell r="G991">
            <v>0</v>
          </cell>
          <cell r="H991">
            <v>0</v>
          </cell>
          <cell r="I991">
            <v>210410</v>
          </cell>
          <cell r="J991" t="str">
            <v>21041</v>
          </cell>
          <cell r="K991" t="str">
            <v>2104</v>
          </cell>
          <cell r="L991" t="str">
            <v>210</v>
          </cell>
          <cell r="M991" t="str">
            <v>21</v>
          </cell>
          <cell r="N991">
            <v>4</v>
          </cell>
          <cell r="O991">
            <v>4</v>
          </cell>
        </row>
        <row r="992">
          <cell r="A992">
            <v>8507601</v>
          </cell>
          <cell r="B992" t="str">
            <v>CHOCOLATE</v>
          </cell>
          <cell r="C992">
            <v>99</v>
          </cell>
          <cell r="D992" t="str">
            <v>nao se aplica</v>
          </cell>
          <cell r="E992">
            <v>51</v>
          </cell>
          <cell r="F992" t="str">
            <v>Chocolate, bala e outras guloseimas</v>
          </cell>
          <cell r="G992">
            <v>0</v>
          </cell>
          <cell r="H992" t="e">
            <v>#N/A</v>
          </cell>
          <cell r="I992" t="str">
            <v>180500</v>
          </cell>
          <cell r="J992" t="str">
            <v>18050</v>
          </cell>
          <cell r="K992" t="str">
            <v>1805</v>
          </cell>
          <cell r="L992" t="str">
            <v>180</v>
          </cell>
          <cell r="M992" t="str">
            <v>18</v>
          </cell>
          <cell r="N992">
            <v>4</v>
          </cell>
          <cell r="O992">
            <v>4</v>
          </cell>
        </row>
        <row r="993">
          <cell r="A993">
            <v>8511401</v>
          </cell>
          <cell r="B993" t="str">
            <v>SALADA DE TOMATE</v>
          </cell>
          <cell r="C993">
            <v>99</v>
          </cell>
          <cell r="D993" t="str">
            <v>nao se aplica</v>
          </cell>
          <cell r="E993"/>
          <cell r="F993" t="str">
            <v/>
          </cell>
          <cell r="G993">
            <v>0</v>
          </cell>
          <cell r="H993">
            <v>8511401</v>
          </cell>
          <cell r="I993" t="str">
            <v>070200</v>
          </cell>
          <cell r="J993" t="str">
            <v>07020</v>
          </cell>
          <cell r="K993" t="str">
            <v>0702</v>
          </cell>
          <cell r="L993" t="str">
            <v>070</v>
          </cell>
          <cell r="M993" t="str">
            <v>07</v>
          </cell>
          <cell r="N993">
            <v>2</v>
          </cell>
          <cell r="O993">
            <v>1</v>
          </cell>
        </row>
        <row r="994">
          <cell r="A994">
            <v>8511501</v>
          </cell>
          <cell r="B994" t="str">
            <v>TABULE</v>
          </cell>
          <cell r="C994">
            <v>99</v>
          </cell>
          <cell r="D994" t="str">
            <v>nao se aplica</v>
          </cell>
          <cell r="E994"/>
          <cell r="F994" t="str">
            <v/>
          </cell>
          <cell r="G994">
            <v>0</v>
          </cell>
          <cell r="H994">
            <v>8511501</v>
          </cell>
          <cell r="I994">
            <v>100110</v>
          </cell>
          <cell r="J994" t="str">
            <v>10011</v>
          </cell>
          <cell r="K994" t="str">
            <v>1001</v>
          </cell>
          <cell r="L994" t="str">
            <v>100</v>
          </cell>
          <cell r="M994" t="str">
            <v>10</v>
          </cell>
          <cell r="N994">
            <v>2</v>
          </cell>
          <cell r="O994">
            <v>1</v>
          </cell>
        </row>
        <row r="995">
          <cell r="A995">
            <v>8579236</v>
          </cell>
          <cell r="B995" t="str">
            <v>QUIBE CRU</v>
          </cell>
          <cell r="C995">
            <v>99</v>
          </cell>
          <cell r="D995" t="str">
            <v>nao se aplica</v>
          </cell>
          <cell r="E995"/>
          <cell r="F995" t="str">
            <v/>
          </cell>
          <cell r="G995">
            <v>0</v>
          </cell>
          <cell r="H995">
            <v>8579236</v>
          </cell>
          <cell r="I995" t="str">
            <v>020130</v>
          </cell>
          <cell r="J995" t="str">
            <v>02013</v>
          </cell>
          <cell r="K995" t="str">
            <v>0201</v>
          </cell>
          <cell r="L995" t="str">
            <v>020</v>
          </cell>
          <cell r="M995" t="str">
            <v>02</v>
          </cell>
          <cell r="N995">
            <v>1</v>
          </cell>
          <cell r="O995">
            <v>1</v>
          </cell>
        </row>
        <row r="996">
          <cell r="A996">
            <v>8581301</v>
          </cell>
          <cell r="B996" t="str">
            <v>SOPA INSTANTANEA</v>
          </cell>
          <cell r="C996">
            <v>99</v>
          </cell>
          <cell r="D996" t="str">
            <v>nao se aplica</v>
          </cell>
          <cell r="E996">
            <v>62</v>
          </cell>
          <cell r="F996" t="str">
            <v xml:space="preserve"> Sopas e misturas industrializadas</v>
          </cell>
          <cell r="G996">
            <v>0</v>
          </cell>
          <cell r="H996">
            <v>8581301</v>
          </cell>
          <cell r="I996">
            <v>210410</v>
          </cell>
          <cell r="J996" t="str">
            <v>21041</v>
          </cell>
          <cell r="K996" t="str">
            <v>2104</v>
          </cell>
          <cell r="L996" t="str">
            <v>210</v>
          </cell>
          <cell r="M996" t="str">
            <v>21</v>
          </cell>
          <cell r="N996">
            <v>4</v>
          </cell>
          <cell r="O996">
            <v>4</v>
          </cell>
        </row>
        <row r="997">
          <cell r="A997">
            <v>8582111</v>
          </cell>
          <cell r="B997" t="str">
            <v>TORTA DE PRESUNTO E QUEIJO</v>
          </cell>
          <cell r="C997">
            <v>99</v>
          </cell>
          <cell r="D997" t="str">
            <v>nao se aplica</v>
          </cell>
          <cell r="E997"/>
          <cell r="F997" t="str">
            <v/>
          </cell>
          <cell r="G997">
            <v>0</v>
          </cell>
          <cell r="H997">
            <v>8582111</v>
          </cell>
          <cell r="I997" t="str">
            <v>190220</v>
          </cell>
          <cell r="J997" t="str">
            <v>19022</v>
          </cell>
          <cell r="K997" t="str">
            <v>1902</v>
          </cell>
          <cell r="L997" t="str">
            <v>190</v>
          </cell>
          <cell r="M997" t="str">
            <v>19</v>
          </cell>
          <cell r="N997">
            <v>4</v>
          </cell>
          <cell r="O997">
            <v>4</v>
          </cell>
        </row>
        <row r="998">
          <cell r="A998">
            <v>8800109</v>
          </cell>
          <cell r="B998" t="str">
            <v>PALMA</v>
          </cell>
          <cell r="C998">
            <v>99</v>
          </cell>
          <cell r="D998" t="str">
            <v>nao se aplica</v>
          </cell>
          <cell r="E998">
            <v>21</v>
          </cell>
          <cell r="F998" t="str">
            <v>Fruta</v>
          </cell>
          <cell r="G998">
            <v>0</v>
          </cell>
          <cell r="H998" t="e">
            <v>#N/A</v>
          </cell>
          <cell r="I998" t="str">
            <v>070999</v>
          </cell>
          <cell r="J998" t="str">
            <v>07099</v>
          </cell>
          <cell r="K998" t="str">
            <v>0709</v>
          </cell>
          <cell r="L998" t="str">
            <v>070</v>
          </cell>
          <cell r="M998" t="str">
            <v>07</v>
          </cell>
          <cell r="N998">
            <v>2</v>
          </cell>
          <cell r="O998">
            <v>1</v>
          </cell>
        </row>
      </sheetData>
      <sheetData sheetId="9"/>
      <sheetData sheetId="10">
        <row r="3">
          <cell r="C3" t="str">
            <v>110100</v>
          </cell>
          <cell r="AE3">
            <v>65010</v>
          </cell>
          <cell r="AF3" t="str">
            <v>FARINHA DE TRIGO</v>
          </cell>
          <cell r="AG3">
            <v>480</v>
          </cell>
          <cell r="AH3">
            <v>1518.4430032697401</v>
          </cell>
          <cell r="AI3">
            <v>7</v>
          </cell>
        </row>
        <row r="4">
          <cell r="C4" t="str">
            <v>110100</v>
          </cell>
          <cell r="AE4">
            <v>65011</v>
          </cell>
          <cell r="AF4" t="str">
            <v>FARINHA DE ROSCA</v>
          </cell>
          <cell r="AG4">
            <v>480</v>
          </cell>
          <cell r="AH4">
            <v>1518.4430032697401</v>
          </cell>
          <cell r="AI4">
            <v>7</v>
          </cell>
        </row>
        <row r="5">
          <cell r="C5">
            <v>210230</v>
          </cell>
          <cell r="AE5">
            <v>70006</v>
          </cell>
          <cell r="AF5" t="str">
            <v>FERMENTO EM PÓ</v>
          </cell>
          <cell r="AG5">
            <v>7312.5</v>
          </cell>
          <cell r="AH5">
            <v>6114.9086447857417</v>
          </cell>
          <cell r="AI5">
            <v>33.5</v>
          </cell>
        </row>
        <row r="6">
          <cell r="C6" t="str">
            <v>100630</v>
          </cell>
          <cell r="AE6">
            <v>6300101</v>
          </cell>
          <cell r="AF6" t="str">
            <v>ARROZ (POLIDO, PARBOILIZADO, AGULHA, AGULHINHA, ETC)</v>
          </cell>
          <cell r="AG6">
            <v>2505.6555555555556</v>
          </cell>
          <cell r="AH6">
            <v>1277.3333333333333</v>
          </cell>
          <cell r="AI6">
            <v>10</v>
          </cell>
        </row>
        <row r="7">
          <cell r="C7">
            <v>100620</v>
          </cell>
          <cell r="AE7">
            <v>6300201</v>
          </cell>
          <cell r="AF7" t="str">
            <v>ARROZ INTEGRAL</v>
          </cell>
          <cell r="AG7">
            <v>2538.2636363636366</v>
          </cell>
          <cell r="AH7">
            <v>1277.3333333333333</v>
          </cell>
          <cell r="AI7">
            <v>10</v>
          </cell>
        </row>
        <row r="8">
          <cell r="C8">
            <v>100590</v>
          </cell>
          <cell r="AE8">
            <v>6300701</v>
          </cell>
          <cell r="AF8" t="str">
            <v>MILHO (EM GRAO)</v>
          </cell>
          <cell r="AG8">
            <v>558.33333333333337</v>
          </cell>
          <cell r="AH8">
            <v>1254.7498947363872</v>
          </cell>
          <cell r="AI8">
            <v>3.2495477253553973</v>
          </cell>
        </row>
        <row r="9">
          <cell r="C9" t="str">
            <v>110313</v>
          </cell>
          <cell r="AE9">
            <v>6300706</v>
          </cell>
          <cell r="AF9" t="str">
            <v>CANJIQUINHA DE MILHO EM GRAO</v>
          </cell>
          <cell r="AG9">
            <v>633.22222222222217</v>
          </cell>
          <cell r="AH9">
            <v>1543.426167959507</v>
          </cell>
          <cell r="AI9">
            <v>8.5</v>
          </cell>
        </row>
        <row r="10">
          <cell r="C10">
            <v>100110</v>
          </cell>
          <cell r="AE10">
            <v>6300901</v>
          </cell>
          <cell r="AF10" t="str">
            <v>TRIGO EM GRAO</v>
          </cell>
          <cell r="AG10">
            <v>388.5</v>
          </cell>
          <cell r="AH10">
            <v>712</v>
          </cell>
          <cell r="AI10">
            <v>10</v>
          </cell>
        </row>
        <row r="11">
          <cell r="C11" t="str">
            <v>120241</v>
          </cell>
          <cell r="AE11">
            <v>6301001</v>
          </cell>
          <cell r="AF11" t="str">
            <v>AMENDOIM (EM GRAO) (IN NATURA)</v>
          </cell>
          <cell r="AG11">
            <v>1333.3333333333333</v>
          </cell>
          <cell r="AH11">
            <v>2704.2217653304615</v>
          </cell>
          <cell r="AI11">
            <v>5.9456146715745248</v>
          </cell>
        </row>
        <row r="12">
          <cell r="C12" t="str">
            <v>070810</v>
          </cell>
          <cell r="AE12">
            <v>6301101</v>
          </cell>
          <cell r="AF12" t="str">
            <v>ERVILHA EM GRAO</v>
          </cell>
          <cell r="AG12">
            <v>504.25</v>
          </cell>
          <cell r="AH12">
            <v>834.32065121342077</v>
          </cell>
          <cell r="AI12">
            <v>26</v>
          </cell>
        </row>
        <row r="13">
          <cell r="C13" t="str">
            <v>071350</v>
          </cell>
          <cell r="AE13">
            <v>6301201</v>
          </cell>
          <cell r="AF13" t="str">
            <v>FAVA (EM GRAO)</v>
          </cell>
          <cell r="AG13">
            <v>914.50476190476195</v>
          </cell>
          <cell r="AH13">
            <v>5594.2395753975461</v>
          </cell>
          <cell r="AI13">
            <v>5.3898582166145301</v>
          </cell>
        </row>
        <row r="14">
          <cell r="C14" t="str">
            <v>071350</v>
          </cell>
          <cell r="AE14">
            <v>6301214</v>
          </cell>
          <cell r="AF14" t="str">
            <v>MANGALO</v>
          </cell>
          <cell r="AG14">
            <v>914.50476190476195</v>
          </cell>
          <cell r="AH14">
            <v>5594.2395753975461</v>
          </cell>
          <cell r="AI14">
            <v>5.3898582166145301</v>
          </cell>
        </row>
        <row r="15">
          <cell r="C15" t="str">
            <v>071333</v>
          </cell>
          <cell r="AE15">
            <v>6301603</v>
          </cell>
          <cell r="AF15" t="str">
            <v>FEIJAO DE CORDA</v>
          </cell>
          <cell r="AG15">
            <v>250.38333333333333</v>
          </cell>
          <cell r="AH15">
            <v>3263.5062840917908</v>
          </cell>
          <cell r="AI15">
            <v>5.3898582166145301</v>
          </cell>
        </row>
        <row r="16">
          <cell r="C16" t="str">
            <v>120400</v>
          </cell>
          <cell r="AE16">
            <v>6302001</v>
          </cell>
          <cell r="AF16" t="str">
            <v>SEMENTE DE LINHACA</v>
          </cell>
          <cell r="AG16">
            <v>631.33333333333326</v>
          </cell>
          <cell r="AH16">
            <v>3791.3373962632795</v>
          </cell>
          <cell r="AI16">
            <v>5.9456146715745248</v>
          </cell>
        </row>
        <row r="17">
          <cell r="C17">
            <v>120400</v>
          </cell>
          <cell r="AE17">
            <v>6302002</v>
          </cell>
          <cell r="AF17" t="str">
            <v>LINHACA NAO ESPECIFICADA</v>
          </cell>
          <cell r="AG17">
            <v>631.33333333333326</v>
          </cell>
          <cell r="AH17">
            <v>3791.3373962632795</v>
          </cell>
          <cell r="AI17">
            <v>5.9456146715745248</v>
          </cell>
        </row>
        <row r="18">
          <cell r="C18" t="str">
            <v>071360</v>
          </cell>
          <cell r="AE18">
            <v>6302602</v>
          </cell>
          <cell r="AF18" t="str">
            <v>ANDU</v>
          </cell>
          <cell r="AG18">
            <v>914.50476190476195</v>
          </cell>
          <cell r="AH18">
            <v>3846.1896069182294</v>
          </cell>
          <cell r="AI18">
            <v>5.3898582166145301</v>
          </cell>
        </row>
        <row r="19">
          <cell r="C19" t="str">
            <v>071320</v>
          </cell>
          <cell r="AE19">
            <v>6302801</v>
          </cell>
          <cell r="AF19" t="str">
            <v>GRAO DE BICO</v>
          </cell>
          <cell r="AG19">
            <v>2000</v>
          </cell>
          <cell r="AH19">
            <v>3846.1896069182294</v>
          </cell>
          <cell r="AI19">
            <v>5.3898582166145301</v>
          </cell>
        </row>
        <row r="20">
          <cell r="C20" t="str">
            <v>071340</v>
          </cell>
          <cell r="AE20">
            <v>6302901</v>
          </cell>
          <cell r="AF20" t="str">
            <v>LENTILHA</v>
          </cell>
          <cell r="AG20">
            <v>2000</v>
          </cell>
          <cell r="AH20">
            <v>3846.1896069182294</v>
          </cell>
          <cell r="AI20">
            <v>5.3898582166145301</v>
          </cell>
        </row>
        <row r="21">
          <cell r="C21" t="str">
            <v>120190</v>
          </cell>
          <cell r="AE21">
            <v>6303001</v>
          </cell>
          <cell r="AF21" t="str">
            <v>SOJA EM GRAO</v>
          </cell>
          <cell r="AG21">
            <v>397.33333333333331</v>
          </cell>
          <cell r="AH21">
            <v>2006.853927681097</v>
          </cell>
          <cell r="AI21">
            <v>5.9456146715745248</v>
          </cell>
        </row>
        <row r="22">
          <cell r="C22" t="str">
            <v>071333</v>
          </cell>
          <cell r="AE22">
            <v>6303102</v>
          </cell>
          <cell r="AF22" t="str">
            <v>FEIJAO (PRETO, MULATINHO, ROXO, ROSINHA, ETC)</v>
          </cell>
          <cell r="AG22">
            <v>210.34444444444443</v>
          </cell>
          <cell r="AH22">
            <v>3263.5062840917908</v>
          </cell>
          <cell r="AI22">
            <v>5.3898582166145301</v>
          </cell>
        </row>
        <row r="23">
          <cell r="C23">
            <v>120799</v>
          </cell>
          <cell r="AE23">
            <v>6303201</v>
          </cell>
          <cell r="AF23" t="str">
            <v>SEMENTES DE ABOBORA</v>
          </cell>
          <cell r="AG23">
            <v>631.33333333333326</v>
          </cell>
          <cell r="AH23">
            <v>6848.7837130653252</v>
          </cell>
          <cell r="AI23">
            <v>5.9456146715745248</v>
          </cell>
        </row>
        <row r="24">
          <cell r="C24" t="str">
            <v>071333</v>
          </cell>
          <cell r="AE24">
            <v>6304101</v>
          </cell>
          <cell r="AF24" t="str">
            <v>FEIJAO ORGANICO</v>
          </cell>
          <cell r="AG24">
            <v>370.5</v>
          </cell>
          <cell r="AH24">
            <v>3263.5062840917908</v>
          </cell>
          <cell r="AI24">
            <v>5.3898582166145301</v>
          </cell>
        </row>
        <row r="25">
          <cell r="C25" t="str">
            <v>100590</v>
          </cell>
          <cell r="AE25">
            <v>6304201</v>
          </cell>
          <cell r="AF25" t="str">
            <v>PIPOCA LIGHT</v>
          </cell>
          <cell r="AG25">
            <v>558.33333333333337</v>
          </cell>
          <cell r="AH25">
            <v>1254.7498947363872</v>
          </cell>
          <cell r="AI25">
            <v>3.2495477253553973</v>
          </cell>
        </row>
        <row r="26">
          <cell r="C26">
            <v>100630</v>
          </cell>
          <cell r="AE26">
            <v>6304301</v>
          </cell>
          <cell r="AF26" t="str">
            <v>ARROZ ORGANICO</v>
          </cell>
          <cell r="AG26">
            <v>2685</v>
          </cell>
          <cell r="AH26">
            <v>1277.3333333333333</v>
          </cell>
          <cell r="AI26">
            <v>10</v>
          </cell>
        </row>
        <row r="27">
          <cell r="C27" t="str">
            <v>071390</v>
          </cell>
          <cell r="AE27">
            <v>6304901</v>
          </cell>
          <cell r="AF27" t="str">
            <v>QUINOA</v>
          </cell>
          <cell r="AG27">
            <v>1400</v>
          </cell>
          <cell r="AH27">
            <v>3846.1896069182294</v>
          </cell>
          <cell r="AI27">
            <v>5.3898582166145301</v>
          </cell>
        </row>
        <row r="28">
          <cell r="C28">
            <v>120799</v>
          </cell>
          <cell r="AE28">
            <v>6305001</v>
          </cell>
          <cell r="AF28" t="str">
            <v>CHIA</v>
          </cell>
          <cell r="AG28">
            <v>631.33333333333326</v>
          </cell>
          <cell r="AH28">
            <v>6848.7837130653252</v>
          </cell>
          <cell r="AI28">
            <v>5.9456146715745248</v>
          </cell>
        </row>
        <row r="29">
          <cell r="C29">
            <v>120600</v>
          </cell>
          <cell r="AE29">
            <v>6380001</v>
          </cell>
          <cell r="AF29" t="str">
            <v>SEMENTES DE GIRASSOL</v>
          </cell>
          <cell r="AG29">
            <v>631.33333333333326</v>
          </cell>
          <cell r="AH29">
            <v>3252.3563229545975</v>
          </cell>
          <cell r="AI29">
            <v>5.9456146715745248</v>
          </cell>
        </row>
        <row r="30">
          <cell r="C30" t="str">
            <v>070190</v>
          </cell>
          <cell r="AE30">
            <v>6400101</v>
          </cell>
          <cell r="AF30" t="str">
            <v>BATATA-INGLESA</v>
          </cell>
          <cell r="AG30">
            <v>205.00695976154995</v>
          </cell>
          <cell r="AH30">
            <v>539.4710810974143</v>
          </cell>
          <cell r="AI30">
            <v>2.4283582089552236</v>
          </cell>
        </row>
        <row r="31">
          <cell r="C31" t="str">
            <v>070610</v>
          </cell>
          <cell r="AE31">
            <v>6400303</v>
          </cell>
          <cell r="AF31" t="str">
            <v>MANDIOQUINHA SALSA (BATATA BAROA)</v>
          </cell>
          <cell r="AG31">
            <v>249</v>
          </cell>
          <cell r="AH31">
            <v>799.09345438723949</v>
          </cell>
          <cell r="AI31">
            <v>1</v>
          </cell>
        </row>
        <row r="32">
          <cell r="C32" t="str">
            <v>070610</v>
          </cell>
          <cell r="AE32">
            <v>6400304</v>
          </cell>
          <cell r="AF32" t="str">
            <v>CENOURA AMARELA (BATATA BAROA)</v>
          </cell>
          <cell r="AG32">
            <v>249</v>
          </cell>
          <cell r="AH32">
            <v>799.09345438723949</v>
          </cell>
          <cell r="AI32">
            <v>1</v>
          </cell>
        </row>
        <row r="33">
          <cell r="C33" t="str">
            <v>071420</v>
          </cell>
          <cell r="AE33">
            <v>6400401</v>
          </cell>
          <cell r="AF33" t="str">
            <v>BATATA DOCE</v>
          </cell>
          <cell r="AG33">
            <v>77</v>
          </cell>
          <cell r="AH33">
            <v>454.46120833494564</v>
          </cell>
          <cell r="AI33">
            <v>5.3898582166145301</v>
          </cell>
        </row>
        <row r="34">
          <cell r="C34" t="str">
            <v>071490</v>
          </cell>
          <cell r="AE34">
            <v>6400501</v>
          </cell>
          <cell r="AF34" t="str">
            <v>INHAME</v>
          </cell>
          <cell r="AG34">
            <v>77</v>
          </cell>
          <cell r="AH34">
            <v>485.74002695702137</v>
          </cell>
          <cell r="AI34">
            <v>5.3898582166145301</v>
          </cell>
        </row>
        <row r="35">
          <cell r="C35" t="str">
            <v>071410</v>
          </cell>
          <cell r="AE35">
            <v>6400601</v>
          </cell>
          <cell r="AF35" t="str">
            <v>MANDIOCA</v>
          </cell>
          <cell r="AG35">
            <v>77</v>
          </cell>
          <cell r="AH35">
            <v>451.0581751901363</v>
          </cell>
          <cell r="AI35">
            <v>5.3898582166145301</v>
          </cell>
        </row>
        <row r="36">
          <cell r="C36" t="str">
            <v>071410</v>
          </cell>
          <cell r="AE36">
            <v>6400609</v>
          </cell>
          <cell r="AF36" t="str">
            <v>AIPIM</v>
          </cell>
          <cell r="AG36">
            <v>77</v>
          </cell>
          <cell r="AH36">
            <v>451.0581751901363</v>
          </cell>
          <cell r="AI36">
            <v>5.3898582166145301</v>
          </cell>
        </row>
        <row r="37">
          <cell r="C37" t="str">
            <v>071410</v>
          </cell>
          <cell r="AE37">
            <v>6400610</v>
          </cell>
          <cell r="AF37" t="str">
            <v>MACAXEIRA</v>
          </cell>
          <cell r="AG37">
            <v>77</v>
          </cell>
          <cell r="AH37">
            <v>451.0581751901363</v>
          </cell>
          <cell r="AI37">
            <v>5.3898582166145301</v>
          </cell>
        </row>
        <row r="38">
          <cell r="C38" t="str">
            <v>071490</v>
          </cell>
          <cell r="AE38">
            <v>6400701</v>
          </cell>
          <cell r="AF38" t="str">
            <v>CARA</v>
          </cell>
          <cell r="AG38">
            <v>77</v>
          </cell>
          <cell r="AH38">
            <v>485.74002695702137</v>
          </cell>
          <cell r="AI38">
            <v>5.3898582166145301</v>
          </cell>
        </row>
        <row r="39">
          <cell r="C39" t="str">
            <v>071490</v>
          </cell>
          <cell r="AE39">
            <v>6400713</v>
          </cell>
          <cell r="AF39" t="str">
            <v>INHAME CARAQUENTO (CARA)</v>
          </cell>
          <cell r="AG39">
            <v>77</v>
          </cell>
          <cell r="AH39">
            <v>485.74002695702137</v>
          </cell>
          <cell r="AI39">
            <v>5.3898582166145301</v>
          </cell>
        </row>
        <row r="40">
          <cell r="C40" t="str">
            <v>070190</v>
          </cell>
          <cell r="AE40">
            <v>6400802</v>
          </cell>
          <cell r="AF40" t="str">
            <v>BATATA (NÃO ESPECIFICADA)</v>
          </cell>
          <cell r="AG40">
            <v>205.00695976154995</v>
          </cell>
          <cell r="AH40">
            <v>539.4710810974143</v>
          </cell>
          <cell r="AI40">
            <v>2.4283582089552236</v>
          </cell>
        </row>
        <row r="41">
          <cell r="C41" t="str">
            <v>070610</v>
          </cell>
          <cell r="AE41">
            <v>6400908</v>
          </cell>
          <cell r="AF41" t="str">
            <v>MANDIOQUINHA</v>
          </cell>
          <cell r="AG41">
            <v>249</v>
          </cell>
          <cell r="AH41">
            <v>799.09345438723949</v>
          </cell>
          <cell r="AI41">
            <v>1</v>
          </cell>
        </row>
        <row r="42">
          <cell r="C42" t="str">
            <v>070690</v>
          </cell>
          <cell r="AE42">
            <v>6401001</v>
          </cell>
          <cell r="AF42" t="str">
            <v>RABANETE</v>
          </cell>
          <cell r="AG42">
            <v>110</v>
          </cell>
          <cell r="AH42">
            <v>799.09345438723949</v>
          </cell>
          <cell r="AI42">
            <v>0.5</v>
          </cell>
        </row>
        <row r="43">
          <cell r="C43" t="str">
            <v>070690</v>
          </cell>
          <cell r="AE43">
            <v>6401101</v>
          </cell>
          <cell r="AF43" t="str">
            <v>BETERRABA</v>
          </cell>
          <cell r="AG43">
            <v>110</v>
          </cell>
          <cell r="AH43">
            <v>799.09345438723949</v>
          </cell>
          <cell r="AI43">
            <v>0.5</v>
          </cell>
        </row>
        <row r="44">
          <cell r="C44" t="str">
            <v>070610</v>
          </cell>
          <cell r="AE44">
            <v>6401201</v>
          </cell>
          <cell r="AF44" t="str">
            <v>CENOURA</v>
          </cell>
          <cell r="AG44">
            <v>249</v>
          </cell>
          <cell r="AH44">
            <v>799.09345438723949</v>
          </cell>
          <cell r="AI44">
            <v>1</v>
          </cell>
        </row>
        <row r="45">
          <cell r="C45" t="str">
            <v>070610</v>
          </cell>
          <cell r="AE45">
            <v>6401301</v>
          </cell>
          <cell r="AF45" t="str">
            <v>NABO</v>
          </cell>
          <cell r="AG45">
            <v>249</v>
          </cell>
          <cell r="AH45">
            <v>799.09345438723949</v>
          </cell>
          <cell r="AI45">
            <v>1</v>
          </cell>
        </row>
        <row r="46">
          <cell r="C46" t="str">
            <v>091030</v>
          </cell>
          <cell r="AE46">
            <v>6401601</v>
          </cell>
          <cell r="AF46" t="str">
            <v>ACAFRAO</v>
          </cell>
          <cell r="AG46">
            <v>330</v>
          </cell>
          <cell r="AH46">
            <v>8158.8851894663994</v>
          </cell>
          <cell r="AI46">
            <v>49.5</v>
          </cell>
        </row>
        <row r="47">
          <cell r="C47" t="str">
            <v>070190</v>
          </cell>
          <cell r="AE47">
            <v>6401801</v>
          </cell>
          <cell r="AF47" t="str">
            <v>BATATA INGLESA ORGANICA</v>
          </cell>
          <cell r="AG47">
            <v>211.55191256830599</v>
          </cell>
          <cell r="AH47">
            <v>539.4710810974143</v>
          </cell>
          <cell r="AI47">
            <v>2.4283582089552236</v>
          </cell>
        </row>
        <row r="48">
          <cell r="C48" t="str">
            <v>091010</v>
          </cell>
          <cell r="AE48">
            <v>6480001</v>
          </cell>
          <cell r="AF48" t="str">
            <v>GENGIBRE</v>
          </cell>
          <cell r="AG48">
            <v>330</v>
          </cell>
          <cell r="AH48">
            <v>8158.8851894663994</v>
          </cell>
          <cell r="AI48">
            <v>49.5</v>
          </cell>
        </row>
        <row r="49">
          <cell r="C49">
            <v>200799</v>
          </cell>
          <cell r="AE49">
            <v>6500101</v>
          </cell>
          <cell r="AF49" t="str">
            <v>CREME DE ARROZ</v>
          </cell>
          <cell r="AG49">
            <v>2947.5</v>
          </cell>
          <cell r="AH49">
            <v>1471.4151641407616</v>
          </cell>
          <cell r="AI49">
            <v>5.52</v>
          </cell>
        </row>
        <row r="50">
          <cell r="C50" t="str">
            <v>190420</v>
          </cell>
          <cell r="AE50">
            <v>6500105</v>
          </cell>
          <cell r="AF50" t="str">
            <v>MUCILON</v>
          </cell>
          <cell r="AG50">
            <v>2903</v>
          </cell>
          <cell r="AH50">
            <v>1772</v>
          </cell>
          <cell r="AI50">
            <v>10.334717607973422</v>
          </cell>
        </row>
        <row r="51">
          <cell r="C51" t="str">
            <v>190420</v>
          </cell>
          <cell r="AE51">
            <v>6500201</v>
          </cell>
          <cell r="AF51" t="str">
            <v>FLOCOS, ARROZ</v>
          </cell>
          <cell r="AG51">
            <v>2903</v>
          </cell>
          <cell r="AH51">
            <v>1772</v>
          </cell>
          <cell r="AI51">
            <v>10.334717607973422</v>
          </cell>
        </row>
        <row r="52">
          <cell r="C52" t="str">
            <v>190220</v>
          </cell>
          <cell r="AE52">
            <v>6500202</v>
          </cell>
          <cell r="AF52" t="str">
            <v>CROQUINHOS DE ARROZ</v>
          </cell>
          <cell r="AG52">
            <v>3600</v>
          </cell>
          <cell r="AH52">
            <v>1730.2020304029807</v>
          </cell>
          <cell r="AI52">
            <v>10.5</v>
          </cell>
        </row>
        <row r="53">
          <cell r="C53" t="str">
            <v>110412</v>
          </cell>
          <cell r="AE53">
            <v>6500301</v>
          </cell>
          <cell r="AF53" t="str">
            <v>FARINHA DE AVEIA</v>
          </cell>
          <cell r="AG53">
            <v>733</v>
          </cell>
          <cell r="AH53">
            <v>4557.287251027471</v>
          </cell>
          <cell r="AI53">
            <v>10</v>
          </cell>
        </row>
        <row r="54">
          <cell r="C54" t="str">
            <v>110412</v>
          </cell>
          <cell r="AE54">
            <v>6500401</v>
          </cell>
          <cell r="AF54" t="str">
            <v>AVEIA EM FLOCOS</v>
          </cell>
          <cell r="AG54">
            <v>733</v>
          </cell>
          <cell r="AH54">
            <v>4557.287251027471</v>
          </cell>
          <cell r="AI54">
            <v>10</v>
          </cell>
        </row>
        <row r="55">
          <cell r="C55">
            <v>110313</v>
          </cell>
          <cell r="AE55">
            <v>6500601</v>
          </cell>
          <cell r="AF55" t="str">
            <v>FUBA DE MILHO</v>
          </cell>
          <cell r="AG55">
            <v>633.22222222222217</v>
          </cell>
          <cell r="AH55">
            <v>1543.426167959507</v>
          </cell>
          <cell r="AI55">
            <v>8.5</v>
          </cell>
        </row>
        <row r="56">
          <cell r="C56" t="str">
            <v>110220</v>
          </cell>
          <cell r="AE56">
            <v>6500603</v>
          </cell>
          <cell r="AF56" t="str">
            <v>FARINHA DE MILHO</v>
          </cell>
          <cell r="AG56">
            <v>633.22222222222217</v>
          </cell>
          <cell r="AH56">
            <v>1790.3895718579688</v>
          </cell>
          <cell r="AI56">
            <v>8.5</v>
          </cell>
        </row>
        <row r="57">
          <cell r="C57">
            <v>190520</v>
          </cell>
          <cell r="AE57">
            <v>6500609</v>
          </cell>
          <cell r="AF57" t="str">
            <v>PUBA DE FUBA</v>
          </cell>
          <cell r="AG57">
            <v>2610</v>
          </cell>
          <cell r="AH57">
            <v>1956.5333333333333</v>
          </cell>
          <cell r="AI57">
            <v>11</v>
          </cell>
        </row>
        <row r="58">
          <cell r="C58" t="str">
            <v>110812</v>
          </cell>
          <cell r="AE58">
            <v>6500702</v>
          </cell>
          <cell r="AF58" t="str">
            <v>AMIDO DE MILHO</v>
          </cell>
          <cell r="AG58">
            <v>633.22222222222217</v>
          </cell>
          <cell r="AH58">
            <v>2387.1860958106249</v>
          </cell>
          <cell r="AI58">
            <v>8.5</v>
          </cell>
        </row>
        <row r="59">
          <cell r="C59" t="str">
            <v>190420</v>
          </cell>
          <cell r="AE59">
            <v>6500801</v>
          </cell>
          <cell r="AF59" t="str">
            <v>CREMOGEMA</v>
          </cell>
          <cell r="AG59">
            <v>2903</v>
          </cell>
          <cell r="AH59">
            <v>1772</v>
          </cell>
          <cell r="AI59">
            <v>10.334717607973422</v>
          </cell>
        </row>
        <row r="60">
          <cell r="C60" t="str">
            <v>190420</v>
          </cell>
          <cell r="AE60">
            <v>6500802</v>
          </cell>
          <cell r="AF60" t="str">
            <v>VITAMILHO</v>
          </cell>
          <cell r="AG60">
            <v>2903</v>
          </cell>
          <cell r="AH60">
            <v>1772</v>
          </cell>
          <cell r="AI60">
            <v>10.334717607973422</v>
          </cell>
        </row>
        <row r="61">
          <cell r="C61" t="str">
            <v>190420</v>
          </cell>
          <cell r="AE61">
            <v>6500902</v>
          </cell>
          <cell r="AF61" t="str">
            <v>SUCRILHOS DE MILHO</v>
          </cell>
          <cell r="AG61">
            <v>2903</v>
          </cell>
          <cell r="AH61">
            <v>1772</v>
          </cell>
          <cell r="AI61">
            <v>10.334717607973422</v>
          </cell>
        </row>
        <row r="62">
          <cell r="C62" t="str">
            <v>190420</v>
          </cell>
          <cell r="AE62">
            <v>6500903</v>
          </cell>
          <cell r="AF62" t="str">
            <v>CEREAL MATINAL DE MILHO EM FLOCOS</v>
          </cell>
          <cell r="AG62">
            <v>2903</v>
          </cell>
          <cell r="AH62">
            <v>1772</v>
          </cell>
          <cell r="AI62">
            <v>10.334717607973422</v>
          </cell>
        </row>
        <row r="63">
          <cell r="C63" t="str">
            <v>110430</v>
          </cell>
          <cell r="AE63">
            <v>6501301</v>
          </cell>
          <cell r="AF63" t="str">
            <v>GERME DE TRIGO</v>
          </cell>
          <cell r="AG63">
            <v>733</v>
          </cell>
          <cell r="AH63">
            <v>4557.287251027471</v>
          </cell>
          <cell r="AI63">
            <v>10</v>
          </cell>
        </row>
        <row r="64">
          <cell r="C64" t="str">
            <v>110430</v>
          </cell>
          <cell r="AE64">
            <v>6501303</v>
          </cell>
          <cell r="AF64" t="str">
            <v>FIBRA DE TRIGO</v>
          </cell>
          <cell r="AG64">
            <v>733</v>
          </cell>
          <cell r="AH64">
            <v>4557.287251027471</v>
          </cell>
          <cell r="AI64">
            <v>10</v>
          </cell>
        </row>
        <row r="65">
          <cell r="C65" t="str">
            <v>110430</v>
          </cell>
          <cell r="AE65">
            <v>6501304</v>
          </cell>
          <cell r="AF65" t="str">
            <v>FIBRA DE CEREAL TRIGO</v>
          </cell>
          <cell r="AG65">
            <v>733</v>
          </cell>
          <cell r="AH65">
            <v>4557.287251027471</v>
          </cell>
          <cell r="AI65">
            <v>10</v>
          </cell>
        </row>
        <row r="66">
          <cell r="C66" t="str">
            <v>110620</v>
          </cell>
          <cell r="AE66">
            <v>6501401</v>
          </cell>
          <cell r="AF66" t="str">
            <v>FARINHA DE MANDIOCA</v>
          </cell>
          <cell r="AG66">
            <v>594</v>
          </cell>
          <cell r="AH66">
            <v>1653.8799756971666</v>
          </cell>
          <cell r="AI66">
            <v>8.5</v>
          </cell>
        </row>
        <row r="67">
          <cell r="C67" t="str">
            <v>110620</v>
          </cell>
          <cell r="AE67">
            <v>6501410</v>
          </cell>
          <cell r="AF67" t="str">
            <v>FARINHA DE COPIOBA</v>
          </cell>
          <cell r="AG67">
            <v>594</v>
          </cell>
          <cell r="AH67">
            <v>1854.3502757816716</v>
          </cell>
          <cell r="AI67">
            <v>8.5</v>
          </cell>
        </row>
        <row r="68">
          <cell r="C68" t="str">
            <v>110620</v>
          </cell>
          <cell r="AE68">
            <v>6501415</v>
          </cell>
          <cell r="AF68" t="str">
            <v>FARINHA DE AGUA</v>
          </cell>
          <cell r="AG68">
            <v>594</v>
          </cell>
          <cell r="AH68">
            <v>1854.3502757816716</v>
          </cell>
          <cell r="AI68">
            <v>8.5</v>
          </cell>
        </row>
        <row r="69">
          <cell r="C69" t="str">
            <v>110620</v>
          </cell>
          <cell r="AE69">
            <v>6501510</v>
          </cell>
          <cell r="AF69" t="str">
            <v>FARINHA DE TAPIOCA</v>
          </cell>
          <cell r="AG69">
            <v>594</v>
          </cell>
          <cell r="AH69">
            <v>2255.2908759506818</v>
          </cell>
          <cell r="AI69">
            <v>8.5</v>
          </cell>
        </row>
        <row r="70">
          <cell r="C70" t="str">
            <v>110620</v>
          </cell>
          <cell r="AE70">
            <v>6501515</v>
          </cell>
          <cell r="AF70" t="str">
            <v>SAGU DE TAPIOCA</v>
          </cell>
          <cell r="AG70">
            <v>594</v>
          </cell>
          <cell r="AH70">
            <v>1854.3502757816716</v>
          </cell>
          <cell r="AI70">
            <v>8.5</v>
          </cell>
        </row>
        <row r="71">
          <cell r="C71" t="str">
            <v>110620</v>
          </cell>
          <cell r="AE71">
            <v>6501516</v>
          </cell>
          <cell r="AF71" t="str">
            <v>TAPIOCA DE GOMA</v>
          </cell>
          <cell r="AG71">
            <v>594</v>
          </cell>
          <cell r="AH71">
            <v>1854.3502757816716</v>
          </cell>
          <cell r="AI71">
            <v>8.5</v>
          </cell>
        </row>
        <row r="72">
          <cell r="C72" t="str">
            <v>190420</v>
          </cell>
          <cell r="AE72">
            <v>6502001</v>
          </cell>
          <cell r="AF72" t="str">
            <v>FARINHA LACTEA</v>
          </cell>
          <cell r="AG72">
            <v>2903</v>
          </cell>
          <cell r="AH72">
            <v>1772</v>
          </cell>
          <cell r="AI72">
            <v>10.334717607973422</v>
          </cell>
        </row>
        <row r="73">
          <cell r="C73" t="str">
            <v>190420</v>
          </cell>
          <cell r="AE73">
            <v>6502101</v>
          </cell>
          <cell r="AF73" t="str">
            <v>NESTON</v>
          </cell>
          <cell r="AG73">
            <v>2903</v>
          </cell>
          <cell r="AH73">
            <v>1772</v>
          </cell>
          <cell r="AI73">
            <v>10.334717607973422</v>
          </cell>
        </row>
        <row r="74">
          <cell r="C74" t="str">
            <v>190420</v>
          </cell>
          <cell r="AE74">
            <v>6502102</v>
          </cell>
          <cell r="AF74" t="str">
            <v>FLOCOS DE CEREAIS</v>
          </cell>
          <cell r="AG74">
            <v>2903</v>
          </cell>
          <cell r="AH74">
            <v>1772</v>
          </cell>
          <cell r="AI74">
            <v>10.334717607973422</v>
          </cell>
        </row>
        <row r="75">
          <cell r="C75">
            <v>190590</v>
          </cell>
          <cell r="AE75">
            <v>6502403</v>
          </cell>
          <cell r="AF75" t="str">
            <v>MINI PIZZA SEMIPRONTA</v>
          </cell>
          <cell r="AG75">
            <v>5600</v>
          </cell>
          <cell r="AH75">
            <v>1600</v>
          </cell>
          <cell r="AI75">
            <v>6.7933333333333339</v>
          </cell>
        </row>
        <row r="76">
          <cell r="C76">
            <v>200510</v>
          </cell>
          <cell r="AE76">
            <v>6502501</v>
          </cell>
          <cell r="AF76" t="str">
            <v>FIBRA DE SOJA</v>
          </cell>
          <cell r="AG76">
            <v>3240</v>
          </cell>
          <cell r="AH76">
            <v>2256.485722150212</v>
          </cell>
          <cell r="AI76">
            <v>5</v>
          </cell>
        </row>
        <row r="77">
          <cell r="C77">
            <v>190211</v>
          </cell>
          <cell r="AE77">
            <v>6503401</v>
          </cell>
          <cell r="AF77" t="str">
            <v>MACARRAO</v>
          </cell>
          <cell r="AG77">
            <v>1368.2835566062515</v>
          </cell>
          <cell r="AH77">
            <v>1730.2020304029807</v>
          </cell>
          <cell r="AI77">
            <v>10.5</v>
          </cell>
        </row>
        <row r="78">
          <cell r="C78" t="str">
            <v>070993</v>
          </cell>
          <cell r="AE78">
            <v>6503502</v>
          </cell>
          <cell r="AF78" t="str">
            <v>PURE DE ABOBORA / JERIMUM / GERIMUM</v>
          </cell>
          <cell r="AG78">
            <v>335.30210772833726</v>
          </cell>
          <cell r="AH78">
            <v>799.09345438723949</v>
          </cell>
          <cell r="AI78">
            <v>1.5</v>
          </cell>
        </row>
        <row r="79">
          <cell r="C79">
            <v>200510</v>
          </cell>
          <cell r="AE79">
            <v>6503601</v>
          </cell>
          <cell r="AF79" t="str">
            <v>BIFE VEGETAL</v>
          </cell>
          <cell r="AG79">
            <v>3240</v>
          </cell>
          <cell r="AH79">
            <v>2000</v>
          </cell>
          <cell r="AI79">
            <v>5</v>
          </cell>
        </row>
        <row r="80">
          <cell r="C80">
            <v>200510</v>
          </cell>
          <cell r="AE80">
            <v>6503603</v>
          </cell>
          <cell r="AF80" t="str">
            <v>CARNE VEGETAL</v>
          </cell>
          <cell r="AG80">
            <v>4100</v>
          </cell>
          <cell r="AH80">
            <v>2256.485722150212</v>
          </cell>
          <cell r="AI80">
            <v>5</v>
          </cell>
        </row>
        <row r="81">
          <cell r="C81">
            <v>200510</v>
          </cell>
          <cell r="AE81">
            <v>6503604</v>
          </cell>
          <cell r="AF81" t="str">
            <v>PASTA DE SOJA</v>
          </cell>
          <cell r="AG81">
            <v>3240</v>
          </cell>
          <cell r="AH81">
            <v>585.94876142991836</v>
          </cell>
          <cell r="AI81">
            <v>5</v>
          </cell>
        </row>
        <row r="82">
          <cell r="C82">
            <v>200510</v>
          </cell>
          <cell r="AE82">
            <v>6503605</v>
          </cell>
          <cell r="AF82" t="str">
            <v>CARNE DE SOJA</v>
          </cell>
          <cell r="AG82">
            <v>4900</v>
          </cell>
          <cell r="AH82">
            <v>3854.9260620389368</v>
          </cell>
          <cell r="AI82">
            <v>5</v>
          </cell>
        </row>
        <row r="83">
          <cell r="C83" t="str">
            <v>120242</v>
          </cell>
          <cell r="AE83">
            <v>6503702</v>
          </cell>
          <cell r="AF83" t="str">
            <v>AMENDOIM MOIDO</v>
          </cell>
          <cell r="AG83">
            <v>1333.3333333333333</v>
          </cell>
          <cell r="AH83">
            <v>2704.2217653304615</v>
          </cell>
          <cell r="AI83">
            <v>5.9456146715745248</v>
          </cell>
        </row>
        <row r="84">
          <cell r="C84" t="str">
            <v>190420</v>
          </cell>
          <cell r="AE84">
            <v>6504101</v>
          </cell>
          <cell r="AF84" t="str">
            <v>GRANOLA</v>
          </cell>
          <cell r="AG84">
            <v>2903</v>
          </cell>
          <cell r="AH84">
            <v>1772</v>
          </cell>
          <cell r="AI84">
            <v>10.334717607973422</v>
          </cell>
        </row>
        <row r="85">
          <cell r="C85" t="str">
            <v>190420</v>
          </cell>
          <cell r="AE85">
            <v>6504701</v>
          </cell>
          <cell r="AF85" t="str">
            <v>MIX DE CEREAIS</v>
          </cell>
          <cell r="AG85">
            <v>2903</v>
          </cell>
          <cell r="AH85">
            <v>1772</v>
          </cell>
          <cell r="AI85">
            <v>10.334717607973422</v>
          </cell>
        </row>
        <row r="86">
          <cell r="C86" t="str">
            <v>190230</v>
          </cell>
          <cell r="AE86">
            <v>6504801</v>
          </cell>
          <cell r="AF86" t="str">
            <v>MIOJO</v>
          </cell>
          <cell r="AG86">
            <v>1447.9877152988854</v>
          </cell>
          <cell r="AH86">
            <v>1730.2020304029807</v>
          </cell>
          <cell r="AI86">
            <v>10.5</v>
          </cell>
        </row>
        <row r="87">
          <cell r="C87">
            <v>190219</v>
          </cell>
          <cell r="AE87">
            <v>6504802</v>
          </cell>
          <cell r="AF87" t="str">
            <v>MACARRAO INSTANTANEO</v>
          </cell>
          <cell r="AG87">
            <v>1368.2835566062515</v>
          </cell>
          <cell r="AH87">
            <v>1730.2020304029807</v>
          </cell>
          <cell r="AI87">
            <v>10.5</v>
          </cell>
        </row>
        <row r="88">
          <cell r="C88">
            <v>220290</v>
          </cell>
          <cell r="AE88">
            <v>6505101</v>
          </cell>
          <cell r="AF88" t="str">
            <v>SUSTAGEM</v>
          </cell>
          <cell r="AG88">
            <v>794.44444444444446</v>
          </cell>
          <cell r="AH88">
            <v>11543.725015272823</v>
          </cell>
          <cell r="AI88">
            <v>57.5</v>
          </cell>
        </row>
        <row r="89">
          <cell r="C89">
            <v>220290</v>
          </cell>
          <cell r="AE89">
            <v>6505102</v>
          </cell>
          <cell r="AF89" t="str">
            <v>NUTREN, ENSURE, SUSTEN</v>
          </cell>
          <cell r="AG89">
            <v>794.44444444444446</v>
          </cell>
          <cell r="AH89">
            <v>11543.725015272823</v>
          </cell>
          <cell r="AI89">
            <v>57.5</v>
          </cell>
        </row>
        <row r="90">
          <cell r="C90">
            <v>200510</v>
          </cell>
          <cell r="AE90">
            <v>6505601</v>
          </cell>
          <cell r="AF90" t="str">
            <v>PROTEINA DE SOJA</v>
          </cell>
          <cell r="AG90">
            <v>2400</v>
          </cell>
          <cell r="AH90">
            <v>2256.485722150212</v>
          </cell>
          <cell r="AI90">
            <v>5</v>
          </cell>
        </row>
        <row r="91">
          <cell r="C91">
            <v>220290</v>
          </cell>
          <cell r="AE91">
            <v>6505701</v>
          </cell>
          <cell r="AF91" t="str">
            <v>COMPLEMENTO ALIMENTAR DE QUALQUER SABOR</v>
          </cell>
          <cell r="AG91">
            <v>794.44444444444446</v>
          </cell>
          <cell r="AH91">
            <v>11543.725015272823</v>
          </cell>
          <cell r="AI91">
            <v>57.5</v>
          </cell>
        </row>
        <row r="92">
          <cell r="C92">
            <v>190590</v>
          </cell>
          <cell r="AE92">
            <v>6506003</v>
          </cell>
          <cell r="AF92" t="str">
            <v>MINI PIZZA SEMIPRONTA LIGHT</v>
          </cell>
          <cell r="AG92">
            <v>3800</v>
          </cell>
          <cell r="AH92">
            <v>1600</v>
          </cell>
          <cell r="AI92">
            <v>6.7933333333333339</v>
          </cell>
        </row>
        <row r="93">
          <cell r="C93">
            <v>190219</v>
          </cell>
          <cell r="AE93">
            <v>6506302</v>
          </cell>
          <cell r="AF93" t="str">
            <v>MACARRAO INSTANTANEO LIGHT</v>
          </cell>
          <cell r="AG93">
            <v>1368.2835566062515</v>
          </cell>
          <cell r="AH93">
            <v>1730.2020304029807</v>
          </cell>
          <cell r="AI93">
            <v>10.5</v>
          </cell>
        </row>
        <row r="94">
          <cell r="C94">
            <v>190211</v>
          </cell>
          <cell r="AE94">
            <v>6573242</v>
          </cell>
          <cell r="AF94" t="str">
            <v>MASSA / MACARRAO, INTEGRAL</v>
          </cell>
          <cell r="AG94">
            <v>1368.2835566062515</v>
          </cell>
          <cell r="AH94">
            <v>1730.2020304029807</v>
          </cell>
          <cell r="AI94">
            <v>10.5</v>
          </cell>
        </row>
        <row r="95">
          <cell r="C95">
            <v>220290</v>
          </cell>
          <cell r="AE95">
            <v>6580001</v>
          </cell>
          <cell r="AF95" t="str">
            <v>SUPLEMENTO PROTEICO E OUTROS</v>
          </cell>
          <cell r="AG95">
            <v>794.44444444444446</v>
          </cell>
          <cell r="AH95">
            <v>11543.725015272823</v>
          </cell>
          <cell r="AI95">
            <v>57.5</v>
          </cell>
        </row>
        <row r="96">
          <cell r="C96">
            <v>220290</v>
          </cell>
          <cell r="AE96">
            <v>6580101</v>
          </cell>
          <cell r="AF96" t="str">
            <v>VITAMINAS, MINERAIS E OUTROS</v>
          </cell>
          <cell r="AG96">
            <v>794.44444444444446</v>
          </cell>
          <cell r="AH96">
            <v>11543.725015272823</v>
          </cell>
          <cell r="AI96">
            <v>57.5</v>
          </cell>
        </row>
        <row r="97">
          <cell r="C97" t="str">
            <v>080119</v>
          </cell>
          <cell r="AE97">
            <v>6600101</v>
          </cell>
          <cell r="AF97" t="str">
            <v>COCO DA BAHIA (SECO OU VERDE)</v>
          </cell>
          <cell r="AG97">
            <v>1853.3333333333333</v>
          </cell>
          <cell r="AH97">
            <v>928.18058566005857</v>
          </cell>
          <cell r="AI97">
            <v>4.8757736240913818</v>
          </cell>
        </row>
        <row r="98">
          <cell r="C98" t="str">
            <v>080119</v>
          </cell>
          <cell r="AE98">
            <v>6600104</v>
          </cell>
          <cell r="AF98" t="str">
            <v>COCO SECO</v>
          </cell>
          <cell r="AG98">
            <v>1853.3333333333333</v>
          </cell>
          <cell r="AH98">
            <v>928.18058566005857</v>
          </cell>
          <cell r="AI98">
            <v>4.8757736240913818</v>
          </cell>
        </row>
        <row r="99">
          <cell r="C99" t="str">
            <v>080119</v>
          </cell>
          <cell r="AE99">
            <v>6600105</v>
          </cell>
          <cell r="AF99" t="str">
            <v>COCO VERDE</v>
          </cell>
          <cell r="AG99">
            <v>1853.3333333333333</v>
          </cell>
          <cell r="AH99">
            <v>928.18058566005857</v>
          </cell>
          <cell r="AI99">
            <v>4.8757736240913818</v>
          </cell>
        </row>
        <row r="100">
          <cell r="C100" t="str">
            <v>080240</v>
          </cell>
          <cell r="AE100">
            <v>6600301</v>
          </cell>
          <cell r="AF100" t="str">
            <v>CASTANHA PORTUGUESA</v>
          </cell>
          <cell r="AG100">
            <v>2295.541666666667</v>
          </cell>
          <cell r="AH100">
            <v>10840.969748776477</v>
          </cell>
          <cell r="AI100">
            <v>19.065420560747665</v>
          </cell>
        </row>
        <row r="101">
          <cell r="C101" t="str">
            <v>080290</v>
          </cell>
          <cell r="AE101">
            <v>6600401</v>
          </cell>
          <cell r="AF101" t="str">
            <v>PINHAO</v>
          </cell>
          <cell r="AG101">
            <v>2295.541666666667</v>
          </cell>
          <cell r="AH101">
            <v>10840.969748776477</v>
          </cell>
          <cell r="AI101">
            <v>19.065420560747665</v>
          </cell>
        </row>
        <row r="102">
          <cell r="C102" t="str">
            <v>080212</v>
          </cell>
          <cell r="AE102">
            <v>6600501</v>
          </cell>
          <cell r="AF102" t="str">
            <v>AMENDOA</v>
          </cell>
          <cell r="AG102">
            <v>2670</v>
          </cell>
          <cell r="AH102">
            <v>10840.969748776477</v>
          </cell>
          <cell r="AI102">
            <v>19.065420560747665</v>
          </cell>
        </row>
        <row r="103">
          <cell r="C103" t="str">
            <v>080222</v>
          </cell>
          <cell r="AE103">
            <v>6600601</v>
          </cell>
          <cell r="AF103" t="str">
            <v>AVELA</v>
          </cell>
          <cell r="AG103">
            <v>2295.541666666667</v>
          </cell>
          <cell r="AH103">
            <v>10840.969748776477</v>
          </cell>
          <cell r="AI103">
            <v>19.065420560747665</v>
          </cell>
        </row>
        <row r="104">
          <cell r="C104" t="str">
            <v>080121</v>
          </cell>
          <cell r="AE104">
            <v>6600701</v>
          </cell>
          <cell r="AF104" t="str">
            <v>CASTANHA DO PARA</v>
          </cell>
          <cell r="AG104">
            <v>1853.3333333333333</v>
          </cell>
          <cell r="AH104">
            <v>9069.9875142558085</v>
          </cell>
          <cell r="AI104">
            <v>4.8757736240913818</v>
          </cell>
        </row>
        <row r="105">
          <cell r="C105" t="str">
            <v>080121</v>
          </cell>
          <cell r="AE105">
            <v>6600702</v>
          </cell>
          <cell r="AF105" t="str">
            <v>CASTANHA DO BRASIL</v>
          </cell>
          <cell r="AG105">
            <v>1853.3333333333333</v>
          </cell>
          <cell r="AH105">
            <v>9069.9875142558085</v>
          </cell>
          <cell r="AI105">
            <v>4.8757736240913818</v>
          </cell>
        </row>
        <row r="106">
          <cell r="C106" t="str">
            <v>080121</v>
          </cell>
          <cell r="AE106">
            <v>6600703</v>
          </cell>
          <cell r="AF106" t="str">
            <v>NOZES DO PARA</v>
          </cell>
          <cell r="AG106">
            <v>1853.3333333333333</v>
          </cell>
          <cell r="AH106">
            <v>9069.9875142558085</v>
          </cell>
          <cell r="AI106">
            <v>4.8757736240913818</v>
          </cell>
        </row>
        <row r="107">
          <cell r="C107" t="str">
            <v>080131</v>
          </cell>
          <cell r="AE107">
            <v>6600801</v>
          </cell>
          <cell r="AF107" t="str">
            <v>CASTANHA DE CAJU</v>
          </cell>
          <cell r="AG107">
            <v>1853.3333333333333</v>
          </cell>
          <cell r="AH107">
            <v>33495.408300043062</v>
          </cell>
          <cell r="AI107">
            <v>4.8757736240913818</v>
          </cell>
        </row>
        <row r="108">
          <cell r="C108" t="str">
            <v>080131</v>
          </cell>
          <cell r="AE108">
            <v>6600901</v>
          </cell>
          <cell r="AF108" t="str">
            <v>COCO OURICURI</v>
          </cell>
          <cell r="AG108">
            <v>1853.3333333333333</v>
          </cell>
          <cell r="AH108">
            <v>33495.408300043062</v>
          </cell>
          <cell r="AI108">
            <v>4.8757736240913818</v>
          </cell>
        </row>
        <row r="109">
          <cell r="C109" t="str">
            <v>080112</v>
          </cell>
          <cell r="AE109">
            <v>6600912</v>
          </cell>
          <cell r="AF109" t="str">
            <v>BUTIA</v>
          </cell>
          <cell r="AG109">
            <v>1853.3333333333333</v>
          </cell>
          <cell r="AH109">
            <v>928.18058566005857</v>
          </cell>
          <cell r="AI109">
            <v>4.8757736240913818</v>
          </cell>
        </row>
        <row r="110">
          <cell r="C110" t="str">
            <v>080131</v>
          </cell>
          <cell r="AE110">
            <v>6600913</v>
          </cell>
          <cell r="AF110" t="str">
            <v>LICURI</v>
          </cell>
          <cell r="AG110">
            <v>1853.3333333333333</v>
          </cell>
          <cell r="AH110">
            <v>33495.408300043062</v>
          </cell>
          <cell r="AI110">
            <v>4.8757736240913818</v>
          </cell>
        </row>
        <row r="111">
          <cell r="C111" t="str">
            <v>080131</v>
          </cell>
          <cell r="AE111">
            <v>6601002</v>
          </cell>
          <cell r="AF111" t="str">
            <v>COCO BABACU</v>
          </cell>
          <cell r="AG111">
            <v>1853.3333333333333</v>
          </cell>
          <cell r="AH111">
            <v>33495.408300043062</v>
          </cell>
          <cell r="AI111">
            <v>4.8757736240913818</v>
          </cell>
        </row>
        <row r="112">
          <cell r="C112" t="str">
            <v>080112</v>
          </cell>
          <cell r="AE112">
            <v>6601108</v>
          </cell>
          <cell r="AF112" t="str">
            <v>TUCUMA</v>
          </cell>
          <cell r="AG112">
            <v>1853.3333333333333</v>
          </cell>
          <cell r="AH112">
            <v>928.18058566005857</v>
          </cell>
          <cell r="AI112">
            <v>4.8757736240913818</v>
          </cell>
        </row>
        <row r="113">
          <cell r="C113" t="str">
            <v>080112</v>
          </cell>
          <cell r="AE113">
            <v>6601213</v>
          </cell>
          <cell r="AF113" t="str">
            <v>BOCAIUVA</v>
          </cell>
          <cell r="AG113">
            <v>1853.3333333333333</v>
          </cell>
          <cell r="AH113">
            <v>928.18058566005857</v>
          </cell>
          <cell r="AI113">
            <v>4.8757736240913818</v>
          </cell>
        </row>
        <row r="114">
          <cell r="C114" t="str">
            <v>080232</v>
          </cell>
          <cell r="AE114">
            <v>6601501</v>
          </cell>
          <cell r="AF114" t="str">
            <v>NOZ (NOGUEIRA)</v>
          </cell>
          <cell r="AG114">
            <v>1631.0833333333335</v>
          </cell>
          <cell r="AH114">
            <v>10840.969748776477</v>
          </cell>
          <cell r="AI114">
            <v>19.065420560747665</v>
          </cell>
        </row>
        <row r="115">
          <cell r="C115" t="str">
            <v>080112</v>
          </cell>
          <cell r="AE115">
            <v>6601707</v>
          </cell>
          <cell r="AF115" t="str">
            <v>JUCARA</v>
          </cell>
          <cell r="AG115">
            <v>1853.3333333333333</v>
          </cell>
          <cell r="AH115">
            <v>928.18058566005857</v>
          </cell>
          <cell r="AI115">
            <v>4.8757736240913818</v>
          </cell>
        </row>
        <row r="116">
          <cell r="C116" t="str">
            <v>080112</v>
          </cell>
          <cell r="AE116">
            <v>6601709</v>
          </cell>
          <cell r="AF116" t="str">
            <v>UACAI</v>
          </cell>
          <cell r="AG116">
            <v>1853.3333333333333</v>
          </cell>
          <cell r="AH116">
            <v>928.18058566005857</v>
          </cell>
          <cell r="AI116">
            <v>4.8757736240913818</v>
          </cell>
        </row>
        <row r="117">
          <cell r="C117" t="str">
            <v>080112</v>
          </cell>
          <cell r="AE117">
            <v>6601712</v>
          </cell>
          <cell r="AF117" t="str">
            <v>JUSSARA</v>
          </cell>
          <cell r="AG117">
            <v>1853.3333333333333</v>
          </cell>
          <cell r="AH117">
            <v>928.18058566005857</v>
          </cell>
          <cell r="AI117">
            <v>4.8757736240913818</v>
          </cell>
        </row>
        <row r="118">
          <cell r="C118" t="str">
            <v>080112</v>
          </cell>
          <cell r="AE118">
            <v>6601803</v>
          </cell>
          <cell r="AF118" t="str">
            <v>COCO PUPUNHA</v>
          </cell>
          <cell r="AG118">
            <v>1853.3333333333333</v>
          </cell>
          <cell r="AH118">
            <v>928.18058566005857</v>
          </cell>
          <cell r="AI118">
            <v>4.8757736240913818</v>
          </cell>
        </row>
        <row r="119">
          <cell r="C119" t="str">
            <v>080112</v>
          </cell>
          <cell r="AE119">
            <v>6601805</v>
          </cell>
          <cell r="AF119" t="str">
            <v>PUPUNHA</v>
          </cell>
          <cell r="AG119">
            <v>1853.3333333333333</v>
          </cell>
          <cell r="AH119">
            <v>928.18058566005857</v>
          </cell>
          <cell r="AI119">
            <v>4.8757736240913818</v>
          </cell>
        </row>
        <row r="120">
          <cell r="C120" t="str">
            <v>080112</v>
          </cell>
          <cell r="AE120">
            <v>6601902</v>
          </cell>
          <cell r="AF120" t="str">
            <v>BACABA</v>
          </cell>
          <cell r="AG120">
            <v>1853.3333333333333</v>
          </cell>
          <cell r="AH120">
            <v>928.18058566005857</v>
          </cell>
          <cell r="AI120">
            <v>4.8757736240913818</v>
          </cell>
        </row>
        <row r="121">
          <cell r="C121" t="str">
            <v>080112</v>
          </cell>
          <cell r="AE121">
            <v>6602001</v>
          </cell>
          <cell r="AF121" t="str">
            <v>CASTANHA DA INDIA</v>
          </cell>
          <cell r="AG121">
            <v>1853.3333333333333</v>
          </cell>
          <cell r="AH121">
            <v>928.18058566005857</v>
          </cell>
          <cell r="AI121">
            <v>4.8757736240913818</v>
          </cell>
        </row>
        <row r="122">
          <cell r="C122" t="str">
            <v>080250</v>
          </cell>
          <cell r="AE122">
            <v>6602201</v>
          </cell>
          <cell r="AF122" t="str">
            <v>PISTACHE</v>
          </cell>
          <cell r="AG122">
            <v>3830</v>
          </cell>
          <cell r="AH122">
            <v>10840.969748776477</v>
          </cell>
          <cell r="AI122">
            <v>19.065420560747665</v>
          </cell>
        </row>
        <row r="123">
          <cell r="C123" t="str">
            <v>080112</v>
          </cell>
          <cell r="AE123">
            <v>6602301</v>
          </cell>
          <cell r="AF123" t="str">
            <v>BURITI</v>
          </cell>
          <cell r="AG123">
            <v>1853.3333333333333</v>
          </cell>
          <cell r="AH123">
            <v>928.18058566005857</v>
          </cell>
          <cell r="AI123">
            <v>4.8757736240913818</v>
          </cell>
        </row>
        <row r="124">
          <cell r="C124" t="str">
            <v>080119</v>
          </cell>
          <cell r="AE124">
            <v>6602401</v>
          </cell>
          <cell r="AF124" t="str">
            <v>COCO</v>
          </cell>
          <cell r="AG124">
            <v>1853.3333333333333</v>
          </cell>
          <cell r="AH124">
            <v>928.18058566005857</v>
          </cell>
          <cell r="AI124">
            <v>4.8757736240913818</v>
          </cell>
        </row>
        <row r="125">
          <cell r="C125" t="str">
            <v>080232</v>
          </cell>
          <cell r="AE125">
            <v>6602501</v>
          </cell>
          <cell r="AF125" t="str">
            <v>CASTANHAS NAO ESPECIFICADAS</v>
          </cell>
          <cell r="AG125">
            <v>1631.0833333333335</v>
          </cell>
          <cell r="AH125">
            <v>10840.969748776477</v>
          </cell>
          <cell r="AI125">
            <v>19.065420560747665</v>
          </cell>
        </row>
        <row r="126">
          <cell r="C126" t="str">
            <v>080232</v>
          </cell>
          <cell r="AE126">
            <v>6602502</v>
          </cell>
          <cell r="AF126" t="str">
            <v>CASTANHAS E SEMENTES, MISTURA</v>
          </cell>
          <cell r="AG126">
            <v>1631.0833333333335</v>
          </cell>
          <cell r="AH126">
            <v>10840.969748776477</v>
          </cell>
          <cell r="AI126">
            <v>19.065420560747665</v>
          </cell>
        </row>
        <row r="127">
          <cell r="C127" t="str">
            <v>080112</v>
          </cell>
          <cell r="AE127">
            <v>6602601</v>
          </cell>
          <cell r="AF127" t="str">
            <v>PATAUA</v>
          </cell>
          <cell r="AG127">
            <v>1853.3333333333333</v>
          </cell>
          <cell r="AH127">
            <v>928.18058566005857</v>
          </cell>
          <cell r="AI127">
            <v>4.8757736240913818</v>
          </cell>
        </row>
        <row r="128">
          <cell r="C128" t="str">
            <v>080232</v>
          </cell>
          <cell r="AE128">
            <v>6603001</v>
          </cell>
          <cell r="AF128" t="str">
            <v>NOZ PECAN</v>
          </cell>
          <cell r="AG128">
            <v>1631.0833333333335</v>
          </cell>
          <cell r="AH128">
            <v>10840.969748776477</v>
          </cell>
          <cell r="AI128">
            <v>19.065420560747665</v>
          </cell>
        </row>
        <row r="129">
          <cell r="C129">
            <v>151550</v>
          </cell>
          <cell r="AE129">
            <v>6603201</v>
          </cell>
          <cell r="AF129" t="str">
            <v>TAHINI, PASTA</v>
          </cell>
          <cell r="AG129">
            <v>2047.5</v>
          </cell>
          <cell r="AH129">
            <v>4473.6157692437682</v>
          </cell>
          <cell r="AI129">
            <v>66</v>
          </cell>
        </row>
        <row r="130">
          <cell r="C130" t="str">
            <v>070519</v>
          </cell>
          <cell r="AE130">
            <v>6700101</v>
          </cell>
          <cell r="AF130" t="str">
            <v>ALFACE</v>
          </cell>
          <cell r="AG130">
            <v>337.41888888888889</v>
          </cell>
          <cell r="AH130">
            <v>416.07420888875833</v>
          </cell>
          <cell r="AI130">
            <v>2.158507462686567</v>
          </cell>
        </row>
        <row r="131">
          <cell r="C131" t="str">
            <v>070529</v>
          </cell>
          <cell r="AE131">
            <v>6700301</v>
          </cell>
          <cell r="AF131" t="str">
            <v>CHICORIA</v>
          </cell>
          <cell r="AG131">
            <v>337.41888888888889</v>
          </cell>
          <cell r="AH131">
            <v>416.07420888875833</v>
          </cell>
          <cell r="AI131">
            <v>1.9417910447761193</v>
          </cell>
        </row>
        <row r="132">
          <cell r="C132" t="str">
            <v>070529</v>
          </cell>
          <cell r="AE132">
            <v>6700304</v>
          </cell>
          <cell r="AF132" t="str">
            <v>ESCAROLA</v>
          </cell>
          <cell r="AG132">
            <v>337.41888888888889</v>
          </cell>
          <cell r="AH132">
            <v>416.07420888875833</v>
          </cell>
          <cell r="AI132">
            <v>1.9417910447761193</v>
          </cell>
        </row>
        <row r="133">
          <cell r="C133" t="str">
            <v>070529</v>
          </cell>
          <cell r="AE133">
            <v>6700305</v>
          </cell>
          <cell r="AF133" t="str">
            <v>ENDIVIA</v>
          </cell>
          <cell r="AG133">
            <v>337.41888888888889</v>
          </cell>
          <cell r="AH133">
            <v>416.07420888875833</v>
          </cell>
          <cell r="AI133">
            <v>1.9417910447761193</v>
          </cell>
        </row>
        <row r="134">
          <cell r="C134" t="str">
            <v>070410</v>
          </cell>
          <cell r="AE134">
            <v>6700501</v>
          </cell>
          <cell r="AF134" t="str">
            <v>COUVE</v>
          </cell>
          <cell r="AG134">
            <v>349.4</v>
          </cell>
          <cell r="AH134">
            <v>799.09345438723949</v>
          </cell>
          <cell r="AI134">
            <v>1.35</v>
          </cell>
        </row>
        <row r="135">
          <cell r="C135" t="str">
            <v>070410</v>
          </cell>
          <cell r="AE135">
            <v>6700601</v>
          </cell>
          <cell r="AF135" t="str">
            <v>COUVE FLOR</v>
          </cell>
          <cell r="AG135">
            <v>307.5</v>
          </cell>
          <cell r="AH135">
            <v>799.09345438723949</v>
          </cell>
          <cell r="AI135">
            <v>1.2</v>
          </cell>
        </row>
        <row r="136">
          <cell r="C136" t="str">
            <v>070970</v>
          </cell>
          <cell r="AE136">
            <v>6700701</v>
          </cell>
          <cell r="AF136" t="str">
            <v>ESPINAFRE</v>
          </cell>
          <cell r="AG136">
            <v>198</v>
          </cell>
          <cell r="AH136">
            <v>799.09345438723949</v>
          </cell>
          <cell r="AI136">
            <v>1.4</v>
          </cell>
        </row>
        <row r="137">
          <cell r="C137" t="str">
            <v>070490</v>
          </cell>
          <cell r="AE137">
            <v>6700801</v>
          </cell>
          <cell r="AF137" t="str">
            <v>MOSTARDA (VERDURA)</v>
          </cell>
          <cell r="AG137">
            <v>231.33333333333334</v>
          </cell>
          <cell r="AH137">
            <v>799.09345438723949</v>
          </cell>
          <cell r="AI137">
            <v>1.25</v>
          </cell>
        </row>
        <row r="138">
          <cell r="C138" t="str">
            <v>070490</v>
          </cell>
          <cell r="AE138">
            <v>6700901</v>
          </cell>
          <cell r="AF138" t="str">
            <v>REPOLHO</v>
          </cell>
          <cell r="AG138">
            <v>107</v>
          </cell>
          <cell r="AH138">
            <v>799.09345438723949</v>
          </cell>
          <cell r="AI138">
            <v>1.25</v>
          </cell>
        </row>
        <row r="139">
          <cell r="C139" t="str">
            <v>070490</v>
          </cell>
          <cell r="AE139">
            <v>6700903</v>
          </cell>
          <cell r="AF139" t="str">
            <v>REPOLHO ROXO</v>
          </cell>
          <cell r="AG139">
            <v>231.33333333333334</v>
          </cell>
          <cell r="AH139">
            <v>799.09345438723949</v>
          </cell>
          <cell r="AI139">
            <v>1.25</v>
          </cell>
        </row>
        <row r="140">
          <cell r="C140" t="str">
            <v>070490</v>
          </cell>
          <cell r="AE140">
            <v>6700904</v>
          </cell>
          <cell r="AF140" t="str">
            <v>REPOLHO VERDE</v>
          </cell>
          <cell r="AG140">
            <v>231.33333333333334</v>
          </cell>
          <cell r="AH140">
            <v>799.09345438723949</v>
          </cell>
          <cell r="AI140">
            <v>1.25</v>
          </cell>
        </row>
        <row r="141">
          <cell r="C141" t="str">
            <v>070390</v>
          </cell>
          <cell r="AE141">
            <v>6701101</v>
          </cell>
          <cell r="AF141" t="str">
            <v>CEBOLINHA</v>
          </cell>
          <cell r="AG141">
            <v>209.15</v>
          </cell>
          <cell r="AH141">
            <v>1623.4401269484947</v>
          </cell>
          <cell r="AI141">
            <v>1.2</v>
          </cell>
        </row>
        <row r="142">
          <cell r="C142" t="str">
            <v>070490</v>
          </cell>
          <cell r="AE142">
            <v>6701301</v>
          </cell>
          <cell r="AF142" t="str">
            <v>AGRIAO</v>
          </cell>
          <cell r="AG142">
            <v>231.33333333333334</v>
          </cell>
          <cell r="AH142">
            <v>799.09345438723949</v>
          </cell>
          <cell r="AI142">
            <v>1.25</v>
          </cell>
        </row>
        <row r="143">
          <cell r="C143" t="str">
            <v>071490</v>
          </cell>
          <cell r="AE143">
            <v>6701401</v>
          </cell>
          <cell r="AF143" t="str">
            <v>TAIOBA</v>
          </cell>
          <cell r="AG143">
            <v>77</v>
          </cell>
          <cell r="AH143">
            <v>485.74002695702137</v>
          </cell>
          <cell r="AI143">
            <v>5.3898582166145301</v>
          </cell>
        </row>
        <row r="144">
          <cell r="C144" t="str">
            <v>070519</v>
          </cell>
          <cell r="AE144">
            <v>6701501</v>
          </cell>
          <cell r="AF144" t="str">
            <v>ACELGA</v>
          </cell>
          <cell r="AG144">
            <v>337.41888888888889</v>
          </cell>
          <cell r="AH144">
            <v>416.07420888875833</v>
          </cell>
          <cell r="AI144">
            <v>1.9417910447761193</v>
          </cell>
        </row>
        <row r="145">
          <cell r="C145" t="str">
            <v>070519</v>
          </cell>
          <cell r="AE145">
            <v>6701505</v>
          </cell>
          <cell r="AF145" t="str">
            <v>BETERRABA BRANCA (ACELGA)</v>
          </cell>
          <cell r="AG145">
            <v>337.41888888888889</v>
          </cell>
          <cell r="AH145">
            <v>416.07420888875833</v>
          </cell>
          <cell r="AI145">
            <v>1.9417910447761193</v>
          </cell>
        </row>
        <row r="146">
          <cell r="C146" t="str">
            <v>070529</v>
          </cell>
          <cell r="AE146">
            <v>6701601</v>
          </cell>
          <cell r="AF146" t="str">
            <v>ALMEIRAO</v>
          </cell>
          <cell r="AG146">
            <v>337.41888888888889</v>
          </cell>
          <cell r="AH146">
            <v>416.07420888875833</v>
          </cell>
          <cell r="AI146">
            <v>1.9417910447761193</v>
          </cell>
        </row>
        <row r="147">
          <cell r="C147" t="str">
            <v>070529</v>
          </cell>
          <cell r="AE147">
            <v>6701602</v>
          </cell>
          <cell r="AF147" t="str">
            <v>RADITE</v>
          </cell>
          <cell r="AG147">
            <v>337.41888888888889</v>
          </cell>
          <cell r="AH147">
            <v>416.07420888875833</v>
          </cell>
          <cell r="AI147">
            <v>1.9417910447761193</v>
          </cell>
        </row>
        <row r="148">
          <cell r="C148" t="str">
            <v>070410</v>
          </cell>
          <cell r="AE148">
            <v>6701704</v>
          </cell>
          <cell r="AF148" t="str">
            <v>BROCOLIS</v>
          </cell>
          <cell r="AG148">
            <v>377.33333333333331</v>
          </cell>
          <cell r="AH148">
            <v>799.09345438723949</v>
          </cell>
          <cell r="AI148">
            <v>1.5</v>
          </cell>
        </row>
        <row r="149">
          <cell r="C149" t="str">
            <v>070490</v>
          </cell>
          <cell r="AE149">
            <v>6701801</v>
          </cell>
          <cell r="AF149" t="str">
            <v>SERRALHA</v>
          </cell>
          <cell r="AG149">
            <v>231.33333333333334</v>
          </cell>
          <cell r="AH149">
            <v>799.09345438723949</v>
          </cell>
          <cell r="AI149">
            <v>1.25</v>
          </cell>
        </row>
        <row r="150">
          <cell r="C150" t="str">
            <v>070490</v>
          </cell>
          <cell r="AE150">
            <v>6701901</v>
          </cell>
          <cell r="AF150" t="str">
            <v>CARURU</v>
          </cell>
          <cell r="AG150">
            <v>231.33333333333334</v>
          </cell>
          <cell r="AH150">
            <v>799.09345438723949</v>
          </cell>
          <cell r="AI150">
            <v>1.25</v>
          </cell>
        </row>
        <row r="151">
          <cell r="C151" t="str">
            <v>070490</v>
          </cell>
          <cell r="AE151">
            <v>6701906</v>
          </cell>
          <cell r="AF151" t="str">
            <v>CUXA</v>
          </cell>
          <cell r="AG151">
            <v>231.33333333333334</v>
          </cell>
          <cell r="AH151">
            <v>799.09345438723949</v>
          </cell>
          <cell r="AI151">
            <v>1.25</v>
          </cell>
        </row>
        <row r="152">
          <cell r="C152" t="str">
            <v>070490</v>
          </cell>
          <cell r="AE152">
            <v>6701913</v>
          </cell>
          <cell r="AF152" t="str">
            <v>CARIRU</v>
          </cell>
          <cell r="AG152">
            <v>231.33333333333334</v>
          </cell>
          <cell r="AH152">
            <v>799.09345438723949</v>
          </cell>
          <cell r="AI152">
            <v>1.25</v>
          </cell>
        </row>
        <row r="153">
          <cell r="C153" t="str">
            <v>070490</v>
          </cell>
          <cell r="AE153">
            <v>6702001</v>
          </cell>
          <cell r="AF153" t="str">
            <v>RUCULA</v>
          </cell>
          <cell r="AG153">
            <v>231.33333333333334</v>
          </cell>
          <cell r="AH153">
            <v>799.09345438723949</v>
          </cell>
          <cell r="AI153">
            <v>1.25</v>
          </cell>
        </row>
        <row r="154">
          <cell r="C154" t="str">
            <v>070490</v>
          </cell>
          <cell r="AE154">
            <v>6702105</v>
          </cell>
          <cell r="AF154" t="str">
            <v>JAMBU</v>
          </cell>
          <cell r="AG154">
            <v>231.33333333333334</v>
          </cell>
          <cell r="AH154">
            <v>799.09345438723949</v>
          </cell>
          <cell r="AI154">
            <v>1.25</v>
          </cell>
        </row>
        <row r="155">
          <cell r="C155" t="str">
            <v>070490</v>
          </cell>
          <cell r="AE155">
            <v>6702201</v>
          </cell>
          <cell r="AF155" t="str">
            <v>LINGUA DE VACA (VERDURA)</v>
          </cell>
          <cell r="AG155">
            <v>231.33333333333334</v>
          </cell>
          <cell r="AH155">
            <v>799.09345438723949</v>
          </cell>
          <cell r="AI155">
            <v>1.25</v>
          </cell>
        </row>
        <row r="156">
          <cell r="C156" t="str">
            <v>070490</v>
          </cell>
          <cell r="AE156">
            <v>6702301</v>
          </cell>
          <cell r="AF156" t="str">
            <v>ALCACHOFRA</v>
          </cell>
          <cell r="AG156">
            <v>480</v>
          </cell>
          <cell r="AH156">
            <v>799.09345438723949</v>
          </cell>
          <cell r="AI156">
            <v>1.25</v>
          </cell>
        </row>
        <row r="157">
          <cell r="C157" t="str">
            <v>070490</v>
          </cell>
          <cell r="AE157">
            <v>6702501</v>
          </cell>
          <cell r="AF157" t="str">
            <v>BREDO</v>
          </cell>
          <cell r="AG157">
            <v>231.33333333333334</v>
          </cell>
          <cell r="AH157">
            <v>799.09345438723949</v>
          </cell>
          <cell r="AI157">
            <v>1.25</v>
          </cell>
        </row>
        <row r="158">
          <cell r="C158" t="str">
            <v>070519</v>
          </cell>
          <cell r="AE158">
            <v>6702604</v>
          </cell>
          <cell r="AF158" t="str">
            <v>SALSAO (AIPO)</v>
          </cell>
          <cell r="AG158">
            <v>337.41888888888889</v>
          </cell>
          <cell r="AH158">
            <v>416.07420888875833</v>
          </cell>
          <cell r="AI158">
            <v>1.5</v>
          </cell>
        </row>
        <row r="159">
          <cell r="C159" t="str">
            <v>070410</v>
          </cell>
          <cell r="AE159">
            <v>6702701</v>
          </cell>
          <cell r="AF159" t="str">
            <v>COUVE CHINESA</v>
          </cell>
          <cell r="AG159">
            <v>349.4</v>
          </cell>
          <cell r="AH159">
            <v>799.09345438723949</v>
          </cell>
          <cell r="AI159">
            <v>1.35</v>
          </cell>
        </row>
        <row r="160">
          <cell r="C160" t="str">
            <v>070519</v>
          </cell>
          <cell r="AE160">
            <v>6702801</v>
          </cell>
          <cell r="AF160" t="str">
            <v>ERVA DOCE</v>
          </cell>
          <cell r="AG160">
            <v>337.41888888888889</v>
          </cell>
          <cell r="AH160">
            <v>416.07420888875833</v>
          </cell>
          <cell r="AI160">
            <v>1.9417910447761193</v>
          </cell>
        </row>
        <row r="161">
          <cell r="C161" t="str">
            <v>071339</v>
          </cell>
          <cell r="AE161">
            <v>6703101</v>
          </cell>
          <cell r="AF161" t="str">
            <v>BROTO DE FEIJAO</v>
          </cell>
          <cell r="AG161">
            <v>250.38333333333333</v>
          </cell>
          <cell r="AH161">
            <v>3263.5062840917908</v>
          </cell>
          <cell r="AI161">
            <v>5.3898582166145301</v>
          </cell>
        </row>
        <row r="162">
          <cell r="C162" t="str">
            <v>070993</v>
          </cell>
          <cell r="AE162">
            <v>6703306</v>
          </cell>
          <cell r="AF162" t="str">
            <v>MORANGA</v>
          </cell>
          <cell r="AG162">
            <v>461</v>
          </cell>
          <cell r="AH162">
            <v>799.09345438723949</v>
          </cell>
          <cell r="AI162">
            <v>1.5</v>
          </cell>
        </row>
        <row r="163">
          <cell r="C163" t="str">
            <v>070993</v>
          </cell>
          <cell r="AE163">
            <v>6703701</v>
          </cell>
          <cell r="AF163" t="str">
            <v>ABOBRINHA</v>
          </cell>
          <cell r="AG163">
            <v>167.70491803278688</v>
          </cell>
          <cell r="AH163">
            <v>799.09345438723949</v>
          </cell>
          <cell r="AI163">
            <v>1.5</v>
          </cell>
        </row>
        <row r="164">
          <cell r="C164" t="str">
            <v>070993</v>
          </cell>
          <cell r="AE164">
            <v>6703805</v>
          </cell>
          <cell r="AF164" t="str">
            <v>JERIMUM</v>
          </cell>
          <cell r="AG164">
            <v>335.30210772833726</v>
          </cell>
          <cell r="AH164">
            <v>799.09345438723949</v>
          </cell>
          <cell r="AI164">
            <v>1.5</v>
          </cell>
        </row>
        <row r="165">
          <cell r="C165" t="str">
            <v>070993</v>
          </cell>
          <cell r="AE165">
            <v>6703901</v>
          </cell>
          <cell r="AF165" t="str">
            <v>ABOBORA</v>
          </cell>
          <cell r="AG165">
            <v>335.30210772833726</v>
          </cell>
          <cell r="AH165">
            <v>799.09345438723949</v>
          </cell>
          <cell r="AI165">
            <v>1.5</v>
          </cell>
        </row>
        <row r="166">
          <cell r="C166" t="str">
            <v>070700</v>
          </cell>
          <cell r="AE166">
            <v>6704001</v>
          </cell>
          <cell r="AF166" t="str">
            <v>PEPINO</v>
          </cell>
          <cell r="AG166">
            <v>327.12704918032784</v>
          </cell>
          <cell r="AH166">
            <v>799.09345438723949</v>
          </cell>
          <cell r="AI166">
            <v>2.6512005191434129</v>
          </cell>
        </row>
        <row r="167">
          <cell r="C167" t="str">
            <v>070999</v>
          </cell>
          <cell r="AE167">
            <v>6704101</v>
          </cell>
          <cell r="AF167" t="str">
            <v>CHUCHU</v>
          </cell>
          <cell r="AG167">
            <v>335.30210772833726</v>
          </cell>
          <cell r="AH167">
            <v>799.09345438723949</v>
          </cell>
          <cell r="AI167">
            <v>1.5</v>
          </cell>
        </row>
        <row r="168">
          <cell r="C168" t="str">
            <v>070930</v>
          </cell>
          <cell r="AE168">
            <v>6704201</v>
          </cell>
          <cell r="AF168" t="str">
            <v>JILO</v>
          </cell>
          <cell r="AG168">
            <v>335.59386156648452</v>
          </cell>
          <cell r="AH168">
            <v>799.09345438723949</v>
          </cell>
          <cell r="AI168">
            <v>1.45</v>
          </cell>
        </row>
        <row r="169">
          <cell r="C169" t="str">
            <v>070999</v>
          </cell>
          <cell r="AE169">
            <v>6704301</v>
          </cell>
          <cell r="AF169" t="str">
            <v>MAXIXE</v>
          </cell>
          <cell r="AG169">
            <v>335.30210772833726</v>
          </cell>
          <cell r="AH169">
            <v>799.09345438723949</v>
          </cell>
          <cell r="AI169">
            <v>1.5</v>
          </cell>
        </row>
        <row r="170">
          <cell r="C170" t="str">
            <v>070999</v>
          </cell>
          <cell r="AE170">
            <v>6704306</v>
          </cell>
          <cell r="AF170" t="str">
            <v>PEPININHO (MAXIXE)</v>
          </cell>
          <cell r="AG170">
            <v>335.30210772833726</v>
          </cell>
          <cell r="AH170">
            <v>799.09345438723949</v>
          </cell>
          <cell r="AI170">
            <v>1.5</v>
          </cell>
        </row>
        <row r="171">
          <cell r="C171" t="str">
            <v>071080</v>
          </cell>
          <cell r="AE171">
            <v>6704401</v>
          </cell>
          <cell r="AF171" t="str">
            <v>PALMITO IN NATURA</v>
          </cell>
          <cell r="AG171">
            <v>809.81666666666672</v>
          </cell>
          <cell r="AH171">
            <v>2396.5739768792887</v>
          </cell>
          <cell r="AI171">
            <v>5.3898582166145301</v>
          </cell>
        </row>
        <row r="172">
          <cell r="C172" t="str">
            <v>071080</v>
          </cell>
          <cell r="AE172">
            <v>6704409</v>
          </cell>
          <cell r="AF172" t="str">
            <v>GUARIROBA (PALMITO IN NATURA)</v>
          </cell>
          <cell r="AG172">
            <v>809.81666666666672</v>
          </cell>
          <cell r="AH172">
            <v>2396.5739768792887</v>
          </cell>
          <cell r="AI172">
            <v>5.3898582166145301</v>
          </cell>
        </row>
        <row r="173">
          <cell r="C173" t="str">
            <v>071080</v>
          </cell>
          <cell r="AE173">
            <v>6704410</v>
          </cell>
          <cell r="AF173" t="str">
            <v>GUEROBA / GUEIROBA (PALMITO IN NATURA)</v>
          </cell>
          <cell r="AG173">
            <v>809.81666666666672</v>
          </cell>
          <cell r="AH173">
            <v>2396.5739768792887</v>
          </cell>
          <cell r="AI173">
            <v>5.3898582166145301</v>
          </cell>
        </row>
        <row r="174">
          <cell r="C174" t="str">
            <v>070960</v>
          </cell>
          <cell r="AE174">
            <v>6704501</v>
          </cell>
          <cell r="AF174" t="str">
            <v>PIMENTAO</v>
          </cell>
          <cell r="AG174">
            <v>335.59386156648452</v>
          </cell>
          <cell r="AH174">
            <v>799.09345438723949</v>
          </cell>
          <cell r="AI174">
            <v>1.45</v>
          </cell>
        </row>
        <row r="175">
          <cell r="C175" t="str">
            <v>090411</v>
          </cell>
          <cell r="AE175">
            <v>6704601</v>
          </cell>
          <cell r="AF175" t="str">
            <v>PIMENTA MALAGUETA</v>
          </cell>
          <cell r="AG175">
            <v>330</v>
          </cell>
          <cell r="AH175">
            <v>1841.9097858043024</v>
          </cell>
          <cell r="AI175">
            <v>49.5</v>
          </cell>
        </row>
        <row r="176">
          <cell r="C176" t="str">
            <v>070990</v>
          </cell>
          <cell r="AE176">
            <v>6705001</v>
          </cell>
          <cell r="AF176" t="str">
            <v>QUIABO</v>
          </cell>
          <cell r="AG176">
            <v>335.30210772833726</v>
          </cell>
          <cell r="AH176">
            <v>799.09345438723949</v>
          </cell>
          <cell r="AI176">
            <v>1.5</v>
          </cell>
        </row>
        <row r="177">
          <cell r="C177" t="str">
            <v>070200</v>
          </cell>
          <cell r="AE177">
            <v>6705101</v>
          </cell>
          <cell r="AF177" t="str">
            <v>TOMATE</v>
          </cell>
          <cell r="AG177">
            <v>751.57998140949815</v>
          </cell>
          <cell r="AH177">
            <v>80.09236899680279</v>
          </cell>
          <cell r="AI177">
            <v>0.8</v>
          </cell>
        </row>
        <row r="178">
          <cell r="C178" t="str">
            <v>070820</v>
          </cell>
          <cell r="AE178">
            <v>6705201</v>
          </cell>
          <cell r="AF178" t="str">
            <v>VAGEM</v>
          </cell>
          <cell r="AG178">
            <v>504.25</v>
          </cell>
          <cell r="AH178">
            <v>834.32065121342077</v>
          </cell>
          <cell r="AI178">
            <v>26</v>
          </cell>
        </row>
        <row r="179">
          <cell r="C179" t="str">
            <v>070959</v>
          </cell>
          <cell r="AE179">
            <v>6705301</v>
          </cell>
          <cell r="AF179" t="str">
            <v>COGUMELO IN NATURA</v>
          </cell>
          <cell r="AG179">
            <v>475.23</v>
          </cell>
          <cell r="AH179">
            <v>799.09345438723949</v>
          </cell>
          <cell r="AI179">
            <v>1.45</v>
          </cell>
        </row>
        <row r="180">
          <cell r="C180" t="str">
            <v>070930</v>
          </cell>
          <cell r="AE180">
            <v>6705401</v>
          </cell>
          <cell r="AF180" t="str">
            <v>BERINJELA</v>
          </cell>
          <cell r="AG180">
            <v>335.59386156648452</v>
          </cell>
          <cell r="AH180">
            <v>799.09345438723949</v>
          </cell>
          <cell r="AI180">
            <v>1.45</v>
          </cell>
        </row>
        <row r="181">
          <cell r="C181" t="str">
            <v>070810</v>
          </cell>
          <cell r="AE181">
            <v>6705501</v>
          </cell>
          <cell r="AF181" t="str">
            <v>ERVILHA EM VAGEM</v>
          </cell>
          <cell r="AG181">
            <v>504.25</v>
          </cell>
          <cell r="AH181">
            <v>834.32065121342077</v>
          </cell>
          <cell r="AI181">
            <v>26</v>
          </cell>
        </row>
        <row r="182">
          <cell r="C182" t="str">
            <v>070310</v>
          </cell>
          <cell r="AE182">
            <v>6705701</v>
          </cell>
          <cell r="AF182" t="str">
            <v>CEBOLA</v>
          </cell>
          <cell r="AG182">
            <v>209.15</v>
          </cell>
          <cell r="AH182">
            <v>465.48330790858756</v>
          </cell>
          <cell r="AI182">
            <v>1.2</v>
          </cell>
        </row>
        <row r="183">
          <cell r="C183" t="str">
            <v>070310</v>
          </cell>
          <cell r="AE183">
            <v>6705704</v>
          </cell>
          <cell r="AF183" t="str">
            <v>CEBOLA ROXA</v>
          </cell>
          <cell r="AG183">
            <v>209.15</v>
          </cell>
          <cell r="AH183">
            <v>465.48330790858756</v>
          </cell>
          <cell r="AI183">
            <v>1.2</v>
          </cell>
        </row>
        <row r="184">
          <cell r="C184" t="str">
            <v>200540</v>
          </cell>
          <cell r="AE184">
            <v>6706101</v>
          </cell>
          <cell r="AF184" t="str">
            <v>JARDINEIRA (SELETA)</v>
          </cell>
          <cell r="AG184">
            <v>1730.4937285223366</v>
          </cell>
          <cell r="AH184">
            <v>2256.485722150212</v>
          </cell>
          <cell r="AI184">
            <v>5</v>
          </cell>
        </row>
        <row r="185">
          <cell r="C185" t="str">
            <v>200540</v>
          </cell>
          <cell r="AE185">
            <v>6706102</v>
          </cell>
          <cell r="AF185" t="str">
            <v>SELETA (JARDINEIRA)</v>
          </cell>
          <cell r="AG185">
            <v>1730.4937285223366</v>
          </cell>
          <cell r="AH185">
            <v>2256.485722150212</v>
          </cell>
          <cell r="AI185">
            <v>5</v>
          </cell>
        </row>
        <row r="186">
          <cell r="C186" t="str">
            <v>070320</v>
          </cell>
          <cell r="AE186">
            <v>6706201</v>
          </cell>
          <cell r="AF186" t="str">
            <v>ALHO</v>
          </cell>
          <cell r="AG186">
            <v>209.15</v>
          </cell>
          <cell r="AH186">
            <v>2781.396945988402</v>
          </cell>
          <cell r="AI186">
            <v>1.2333333333333334</v>
          </cell>
        </row>
        <row r="187">
          <cell r="C187" t="str">
            <v>070390</v>
          </cell>
          <cell r="AE187">
            <v>6706301</v>
          </cell>
          <cell r="AF187" t="str">
            <v>ALHO PORO</v>
          </cell>
          <cell r="AG187">
            <v>209.15</v>
          </cell>
          <cell r="AH187">
            <v>1623.4401269484947</v>
          </cell>
          <cell r="AI187">
            <v>1.3</v>
          </cell>
        </row>
        <row r="188">
          <cell r="C188" t="str">
            <v>071390</v>
          </cell>
          <cell r="AE188">
            <v>6707301</v>
          </cell>
          <cell r="AF188" t="str">
            <v>BROTO DE ALFAFA</v>
          </cell>
          <cell r="AG188">
            <v>1400</v>
          </cell>
          <cell r="AH188">
            <v>3846.1896069182294</v>
          </cell>
          <cell r="AI188">
            <v>5.3898582166145301</v>
          </cell>
        </row>
        <row r="189">
          <cell r="C189" t="str">
            <v>070200</v>
          </cell>
          <cell r="AE189">
            <v>6707901</v>
          </cell>
          <cell r="AF189" t="str">
            <v>TOMATE ORGANICO</v>
          </cell>
          <cell r="AG189">
            <v>826.18392203256155</v>
          </cell>
          <cell r="AH189">
            <v>441.55179914628678</v>
          </cell>
          <cell r="AI189">
            <v>0.8</v>
          </cell>
        </row>
        <row r="190">
          <cell r="C190" t="str">
            <v>070519</v>
          </cell>
          <cell r="AE190">
            <v>6709701</v>
          </cell>
          <cell r="AF190" t="str">
            <v>OREGANO</v>
          </cell>
          <cell r="AG190">
            <v>337.41888888888889</v>
          </cell>
          <cell r="AH190">
            <v>416.07420888875833</v>
          </cell>
          <cell r="AI190">
            <v>1.9417910447761193</v>
          </cell>
        </row>
        <row r="191">
          <cell r="C191" t="str">
            <v>070920</v>
          </cell>
          <cell r="AE191">
            <v>6709901</v>
          </cell>
          <cell r="AF191" t="str">
            <v>ASPARGOS FRESCO</v>
          </cell>
          <cell r="AG191">
            <v>335.59386156648452</v>
          </cell>
          <cell r="AH191">
            <v>799.09345438723949</v>
          </cell>
          <cell r="AI191">
            <v>1.45</v>
          </cell>
        </row>
        <row r="192">
          <cell r="C192" t="str">
            <v>070490</v>
          </cell>
          <cell r="AE192">
            <v>6710101</v>
          </cell>
          <cell r="AF192" t="str">
            <v>MASTRUZ</v>
          </cell>
          <cell r="AG192">
            <v>231.33333333333334</v>
          </cell>
          <cell r="AH192">
            <v>799.09345438723949</v>
          </cell>
          <cell r="AI192">
            <v>1.25</v>
          </cell>
        </row>
        <row r="193">
          <cell r="C193" t="str">
            <v>070490</v>
          </cell>
          <cell r="AE193">
            <v>6710701</v>
          </cell>
          <cell r="AF193" t="str">
            <v>ORA-PRO-NOBIS</v>
          </cell>
          <cell r="AG193">
            <v>231.33333333333334</v>
          </cell>
          <cell r="AH193">
            <v>799.09345438723949</v>
          </cell>
          <cell r="AI193">
            <v>1.25</v>
          </cell>
        </row>
        <row r="194">
          <cell r="C194" t="str">
            <v>070490</v>
          </cell>
          <cell r="AE194">
            <v>6711001</v>
          </cell>
          <cell r="AF194" t="str">
            <v>VEGETAIS FOLHOSOS NAO ESPECIFICADOS</v>
          </cell>
          <cell r="AG194">
            <v>231.33333333333334</v>
          </cell>
          <cell r="AH194">
            <v>799.09345438723949</v>
          </cell>
          <cell r="AI194">
            <v>1.25</v>
          </cell>
        </row>
        <row r="195">
          <cell r="C195" t="str">
            <v>070490</v>
          </cell>
          <cell r="AE195">
            <v>6711101</v>
          </cell>
          <cell r="AF195" t="str">
            <v>VEGETAIS NAO ESPECIFICADOS</v>
          </cell>
          <cell r="AG195">
            <v>231.33333333333334</v>
          </cell>
          <cell r="AH195">
            <v>799.09345438723949</v>
          </cell>
          <cell r="AI195">
            <v>1.25</v>
          </cell>
        </row>
        <row r="196">
          <cell r="C196" t="str">
            <v>200540</v>
          </cell>
          <cell r="AE196">
            <v>6711201</v>
          </cell>
          <cell r="AF196" t="str">
            <v>ALCAPARRAS</v>
          </cell>
          <cell r="AG196">
            <v>1730.4937285223366</v>
          </cell>
          <cell r="AH196">
            <v>2256.485722150212</v>
          </cell>
          <cell r="AI196">
            <v>5</v>
          </cell>
        </row>
        <row r="197">
          <cell r="C197">
            <v>121221</v>
          </cell>
          <cell r="AE197">
            <v>6711401</v>
          </cell>
          <cell r="AF197" t="str">
            <v>ALGAS</v>
          </cell>
          <cell r="AG197">
            <v>631.33333333333326</v>
          </cell>
          <cell r="AH197">
            <v>3252.3563229545975</v>
          </cell>
          <cell r="AI197">
            <v>5.9456146715745248</v>
          </cell>
        </row>
        <row r="198">
          <cell r="C198" t="str">
            <v>080300</v>
          </cell>
          <cell r="AE198">
            <v>6800701</v>
          </cell>
          <cell r="AF198" t="str">
            <v>BANANA-ROXA</v>
          </cell>
          <cell r="AG198">
            <v>953.75</v>
          </cell>
          <cell r="AH198">
            <v>1003.3165478759558</v>
          </cell>
          <cell r="AI198">
            <v>4.8757736240913818</v>
          </cell>
        </row>
        <row r="199">
          <cell r="C199" t="str">
            <v>080300</v>
          </cell>
          <cell r="AE199">
            <v>6800901</v>
          </cell>
          <cell r="AF199" t="str">
            <v>BANANA-SAO-TOME</v>
          </cell>
          <cell r="AG199">
            <v>953.75</v>
          </cell>
          <cell r="AH199">
            <v>1003.3165478759558</v>
          </cell>
          <cell r="AI199">
            <v>4.8757736240913818</v>
          </cell>
        </row>
        <row r="200">
          <cell r="C200" t="str">
            <v>080300</v>
          </cell>
          <cell r="AE200">
            <v>6801001</v>
          </cell>
          <cell r="AF200" t="str">
            <v>BANANA DA TERRA</v>
          </cell>
          <cell r="AG200">
            <v>953.75</v>
          </cell>
          <cell r="AH200">
            <v>1003.3165478759558</v>
          </cell>
          <cell r="AI200">
            <v>4.8757736240913818</v>
          </cell>
        </row>
        <row r="201">
          <cell r="C201" t="str">
            <v>080300</v>
          </cell>
          <cell r="AE201">
            <v>6801002</v>
          </cell>
          <cell r="AF201" t="str">
            <v>BANANA-PACOVA</v>
          </cell>
          <cell r="AG201">
            <v>953.75</v>
          </cell>
          <cell r="AH201">
            <v>1003.3165478759558</v>
          </cell>
          <cell r="AI201">
            <v>4.8757736240913818</v>
          </cell>
        </row>
        <row r="202">
          <cell r="C202" t="str">
            <v>080300</v>
          </cell>
          <cell r="AE202">
            <v>6801101</v>
          </cell>
          <cell r="AF202" t="str">
            <v>BANANA (OURO, PRATA, D´ÁGUA, DA TERRA, ETC)</v>
          </cell>
          <cell r="AG202">
            <v>953.75</v>
          </cell>
          <cell r="AH202">
            <v>1003.3165478759558</v>
          </cell>
          <cell r="AI202">
            <v>4.8757736240913818</v>
          </cell>
        </row>
        <row r="203">
          <cell r="C203" t="str">
            <v>080590</v>
          </cell>
          <cell r="AE203">
            <v>6801801</v>
          </cell>
          <cell r="AF203" t="str">
            <v>LARANJA (PERA, SELETA, LIMA, DA TERRA, ETC)</v>
          </cell>
          <cell r="AG203">
            <v>257.66666666666669</v>
          </cell>
          <cell r="AH203">
            <v>395.18339294745317</v>
          </cell>
          <cell r="AI203">
            <v>4.8757736240913818</v>
          </cell>
        </row>
        <row r="204">
          <cell r="C204" t="str">
            <v>080530</v>
          </cell>
          <cell r="AE204">
            <v>6801901</v>
          </cell>
          <cell r="AF204" t="str">
            <v>LIMA</v>
          </cell>
          <cell r="AG204">
            <v>80</v>
          </cell>
          <cell r="AH204">
            <v>537.13215311199122</v>
          </cell>
          <cell r="AI204">
            <v>4.8757736240913818</v>
          </cell>
        </row>
        <row r="205">
          <cell r="C205" t="str">
            <v>080530</v>
          </cell>
          <cell r="AE205">
            <v>6802001</v>
          </cell>
          <cell r="AF205" t="str">
            <v>LIMAO (COMUM, GALEGO, ETC)</v>
          </cell>
          <cell r="AG205">
            <v>80</v>
          </cell>
          <cell r="AH205">
            <v>537.13215311199122</v>
          </cell>
          <cell r="AI205">
            <v>4.8757736240913818</v>
          </cell>
        </row>
        <row r="206">
          <cell r="C206" t="str">
            <v>080520</v>
          </cell>
          <cell r="AE206">
            <v>6802201</v>
          </cell>
          <cell r="AF206" t="str">
            <v>TANGERINA</v>
          </cell>
          <cell r="AG206">
            <v>556</v>
          </cell>
          <cell r="AH206">
            <v>515.40780131657789</v>
          </cell>
          <cell r="AI206">
            <v>4.8757736240913818</v>
          </cell>
        </row>
        <row r="207">
          <cell r="C207" t="str">
            <v>080520</v>
          </cell>
          <cell r="AE207">
            <v>6802202</v>
          </cell>
          <cell r="AF207" t="str">
            <v>MEXERICA</v>
          </cell>
          <cell r="AG207">
            <v>556</v>
          </cell>
          <cell r="AH207">
            <v>570</v>
          </cell>
          <cell r="AI207">
            <v>4.8757736240913818</v>
          </cell>
        </row>
        <row r="208">
          <cell r="C208" t="str">
            <v>080520</v>
          </cell>
          <cell r="AE208">
            <v>6802217</v>
          </cell>
          <cell r="AF208" t="str">
            <v>BERGAMOTA</v>
          </cell>
          <cell r="AG208">
            <v>556</v>
          </cell>
          <cell r="AH208">
            <v>542.70390065828894</v>
          </cell>
          <cell r="AI208">
            <v>4.8757736240913818</v>
          </cell>
        </row>
        <row r="209">
          <cell r="C209" t="str">
            <v>080520</v>
          </cell>
          <cell r="AE209">
            <v>6802218</v>
          </cell>
          <cell r="AF209" t="str">
            <v>MIMOSA</v>
          </cell>
          <cell r="AG209">
            <v>556</v>
          </cell>
          <cell r="AH209">
            <v>542.70390065828894</v>
          </cell>
          <cell r="AI209">
            <v>4.8757736240913818</v>
          </cell>
        </row>
        <row r="210">
          <cell r="C210" t="str">
            <v>080520</v>
          </cell>
          <cell r="AE210">
            <v>6802223</v>
          </cell>
          <cell r="AF210" t="str">
            <v>TANJA</v>
          </cell>
          <cell r="AG210">
            <v>556</v>
          </cell>
          <cell r="AH210">
            <v>542.70390065828894</v>
          </cell>
          <cell r="AI210">
            <v>4.8757736240913818</v>
          </cell>
        </row>
        <row r="211">
          <cell r="C211" t="str">
            <v>080520</v>
          </cell>
          <cell r="AE211">
            <v>6802227</v>
          </cell>
          <cell r="AF211" t="str">
            <v>MARICOTA</v>
          </cell>
          <cell r="AG211">
            <v>556</v>
          </cell>
          <cell r="AH211">
            <v>542.70390065828894</v>
          </cell>
          <cell r="AI211">
            <v>4.8757736240913818</v>
          </cell>
        </row>
        <row r="212">
          <cell r="C212" t="str">
            <v>080520</v>
          </cell>
          <cell r="AE212">
            <v>6802305</v>
          </cell>
          <cell r="AF212" t="str">
            <v>GRAPEFRUIT / TORANJA</v>
          </cell>
          <cell r="AG212">
            <v>556</v>
          </cell>
          <cell r="AH212">
            <v>542.70390065828894</v>
          </cell>
          <cell r="AI212">
            <v>4.8757736240913818</v>
          </cell>
        </row>
        <row r="213">
          <cell r="C213" t="str">
            <v>080590</v>
          </cell>
          <cell r="AE213">
            <v>6802407</v>
          </cell>
          <cell r="AF213" t="str">
            <v>LARANJINHA JAPONESA</v>
          </cell>
          <cell r="AG213">
            <v>257.66666666666669</v>
          </cell>
          <cell r="AH213">
            <v>395.18339294745317</v>
          </cell>
          <cell r="AI213">
            <v>4.8757736240913818</v>
          </cell>
        </row>
        <row r="214">
          <cell r="C214">
            <v>170111</v>
          </cell>
          <cell r="AE214">
            <v>6802501</v>
          </cell>
          <cell r="AF214" t="str">
            <v>CANA DE ACUCAR</v>
          </cell>
          <cell r="AG214">
            <v>766.66750000000002</v>
          </cell>
          <cell r="AH214">
            <v>137.24357266576502</v>
          </cell>
          <cell r="AI214">
            <v>3.7796942010068992</v>
          </cell>
        </row>
        <row r="215">
          <cell r="C215" t="str">
            <v>080430</v>
          </cell>
          <cell r="AE215">
            <v>6802601</v>
          </cell>
          <cell r="AF215" t="str">
            <v>ABACAXI</v>
          </cell>
          <cell r="AG215">
            <v>260.2</v>
          </cell>
          <cell r="AH215">
            <v>159.54554321033251</v>
          </cell>
          <cell r="AI215">
            <v>4.8757736240913818</v>
          </cell>
        </row>
        <row r="216">
          <cell r="C216" t="str">
            <v>081090</v>
          </cell>
          <cell r="AE216">
            <v>6802602</v>
          </cell>
          <cell r="AF216" t="str">
            <v>ANANAS</v>
          </cell>
          <cell r="AG216">
            <v>60</v>
          </cell>
          <cell r="AH216">
            <v>3921.118088006298</v>
          </cell>
          <cell r="AI216">
            <v>4.0298141105216088</v>
          </cell>
        </row>
        <row r="217">
          <cell r="C217" t="str">
            <v>080440</v>
          </cell>
          <cell r="AE217">
            <v>6802701</v>
          </cell>
          <cell r="AF217" t="str">
            <v>ABACATE</v>
          </cell>
          <cell r="AG217">
            <v>335</v>
          </cell>
          <cell r="AH217">
            <v>951.11098827008595</v>
          </cell>
          <cell r="AI217">
            <v>4.8757736240913818</v>
          </cell>
        </row>
        <row r="218">
          <cell r="C218" t="str">
            <v>081090</v>
          </cell>
          <cell r="AE218">
            <v>6802801</v>
          </cell>
          <cell r="AF218" t="str">
            <v>CAQUI</v>
          </cell>
          <cell r="AG218">
            <v>586.5</v>
          </cell>
          <cell r="AH218">
            <v>3921.118088006298</v>
          </cell>
          <cell r="AI218">
            <v>4.0298141105216088</v>
          </cell>
        </row>
        <row r="219">
          <cell r="C219" t="str">
            <v>080420</v>
          </cell>
          <cell r="AE219">
            <v>6802901</v>
          </cell>
          <cell r="AF219" t="str">
            <v>FIGO</v>
          </cell>
          <cell r="AG219">
            <v>238.88888888888889</v>
          </cell>
          <cell r="AH219">
            <v>1211.6239076151651</v>
          </cell>
          <cell r="AI219">
            <v>4.8757736240913818</v>
          </cell>
        </row>
        <row r="220">
          <cell r="C220" t="str">
            <v>080810</v>
          </cell>
          <cell r="AE220">
            <v>6803001</v>
          </cell>
          <cell r="AF220" t="str">
            <v>MACA</v>
          </cell>
          <cell r="AG220">
            <v>238.3640444444444</v>
          </cell>
          <cell r="AH220">
            <v>174.29743903085512</v>
          </cell>
          <cell r="AI220">
            <v>1.0017757009345793</v>
          </cell>
        </row>
        <row r="221">
          <cell r="C221" t="str">
            <v>080720</v>
          </cell>
          <cell r="AE221">
            <v>6803101</v>
          </cell>
          <cell r="AF221" t="str">
            <v>MAMAO</v>
          </cell>
          <cell r="AG221">
            <v>710</v>
          </cell>
          <cell r="AH221">
            <v>237.90824017990215</v>
          </cell>
          <cell r="AI221">
            <v>4.8757736240913818</v>
          </cell>
        </row>
        <row r="222">
          <cell r="C222" t="str">
            <v>080720</v>
          </cell>
          <cell r="AE222">
            <v>6803108</v>
          </cell>
          <cell r="AF222" t="str">
            <v>PAPAIA</v>
          </cell>
          <cell r="AG222">
            <v>710</v>
          </cell>
          <cell r="AH222">
            <v>237.90824017990215</v>
          </cell>
          <cell r="AI222">
            <v>4.8757736240913818</v>
          </cell>
        </row>
        <row r="223">
          <cell r="C223" t="str">
            <v>080450</v>
          </cell>
          <cell r="AE223">
            <v>6803201</v>
          </cell>
          <cell r="AF223" t="str">
            <v>MANGA</v>
          </cell>
          <cell r="AG223">
            <v>89.5</v>
          </cell>
          <cell r="AH223">
            <v>933.05512564940193</v>
          </cell>
          <cell r="AI223">
            <v>4.8757736240913818</v>
          </cell>
        </row>
        <row r="224">
          <cell r="C224" t="str">
            <v>081090</v>
          </cell>
          <cell r="AE224">
            <v>6803301</v>
          </cell>
          <cell r="AF224" t="str">
            <v>MARACUJA</v>
          </cell>
          <cell r="AG224">
            <v>120</v>
          </cell>
          <cell r="AH224">
            <v>3921.118088006298</v>
          </cell>
          <cell r="AI224">
            <v>4.0298141105216088</v>
          </cell>
        </row>
        <row r="225">
          <cell r="C225" t="str">
            <v>080711</v>
          </cell>
          <cell r="AE225">
            <v>6803401</v>
          </cell>
          <cell r="AF225" t="str">
            <v>MELANCIA</v>
          </cell>
          <cell r="AG225">
            <v>710</v>
          </cell>
          <cell r="AH225">
            <v>225.33537902055838</v>
          </cell>
          <cell r="AI225">
            <v>4.8757736240913818</v>
          </cell>
        </row>
        <row r="226">
          <cell r="C226" t="str">
            <v>080719</v>
          </cell>
          <cell r="AE226">
            <v>6803501</v>
          </cell>
          <cell r="AF226" t="str">
            <v>MELAO</v>
          </cell>
          <cell r="AG226">
            <v>710</v>
          </cell>
          <cell r="AH226">
            <v>185.96869752767057</v>
          </cell>
          <cell r="AI226">
            <v>4.8757736240913818</v>
          </cell>
        </row>
        <row r="227">
          <cell r="C227" t="str">
            <v>080820</v>
          </cell>
          <cell r="AE227">
            <v>6803601</v>
          </cell>
          <cell r="AF227" t="str">
            <v>PERA</v>
          </cell>
          <cell r="AG227">
            <v>120.625</v>
          </cell>
          <cell r="AH227">
            <v>1120.3346677456234</v>
          </cell>
          <cell r="AI227">
            <v>1.8691588785046731</v>
          </cell>
        </row>
        <row r="228">
          <cell r="C228" t="str">
            <v>080930</v>
          </cell>
          <cell r="AE228">
            <v>6803701</v>
          </cell>
          <cell r="AF228" t="str">
            <v>PESSEGO</v>
          </cell>
          <cell r="AG228">
            <v>376.33333333333331</v>
          </cell>
          <cell r="AH228">
            <v>1384.7231421317958</v>
          </cell>
          <cell r="AI228">
            <v>5.8996884735202491</v>
          </cell>
        </row>
        <row r="229">
          <cell r="C229" t="str">
            <v>081090</v>
          </cell>
          <cell r="AE229">
            <v>6803801</v>
          </cell>
          <cell r="AF229" t="str">
            <v>FRUTA DE CONDE</v>
          </cell>
          <cell r="AG229">
            <v>586.5</v>
          </cell>
          <cell r="AH229">
            <v>3921.118088006298</v>
          </cell>
          <cell r="AI229">
            <v>4.0298141105216088</v>
          </cell>
        </row>
        <row r="230">
          <cell r="C230" t="str">
            <v>081090</v>
          </cell>
          <cell r="AE230">
            <v>6803802</v>
          </cell>
          <cell r="AF230" t="str">
            <v>PINHA (FRUTA DE CONDE)</v>
          </cell>
          <cell r="AG230">
            <v>586.5</v>
          </cell>
          <cell r="AH230">
            <v>3921.118088006298</v>
          </cell>
          <cell r="AI230">
            <v>4.0298141105216088</v>
          </cell>
        </row>
        <row r="231">
          <cell r="C231" t="str">
            <v>081090</v>
          </cell>
          <cell r="AE231">
            <v>6803803</v>
          </cell>
          <cell r="AF231" t="str">
            <v>ATA</v>
          </cell>
          <cell r="AG231">
            <v>586.5</v>
          </cell>
          <cell r="AH231">
            <v>3921.118088006298</v>
          </cell>
          <cell r="AI231">
            <v>4.0298141105216088</v>
          </cell>
        </row>
        <row r="232">
          <cell r="C232" t="str">
            <v>080610</v>
          </cell>
          <cell r="AE232">
            <v>6803901</v>
          </cell>
          <cell r="AF232" t="str">
            <v>UVA</v>
          </cell>
          <cell r="AG232">
            <v>196.66666666666666</v>
          </cell>
          <cell r="AH232">
            <v>352.3239173551558</v>
          </cell>
          <cell r="AI232">
            <v>4.8757736240913818</v>
          </cell>
        </row>
        <row r="233">
          <cell r="C233" t="str">
            <v>080620</v>
          </cell>
          <cell r="AE233">
            <v>6803912</v>
          </cell>
          <cell r="AF233" t="str">
            <v>UVA PASSA</v>
          </cell>
          <cell r="AG233">
            <v>683.5</v>
          </cell>
          <cell r="AH233">
            <v>1409.2956694206232</v>
          </cell>
          <cell r="AI233">
            <v>4.8757736240913818</v>
          </cell>
        </row>
        <row r="234">
          <cell r="C234" t="str">
            <v>081090</v>
          </cell>
          <cell r="AE234">
            <v>6804001</v>
          </cell>
          <cell r="AF234" t="str">
            <v>JENIPAPO</v>
          </cell>
          <cell r="AG234">
            <v>586.5</v>
          </cell>
          <cell r="AH234">
            <v>3921.118088006298</v>
          </cell>
          <cell r="AI234">
            <v>4.0298141105216088</v>
          </cell>
        </row>
        <row r="235">
          <cell r="C235" t="str">
            <v>081090</v>
          </cell>
          <cell r="AE235">
            <v>6804101</v>
          </cell>
          <cell r="AF235" t="str">
            <v>JACA</v>
          </cell>
          <cell r="AG235">
            <v>586.5</v>
          </cell>
          <cell r="AH235">
            <v>3921.118088006298</v>
          </cell>
          <cell r="AI235">
            <v>4.0298141105216088</v>
          </cell>
        </row>
        <row r="236">
          <cell r="C236" t="str">
            <v>080450</v>
          </cell>
          <cell r="AE236">
            <v>6804201</v>
          </cell>
          <cell r="AF236" t="str">
            <v>GOIABA</v>
          </cell>
          <cell r="AG236">
            <v>89.5</v>
          </cell>
          <cell r="AH236">
            <v>933.05512564940193</v>
          </cell>
          <cell r="AI236">
            <v>4.8757736240913818</v>
          </cell>
        </row>
        <row r="237">
          <cell r="C237" t="str">
            <v>081090</v>
          </cell>
          <cell r="AE237">
            <v>6804203</v>
          </cell>
          <cell r="AF237" t="str">
            <v>ARACA ACU (GOIABA)</v>
          </cell>
          <cell r="AG237">
            <v>586.5</v>
          </cell>
          <cell r="AH237">
            <v>3921.118088006298</v>
          </cell>
          <cell r="AI237">
            <v>4.0298141105216088</v>
          </cell>
        </row>
        <row r="238">
          <cell r="C238" t="str">
            <v>080940</v>
          </cell>
          <cell r="AE238">
            <v>6804301</v>
          </cell>
          <cell r="AF238" t="str">
            <v>AMEIXA</v>
          </cell>
          <cell r="AG238">
            <v>367.8</v>
          </cell>
          <cell r="AH238">
            <v>1384.7231421317958</v>
          </cell>
          <cell r="AI238">
            <v>2.2429906542056073</v>
          </cell>
        </row>
        <row r="239">
          <cell r="C239" t="str">
            <v>081090</v>
          </cell>
          <cell r="AE239">
            <v>6804401</v>
          </cell>
          <cell r="AF239" t="str">
            <v>CAJU</v>
          </cell>
          <cell r="AG239">
            <v>1440</v>
          </cell>
          <cell r="AH239">
            <v>3921.118088006298</v>
          </cell>
          <cell r="AI239">
            <v>4.0298141105216088</v>
          </cell>
        </row>
        <row r="240">
          <cell r="C240" t="str">
            <v>080920</v>
          </cell>
          <cell r="AE240">
            <v>6804501</v>
          </cell>
          <cell r="AF240" t="str">
            <v>CEREJA</v>
          </cell>
          <cell r="AG240">
            <v>355</v>
          </cell>
          <cell r="AH240">
            <v>1384.7231421317958</v>
          </cell>
          <cell r="AI240">
            <v>4.9855140186915881</v>
          </cell>
        </row>
        <row r="241">
          <cell r="C241" t="str">
            <v>081090</v>
          </cell>
          <cell r="AE241">
            <v>6804601</v>
          </cell>
          <cell r="AF241" t="str">
            <v>CAJA MANGA</v>
          </cell>
          <cell r="AG241">
            <v>586.5</v>
          </cell>
          <cell r="AH241">
            <v>3921.118088006298</v>
          </cell>
          <cell r="AI241">
            <v>4.0298141105216088</v>
          </cell>
        </row>
        <row r="242">
          <cell r="C242" t="str">
            <v>081090</v>
          </cell>
          <cell r="AE242">
            <v>6804602</v>
          </cell>
          <cell r="AF242" t="str">
            <v>CAJARANA</v>
          </cell>
          <cell r="AG242">
            <v>586.5</v>
          </cell>
          <cell r="AH242">
            <v>3921.118088006298</v>
          </cell>
          <cell r="AI242">
            <v>4.0298141105216088</v>
          </cell>
        </row>
        <row r="243">
          <cell r="C243" t="str">
            <v>081090</v>
          </cell>
          <cell r="AE243">
            <v>6804701</v>
          </cell>
          <cell r="AF243" t="str">
            <v>TAPEREBA</v>
          </cell>
          <cell r="AG243">
            <v>586.5</v>
          </cell>
          <cell r="AH243">
            <v>3921.118088006298</v>
          </cell>
          <cell r="AI243">
            <v>4.0298141105216088</v>
          </cell>
        </row>
        <row r="244">
          <cell r="C244" t="str">
            <v>081090</v>
          </cell>
          <cell r="AE244">
            <v>6804705</v>
          </cell>
          <cell r="AF244" t="str">
            <v>CAJA</v>
          </cell>
          <cell r="AG244">
            <v>586.5</v>
          </cell>
          <cell r="AH244">
            <v>3921.118088006298</v>
          </cell>
          <cell r="AI244">
            <v>4.0298141105216088</v>
          </cell>
        </row>
        <row r="245">
          <cell r="C245" t="str">
            <v>081090</v>
          </cell>
          <cell r="AE245">
            <v>6804801</v>
          </cell>
          <cell r="AF245" t="str">
            <v>CARAMBOLA</v>
          </cell>
          <cell r="AG245">
            <v>586.5</v>
          </cell>
          <cell r="AH245">
            <v>3921.118088006298</v>
          </cell>
          <cell r="AI245">
            <v>4.0298141105216088</v>
          </cell>
        </row>
        <row r="246">
          <cell r="C246" t="str">
            <v>081090</v>
          </cell>
          <cell r="AE246">
            <v>6804908</v>
          </cell>
          <cell r="AF246" t="str">
            <v>JABUTICABA / JABOTICABA</v>
          </cell>
          <cell r="AG246">
            <v>586.5</v>
          </cell>
          <cell r="AH246">
            <v>3921.118088006298</v>
          </cell>
          <cell r="AI246">
            <v>4.0298141105216088</v>
          </cell>
        </row>
        <row r="247">
          <cell r="C247" t="str">
            <v>081090</v>
          </cell>
          <cell r="AE247">
            <v>6805001</v>
          </cell>
          <cell r="AF247" t="str">
            <v>GRAVIOLA</v>
          </cell>
          <cell r="AG247">
            <v>586.5</v>
          </cell>
          <cell r="AH247">
            <v>3921.118088006298</v>
          </cell>
          <cell r="AI247">
            <v>4.0298141105216088</v>
          </cell>
        </row>
        <row r="248">
          <cell r="C248" t="str">
            <v>081090</v>
          </cell>
          <cell r="AE248">
            <v>6805101</v>
          </cell>
          <cell r="AF248" t="str">
            <v>ARATICUM</v>
          </cell>
          <cell r="AG248">
            <v>586.5</v>
          </cell>
          <cell r="AH248">
            <v>3921.118088006298</v>
          </cell>
          <cell r="AI248">
            <v>4.0298141105216088</v>
          </cell>
        </row>
        <row r="249">
          <cell r="C249" t="str">
            <v>081010</v>
          </cell>
          <cell r="AE249">
            <v>6805201</v>
          </cell>
          <cell r="AF249" t="str">
            <v>MORANGO</v>
          </cell>
          <cell r="AG249">
            <v>569.78593144560364</v>
          </cell>
          <cell r="AH249">
            <v>520.60563378506049</v>
          </cell>
          <cell r="AI249">
            <v>1.6</v>
          </cell>
        </row>
        <row r="250">
          <cell r="C250" t="str">
            <v>081090</v>
          </cell>
          <cell r="AE250">
            <v>6805301</v>
          </cell>
          <cell r="AF250" t="str">
            <v>JAMBO</v>
          </cell>
          <cell r="AG250">
            <v>586.5</v>
          </cell>
          <cell r="AH250">
            <v>3921.118088006298</v>
          </cell>
          <cell r="AI250">
            <v>4.0298141105216088</v>
          </cell>
        </row>
        <row r="251">
          <cell r="C251" t="str">
            <v>081090</v>
          </cell>
          <cell r="AE251">
            <v>6805401</v>
          </cell>
          <cell r="AF251" t="str">
            <v>ATEMOIA</v>
          </cell>
          <cell r="AG251">
            <v>586.5</v>
          </cell>
          <cell r="AH251">
            <v>3921.118088006298</v>
          </cell>
          <cell r="AI251">
            <v>4.0298141105216088</v>
          </cell>
        </row>
        <row r="252">
          <cell r="C252" t="str">
            <v>081090</v>
          </cell>
          <cell r="AE252">
            <v>6805501</v>
          </cell>
          <cell r="AF252" t="str">
            <v>GROSELHA</v>
          </cell>
          <cell r="AG252">
            <v>586.5</v>
          </cell>
          <cell r="AH252">
            <v>3921.118088006298</v>
          </cell>
          <cell r="AI252">
            <v>4.0298141105216088</v>
          </cell>
        </row>
        <row r="253">
          <cell r="C253" t="str">
            <v>081090</v>
          </cell>
          <cell r="AE253">
            <v>6805601</v>
          </cell>
          <cell r="AF253" t="str">
            <v>MANGABA</v>
          </cell>
          <cell r="AG253">
            <v>586.5</v>
          </cell>
          <cell r="AH253">
            <v>3921.118088006298</v>
          </cell>
          <cell r="AI253">
            <v>4.0298141105216088</v>
          </cell>
        </row>
        <row r="254">
          <cell r="C254" t="str">
            <v>081090</v>
          </cell>
          <cell r="AE254">
            <v>6805701</v>
          </cell>
          <cell r="AF254" t="str">
            <v>ARACA</v>
          </cell>
          <cell r="AG254">
            <v>586.5</v>
          </cell>
          <cell r="AH254">
            <v>3921.118088006298</v>
          </cell>
          <cell r="AI254">
            <v>4.0298141105216088</v>
          </cell>
        </row>
        <row r="255">
          <cell r="C255" t="str">
            <v>081090</v>
          </cell>
          <cell r="AE255">
            <v>6805901</v>
          </cell>
          <cell r="AF255" t="str">
            <v>FRUTA PAO</v>
          </cell>
          <cell r="AG255">
            <v>586.5</v>
          </cell>
          <cell r="AH255">
            <v>3921.118088006298</v>
          </cell>
          <cell r="AI255">
            <v>4.0298141105216088</v>
          </cell>
        </row>
        <row r="256">
          <cell r="C256" t="str">
            <v>081090</v>
          </cell>
          <cell r="AE256">
            <v>6806001</v>
          </cell>
          <cell r="AF256" t="str">
            <v>SAPOTI</v>
          </cell>
          <cell r="AG256">
            <v>586.5</v>
          </cell>
          <cell r="AH256">
            <v>3921.118088006298</v>
          </cell>
          <cell r="AI256">
            <v>4.0298141105216088</v>
          </cell>
        </row>
        <row r="257">
          <cell r="C257" t="str">
            <v>081090</v>
          </cell>
          <cell r="AE257">
            <v>6806101</v>
          </cell>
          <cell r="AF257" t="str">
            <v>UXI</v>
          </cell>
          <cell r="AG257">
            <v>586.5</v>
          </cell>
          <cell r="AH257">
            <v>3921.118088006298</v>
          </cell>
          <cell r="AI257">
            <v>4.0298141105216088</v>
          </cell>
        </row>
        <row r="258">
          <cell r="C258" t="str">
            <v>081090</v>
          </cell>
          <cell r="AE258">
            <v>6806201</v>
          </cell>
          <cell r="AF258" t="str">
            <v>TAMARINDO</v>
          </cell>
          <cell r="AG258">
            <v>586.5</v>
          </cell>
          <cell r="AH258">
            <v>3921.118088006298</v>
          </cell>
          <cell r="AI258">
            <v>4.0298141105216088</v>
          </cell>
        </row>
        <row r="259">
          <cell r="C259" t="str">
            <v>180100</v>
          </cell>
          <cell r="AE259">
            <v>6806301</v>
          </cell>
          <cell r="AF259" t="str">
            <v>CACAU</v>
          </cell>
          <cell r="AG259">
            <v>3100</v>
          </cell>
          <cell r="AH259">
            <v>30989.752514303607</v>
          </cell>
          <cell r="AI259">
            <v>46</v>
          </cell>
        </row>
        <row r="260">
          <cell r="C260" t="str">
            <v>081090</v>
          </cell>
          <cell r="AE260">
            <v>6806401</v>
          </cell>
          <cell r="AF260" t="str">
            <v>PITOMBA</v>
          </cell>
          <cell r="AG260">
            <v>586.5</v>
          </cell>
          <cell r="AH260">
            <v>3921.118088006298</v>
          </cell>
          <cell r="AI260">
            <v>4.0298141105216088</v>
          </cell>
        </row>
        <row r="261">
          <cell r="C261" t="str">
            <v>081090</v>
          </cell>
          <cell r="AE261">
            <v>6806501</v>
          </cell>
          <cell r="AF261" t="str">
            <v>BACURI</v>
          </cell>
          <cell r="AG261">
            <v>586.5</v>
          </cell>
          <cell r="AH261">
            <v>3921.118088006298</v>
          </cell>
          <cell r="AI261">
            <v>4.0298141105216088</v>
          </cell>
        </row>
        <row r="262">
          <cell r="C262" t="str">
            <v>081090</v>
          </cell>
          <cell r="AE262">
            <v>6806601</v>
          </cell>
          <cell r="AF262" t="str">
            <v>INGA</v>
          </cell>
          <cell r="AG262">
            <v>586.5</v>
          </cell>
          <cell r="AH262">
            <v>3921.118088006298</v>
          </cell>
          <cell r="AI262">
            <v>4.0298141105216088</v>
          </cell>
        </row>
        <row r="263">
          <cell r="C263" t="str">
            <v>081090</v>
          </cell>
          <cell r="AE263">
            <v>6806701</v>
          </cell>
          <cell r="AF263" t="str">
            <v>PEQUI</v>
          </cell>
          <cell r="AG263">
            <v>586.5</v>
          </cell>
          <cell r="AH263">
            <v>3921.118088006298</v>
          </cell>
          <cell r="AI263">
            <v>4.0298141105216088</v>
          </cell>
        </row>
        <row r="264">
          <cell r="C264" t="str">
            <v>081090</v>
          </cell>
          <cell r="AE264">
            <v>6806704</v>
          </cell>
          <cell r="AF264" t="str">
            <v>PIQUIA</v>
          </cell>
          <cell r="AG264">
            <v>586.5</v>
          </cell>
          <cell r="AH264">
            <v>3921.118088006298</v>
          </cell>
          <cell r="AI264">
            <v>4.0298141105216088</v>
          </cell>
        </row>
        <row r="265">
          <cell r="C265" t="str">
            <v>081090</v>
          </cell>
          <cell r="AE265">
            <v>6806801</v>
          </cell>
          <cell r="AF265" t="str">
            <v>PITANGA</v>
          </cell>
          <cell r="AG265">
            <v>586.5</v>
          </cell>
          <cell r="AH265">
            <v>3921.118088006298</v>
          </cell>
          <cell r="AI265">
            <v>4.0298141105216088</v>
          </cell>
        </row>
        <row r="266">
          <cell r="C266" t="str">
            <v>081090</v>
          </cell>
          <cell r="AE266">
            <v>6806901</v>
          </cell>
          <cell r="AF266" t="str">
            <v>CIRIGUELA</v>
          </cell>
          <cell r="AG266">
            <v>586.5</v>
          </cell>
          <cell r="AH266">
            <v>3921.118088006298</v>
          </cell>
          <cell r="AI266">
            <v>4.0298141105216088</v>
          </cell>
        </row>
        <row r="267">
          <cell r="C267" t="str">
            <v>081090</v>
          </cell>
          <cell r="AE267">
            <v>6806902</v>
          </cell>
          <cell r="AF267" t="str">
            <v>CERIGUELA / SERIGUELA / SIRIGUELA</v>
          </cell>
          <cell r="AG267">
            <v>586.5</v>
          </cell>
          <cell r="AH267">
            <v>3921.118088006298</v>
          </cell>
          <cell r="AI267">
            <v>4.0298141105216088</v>
          </cell>
        </row>
        <row r="268">
          <cell r="C268" t="str">
            <v>081090</v>
          </cell>
          <cell r="AE268">
            <v>6807001</v>
          </cell>
          <cell r="AF268" t="str">
            <v>MURICI</v>
          </cell>
          <cell r="AG268">
            <v>586.5</v>
          </cell>
          <cell r="AH268">
            <v>3921.118088006298</v>
          </cell>
          <cell r="AI268">
            <v>4.0298141105216088</v>
          </cell>
        </row>
        <row r="269">
          <cell r="C269" t="str">
            <v>081090</v>
          </cell>
          <cell r="AE269">
            <v>6807101</v>
          </cell>
          <cell r="AF269" t="str">
            <v>UMBU</v>
          </cell>
          <cell r="AG269">
            <v>586.5</v>
          </cell>
          <cell r="AH269">
            <v>3921.118088006298</v>
          </cell>
          <cell r="AI269">
            <v>4.0298141105216088</v>
          </cell>
        </row>
        <row r="270">
          <cell r="C270" t="str">
            <v>081090</v>
          </cell>
          <cell r="AE270">
            <v>6807202</v>
          </cell>
          <cell r="AF270" t="str">
            <v>BIRIBA</v>
          </cell>
          <cell r="AG270">
            <v>586.5</v>
          </cell>
          <cell r="AH270">
            <v>3921.118088006298</v>
          </cell>
          <cell r="AI270">
            <v>4.0298141105216088</v>
          </cell>
        </row>
        <row r="271">
          <cell r="C271" t="str">
            <v>081090</v>
          </cell>
          <cell r="AE271">
            <v>6807301</v>
          </cell>
          <cell r="AF271" t="str">
            <v>CUPUACU</v>
          </cell>
          <cell r="AG271">
            <v>586.5</v>
          </cell>
          <cell r="AH271">
            <v>3921.118088006298</v>
          </cell>
          <cell r="AI271">
            <v>4.0298141105216088</v>
          </cell>
        </row>
        <row r="272">
          <cell r="C272" t="str">
            <v>080930</v>
          </cell>
          <cell r="AE272">
            <v>6807401</v>
          </cell>
          <cell r="AF272" t="str">
            <v>NECTARINA</v>
          </cell>
          <cell r="AG272">
            <v>376.33333333333331</v>
          </cell>
          <cell r="AH272">
            <v>1384.7231421317958</v>
          </cell>
          <cell r="AI272">
            <v>5.8996884735202491</v>
          </cell>
        </row>
        <row r="273">
          <cell r="C273" t="str">
            <v>081090</v>
          </cell>
          <cell r="AE273">
            <v>6807501</v>
          </cell>
          <cell r="AF273" t="str">
            <v>MARI</v>
          </cell>
          <cell r="AG273">
            <v>586.5</v>
          </cell>
          <cell r="AH273">
            <v>3921.118088006298</v>
          </cell>
          <cell r="AI273">
            <v>4.0298141105216088</v>
          </cell>
        </row>
        <row r="274">
          <cell r="C274" t="str">
            <v>081090</v>
          </cell>
          <cell r="AE274">
            <v>6807701</v>
          </cell>
          <cell r="AF274" t="str">
            <v>ACEROLA</v>
          </cell>
          <cell r="AG274">
            <v>586.5</v>
          </cell>
          <cell r="AH274">
            <v>3921.118088006298</v>
          </cell>
          <cell r="AI274">
            <v>4.0298141105216088</v>
          </cell>
        </row>
        <row r="275">
          <cell r="C275" t="str">
            <v>081050</v>
          </cell>
          <cell r="AE275">
            <v>6807801</v>
          </cell>
          <cell r="AF275" t="str">
            <v>KIWI</v>
          </cell>
          <cell r="AG275">
            <v>1328.25</v>
          </cell>
          <cell r="AH275">
            <v>1200.7081246293078</v>
          </cell>
          <cell r="AI275">
            <v>2.4926635514018693</v>
          </cell>
        </row>
        <row r="276">
          <cell r="C276" t="str">
            <v>081090</v>
          </cell>
          <cell r="AE276">
            <v>6808001</v>
          </cell>
          <cell r="AF276" t="str">
            <v>ABIU</v>
          </cell>
          <cell r="AG276">
            <v>586.5</v>
          </cell>
          <cell r="AH276">
            <v>3921.118088006298</v>
          </cell>
          <cell r="AI276">
            <v>4.0298141105216088</v>
          </cell>
        </row>
        <row r="277">
          <cell r="C277" t="str">
            <v>081090</v>
          </cell>
          <cell r="AE277">
            <v>6808101</v>
          </cell>
          <cell r="AF277" t="str">
            <v>ABRICO</v>
          </cell>
          <cell r="AG277">
            <v>586.5</v>
          </cell>
          <cell r="AH277">
            <v>3921.118088006298</v>
          </cell>
          <cell r="AI277">
            <v>4.0298141105216088</v>
          </cell>
        </row>
        <row r="278">
          <cell r="C278" t="str">
            <v>081090</v>
          </cell>
          <cell r="AE278">
            <v>6808201</v>
          </cell>
          <cell r="AF278" t="str">
            <v>JURUBEBA</v>
          </cell>
          <cell r="AG278">
            <v>586.5</v>
          </cell>
          <cell r="AH278">
            <v>3921.118088006298</v>
          </cell>
          <cell r="AI278">
            <v>4.0298141105216088</v>
          </cell>
        </row>
        <row r="279">
          <cell r="C279" t="str">
            <v>081090</v>
          </cell>
          <cell r="AE279">
            <v>6808401</v>
          </cell>
          <cell r="AF279" t="str">
            <v>FRUTA (NÃO ESPECIFICADA)</v>
          </cell>
          <cell r="AG279">
            <v>864.5</v>
          </cell>
          <cell r="AH279">
            <v>3921.118088006298</v>
          </cell>
          <cell r="AI279">
            <v>4.0298141105216088</v>
          </cell>
        </row>
        <row r="280">
          <cell r="C280" t="str">
            <v>081090</v>
          </cell>
          <cell r="AE280">
            <v>6809901</v>
          </cell>
          <cell r="AF280" t="str">
            <v>AMORA</v>
          </cell>
          <cell r="AG280">
            <v>170</v>
          </cell>
          <cell r="AH280">
            <v>3921.118088006298</v>
          </cell>
          <cell r="AI280">
            <v>4.0298141105216088</v>
          </cell>
        </row>
        <row r="281">
          <cell r="C281" t="str">
            <v>081090</v>
          </cell>
          <cell r="AE281">
            <v>6810001</v>
          </cell>
          <cell r="AF281" t="str">
            <v>LICHIA</v>
          </cell>
          <cell r="AG281">
            <v>586.5</v>
          </cell>
          <cell r="AH281">
            <v>3921.118088006298</v>
          </cell>
          <cell r="AI281">
            <v>4.0298141105216088</v>
          </cell>
        </row>
        <row r="282">
          <cell r="C282" t="str">
            <v>081090</v>
          </cell>
          <cell r="AE282">
            <v>6810201</v>
          </cell>
          <cell r="AF282" t="str">
            <v>JAMELAO (JAMBURAO)</v>
          </cell>
          <cell r="AG282">
            <v>586.5</v>
          </cell>
          <cell r="AH282">
            <v>3921.118088006298</v>
          </cell>
          <cell r="AI282">
            <v>4.0298141105216088</v>
          </cell>
        </row>
        <row r="283">
          <cell r="C283" t="str">
            <v>081090</v>
          </cell>
          <cell r="AE283">
            <v>6810402</v>
          </cell>
          <cell r="AF283" t="str">
            <v>FISALIS</v>
          </cell>
          <cell r="AG283">
            <v>586.5</v>
          </cell>
          <cell r="AH283">
            <v>3921.118088006298</v>
          </cell>
          <cell r="AI283">
            <v>4.0298141105216088</v>
          </cell>
        </row>
        <row r="284">
          <cell r="C284" t="str">
            <v>081090</v>
          </cell>
          <cell r="AE284">
            <v>6810501</v>
          </cell>
          <cell r="AF284" t="str">
            <v>CRANBERRY</v>
          </cell>
          <cell r="AG284">
            <v>586.5</v>
          </cell>
          <cell r="AH284">
            <v>3921.118088006298</v>
          </cell>
          <cell r="AI284">
            <v>4.0298141105216088</v>
          </cell>
        </row>
        <row r="285">
          <cell r="C285" t="str">
            <v>081090</v>
          </cell>
          <cell r="AE285">
            <v>6810901</v>
          </cell>
          <cell r="AF285" t="str">
            <v>TAMARA</v>
          </cell>
          <cell r="AG285">
            <v>586.5</v>
          </cell>
          <cell r="AH285">
            <v>3921.118088006298</v>
          </cell>
          <cell r="AI285">
            <v>4.0298141105216088</v>
          </cell>
        </row>
        <row r="286">
          <cell r="C286" t="str">
            <v>081090</v>
          </cell>
          <cell r="AE286">
            <v>6811001</v>
          </cell>
          <cell r="AF286" t="str">
            <v>DAMASCO</v>
          </cell>
          <cell r="AG286">
            <v>586.5</v>
          </cell>
          <cell r="AH286">
            <v>3921.118088006298</v>
          </cell>
          <cell r="AI286">
            <v>4.0298141105216088</v>
          </cell>
        </row>
        <row r="287">
          <cell r="C287" t="str">
            <v>081090</v>
          </cell>
          <cell r="AE287">
            <v>6900301</v>
          </cell>
          <cell r="AF287" t="str">
            <v>ACUCAR DEMERARA</v>
          </cell>
          <cell r="AG287">
            <v>586.5</v>
          </cell>
          <cell r="AH287">
            <v>3921.118088006298</v>
          </cell>
          <cell r="AI287">
            <v>4.0298141105216088</v>
          </cell>
        </row>
        <row r="288">
          <cell r="C288">
            <v>170111</v>
          </cell>
          <cell r="AE288">
            <v>6900304</v>
          </cell>
          <cell r="AF288" t="str">
            <v>ACUCAR MASCAVO</v>
          </cell>
          <cell r="AG288">
            <v>1800</v>
          </cell>
          <cell r="AH288">
            <v>1090.9133482192635</v>
          </cell>
          <cell r="AI288">
            <v>3.7796942010068992</v>
          </cell>
        </row>
        <row r="289">
          <cell r="C289">
            <v>170191</v>
          </cell>
          <cell r="AE289">
            <v>6900401</v>
          </cell>
          <cell r="AF289" t="str">
            <v>RAPADURA</v>
          </cell>
          <cell r="AG289">
            <v>766.66750000000002</v>
          </cell>
          <cell r="AH289">
            <v>344.86208723291998</v>
          </cell>
          <cell r="AI289">
            <v>3.7796942010068992</v>
          </cell>
        </row>
        <row r="290">
          <cell r="C290">
            <v>170191</v>
          </cell>
          <cell r="AE290">
            <v>6900402</v>
          </cell>
          <cell r="AF290" t="str">
            <v>ALFENIM DE CANA</v>
          </cell>
          <cell r="AG290">
            <v>766.66750000000002</v>
          </cell>
          <cell r="AH290">
            <v>344.86208723291998</v>
          </cell>
          <cell r="AI290">
            <v>3.7796942010068992</v>
          </cell>
        </row>
        <row r="291">
          <cell r="C291" t="str">
            <v>170111</v>
          </cell>
          <cell r="AE291">
            <v>6900403</v>
          </cell>
          <cell r="AF291" t="str">
            <v>BATIDA (RAPADURA)</v>
          </cell>
          <cell r="AG291">
            <v>766.66750000000002</v>
          </cell>
          <cell r="AH291">
            <v>649.22729124245052</v>
          </cell>
          <cell r="AI291">
            <v>3.7796942010068992</v>
          </cell>
        </row>
        <row r="292">
          <cell r="C292" t="str">
            <v>210500</v>
          </cell>
          <cell r="AE292">
            <v>6900501</v>
          </cell>
          <cell r="AF292" t="str">
            <v>SORVETE DE QUALQUER SABOR INDUSTRIALIZADO</v>
          </cell>
          <cell r="AG292">
            <v>2350</v>
          </cell>
          <cell r="AH292">
            <v>6114.9086447857417</v>
          </cell>
          <cell r="AI292">
            <v>33.5</v>
          </cell>
        </row>
        <row r="293">
          <cell r="C293" t="str">
            <v>210500</v>
          </cell>
          <cell r="AE293">
            <v>6900502</v>
          </cell>
          <cell r="AF293" t="str">
            <v>PICOLE DE QUALQUER SABOR INDUSTRIALIZADO</v>
          </cell>
          <cell r="AG293">
            <v>2350</v>
          </cell>
          <cell r="AH293">
            <v>6114.9086447857417</v>
          </cell>
          <cell r="AI293">
            <v>33.5</v>
          </cell>
        </row>
        <row r="294">
          <cell r="C294" t="str">
            <v>210500</v>
          </cell>
          <cell r="AE294">
            <v>6900507</v>
          </cell>
          <cell r="AF294" t="str">
            <v>SORVETE DE PALITO</v>
          </cell>
          <cell r="AG294">
            <v>2350</v>
          </cell>
          <cell r="AH294">
            <v>6114.9086447857417</v>
          </cell>
          <cell r="AI294">
            <v>33.5</v>
          </cell>
        </row>
        <row r="295">
          <cell r="C295">
            <v>170410</v>
          </cell>
          <cell r="AE295">
            <v>6900601</v>
          </cell>
          <cell r="AF295" t="str">
            <v>CHICLETE</v>
          </cell>
          <cell r="AG295">
            <v>3295</v>
          </cell>
          <cell r="AH295">
            <v>588.35425044054443</v>
          </cell>
          <cell r="AI295">
            <v>3.7796942010068992</v>
          </cell>
        </row>
        <row r="296">
          <cell r="C296">
            <v>170490</v>
          </cell>
          <cell r="AE296">
            <v>6900603</v>
          </cell>
          <cell r="AF296" t="str">
            <v>BALA</v>
          </cell>
          <cell r="AG296">
            <v>4000</v>
          </cell>
          <cell r="AH296">
            <v>588.35425044054443</v>
          </cell>
          <cell r="AI296">
            <v>3.7796942010068992</v>
          </cell>
        </row>
        <row r="297">
          <cell r="C297">
            <v>170490</v>
          </cell>
          <cell r="AE297">
            <v>6900604</v>
          </cell>
          <cell r="AF297" t="str">
            <v>CARAMELO (BALA)</v>
          </cell>
          <cell r="AG297">
            <v>3295</v>
          </cell>
          <cell r="AH297">
            <v>588.35425044054443</v>
          </cell>
          <cell r="AI297">
            <v>3.7796942010068992</v>
          </cell>
        </row>
        <row r="298">
          <cell r="C298">
            <v>170490</v>
          </cell>
          <cell r="AE298">
            <v>6900605</v>
          </cell>
          <cell r="AF298" t="str">
            <v>DROPS</v>
          </cell>
          <cell r="AG298">
            <v>3295</v>
          </cell>
          <cell r="AH298">
            <v>588.35425044054443</v>
          </cell>
          <cell r="AI298">
            <v>3.7796942010068992</v>
          </cell>
        </row>
        <row r="299">
          <cell r="C299">
            <v>170490</v>
          </cell>
          <cell r="AE299">
            <v>6900606</v>
          </cell>
          <cell r="AF299" t="str">
            <v>PASTILHA</v>
          </cell>
          <cell r="AG299">
            <v>3295</v>
          </cell>
          <cell r="AH299">
            <v>588.35425044054443</v>
          </cell>
          <cell r="AI299">
            <v>3.7796942010068992</v>
          </cell>
        </row>
        <row r="300">
          <cell r="C300">
            <v>170490</v>
          </cell>
          <cell r="AE300">
            <v>6900607</v>
          </cell>
          <cell r="AF300" t="str">
            <v>PIRULITO</v>
          </cell>
          <cell r="AG300">
            <v>3295</v>
          </cell>
          <cell r="AH300">
            <v>588.35425044054443</v>
          </cell>
          <cell r="AI300">
            <v>3.7796942010068992</v>
          </cell>
        </row>
        <row r="301">
          <cell r="C301">
            <v>170410</v>
          </cell>
          <cell r="AE301">
            <v>6900609</v>
          </cell>
          <cell r="AF301" t="str">
            <v>GOMA DE MASCAR</v>
          </cell>
          <cell r="AG301">
            <v>3295</v>
          </cell>
          <cell r="AH301">
            <v>588.35425044054443</v>
          </cell>
          <cell r="AI301">
            <v>3.7796942010068992</v>
          </cell>
        </row>
        <row r="302">
          <cell r="C302">
            <v>170490</v>
          </cell>
          <cell r="AE302">
            <v>6900610</v>
          </cell>
          <cell r="AF302" t="str">
            <v>JUJUBA</v>
          </cell>
          <cell r="AG302">
            <v>2590</v>
          </cell>
          <cell r="AH302">
            <v>588.35425044054443</v>
          </cell>
          <cell r="AI302">
            <v>3.7796942010068992</v>
          </cell>
        </row>
        <row r="303">
          <cell r="C303">
            <v>170490</v>
          </cell>
          <cell r="AE303">
            <v>6900615</v>
          </cell>
          <cell r="AF303" t="str">
            <v>BALA DE COCO</v>
          </cell>
          <cell r="AG303">
            <v>3295</v>
          </cell>
          <cell r="AH303">
            <v>588.35425044054443</v>
          </cell>
          <cell r="AI303">
            <v>3.7796942010068992</v>
          </cell>
        </row>
        <row r="304">
          <cell r="C304">
            <v>170490</v>
          </cell>
          <cell r="AE304">
            <v>6900616</v>
          </cell>
          <cell r="AF304" t="str">
            <v>BALA DE GOMA</v>
          </cell>
          <cell r="AG304">
            <v>3295</v>
          </cell>
          <cell r="AH304">
            <v>588.35425044054443</v>
          </cell>
          <cell r="AI304">
            <v>3.7796942010068992</v>
          </cell>
        </row>
        <row r="305">
          <cell r="C305">
            <v>170490</v>
          </cell>
          <cell r="AE305">
            <v>6900617</v>
          </cell>
          <cell r="AF305" t="str">
            <v>BALA DE FRUTA</v>
          </cell>
          <cell r="AG305">
            <v>3295</v>
          </cell>
          <cell r="AH305">
            <v>588.35425044054443</v>
          </cell>
          <cell r="AI305">
            <v>3.7796942010068992</v>
          </cell>
        </row>
        <row r="306">
          <cell r="C306" t="str">
            <v>180500</v>
          </cell>
          <cell r="AE306">
            <v>6900701</v>
          </cell>
          <cell r="AF306" t="str">
            <v>TABLETE DE CHOCOLATE</v>
          </cell>
          <cell r="AG306">
            <v>2333.3333333333335</v>
          </cell>
          <cell r="AH306">
            <v>30989.752514303607</v>
          </cell>
          <cell r="AI306">
            <v>46</v>
          </cell>
        </row>
        <row r="307">
          <cell r="C307" t="str">
            <v>180500</v>
          </cell>
          <cell r="AE307">
            <v>6900702</v>
          </cell>
          <cell r="AF307" t="str">
            <v>BARRA DE CHOCOLATE</v>
          </cell>
          <cell r="AG307">
            <v>2333.3333333333335</v>
          </cell>
          <cell r="AH307">
            <v>30989.752514303607</v>
          </cell>
          <cell r="AI307">
            <v>46</v>
          </cell>
        </row>
        <row r="308">
          <cell r="C308" t="str">
            <v>180500</v>
          </cell>
          <cell r="AE308">
            <v>6900703</v>
          </cell>
          <cell r="AF308" t="str">
            <v>CHOCOLATE, TABLETE NAO ESPECIFICADO</v>
          </cell>
          <cell r="AG308">
            <v>2333.3333333333335</v>
          </cell>
          <cell r="AH308">
            <v>30989.752514303607</v>
          </cell>
          <cell r="AI308">
            <v>46</v>
          </cell>
        </row>
        <row r="309">
          <cell r="C309" t="str">
            <v>180500</v>
          </cell>
          <cell r="AE309">
            <v>6900706</v>
          </cell>
          <cell r="AF309" t="str">
            <v>CONFETE</v>
          </cell>
          <cell r="AG309">
            <v>2333.3333333333335</v>
          </cell>
          <cell r="AH309">
            <v>30989.752514303607</v>
          </cell>
          <cell r="AI309">
            <v>46</v>
          </cell>
        </row>
        <row r="310">
          <cell r="C310" t="str">
            <v>180500</v>
          </cell>
          <cell r="AE310">
            <v>6900710</v>
          </cell>
          <cell r="AF310" t="str">
            <v>CHOCOLATE, TABLETE, AO LEITE</v>
          </cell>
          <cell r="AG310">
            <v>2333.3333333333335</v>
          </cell>
          <cell r="AH310">
            <v>30989.752514303607</v>
          </cell>
          <cell r="AI310">
            <v>46</v>
          </cell>
        </row>
        <row r="311">
          <cell r="C311" t="str">
            <v>180500</v>
          </cell>
          <cell r="AE311">
            <v>6900711</v>
          </cell>
          <cell r="AF311" t="str">
            <v>CHOCOLATE, TABLETE, AO LEITE, RECHEADO</v>
          </cell>
          <cell r="AG311">
            <v>2333.3333333333335</v>
          </cell>
          <cell r="AH311">
            <v>30989.752514303607</v>
          </cell>
          <cell r="AI311">
            <v>46</v>
          </cell>
        </row>
        <row r="312">
          <cell r="C312" t="str">
            <v>180500</v>
          </cell>
          <cell r="AE312">
            <v>6900712</v>
          </cell>
          <cell r="AF312" t="str">
            <v>CHOCOLATE, TABLETE, BRANCO</v>
          </cell>
          <cell r="AG312">
            <v>2333.3333333333335</v>
          </cell>
          <cell r="AH312">
            <v>30989.752514303607</v>
          </cell>
          <cell r="AI312">
            <v>46</v>
          </cell>
        </row>
        <row r="313">
          <cell r="C313" t="str">
            <v>180500</v>
          </cell>
          <cell r="AE313">
            <v>6900713</v>
          </cell>
          <cell r="AF313" t="str">
            <v>CHOCOLATE, TABLETE, BRANCO, RECHEADO</v>
          </cell>
          <cell r="AG313">
            <v>2333.3333333333335</v>
          </cell>
          <cell r="AH313">
            <v>30989.752514303607</v>
          </cell>
          <cell r="AI313">
            <v>46</v>
          </cell>
        </row>
        <row r="314">
          <cell r="C314" t="str">
            <v>180500</v>
          </cell>
          <cell r="AE314">
            <v>6900714</v>
          </cell>
          <cell r="AF314" t="str">
            <v>CHOCOLATE, TABLETE, MEIO AMARGO</v>
          </cell>
          <cell r="AG314">
            <v>2333.3333333333335</v>
          </cell>
          <cell r="AH314">
            <v>30989.752514303607</v>
          </cell>
          <cell r="AI314">
            <v>46</v>
          </cell>
        </row>
        <row r="315">
          <cell r="C315" t="str">
            <v>180500</v>
          </cell>
          <cell r="AE315">
            <v>6900716</v>
          </cell>
          <cell r="AF315" t="str">
            <v>CHOCOLATE, TABLETE, RECHEADO NAO ESPECIFICADO</v>
          </cell>
          <cell r="AG315">
            <v>2333.3333333333335</v>
          </cell>
          <cell r="AH315">
            <v>30989.752514303607</v>
          </cell>
          <cell r="AI315">
            <v>46</v>
          </cell>
        </row>
        <row r="316">
          <cell r="C316">
            <v>220290</v>
          </cell>
          <cell r="AE316">
            <v>6900801</v>
          </cell>
          <cell r="AF316" t="str">
            <v>CHOCOLATE EM PO DE QUALQUER MARCA</v>
          </cell>
          <cell r="AG316">
            <v>794.44444444444446</v>
          </cell>
          <cell r="AH316">
            <v>24910.22243540459</v>
          </cell>
          <cell r="AI316">
            <v>57.5</v>
          </cell>
        </row>
        <row r="317">
          <cell r="C317">
            <v>220290</v>
          </cell>
          <cell r="AE317">
            <v>6900818</v>
          </cell>
          <cell r="AF317" t="str">
            <v>OVOMALTINE</v>
          </cell>
          <cell r="AG317">
            <v>794.44444444444446</v>
          </cell>
          <cell r="AH317">
            <v>11543.725015272823</v>
          </cell>
          <cell r="AI317">
            <v>57.5</v>
          </cell>
        </row>
        <row r="318">
          <cell r="C318">
            <v>220290</v>
          </cell>
          <cell r="AE318">
            <v>6900819</v>
          </cell>
          <cell r="AF318" t="str">
            <v>OVOMALTINE EM PO</v>
          </cell>
          <cell r="AG318">
            <v>794.44444444444446</v>
          </cell>
          <cell r="AH318">
            <v>11543.725015272823</v>
          </cell>
          <cell r="AI318">
            <v>57.5</v>
          </cell>
        </row>
        <row r="319">
          <cell r="C319">
            <v>220290</v>
          </cell>
          <cell r="AE319">
            <v>6900821</v>
          </cell>
          <cell r="AF319" t="str">
            <v>ACHOCOLATADO EM PO</v>
          </cell>
          <cell r="AG319">
            <v>794.44444444444446</v>
          </cell>
          <cell r="AH319">
            <v>11543.725015272823</v>
          </cell>
          <cell r="AI319">
            <v>57.5</v>
          </cell>
        </row>
        <row r="320">
          <cell r="C320">
            <v>220290</v>
          </cell>
          <cell r="AE320">
            <v>6900822</v>
          </cell>
          <cell r="AF320" t="str">
            <v>TODDYNHO</v>
          </cell>
          <cell r="AG320">
            <v>794.44444444444446</v>
          </cell>
          <cell r="AH320">
            <v>11543.725015272823</v>
          </cell>
          <cell r="AI320">
            <v>57.5</v>
          </cell>
        </row>
        <row r="321">
          <cell r="C321" t="str">
            <v>180500</v>
          </cell>
          <cell r="AE321">
            <v>6900901</v>
          </cell>
          <cell r="AF321" t="str">
            <v>BOMBOM DE QUALQUER MARCA</v>
          </cell>
          <cell r="AG321">
            <v>2333.3333333333335</v>
          </cell>
          <cell r="AH321">
            <v>30989.752514303607</v>
          </cell>
          <cell r="AI321">
            <v>46</v>
          </cell>
        </row>
        <row r="322">
          <cell r="C322" t="str">
            <v>180500</v>
          </cell>
          <cell r="AE322">
            <v>6900904</v>
          </cell>
          <cell r="AF322" t="str">
            <v>TRUFA</v>
          </cell>
          <cell r="AG322">
            <v>2333.3333333333335</v>
          </cell>
          <cell r="AH322">
            <v>30989.752514303607</v>
          </cell>
          <cell r="AI322">
            <v>46</v>
          </cell>
        </row>
        <row r="323">
          <cell r="C323">
            <v>200799</v>
          </cell>
          <cell r="AE323">
            <v>6901001</v>
          </cell>
          <cell r="AF323" t="str">
            <v>GELEIA DE FRUTAS DE QUALQUER MARCA OU SABOR</v>
          </cell>
          <cell r="AG323">
            <v>3495</v>
          </cell>
          <cell r="AH323">
            <v>1471.4151641407616</v>
          </cell>
          <cell r="AI323">
            <v>5.52</v>
          </cell>
        </row>
        <row r="324">
          <cell r="C324">
            <v>200799</v>
          </cell>
          <cell r="AE324">
            <v>6901002</v>
          </cell>
          <cell r="AF324" t="str">
            <v>MOUSSE DE QUALQUER SABOR (GELÉIA)</v>
          </cell>
          <cell r="AG324">
            <v>2947.5</v>
          </cell>
          <cell r="AH324">
            <v>1471.4151641407616</v>
          </cell>
          <cell r="AI324">
            <v>5.52</v>
          </cell>
        </row>
        <row r="325">
          <cell r="C325">
            <v>200799</v>
          </cell>
          <cell r="AE325">
            <v>6901101</v>
          </cell>
          <cell r="AF325" t="str">
            <v>GELEIA DE MOCOTO</v>
          </cell>
          <cell r="AG325">
            <v>2947.5</v>
          </cell>
          <cell r="AH325">
            <v>1471.4151641407616</v>
          </cell>
          <cell r="AI325">
            <v>5.52</v>
          </cell>
        </row>
        <row r="326">
          <cell r="C326">
            <v>200799</v>
          </cell>
          <cell r="AE326">
            <v>6901201</v>
          </cell>
          <cell r="AF326" t="str">
            <v>DOCE DE FRUTAS EM PASTA DE QUALQUER SABOR</v>
          </cell>
          <cell r="AG326">
            <v>2947.5</v>
          </cell>
          <cell r="AH326">
            <v>1471.4151641407616</v>
          </cell>
          <cell r="AI326">
            <v>5.52</v>
          </cell>
        </row>
        <row r="327">
          <cell r="C327">
            <v>200819</v>
          </cell>
          <cell r="AE327">
            <v>6901203</v>
          </cell>
          <cell r="AF327" t="str">
            <v>PASTA DE AMENDOIM</v>
          </cell>
          <cell r="AG327">
            <v>1840.3250126347202</v>
          </cell>
          <cell r="AH327">
            <v>1471.4151641407616</v>
          </cell>
          <cell r="AI327">
            <v>5.52</v>
          </cell>
        </row>
        <row r="328">
          <cell r="C328">
            <v>200799</v>
          </cell>
          <cell r="AE328">
            <v>6901204</v>
          </cell>
          <cell r="AF328" t="str">
            <v>PESSEGADA</v>
          </cell>
          <cell r="AG328">
            <v>2947.5</v>
          </cell>
          <cell r="AH328">
            <v>1471.4151641407616</v>
          </cell>
          <cell r="AI328">
            <v>5.52</v>
          </cell>
        </row>
        <row r="329">
          <cell r="C329">
            <v>200799</v>
          </cell>
          <cell r="AE329">
            <v>6901206</v>
          </cell>
          <cell r="AF329" t="str">
            <v>MARMELADA</v>
          </cell>
          <cell r="AG329">
            <v>2400</v>
          </cell>
          <cell r="AH329">
            <v>1471.4151641407616</v>
          </cell>
          <cell r="AI329">
            <v>5.52</v>
          </cell>
        </row>
        <row r="330">
          <cell r="C330">
            <v>200799</v>
          </cell>
          <cell r="AE330">
            <v>6901209</v>
          </cell>
          <cell r="AF330" t="str">
            <v>FIGADA</v>
          </cell>
          <cell r="AG330">
            <v>2947.5</v>
          </cell>
          <cell r="AH330">
            <v>1471.4151641407616</v>
          </cell>
          <cell r="AI330">
            <v>5.52</v>
          </cell>
        </row>
        <row r="331">
          <cell r="C331">
            <v>200799</v>
          </cell>
          <cell r="AE331">
            <v>6901211</v>
          </cell>
          <cell r="AF331" t="str">
            <v>GOIABADA</v>
          </cell>
          <cell r="AG331">
            <v>2947.5</v>
          </cell>
          <cell r="AH331">
            <v>1471.4151641407616</v>
          </cell>
          <cell r="AI331">
            <v>5.52</v>
          </cell>
        </row>
        <row r="332">
          <cell r="C332">
            <v>200799</v>
          </cell>
          <cell r="AE332">
            <v>6901224</v>
          </cell>
          <cell r="AF332" t="str">
            <v>MARIOLA</v>
          </cell>
          <cell r="AG332">
            <v>2947.5</v>
          </cell>
          <cell r="AH332">
            <v>1471.4151641407616</v>
          </cell>
          <cell r="AI332">
            <v>5.52</v>
          </cell>
        </row>
        <row r="333">
          <cell r="C333">
            <v>200600</v>
          </cell>
          <cell r="AE333">
            <v>6901231</v>
          </cell>
          <cell r="AF333" t="str">
            <v>DOCE DE BANANA EM PASTA</v>
          </cell>
          <cell r="AG333">
            <v>1600</v>
          </cell>
          <cell r="AH333">
            <v>1471.4151641407616</v>
          </cell>
          <cell r="AI333">
            <v>5.52</v>
          </cell>
        </row>
        <row r="334">
          <cell r="C334">
            <v>200600</v>
          </cell>
          <cell r="AE334">
            <v>6901240</v>
          </cell>
          <cell r="AF334" t="str">
            <v>BANANADA</v>
          </cell>
          <cell r="AG334">
            <v>1600</v>
          </cell>
          <cell r="AH334">
            <v>1471.4151641407616</v>
          </cell>
          <cell r="AI334">
            <v>5.52</v>
          </cell>
        </row>
        <row r="335">
          <cell r="C335">
            <v>200600</v>
          </cell>
          <cell r="AE335">
            <v>6901301</v>
          </cell>
          <cell r="AF335" t="str">
            <v>DOCE DE FRUTAS EM CALDA DE QUALQUER SABOR</v>
          </cell>
          <cell r="AG335">
            <v>1600</v>
          </cell>
          <cell r="AH335">
            <v>1471.4151641407616</v>
          </cell>
          <cell r="AI335">
            <v>5.52</v>
          </cell>
        </row>
        <row r="336">
          <cell r="C336">
            <v>200600</v>
          </cell>
          <cell r="AE336">
            <v>6901401</v>
          </cell>
          <cell r="AF336" t="str">
            <v>DOCE DE FRUTAS CRISTALIZADO DE QUALQUER SABOR</v>
          </cell>
          <cell r="AG336">
            <v>1600</v>
          </cell>
          <cell r="AH336">
            <v>1471.4151641407616</v>
          </cell>
          <cell r="AI336">
            <v>5.52</v>
          </cell>
        </row>
        <row r="337">
          <cell r="C337">
            <v>170191</v>
          </cell>
          <cell r="AE337">
            <v>6901501</v>
          </cell>
          <cell r="AF337" t="str">
            <v>MELADO</v>
          </cell>
          <cell r="AG337">
            <v>766.66750000000002</v>
          </cell>
          <cell r="AH337">
            <v>344.86208723291998</v>
          </cell>
          <cell r="AI337">
            <v>3.7796942010068992</v>
          </cell>
        </row>
        <row r="338">
          <cell r="C338" t="str">
            <v>040900</v>
          </cell>
          <cell r="AE338">
            <v>6901602</v>
          </cell>
          <cell r="AF338" t="str">
            <v>MEL</v>
          </cell>
          <cell r="AG338">
            <v>1997.5</v>
          </cell>
          <cell r="AH338">
            <v>3977.5725722325878</v>
          </cell>
          <cell r="AI338">
            <v>9</v>
          </cell>
        </row>
        <row r="339">
          <cell r="C339">
            <v>200799</v>
          </cell>
          <cell r="AE339">
            <v>6901701</v>
          </cell>
          <cell r="AF339" t="str">
            <v>GELATINA DE QUALQUER SABOR</v>
          </cell>
          <cell r="AG339">
            <v>2947.5</v>
          </cell>
          <cell r="AH339">
            <v>1471.4151641407616</v>
          </cell>
          <cell r="AI339">
            <v>5.52</v>
          </cell>
        </row>
        <row r="340">
          <cell r="C340">
            <v>210690</v>
          </cell>
          <cell r="AE340">
            <v>6901801</v>
          </cell>
          <cell r="AF340" t="str">
            <v>ADOCANTE ARTIFICIAL</v>
          </cell>
          <cell r="AG340">
            <v>44570</v>
          </cell>
          <cell r="AH340">
            <v>17481</v>
          </cell>
          <cell r="AI340">
            <v>33.5</v>
          </cell>
        </row>
        <row r="341">
          <cell r="C341">
            <v>170490</v>
          </cell>
          <cell r="AE341">
            <v>6902004</v>
          </cell>
          <cell r="AF341" t="str">
            <v>MERENGUE</v>
          </cell>
          <cell r="AG341">
            <v>3295</v>
          </cell>
          <cell r="AH341">
            <v>588.35425044054443</v>
          </cell>
          <cell r="AI341">
            <v>3.7796942010068992</v>
          </cell>
        </row>
        <row r="342">
          <cell r="C342">
            <v>170490</v>
          </cell>
          <cell r="AE342">
            <v>6902209</v>
          </cell>
          <cell r="AF342" t="str">
            <v>MARSHMALLOW</v>
          </cell>
          <cell r="AG342">
            <v>3295</v>
          </cell>
          <cell r="AH342">
            <v>588.35425044054443</v>
          </cell>
          <cell r="AI342">
            <v>3.7796942010068992</v>
          </cell>
        </row>
        <row r="343">
          <cell r="C343">
            <v>200799</v>
          </cell>
          <cell r="AE343">
            <v>6902301</v>
          </cell>
          <cell r="AF343" t="str">
            <v>SCHIMIER DE CANA</v>
          </cell>
          <cell r="AG343">
            <v>2947.5</v>
          </cell>
          <cell r="AH343">
            <v>1471.4151641407616</v>
          </cell>
          <cell r="AI343">
            <v>5.52</v>
          </cell>
        </row>
        <row r="344">
          <cell r="C344" t="str">
            <v>081340</v>
          </cell>
          <cell r="AE344">
            <v>6902401</v>
          </cell>
          <cell r="AF344" t="str">
            <v>FRUTA SECA OU DESIDRATADA</v>
          </cell>
          <cell r="AG344">
            <v>719.03072599531617</v>
          </cell>
          <cell r="AH344">
            <v>3082.4359757713787</v>
          </cell>
          <cell r="AI344">
            <v>3.4182457517703764</v>
          </cell>
        </row>
        <row r="345">
          <cell r="C345" t="str">
            <v>080620</v>
          </cell>
          <cell r="AE345">
            <v>6902402</v>
          </cell>
          <cell r="AF345" t="str">
            <v>PASSA</v>
          </cell>
          <cell r="AG345">
            <v>683.5</v>
          </cell>
          <cell r="AH345">
            <v>1409.2956694206232</v>
          </cell>
          <cell r="AI345">
            <v>4.8757736240913818</v>
          </cell>
        </row>
        <row r="346">
          <cell r="C346">
            <v>190190</v>
          </cell>
          <cell r="AE346">
            <v>6902607</v>
          </cell>
          <cell r="AF346" t="str">
            <v>DANETTE PUDIM</v>
          </cell>
          <cell r="AG346">
            <v>3200</v>
          </cell>
          <cell r="AH346">
            <v>1870.1099089032616</v>
          </cell>
          <cell r="AI346">
            <v>5</v>
          </cell>
        </row>
        <row r="347">
          <cell r="C347" t="str">
            <v>200799</v>
          </cell>
          <cell r="AE347">
            <v>6903001</v>
          </cell>
          <cell r="AF347" t="str">
            <v>MARIA MOLE</v>
          </cell>
          <cell r="AG347">
            <v>2947.5</v>
          </cell>
          <cell r="AH347">
            <v>1471.4151641407616</v>
          </cell>
          <cell r="AI347">
            <v>5.52</v>
          </cell>
        </row>
        <row r="348">
          <cell r="C348">
            <v>200819</v>
          </cell>
          <cell r="AE348">
            <v>6903101</v>
          </cell>
          <cell r="AF348" t="str">
            <v>COCADA</v>
          </cell>
          <cell r="AG348">
            <v>1840.3250126347202</v>
          </cell>
          <cell r="AH348">
            <v>1471.4151641407616</v>
          </cell>
          <cell r="AI348">
            <v>5.52</v>
          </cell>
        </row>
        <row r="349">
          <cell r="C349">
            <v>200819</v>
          </cell>
          <cell r="AE349">
            <v>6903102</v>
          </cell>
          <cell r="AF349" t="str">
            <v>QUEBRA QUEIXO</v>
          </cell>
          <cell r="AG349">
            <v>1840.3250126347202</v>
          </cell>
          <cell r="AH349">
            <v>1471.4151641407616</v>
          </cell>
          <cell r="AI349">
            <v>5.52</v>
          </cell>
        </row>
        <row r="350">
          <cell r="C350">
            <v>200819</v>
          </cell>
          <cell r="AE350">
            <v>6903201</v>
          </cell>
          <cell r="AF350" t="str">
            <v>DOCE DE AMENDOIM</v>
          </cell>
          <cell r="AG350">
            <v>1840.3250126347202</v>
          </cell>
          <cell r="AH350">
            <v>1471.4151641407616</v>
          </cell>
          <cell r="AI350">
            <v>5.52</v>
          </cell>
        </row>
        <row r="351">
          <cell r="C351">
            <v>200819</v>
          </cell>
          <cell r="AE351">
            <v>6903202</v>
          </cell>
          <cell r="AF351" t="str">
            <v>PE DE MOLEQUE</v>
          </cell>
          <cell r="AG351">
            <v>1840.3250126347202</v>
          </cell>
          <cell r="AH351">
            <v>1471.4151641407616</v>
          </cell>
          <cell r="AI351">
            <v>5.52</v>
          </cell>
        </row>
        <row r="352">
          <cell r="C352" t="str">
            <v>200819</v>
          </cell>
          <cell r="AE352">
            <v>6903203</v>
          </cell>
          <cell r="AF352" t="str">
            <v>PACOCA</v>
          </cell>
          <cell r="AG352">
            <v>1840.3250126347202</v>
          </cell>
          <cell r="AH352">
            <v>1471.4151641407616</v>
          </cell>
          <cell r="AI352">
            <v>5.52</v>
          </cell>
        </row>
        <row r="353">
          <cell r="C353">
            <v>200819</v>
          </cell>
          <cell r="AE353">
            <v>6903204</v>
          </cell>
          <cell r="AF353" t="str">
            <v>TORRAO DE AMENDOIM</v>
          </cell>
          <cell r="AG353">
            <v>1840.3250126347202</v>
          </cell>
          <cell r="AH353">
            <v>1471.4151641407616</v>
          </cell>
          <cell r="AI353">
            <v>5.52</v>
          </cell>
        </row>
        <row r="354">
          <cell r="C354" t="str">
            <v>200819</v>
          </cell>
          <cell r="AE354">
            <v>6903205</v>
          </cell>
          <cell r="AF354" t="str">
            <v>PACOQUINHA DE AMENDOIM</v>
          </cell>
          <cell r="AG354">
            <v>1840.3250126347202</v>
          </cell>
          <cell r="AH354">
            <v>1471.4151641407616</v>
          </cell>
          <cell r="AI354">
            <v>5.52</v>
          </cell>
        </row>
        <row r="355">
          <cell r="C355">
            <v>200819</v>
          </cell>
          <cell r="AE355">
            <v>6903208</v>
          </cell>
          <cell r="AF355" t="str">
            <v>AMENDOIM AMANTEIGADO</v>
          </cell>
          <cell r="AG355">
            <v>1840.3250126347202</v>
          </cell>
          <cell r="AH355">
            <v>1471.4151641407616</v>
          </cell>
          <cell r="AI355">
            <v>5.52</v>
          </cell>
        </row>
        <row r="356">
          <cell r="C356">
            <v>200819</v>
          </cell>
          <cell r="AE356">
            <v>6903209</v>
          </cell>
          <cell r="AF356" t="str">
            <v>AMENDOIM ACHOCOLATADO</v>
          </cell>
          <cell r="AG356">
            <v>1840.3250126347202</v>
          </cell>
          <cell r="AH356">
            <v>1471.4151641407616</v>
          </cell>
          <cell r="AI356">
            <v>5.52</v>
          </cell>
        </row>
        <row r="357">
          <cell r="C357">
            <v>200819</v>
          </cell>
          <cell r="AE357">
            <v>6903303</v>
          </cell>
          <cell r="AF357" t="str">
            <v>AMENDOIM APIMENTADO</v>
          </cell>
          <cell r="AG357">
            <v>1840.3250126347202</v>
          </cell>
          <cell r="AH357">
            <v>1471.4151641407616</v>
          </cell>
          <cell r="AI357">
            <v>5.52</v>
          </cell>
        </row>
        <row r="358">
          <cell r="C358">
            <v>200819</v>
          </cell>
          <cell r="AE358">
            <v>6903304</v>
          </cell>
          <cell r="AF358" t="str">
            <v>AMENDOIM COZIDO</v>
          </cell>
          <cell r="AG358">
            <v>1840.3250126347202</v>
          </cell>
          <cell r="AH358">
            <v>1471.4151641407616</v>
          </cell>
          <cell r="AI358">
            <v>5.52</v>
          </cell>
        </row>
        <row r="359">
          <cell r="C359" t="str">
            <v>180500</v>
          </cell>
          <cell r="AE359">
            <v>6903601</v>
          </cell>
          <cell r="AF359" t="str">
            <v>BRIGADEIRO</v>
          </cell>
          <cell r="AG359">
            <v>2333.3333333333335</v>
          </cell>
          <cell r="AH359">
            <v>30989.752514303607</v>
          </cell>
          <cell r="AI359">
            <v>46</v>
          </cell>
        </row>
        <row r="360">
          <cell r="C360" t="str">
            <v>180500</v>
          </cell>
          <cell r="AE360">
            <v>6903701</v>
          </cell>
          <cell r="AF360" t="str">
            <v>BOMBA DE QUALQUER TIPO</v>
          </cell>
          <cell r="AG360">
            <v>2333.3333333333335</v>
          </cell>
          <cell r="AH360">
            <v>30989.752514303607</v>
          </cell>
          <cell r="AI360">
            <v>46</v>
          </cell>
        </row>
        <row r="361">
          <cell r="C361">
            <v>190520</v>
          </cell>
          <cell r="AE361">
            <v>6903801</v>
          </cell>
          <cell r="AF361" t="str">
            <v>MIL FOLHAS</v>
          </cell>
          <cell r="AG361">
            <v>2315.1666666666665</v>
          </cell>
          <cell r="AH361">
            <v>1956.5333333333333</v>
          </cell>
          <cell r="AI361">
            <v>12.832539682539684</v>
          </cell>
        </row>
        <row r="362">
          <cell r="C362">
            <v>190520</v>
          </cell>
          <cell r="AE362">
            <v>6903802</v>
          </cell>
          <cell r="AF362" t="str">
            <v>DOCE DE MASSA FOLHADA</v>
          </cell>
          <cell r="AG362">
            <v>2315.1666666666665</v>
          </cell>
          <cell r="AH362">
            <v>1956.5333333333333</v>
          </cell>
          <cell r="AI362">
            <v>12.832539682539684</v>
          </cell>
        </row>
        <row r="363">
          <cell r="C363" t="str">
            <v>170490</v>
          </cell>
          <cell r="AE363">
            <v>6903901</v>
          </cell>
          <cell r="AF363" t="str">
            <v>QUEIJADINHA</v>
          </cell>
          <cell r="AG363">
            <v>3295</v>
          </cell>
          <cell r="AH363">
            <v>588.35425044054443</v>
          </cell>
          <cell r="AI363">
            <v>3.7796942010068992</v>
          </cell>
        </row>
        <row r="364">
          <cell r="C364" t="str">
            <v>170490</v>
          </cell>
          <cell r="AE364">
            <v>6904101</v>
          </cell>
          <cell r="AF364" t="str">
            <v>DOCE A BASE DE OVOS</v>
          </cell>
          <cell r="AG364">
            <v>3295</v>
          </cell>
          <cell r="AH364">
            <v>588.35425044054443</v>
          </cell>
          <cell r="AI364">
            <v>3.7796942010068992</v>
          </cell>
        </row>
        <row r="365">
          <cell r="C365">
            <v>190190</v>
          </cell>
          <cell r="AE365">
            <v>6904201</v>
          </cell>
          <cell r="AF365" t="str">
            <v>DOCE A BASE DE LEITE</v>
          </cell>
          <cell r="AG365">
            <v>3200</v>
          </cell>
          <cell r="AH365">
            <v>1870.1099089032616</v>
          </cell>
          <cell r="AI365">
            <v>5</v>
          </cell>
        </row>
        <row r="366">
          <cell r="C366">
            <v>190190</v>
          </cell>
          <cell r="AE366">
            <v>6904204</v>
          </cell>
          <cell r="AF366" t="str">
            <v>LEITE GELEIFICADO</v>
          </cell>
          <cell r="AG366">
            <v>3200</v>
          </cell>
          <cell r="AH366">
            <v>1870.1099089032616</v>
          </cell>
          <cell r="AI366">
            <v>5</v>
          </cell>
        </row>
        <row r="367">
          <cell r="C367">
            <v>190190</v>
          </cell>
          <cell r="AE367">
            <v>6904205</v>
          </cell>
          <cell r="AF367" t="str">
            <v>CHANDELE DE QUALQUER SABOR</v>
          </cell>
          <cell r="AG367">
            <v>3200</v>
          </cell>
          <cell r="AH367">
            <v>1870.1099089032616</v>
          </cell>
          <cell r="AI367">
            <v>5</v>
          </cell>
        </row>
        <row r="368">
          <cell r="C368">
            <v>190190</v>
          </cell>
          <cell r="AE368">
            <v>6904301</v>
          </cell>
          <cell r="AF368" t="str">
            <v>DOCE DE LEITE</v>
          </cell>
          <cell r="AG368">
            <v>3200</v>
          </cell>
          <cell r="AH368">
            <v>1870.1099089032616</v>
          </cell>
          <cell r="AI368">
            <v>5</v>
          </cell>
        </row>
        <row r="369">
          <cell r="C369">
            <v>190190</v>
          </cell>
          <cell r="AE369">
            <v>6904302</v>
          </cell>
          <cell r="AF369" t="str">
            <v>MUMU</v>
          </cell>
          <cell r="AG369">
            <v>3200</v>
          </cell>
          <cell r="AH369">
            <v>1870.1099089032616</v>
          </cell>
          <cell r="AI369">
            <v>5</v>
          </cell>
        </row>
        <row r="370">
          <cell r="C370">
            <v>190520</v>
          </cell>
          <cell r="AE370">
            <v>6904401</v>
          </cell>
          <cell r="AF370" t="str">
            <v>CANUDINHO RECHEADO</v>
          </cell>
          <cell r="AG370">
            <v>2315.1666666666665</v>
          </cell>
          <cell r="AH370">
            <v>1956.5333333333333</v>
          </cell>
          <cell r="AI370">
            <v>12.832539682539684</v>
          </cell>
        </row>
        <row r="371">
          <cell r="C371">
            <v>200799</v>
          </cell>
          <cell r="AE371">
            <v>6904601</v>
          </cell>
          <cell r="AF371" t="str">
            <v>SCHIMIER DE FRUTA (EXCETO DE CANA)</v>
          </cell>
          <cell r="AG371">
            <v>2947.5</v>
          </cell>
          <cell r="AH371">
            <v>1471.4151641407616</v>
          </cell>
          <cell r="AI371">
            <v>5.52</v>
          </cell>
        </row>
        <row r="372">
          <cell r="C372">
            <v>190190</v>
          </cell>
          <cell r="AE372">
            <v>6904701</v>
          </cell>
          <cell r="AF372" t="str">
            <v>BEIJO DE MOCA</v>
          </cell>
          <cell r="AG372">
            <v>3200</v>
          </cell>
          <cell r="AH372">
            <v>1870.1099089032616</v>
          </cell>
          <cell r="AI372">
            <v>5</v>
          </cell>
        </row>
        <row r="373">
          <cell r="C373" t="str">
            <v>210500</v>
          </cell>
          <cell r="AE373">
            <v>6904801</v>
          </cell>
          <cell r="AF373" t="str">
            <v>PICOLE ENSACADO</v>
          </cell>
          <cell r="AG373">
            <v>2350</v>
          </cell>
          <cell r="AH373">
            <v>6114.9086447857417</v>
          </cell>
          <cell r="AI373">
            <v>33.5</v>
          </cell>
        </row>
        <row r="374">
          <cell r="C374" t="str">
            <v>210500</v>
          </cell>
          <cell r="AE374">
            <v>6904802</v>
          </cell>
          <cell r="AF374" t="str">
            <v>DIN DIN</v>
          </cell>
          <cell r="AG374">
            <v>2350</v>
          </cell>
          <cell r="AH374">
            <v>6114.9086447857417</v>
          </cell>
          <cell r="AI374">
            <v>33.5</v>
          </cell>
        </row>
        <row r="375">
          <cell r="C375" t="str">
            <v>210500</v>
          </cell>
          <cell r="AE375">
            <v>6904804</v>
          </cell>
          <cell r="AF375" t="str">
            <v>CHUPE CHUPE</v>
          </cell>
          <cell r="AG375">
            <v>2350</v>
          </cell>
          <cell r="AH375">
            <v>6114.9086447857417</v>
          </cell>
          <cell r="AI375">
            <v>33.5</v>
          </cell>
        </row>
        <row r="376">
          <cell r="C376" t="str">
            <v>210500</v>
          </cell>
          <cell r="AE376">
            <v>6904807</v>
          </cell>
          <cell r="AF376" t="str">
            <v>GELADINHO</v>
          </cell>
          <cell r="AG376">
            <v>2350</v>
          </cell>
          <cell r="AH376">
            <v>6114.9086447857417</v>
          </cell>
          <cell r="AI376">
            <v>33.5</v>
          </cell>
        </row>
        <row r="377">
          <cell r="C377" t="str">
            <v>190120</v>
          </cell>
          <cell r="AE377">
            <v>6905001</v>
          </cell>
          <cell r="AF377" t="str">
            <v>CHURRO</v>
          </cell>
          <cell r="AG377">
            <v>547.0901639344263</v>
          </cell>
          <cell r="AH377">
            <v>1870.1099089032616</v>
          </cell>
          <cell r="AI377">
            <v>5</v>
          </cell>
        </row>
        <row r="378">
          <cell r="C378">
            <v>190190</v>
          </cell>
          <cell r="AE378">
            <v>6905101</v>
          </cell>
          <cell r="AF378" t="str">
            <v>PAMONHA</v>
          </cell>
          <cell r="AG378">
            <v>3200</v>
          </cell>
          <cell r="AH378">
            <v>1870.1099089032616</v>
          </cell>
          <cell r="AI378">
            <v>5</v>
          </cell>
        </row>
        <row r="379">
          <cell r="C379">
            <v>180690</v>
          </cell>
          <cell r="AE379">
            <v>6905603</v>
          </cell>
          <cell r="AF379" t="str">
            <v>IOIO CREME (CHOCOLATE EM CREME)</v>
          </cell>
          <cell r="AG379">
            <v>2525</v>
          </cell>
          <cell r="AH379">
            <v>30989.752514303607</v>
          </cell>
          <cell r="AI379">
            <v>46</v>
          </cell>
        </row>
        <row r="380">
          <cell r="C380">
            <v>180690</v>
          </cell>
          <cell r="AE380">
            <v>6905606</v>
          </cell>
          <cell r="AF380" t="str">
            <v>NUTELLA</v>
          </cell>
          <cell r="AG380">
            <v>2525</v>
          </cell>
          <cell r="AH380">
            <v>30989.752514303607</v>
          </cell>
          <cell r="AI380">
            <v>46</v>
          </cell>
        </row>
        <row r="381">
          <cell r="C381">
            <v>180690</v>
          </cell>
          <cell r="AE381">
            <v>6905702</v>
          </cell>
          <cell r="AF381" t="str">
            <v>GUARANA EM PO</v>
          </cell>
          <cell r="AG381">
            <v>2525</v>
          </cell>
          <cell r="AH381">
            <v>30989.752514303607</v>
          </cell>
          <cell r="AI381">
            <v>46</v>
          </cell>
        </row>
        <row r="382">
          <cell r="C382" t="str">
            <v>180500</v>
          </cell>
          <cell r="AE382">
            <v>6905801</v>
          </cell>
          <cell r="AF382" t="str">
            <v>OVO DE PASCOA</v>
          </cell>
          <cell r="AG382">
            <v>2333.3333333333335</v>
          </cell>
          <cell r="AH382">
            <v>30989.752514303607</v>
          </cell>
          <cell r="AI382">
            <v>46</v>
          </cell>
        </row>
        <row r="383">
          <cell r="C383" t="str">
            <v>180500</v>
          </cell>
          <cell r="AE383">
            <v>6905804</v>
          </cell>
          <cell r="AF383" t="str">
            <v>KINDER OVO</v>
          </cell>
          <cell r="AG383">
            <v>2333.3333333333335</v>
          </cell>
          <cell r="AH383">
            <v>30989.752514303607</v>
          </cell>
          <cell r="AI383">
            <v>46</v>
          </cell>
        </row>
        <row r="384">
          <cell r="C384">
            <v>170490</v>
          </cell>
          <cell r="AE384">
            <v>6905901</v>
          </cell>
          <cell r="AF384" t="str">
            <v>TORRONE</v>
          </cell>
          <cell r="AG384">
            <v>3295</v>
          </cell>
          <cell r="AH384">
            <v>588.35425044054443</v>
          </cell>
          <cell r="AI384">
            <v>3.7796942010068992</v>
          </cell>
        </row>
        <row r="385">
          <cell r="C385" t="str">
            <v>080111</v>
          </cell>
          <cell r="AE385">
            <v>6906404</v>
          </cell>
          <cell r="AF385" t="str">
            <v>POLPA DE COCO</v>
          </cell>
          <cell r="AG385">
            <v>1853.3333333333333</v>
          </cell>
          <cell r="AH385">
            <v>928.18058566005857</v>
          </cell>
          <cell r="AI385">
            <v>4.8757736240913818</v>
          </cell>
        </row>
        <row r="386">
          <cell r="C386">
            <v>220290</v>
          </cell>
          <cell r="AE386">
            <v>6906501</v>
          </cell>
          <cell r="AF386" t="str">
            <v>DIET SHAKE</v>
          </cell>
          <cell r="AG386">
            <v>794.44444444444446</v>
          </cell>
          <cell r="AH386">
            <v>11543.725015272823</v>
          </cell>
          <cell r="AI386">
            <v>57.5</v>
          </cell>
        </row>
        <row r="387">
          <cell r="C387">
            <v>220290</v>
          </cell>
          <cell r="AE387">
            <v>6906502</v>
          </cell>
          <cell r="AF387" t="str">
            <v>CONCENTRADO ALIMENTAR DIET SHAKE</v>
          </cell>
          <cell r="AG387">
            <v>794.44444444444446</v>
          </cell>
          <cell r="AH387">
            <v>11543.725015272823</v>
          </cell>
          <cell r="AI387">
            <v>57.5</v>
          </cell>
        </row>
        <row r="388">
          <cell r="C388">
            <v>220290</v>
          </cell>
          <cell r="AE388">
            <v>6906503</v>
          </cell>
          <cell r="AF388" t="str">
            <v>HERBALIFE</v>
          </cell>
          <cell r="AG388">
            <v>794.44444444444446</v>
          </cell>
          <cell r="AH388">
            <v>11543.725015272823</v>
          </cell>
          <cell r="AI388">
            <v>57.5</v>
          </cell>
        </row>
        <row r="389">
          <cell r="C389">
            <v>170111</v>
          </cell>
          <cell r="AE389">
            <v>6906602</v>
          </cell>
          <cell r="AF389" t="str">
            <v>ACUCAR</v>
          </cell>
          <cell r="AG389">
            <v>422.22333333333336</v>
          </cell>
          <cell r="AH389">
            <v>684.3761220423869</v>
          </cell>
          <cell r="AI389">
            <v>3.7796942010068992</v>
          </cell>
        </row>
        <row r="390">
          <cell r="C390">
            <v>170113</v>
          </cell>
          <cell r="AE390">
            <v>6907001</v>
          </cell>
          <cell r="AF390" t="str">
            <v>ACUCAR LIGHT</v>
          </cell>
          <cell r="AG390">
            <v>766.66750000000002</v>
          </cell>
          <cell r="AH390">
            <v>649.22729124245052</v>
          </cell>
          <cell r="AI390">
            <v>3.7796942010068992</v>
          </cell>
        </row>
        <row r="391">
          <cell r="C391">
            <v>190420</v>
          </cell>
          <cell r="AE391">
            <v>6907201</v>
          </cell>
          <cell r="AF391" t="str">
            <v>BARRA DE CEREAIS</v>
          </cell>
          <cell r="AG391">
            <v>2903</v>
          </cell>
          <cell r="AH391">
            <v>1772</v>
          </cell>
          <cell r="AI391">
            <v>10.334717607973422</v>
          </cell>
        </row>
        <row r="392">
          <cell r="C392">
            <v>190420</v>
          </cell>
          <cell r="AE392">
            <v>6907203</v>
          </cell>
          <cell r="AF392" t="str">
            <v>BARRA DE CEREAIS DOCE</v>
          </cell>
          <cell r="AG392">
            <v>2903</v>
          </cell>
          <cell r="AH392">
            <v>1772</v>
          </cell>
          <cell r="AI392">
            <v>10.334717607973422</v>
          </cell>
        </row>
        <row r="393">
          <cell r="C393" t="str">
            <v>210500</v>
          </cell>
          <cell r="AE393">
            <v>6907501</v>
          </cell>
          <cell r="AF393" t="str">
            <v>MILK SHAKE</v>
          </cell>
          <cell r="AG393">
            <v>2350</v>
          </cell>
          <cell r="AH393">
            <v>6114.9086447857417</v>
          </cell>
          <cell r="AI393">
            <v>33.5</v>
          </cell>
        </row>
        <row r="394">
          <cell r="C394">
            <v>200799</v>
          </cell>
          <cell r="AE394">
            <v>6907901</v>
          </cell>
          <cell r="AF394" t="str">
            <v>GELEIA DIET</v>
          </cell>
          <cell r="AG394">
            <v>2947.5</v>
          </cell>
          <cell r="AH394">
            <v>1471.4151641407616</v>
          </cell>
          <cell r="AI394">
            <v>5.52</v>
          </cell>
        </row>
        <row r="395">
          <cell r="C395">
            <v>200799</v>
          </cell>
          <cell r="AE395">
            <v>6908001</v>
          </cell>
          <cell r="AF395" t="str">
            <v>DOCE DE FRUTAS DIET</v>
          </cell>
          <cell r="AG395">
            <v>2947.5</v>
          </cell>
          <cell r="AH395">
            <v>1471.4151641407616</v>
          </cell>
          <cell r="AI395">
            <v>5.52</v>
          </cell>
        </row>
        <row r="396">
          <cell r="C396">
            <v>170490</v>
          </cell>
          <cell r="AE396">
            <v>6908501</v>
          </cell>
          <cell r="AF396" t="str">
            <v>SUSPIRO</v>
          </cell>
          <cell r="AG396">
            <v>3295</v>
          </cell>
          <cell r="AH396">
            <v>588.35425044054443</v>
          </cell>
          <cell r="AI396">
            <v>3.7796942010068992</v>
          </cell>
        </row>
        <row r="397">
          <cell r="C397" t="str">
            <v>210500</v>
          </cell>
          <cell r="AE397">
            <v>6909601</v>
          </cell>
          <cell r="AF397" t="str">
            <v>SORVETE DE QUALQUER SABOR INDUSTRIALIZADO LIGHT</v>
          </cell>
          <cell r="AG397">
            <v>2350</v>
          </cell>
          <cell r="AH397">
            <v>6114.9086447857417</v>
          </cell>
          <cell r="AI397">
            <v>33.5</v>
          </cell>
        </row>
        <row r="398">
          <cell r="C398" t="str">
            <v>210500</v>
          </cell>
          <cell r="AE398">
            <v>6909701</v>
          </cell>
          <cell r="AF398" t="str">
            <v>SORVETE DE QUALQUER SABOR INDUSTRIALIZADO DIET</v>
          </cell>
          <cell r="AG398">
            <v>2350</v>
          </cell>
          <cell r="AH398">
            <v>6114.9086447857417</v>
          </cell>
          <cell r="AI398">
            <v>33.5</v>
          </cell>
        </row>
        <row r="399">
          <cell r="C399">
            <v>170490</v>
          </cell>
          <cell r="AE399">
            <v>6909901</v>
          </cell>
          <cell r="AF399" t="str">
            <v>CHICLETE DIET</v>
          </cell>
          <cell r="AG399">
            <v>3295</v>
          </cell>
          <cell r="AH399">
            <v>588.35425044054443</v>
          </cell>
          <cell r="AI399">
            <v>3.7796942010068992</v>
          </cell>
        </row>
        <row r="400">
          <cell r="C400" t="str">
            <v>180500</v>
          </cell>
          <cell r="AE400">
            <v>6910002</v>
          </cell>
          <cell r="AF400" t="str">
            <v>BARRA DE CHOCOLATE LIGHT</v>
          </cell>
          <cell r="AG400">
            <v>2333.3333333333335</v>
          </cell>
          <cell r="AH400">
            <v>30989.752514303607</v>
          </cell>
          <cell r="AI400">
            <v>46</v>
          </cell>
        </row>
        <row r="401">
          <cell r="C401" t="str">
            <v>180500</v>
          </cell>
          <cell r="AE401">
            <v>6910102</v>
          </cell>
          <cell r="AF401" t="str">
            <v>BARRA DE CHOCOLATE DIET</v>
          </cell>
          <cell r="AG401">
            <v>2333.3333333333335</v>
          </cell>
          <cell r="AH401">
            <v>30989.752514303607</v>
          </cell>
          <cell r="AI401">
            <v>46</v>
          </cell>
        </row>
        <row r="402">
          <cell r="C402">
            <v>220290</v>
          </cell>
          <cell r="AE402">
            <v>6910221</v>
          </cell>
          <cell r="AF402" t="str">
            <v>ACHOCOLATADO EM PO LIGHT</v>
          </cell>
          <cell r="AG402">
            <v>794.44444444444446</v>
          </cell>
          <cell r="AH402">
            <v>11543.725015272823</v>
          </cell>
          <cell r="AI402">
            <v>57.5</v>
          </cell>
        </row>
        <row r="403">
          <cell r="C403">
            <v>220290</v>
          </cell>
          <cell r="AE403">
            <v>6910321</v>
          </cell>
          <cell r="AF403" t="str">
            <v>ACHOCOLATADO EM PO DIET</v>
          </cell>
          <cell r="AG403">
            <v>794.44444444444446</v>
          </cell>
          <cell r="AH403">
            <v>11543.725015272823</v>
          </cell>
          <cell r="AI403">
            <v>57.5</v>
          </cell>
        </row>
        <row r="404">
          <cell r="C404">
            <v>220290</v>
          </cell>
          <cell r="AE404">
            <v>6910322</v>
          </cell>
          <cell r="AF404" t="str">
            <v>TODDYNHO DIET</v>
          </cell>
          <cell r="AG404">
            <v>794.44444444444446</v>
          </cell>
          <cell r="AH404">
            <v>11543.725015272823</v>
          </cell>
          <cell r="AI404">
            <v>57.5</v>
          </cell>
        </row>
        <row r="405">
          <cell r="C405">
            <v>200799</v>
          </cell>
          <cell r="AE405">
            <v>6910601</v>
          </cell>
          <cell r="AF405" t="str">
            <v>GELEIA DE FRUTAS DE QUALQUER MARCA OU SABOR LIGHT</v>
          </cell>
          <cell r="AG405">
            <v>2947.5</v>
          </cell>
          <cell r="AH405">
            <v>1471.4151641407616</v>
          </cell>
          <cell r="AI405">
            <v>5.52</v>
          </cell>
        </row>
        <row r="406">
          <cell r="C406">
            <v>200799</v>
          </cell>
          <cell r="AE406">
            <v>6910604</v>
          </cell>
          <cell r="AF406" t="str">
            <v>GELEIA LIGHT</v>
          </cell>
          <cell r="AG406">
            <v>2947.5</v>
          </cell>
          <cell r="AH406">
            <v>1471.4151641407616</v>
          </cell>
          <cell r="AI406">
            <v>5.52</v>
          </cell>
        </row>
        <row r="407">
          <cell r="C407">
            <v>200799</v>
          </cell>
          <cell r="AE407">
            <v>6910605</v>
          </cell>
          <cell r="AF407" t="str">
            <v>GELEIA DE FRUTAS LIGHT</v>
          </cell>
          <cell r="AG407">
            <v>2947.5</v>
          </cell>
          <cell r="AH407">
            <v>1471.4151641407616</v>
          </cell>
          <cell r="AI407">
            <v>5.52</v>
          </cell>
        </row>
        <row r="408">
          <cell r="C408">
            <v>200799</v>
          </cell>
          <cell r="AE408">
            <v>6910701</v>
          </cell>
          <cell r="AF408" t="str">
            <v>DOCE DE FRUTAS EM BARRA OU PASTA LIGHT</v>
          </cell>
          <cell r="AG408">
            <v>2947.5</v>
          </cell>
          <cell r="AH408">
            <v>1471.4151641407616</v>
          </cell>
          <cell r="AI408">
            <v>5.52</v>
          </cell>
        </row>
        <row r="409">
          <cell r="C409">
            <v>200799</v>
          </cell>
          <cell r="AE409">
            <v>6910702</v>
          </cell>
          <cell r="AF409" t="str">
            <v>DOCE DE FRUTAS EM PASTA LIGHT</v>
          </cell>
          <cell r="AG409">
            <v>2947.5</v>
          </cell>
          <cell r="AH409">
            <v>1471.4151641407616</v>
          </cell>
          <cell r="AI409">
            <v>5.52</v>
          </cell>
        </row>
        <row r="410">
          <cell r="C410">
            <v>190190</v>
          </cell>
          <cell r="AE410">
            <v>6911301</v>
          </cell>
          <cell r="AF410" t="str">
            <v>DOCE DE LEITE DIET</v>
          </cell>
          <cell r="AG410">
            <v>3200</v>
          </cell>
          <cell r="AH410">
            <v>1870.1099089032616</v>
          </cell>
          <cell r="AI410">
            <v>5</v>
          </cell>
        </row>
        <row r="411">
          <cell r="C411">
            <v>190420</v>
          </cell>
          <cell r="AE411">
            <v>6912501</v>
          </cell>
          <cell r="AF411" t="str">
            <v>BARRA DE CEREAIS DIET</v>
          </cell>
          <cell r="AG411">
            <v>2903</v>
          </cell>
          <cell r="AH411">
            <v>1772</v>
          </cell>
          <cell r="AI411">
            <v>10.334717607973422</v>
          </cell>
        </row>
        <row r="412">
          <cell r="C412">
            <v>190420</v>
          </cell>
          <cell r="AE412">
            <v>6912502</v>
          </cell>
          <cell r="AF412" t="str">
            <v>BARRA DE CEREAIS DOCE DIET</v>
          </cell>
          <cell r="AG412">
            <v>2903</v>
          </cell>
          <cell r="AH412">
            <v>1772</v>
          </cell>
          <cell r="AI412">
            <v>10.334717607973422</v>
          </cell>
        </row>
        <row r="413">
          <cell r="C413">
            <v>220290</v>
          </cell>
          <cell r="AE413">
            <v>6912801</v>
          </cell>
          <cell r="AF413" t="str">
            <v>MILK SHAKE DIET</v>
          </cell>
          <cell r="AG413">
            <v>794.44444444444446</v>
          </cell>
          <cell r="AH413">
            <v>11543.725015272823</v>
          </cell>
          <cell r="AI413">
            <v>57.5</v>
          </cell>
        </row>
        <row r="414">
          <cell r="C414">
            <v>200799</v>
          </cell>
          <cell r="AE414">
            <v>6913001</v>
          </cell>
          <cell r="AF414" t="str">
            <v>COCADA DIET</v>
          </cell>
          <cell r="AG414">
            <v>2947.5</v>
          </cell>
          <cell r="AH414">
            <v>1471.4151641407616</v>
          </cell>
          <cell r="AI414">
            <v>5.52</v>
          </cell>
        </row>
        <row r="415">
          <cell r="C415">
            <v>200799</v>
          </cell>
          <cell r="AE415">
            <v>6913103</v>
          </cell>
          <cell r="AF415" t="str">
            <v>PACOCA DIET</v>
          </cell>
          <cell r="AG415">
            <v>2947.5</v>
          </cell>
          <cell r="AH415">
            <v>1471.4151641407616</v>
          </cell>
          <cell r="AI415">
            <v>5.52</v>
          </cell>
        </row>
        <row r="416">
          <cell r="C416">
            <v>190190</v>
          </cell>
          <cell r="AE416">
            <v>6913801</v>
          </cell>
          <cell r="AF416" t="str">
            <v>DOCE A BASE DE LEITE DIET</v>
          </cell>
          <cell r="AG416">
            <v>3200</v>
          </cell>
          <cell r="AH416">
            <v>1870.1099089032616</v>
          </cell>
          <cell r="AI416">
            <v>5</v>
          </cell>
        </row>
        <row r="417">
          <cell r="C417">
            <v>200799</v>
          </cell>
          <cell r="AE417">
            <v>6913901</v>
          </cell>
          <cell r="AF417" t="str">
            <v>GELATINA DE QUALQUER SABOR LIGHT</v>
          </cell>
          <cell r="AG417">
            <v>2947.5</v>
          </cell>
          <cell r="AH417">
            <v>1471.4151641407616</v>
          </cell>
          <cell r="AI417">
            <v>5.52</v>
          </cell>
        </row>
        <row r="418">
          <cell r="C418">
            <v>210690</v>
          </cell>
          <cell r="AE418">
            <v>6914002</v>
          </cell>
          <cell r="AF418" t="str">
            <v>ADOCANTE EM PO LIGHT</v>
          </cell>
          <cell r="AG418">
            <v>44570</v>
          </cell>
          <cell r="AH418">
            <v>17481</v>
          </cell>
          <cell r="AI418">
            <v>33.5</v>
          </cell>
        </row>
        <row r="419">
          <cell r="C419">
            <v>210690</v>
          </cell>
          <cell r="AE419">
            <v>6914003</v>
          </cell>
          <cell r="AF419" t="str">
            <v>ADOCANTE LIQUIDO LIGHT</v>
          </cell>
          <cell r="AG419">
            <v>44570</v>
          </cell>
          <cell r="AH419">
            <v>17481</v>
          </cell>
          <cell r="AI419">
            <v>33.5</v>
          </cell>
        </row>
        <row r="420">
          <cell r="C420" t="str">
            <v>210500</v>
          </cell>
          <cell r="AE420">
            <v>6914901</v>
          </cell>
          <cell r="AF420" t="str">
            <v>SORVETE A BASE DE IOGURTE</v>
          </cell>
          <cell r="AG420">
            <v>2350</v>
          </cell>
          <cell r="AH420">
            <v>6114.9086447857417</v>
          </cell>
          <cell r="AI420">
            <v>33.5</v>
          </cell>
        </row>
        <row r="421">
          <cell r="C421" t="str">
            <v>210500</v>
          </cell>
          <cell r="AE421">
            <v>6915001</v>
          </cell>
          <cell r="AF421" t="str">
            <v>SORVETE DE CASQUINHA / CONE</v>
          </cell>
          <cell r="AG421">
            <v>2350</v>
          </cell>
          <cell r="AH421">
            <v>6114.9086447857417</v>
          </cell>
          <cell r="AI421">
            <v>33.5</v>
          </cell>
        </row>
        <row r="422">
          <cell r="C422" t="str">
            <v>210500</v>
          </cell>
          <cell r="AE422">
            <v>6915101</v>
          </cell>
          <cell r="AF422" t="str">
            <v>SORVETE, SUNDAE</v>
          </cell>
          <cell r="AG422">
            <v>2350</v>
          </cell>
          <cell r="AH422">
            <v>6114.9086447857417</v>
          </cell>
          <cell r="AI422">
            <v>33.5</v>
          </cell>
        </row>
        <row r="423">
          <cell r="C423">
            <v>190190</v>
          </cell>
          <cell r="AE423">
            <v>6915302</v>
          </cell>
          <cell r="AF423" t="str">
            <v>PUDIM DE CHOCOLATE</v>
          </cell>
          <cell r="AG423">
            <v>3200</v>
          </cell>
          <cell r="AH423">
            <v>1870.1099089032616</v>
          </cell>
          <cell r="AI423">
            <v>5</v>
          </cell>
        </row>
        <row r="424">
          <cell r="C424">
            <v>190190</v>
          </cell>
          <cell r="AE424">
            <v>6915310</v>
          </cell>
          <cell r="AF424" t="str">
            <v>PUDIM FLAN</v>
          </cell>
          <cell r="AG424">
            <v>3200</v>
          </cell>
          <cell r="AH424">
            <v>1870.1099089032616</v>
          </cell>
          <cell r="AI424">
            <v>5</v>
          </cell>
        </row>
        <row r="425">
          <cell r="C425">
            <v>190190</v>
          </cell>
          <cell r="AE425">
            <v>6915702</v>
          </cell>
          <cell r="AF425" t="str">
            <v>BANANINHA COM CHOCOLATE</v>
          </cell>
          <cell r="AG425">
            <v>3200</v>
          </cell>
          <cell r="AH425">
            <v>1870.1099089032616</v>
          </cell>
          <cell r="AI425">
            <v>5</v>
          </cell>
        </row>
        <row r="426">
          <cell r="C426">
            <v>190190</v>
          </cell>
          <cell r="AE426">
            <v>6915902</v>
          </cell>
          <cell r="AF426" t="str">
            <v>CALDA DE CHOCOLATE</v>
          </cell>
          <cell r="AG426">
            <v>3200</v>
          </cell>
          <cell r="AH426">
            <v>1870.1099089032616</v>
          </cell>
          <cell r="AI426">
            <v>5</v>
          </cell>
        </row>
        <row r="427">
          <cell r="C427">
            <v>190190</v>
          </cell>
          <cell r="AE427">
            <v>6915904</v>
          </cell>
          <cell r="AF427" t="str">
            <v>CALDA SABOR FRUTA (MORANGO, ETC)</v>
          </cell>
          <cell r="AG427">
            <v>3200</v>
          </cell>
          <cell r="AH427">
            <v>1870.1099089032616</v>
          </cell>
          <cell r="AI427">
            <v>5</v>
          </cell>
        </row>
        <row r="428">
          <cell r="C428">
            <v>190190</v>
          </cell>
          <cell r="AE428">
            <v>6915905</v>
          </cell>
          <cell r="AF428" t="str">
            <v>EXTRATO DE MALTE</v>
          </cell>
          <cell r="AG428">
            <v>3200</v>
          </cell>
          <cell r="AH428">
            <v>1870.1099089032616</v>
          </cell>
          <cell r="AI428">
            <v>5</v>
          </cell>
        </row>
        <row r="429">
          <cell r="C429">
            <v>190190</v>
          </cell>
          <cell r="AE429">
            <v>6916401</v>
          </cell>
          <cell r="AF429" t="str">
            <v>DOCES (CONFEITARIA) NAO ESPECIFICADO</v>
          </cell>
          <cell r="AG429">
            <v>3200</v>
          </cell>
          <cell r="AH429">
            <v>1870.1099089032616</v>
          </cell>
          <cell r="AI429">
            <v>5</v>
          </cell>
        </row>
        <row r="430">
          <cell r="C430">
            <v>190190</v>
          </cell>
          <cell r="AE430">
            <v>6916601</v>
          </cell>
          <cell r="AF430" t="str">
            <v>MARRON GLACE</v>
          </cell>
          <cell r="AG430">
            <v>3200</v>
          </cell>
          <cell r="AH430">
            <v>1870.1099089032616</v>
          </cell>
          <cell r="AI430">
            <v>5</v>
          </cell>
        </row>
        <row r="431">
          <cell r="C431">
            <v>190190</v>
          </cell>
          <cell r="AE431">
            <v>6916901</v>
          </cell>
          <cell r="AF431" t="str">
            <v>PASTEL COM RECHEIO DOCE</v>
          </cell>
          <cell r="AG431">
            <v>3200</v>
          </cell>
          <cell r="AH431">
            <v>1870.1099089032616</v>
          </cell>
          <cell r="AI431">
            <v>5</v>
          </cell>
        </row>
        <row r="432">
          <cell r="C432" t="str">
            <v>170490</v>
          </cell>
          <cell r="AE432">
            <v>6917001</v>
          </cell>
          <cell r="AF432" t="str">
            <v>PASTEL DE NATA</v>
          </cell>
          <cell r="AG432">
            <v>3295</v>
          </cell>
          <cell r="AH432">
            <v>588.35425044054443</v>
          </cell>
          <cell r="AI432">
            <v>3.7796942010068992</v>
          </cell>
        </row>
        <row r="433">
          <cell r="C433">
            <v>190190</v>
          </cell>
          <cell r="AE433">
            <v>6980001</v>
          </cell>
          <cell r="AF433" t="str">
            <v>DOCE DE ABOBORA</v>
          </cell>
          <cell r="AG433">
            <v>3200</v>
          </cell>
          <cell r="AH433">
            <v>1870.1099089032616</v>
          </cell>
          <cell r="AI433">
            <v>5</v>
          </cell>
        </row>
        <row r="434">
          <cell r="C434" t="str">
            <v>090611</v>
          </cell>
          <cell r="AE434">
            <v>7001001</v>
          </cell>
          <cell r="AF434" t="str">
            <v>CANELA</v>
          </cell>
          <cell r="AG434">
            <v>330</v>
          </cell>
          <cell r="AH434">
            <v>8158.8851894663994</v>
          </cell>
          <cell r="AI434">
            <v>49.5</v>
          </cell>
        </row>
        <row r="435">
          <cell r="C435">
            <v>210330</v>
          </cell>
          <cell r="AE435">
            <v>7001501</v>
          </cell>
          <cell r="AF435" t="str">
            <v>MOSTARDA MOLHO</v>
          </cell>
          <cell r="AG435">
            <v>1560</v>
          </cell>
          <cell r="AH435">
            <v>431.86296717861296</v>
          </cell>
          <cell r="AI435">
            <v>33.5</v>
          </cell>
        </row>
        <row r="436">
          <cell r="C436" t="str">
            <v>070999</v>
          </cell>
          <cell r="AE436">
            <v>7002304</v>
          </cell>
          <cell r="AF436" t="str">
            <v>HORTELA</v>
          </cell>
          <cell r="AG436">
            <v>335.30210772833726</v>
          </cell>
          <cell r="AH436">
            <v>799.09345438723949</v>
          </cell>
          <cell r="AI436">
            <v>1.5</v>
          </cell>
        </row>
        <row r="437">
          <cell r="C437" t="str">
            <v>070519</v>
          </cell>
          <cell r="AE437">
            <v>7002601</v>
          </cell>
          <cell r="AF437" t="str">
            <v>COENTRO</v>
          </cell>
          <cell r="AG437">
            <v>337.41888888888889</v>
          </cell>
          <cell r="AH437">
            <v>416.07420888875833</v>
          </cell>
          <cell r="AI437">
            <v>1.3</v>
          </cell>
        </row>
        <row r="438">
          <cell r="C438">
            <v>210310</v>
          </cell>
          <cell r="AE438">
            <v>7003601</v>
          </cell>
          <cell r="AF438" t="str">
            <v>MOLHO DE SOJA</v>
          </cell>
          <cell r="AG438">
            <v>1560</v>
          </cell>
          <cell r="AH438">
            <v>627.80224438919811</v>
          </cell>
          <cell r="AI438">
            <v>33.5</v>
          </cell>
        </row>
        <row r="439">
          <cell r="C439" t="str">
            <v>210310</v>
          </cell>
          <cell r="AE439">
            <v>7003604</v>
          </cell>
          <cell r="AF439" t="str">
            <v>SHOYO</v>
          </cell>
          <cell r="AG439">
            <v>1560</v>
          </cell>
          <cell r="AH439">
            <v>627.80224438919811</v>
          </cell>
          <cell r="AI439">
            <v>33.5</v>
          </cell>
        </row>
        <row r="440">
          <cell r="C440">
            <v>200989</v>
          </cell>
          <cell r="AE440">
            <v>7003801</v>
          </cell>
          <cell r="AF440" t="str">
            <v>LEITE DE COCO</v>
          </cell>
          <cell r="AG440">
            <v>728.29107237189646</v>
          </cell>
          <cell r="AH440">
            <v>2071.6080837668223</v>
          </cell>
          <cell r="AI440">
            <v>11</v>
          </cell>
        </row>
        <row r="441">
          <cell r="C441">
            <v>210390</v>
          </cell>
          <cell r="AE441">
            <v>7003901</v>
          </cell>
          <cell r="AF441" t="str">
            <v>MOLHO TARTARO</v>
          </cell>
          <cell r="AG441">
            <v>1560</v>
          </cell>
          <cell r="AH441">
            <v>431.86296717861296</v>
          </cell>
          <cell r="AI441">
            <v>33.5</v>
          </cell>
        </row>
        <row r="442">
          <cell r="C442" t="str">
            <v>210390</v>
          </cell>
          <cell r="AE442">
            <v>7004301</v>
          </cell>
          <cell r="AF442" t="str">
            <v>MAIONESE (MOLHO)</v>
          </cell>
          <cell r="AG442">
            <v>1560</v>
          </cell>
          <cell r="AH442">
            <v>431.86296717861296</v>
          </cell>
          <cell r="AI442">
            <v>33.5</v>
          </cell>
        </row>
        <row r="443">
          <cell r="C443">
            <v>200210</v>
          </cell>
          <cell r="AE443">
            <v>7004701</v>
          </cell>
          <cell r="AF443" t="str">
            <v>MASSA DE TOMATE</v>
          </cell>
          <cell r="AG443">
            <v>1500</v>
          </cell>
          <cell r="AH443">
            <v>357.34760796873837</v>
          </cell>
          <cell r="AI443">
            <v>5.35</v>
          </cell>
        </row>
        <row r="444">
          <cell r="C444">
            <v>200210</v>
          </cell>
          <cell r="AE444">
            <v>7004801</v>
          </cell>
          <cell r="AF444" t="str">
            <v>MOLHO DE TOMATE</v>
          </cell>
          <cell r="AG444">
            <v>1299.6666666666667</v>
          </cell>
          <cell r="AH444">
            <v>322.28245997868521</v>
          </cell>
          <cell r="AI444">
            <v>5.35</v>
          </cell>
        </row>
        <row r="445">
          <cell r="C445" t="str">
            <v>210320</v>
          </cell>
          <cell r="AE445">
            <v>7004802</v>
          </cell>
          <cell r="AF445" t="str">
            <v>KETCHUP</v>
          </cell>
          <cell r="AG445">
            <v>1560</v>
          </cell>
          <cell r="AH445">
            <v>235.92368996802784</v>
          </cell>
          <cell r="AI445">
            <v>33.5</v>
          </cell>
        </row>
        <row r="446">
          <cell r="C446" t="str">
            <v>210320</v>
          </cell>
          <cell r="AE446">
            <v>7004803</v>
          </cell>
          <cell r="AF446" t="str">
            <v>CATCHUP</v>
          </cell>
          <cell r="AG446">
            <v>1560</v>
          </cell>
          <cell r="AH446">
            <v>235.92368996802784</v>
          </cell>
          <cell r="AI446">
            <v>33.5</v>
          </cell>
        </row>
        <row r="447">
          <cell r="C447" t="str">
            <v>090412</v>
          </cell>
          <cell r="AE447">
            <v>7006101</v>
          </cell>
          <cell r="AF447" t="str">
            <v>PIMENTA EM PO</v>
          </cell>
          <cell r="AG447">
            <v>330</v>
          </cell>
          <cell r="AH447">
            <v>1841.9097858043024</v>
          </cell>
          <cell r="AI447">
            <v>49.5</v>
          </cell>
        </row>
        <row r="448">
          <cell r="C448" t="str">
            <v>210410</v>
          </cell>
          <cell r="AE448">
            <v>7007101</v>
          </cell>
          <cell r="AF448" t="str">
            <v>TUCUPI EM CALDO SEM PIMENTA</v>
          </cell>
          <cell r="AG448">
            <v>2900</v>
          </cell>
          <cell r="AH448">
            <v>6114.9086447857417</v>
          </cell>
          <cell r="AI448">
            <v>33.5</v>
          </cell>
        </row>
        <row r="449">
          <cell r="C449" t="str">
            <v>040612</v>
          </cell>
          <cell r="AE449">
            <v>7007502</v>
          </cell>
          <cell r="AF449" t="str">
            <v>CREME DE QUEIJO</v>
          </cell>
          <cell r="AG449">
            <v>4000</v>
          </cell>
          <cell r="AH449">
            <v>2620</v>
          </cell>
          <cell r="AI449">
            <v>13.7</v>
          </cell>
        </row>
        <row r="450">
          <cell r="C450" t="str">
            <v>210410</v>
          </cell>
          <cell r="AE450">
            <v>7007701</v>
          </cell>
          <cell r="AF450" t="str">
            <v>CALDO DE PEIXE</v>
          </cell>
          <cell r="AG450">
            <v>2900</v>
          </cell>
          <cell r="AH450">
            <v>6114.9086447857417</v>
          </cell>
          <cell r="AI450">
            <v>33.5</v>
          </cell>
        </row>
        <row r="451">
          <cell r="C451" t="str">
            <v>120740</v>
          </cell>
          <cell r="AE451">
            <v>7009102</v>
          </cell>
          <cell r="AF451" t="str">
            <v>GERGELIM</v>
          </cell>
          <cell r="AG451">
            <v>631.33333333333326</v>
          </cell>
          <cell r="AH451">
            <v>6848.7837130653252</v>
          </cell>
          <cell r="AI451">
            <v>5.9456146715745248</v>
          </cell>
        </row>
        <row r="452">
          <cell r="C452" t="str">
            <v>070200</v>
          </cell>
          <cell r="AE452">
            <v>7010301</v>
          </cell>
          <cell r="AF452" t="str">
            <v>TOMATE SECO</v>
          </cell>
          <cell r="AG452">
            <v>771.92651067033364</v>
          </cell>
          <cell r="AH452">
            <v>1887.3895197442228</v>
          </cell>
          <cell r="AI452">
            <v>0.8</v>
          </cell>
        </row>
        <row r="453">
          <cell r="C453" t="str">
            <v>210390</v>
          </cell>
          <cell r="AE453">
            <v>7010401</v>
          </cell>
          <cell r="AF453" t="str">
            <v>MAIONESE (MOLHO) LIGHT</v>
          </cell>
          <cell r="AG453">
            <v>1560</v>
          </cell>
          <cell r="AH453">
            <v>431.86296717861296</v>
          </cell>
          <cell r="AI453">
            <v>33.5</v>
          </cell>
        </row>
        <row r="454">
          <cell r="C454">
            <v>220900</v>
          </cell>
          <cell r="AE454">
            <v>7080001</v>
          </cell>
          <cell r="AF454" t="str">
            <v>VINAGRE</v>
          </cell>
          <cell r="AG454">
            <v>2240</v>
          </cell>
          <cell r="AH454">
            <v>1011</v>
          </cell>
          <cell r="AI454">
            <v>11.5</v>
          </cell>
        </row>
        <row r="455">
          <cell r="C455">
            <v>250100</v>
          </cell>
          <cell r="AE455">
            <v>7080101</v>
          </cell>
          <cell r="AF455" t="str">
            <v>SAL</v>
          </cell>
          <cell r="AG455">
            <v>180</v>
          </cell>
          <cell r="AH455">
            <v>0</v>
          </cell>
          <cell r="AI455">
            <v>0</v>
          </cell>
        </row>
        <row r="456">
          <cell r="C456">
            <v>210390</v>
          </cell>
          <cell r="AE456">
            <v>7080301</v>
          </cell>
          <cell r="AF456" t="str">
            <v>MOLHO PARA SALADA</v>
          </cell>
          <cell r="AG456">
            <v>1560</v>
          </cell>
          <cell r="AH456">
            <v>431.86296717861296</v>
          </cell>
          <cell r="AI456">
            <v>33.5</v>
          </cell>
        </row>
        <row r="457">
          <cell r="C457">
            <v>200190</v>
          </cell>
          <cell r="AE457">
            <v>7080401</v>
          </cell>
          <cell r="AF457" t="str">
            <v>CONSERVA DE BERINJELA</v>
          </cell>
          <cell r="AG457">
            <v>1112.325</v>
          </cell>
          <cell r="AH457">
            <v>7687.7940345406287</v>
          </cell>
          <cell r="AI457">
            <v>5.52</v>
          </cell>
        </row>
        <row r="458">
          <cell r="C458" t="str">
            <v>020130</v>
          </cell>
          <cell r="AE458">
            <v>7100101</v>
          </cell>
          <cell r="AF458" t="str">
            <v>FILE MIGNON</v>
          </cell>
          <cell r="AG458">
            <v>26937.633264372518</v>
          </cell>
          <cell r="AH458">
            <v>18136.156896200948</v>
          </cell>
          <cell r="AI458">
            <v>112.26701297421286</v>
          </cell>
        </row>
        <row r="459">
          <cell r="C459" t="str">
            <v>020130</v>
          </cell>
          <cell r="AE459">
            <v>7100201</v>
          </cell>
          <cell r="AF459" t="str">
            <v>CONTRAFILE</v>
          </cell>
          <cell r="AG459">
            <v>26937.633264372518</v>
          </cell>
          <cell r="AH459">
            <v>18136.156896200948</v>
          </cell>
          <cell r="AI459">
            <v>112.26701297421286</v>
          </cell>
        </row>
        <row r="460">
          <cell r="C460" t="str">
            <v>020130</v>
          </cell>
          <cell r="AE460">
            <v>7100205</v>
          </cell>
          <cell r="AF460" t="str">
            <v>BISTECA BOVINA</v>
          </cell>
          <cell r="AG460">
            <v>26937.633264372518</v>
          </cell>
          <cell r="AH460">
            <v>18136.156896200948</v>
          </cell>
          <cell r="AI460">
            <v>112.26701297421286</v>
          </cell>
        </row>
        <row r="461">
          <cell r="C461" t="str">
            <v>020130</v>
          </cell>
          <cell r="AE461">
            <v>7100301</v>
          </cell>
          <cell r="AF461" t="str">
            <v>ALCATRA</v>
          </cell>
          <cell r="AG461">
            <v>26937.633264372518</v>
          </cell>
          <cell r="AH461">
            <v>18136.156896200948</v>
          </cell>
          <cell r="AI461">
            <v>112.26701297421286</v>
          </cell>
        </row>
        <row r="462">
          <cell r="C462" t="str">
            <v>020130</v>
          </cell>
          <cell r="AE462">
            <v>7100303</v>
          </cell>
          <cell r="AF462" t="str">
            <v>MAMINHA</v>
          </cell>
          <cell r="AG462">
            <v>26937.633264372518</v>
          </cell>
          <cell r="AH462">
            <v>18136.156896200948</v>
          </cell>
          <cell r="AI462">
            <v>112.26701297421286</v>
          </cell>
        </row>
        <row r="463">
          <cell r="C463" t="str">
            <v>020130</v>
          </cell>
          <cell r="AE463">
            <v>7100304</v>
          </cell>
          <cell r="AF463" t="str">
            <v>PICANHA</v>
          </cell>
          <cell r="AG463">
            <v>26937.633264372518</v>
          </cell>
          <cell r="AH463">
            <v>18136.156896200948</v>
          </cell>
          <cell r="AI463">
            <v>112.26701297421286</v>
          </cell>
        </row>
        <row r="464">
          <cell r="C464" t="str">
            <v>020130</v>
          </cell>
          <cell r="AE464">
            <v>7100502</v>
          </cell>
          <cell r="AF464" t="str">
            <v>CABECA DE LOMBO (CARNE BOVINA)</v>
          </cell>
          <cell r="AG464">
            <v>26937.633264372518</v>
          </cell>
          <cell r="AH464">
            <v>18136.156896200948</v>
          </cell>
          <cell r="AI464">
            <v>112.26701297421286</v>
          </cell>
        </row>
        <row r="465">
          <cell r="C465" t="str">
            <v>020130</v>
          </cell>
          <cell r="AE465">
            <v>7100606</v>
          </cell>
          <cell r="AF465" t="str">
            <v>TATU (LAGARTO REDONDO)</v>
          </cell>
          <cell r="AG465">
            <v>26937.633264372518</v>
          </cell>
          <cell r="AH465">
            <v>18136.156896200948</v>
          </cell>
          <cell r="AI465">
            <v>112.26701297421286</v>
          </cell>
        </row>
        <row r="466">
          <cell r="C466" t="str">
            <v>020130</v>
          </cell>
          <cell r="AE466">
            <v>7100607</v>
          </cell>
          <cell r="AF466" t="str">
            <v>PAULISTA</v>
          </cell>
          <cell r="AG466">
            <v>26937.633264372518</v>
          </cell>
          <cell r="AH466">
            <v>18136.156896200948</v>
          </cell>
          <cell r="AI466">
            <v>112.26701297421286</v>
          </cell>
        </row>
        <row r="467">
          <cell r="C467" t="str">
            <v>020130</v>
          </cell>
          <cell r="AE467">
            <v>7100608</v>
          </cell>
          <cell r="AF467" t="str">
            <v>LOMBO PAULISTA (CARNE BOVINA)</v>
          </cell>
          <cell r="AG467">
            <v>26937.633264372518</v>
          </cell>
          <cell r="AH467">
            <v>18136.156896200948</v>
          </cell>
          <cell r="AI467">
            <v>112.26701297421286</v>
          </cell>
        </row>
        <row r="468">
          <cell r="C468" t="str">
            <v>020130</v>
          </cell>
          <cell r="AE468">
            <v>7101001</v>
          </cell>
          <cell r="AF468" t="str">
            <v>MUSCULO BOVINO</v>
          </cell>
          <cell r="AG468">
            <v>26937.633264372518</v>
          </cell>
          <cell r="AH468">
            <v>18136.156896200948</v>
          </cell>
          <cell r="AI468">
            <v>112.26701297421286</v>
          </cell>
        </row>
        <row r="469">
          <cell r="C469" t="str">
            <v>020130</v>
          </cell>
          <cell r="AE469">
            <v>7101009</v>
          </cell>
          <cell r="AF469" t="str">
            <v>CARNE MARICA BOVINA</v>
          </cell>
          <cell r="AG469">
            <v>26937.633264372518</v>
          </cell>
          <cell r="AH469">
            <v>18136.156896200948</v>
          </cell>
          <cell r="AI469">
            <v>112.26701297421286</v>
          </cell>
        </row>
        <row r="470">
          <cell r="C470" t="str">
            <v>020130</v>
          </cell>
          <cell r="AE470">
            <v>7101011</v>
          </cell>
          <cell r="AF470" t="str">
            <v>VAZIO (CARNE BOVINA)</v>
          </cell>
          <cell r="AG470">
            <v>26937.633264372518</v>
          </cell>
          <cell r="AH470">
            <v>18136.156896200948</v>
          </cell>
          <cell r="AI470">
            <v>112.26701297421286</v>
          </cell>
        </row>
        <row r="471">
          <cell r="C471" t="str">
            <v>020130</v>
          </cell>
          <cell r="AE471">
            <v>7101202</v>
          </cell>
          <cell r="AF471" t="str">
            <v>FRALDINHA (CAPA DE FILE)</v>
          </cell>
          <cell r="AG471">
            <v>26937.633264372518</v>
          </cell>
          <cell r="AH471">
            <v>18136.156896200948</v>
          </cell>
          <cell r="AI471">
            <v>112.26701297421286</v>
          </cell>
        </row>
        <row r="472">
          <cell r="C472" t="str">
            <v>020120</v>
          </cell>
          <cell r="AE472">
            <v>7101301</v>
          </cell>
          <cell r="AF472" t="str">
            <v>COSTELA BOVINA</v>
          </cell>
          <cell r="AG472">
            <v>25444.913183549295</v>
          </cell>
          <cell r="AH472">
            <v>16712.437930800632</v>
          </cell>
          <cell r="AI472">
            <v>102.14361037937029</v>
          </cell>
        </row>
        <row r="473">
          <cell r="C473" t="str">
            <v>020610</v>
          </cell>
          <cell r="AE473">
            <v>7101901</v>
          </cell>
          <cell r="AF473" t="str">
            <v>CORACAO BOVINO</v>
          </cell>
          <cell r="AG473">
            <v>10100</v>
          </cell>
          <cell r="AH473">
            <v>1388.8273394164951</v>
          </cell>
          <cell r="AI473">
            <v>81.345740252913529</v>
          </cell>
        </row>
        <row r="474">
          <cell r="C474" t="str">
            <v>020610</v>
          </cell>
          <cell r="AE474">
            <v>7102001</v>
          </cell>
          <cell r="AF474" t="str">
            <v>RIM BOVINO</v>
          </cell>
          <cell r="AG474">
            <v>10100</v>
          </cell>
          <cell r="AH474">
            <v>1388.8273394164951</v>
          </cell>
          <cell r="AI474">
            <v>81.345740252913529</v>
          </cell>
        </row>
        <row r="475">
          <cell r="C475" t="str">
            <v>020610</v>
          </cell>
          <cell r="AE475">
            <v>7102102</v>
          </cell>
          <cell r="AF475" t="str">
            <v>BOFE BOVINO</v>
          </cell>
          <cell r="AG475">
            <v>10100</v>
          </cell>
          <cell r="AH475">
            <v>1388.8273394164951</v>
          </cell>
          <cell r="AI475">
            <v>81.345740252913529</v>
          </cell>
        </row>
        <row r="476">
          <cell r="C476" t="str">
            <v>020610</v>
          </cell>
          <cell r="AE476">
            <v>7102401</v>
          </cell>
          <cell r="AF476" t="str">
            <v>TRIPA BOVINA</v>
          </cell>
          <cell r="AG476">
            <v>10100</v>
          </cell>
          <cell r="AH476">
            <v>1388.8273394164951</v>
          </cell>
          <cell r="AI476">
            <v>81.345740252913529</v>
          </cell>
        </row>
        <row r="477">
          <cell r="C477" t="str">
            <v>020610</v>
          </cell>
          <cell r="AE477">
            <v>7102402</v>
          </cell>
          <cell r="AF477" t="str">
            <v>DOBRADINHA FRESCA</v>
          </cell>
          <cell r="AG477">
            <v>10100</v>
          </cell>
          <cell r="AH477">
            <v>1388.8273394164951</v>
          </cell>
          <cell r="AI477">
            <v>81.345740252913529</v>
          </cell>
        </row>
        <row r="478">
          <cell r="C478" t="str">
            <v>020610</v>
          </cell>
          <cell r="AE478">
            <v>7102403</v>
          </cell>
          <cell r="AF478" t="str">
            <v>FATO BOVINO</v>
          </cell>
          <cell r="AG478">
            <v>10100</v>
          </cell>
          <cell r="AH478">
            <v>1388.8273394164951</v>
          </cell>
          <cell r="AI478">
            <v>81.345740252913529</v>
          </cell>
        </row>
        <row r="479">
          <cell r="C479" t="str">
            <v>020610</v>
          </cell>
          <cell r="AE479">
            <v>7102501</v>
          </cell>
          <cell r="AF479" t="str">
            <v>FIGADO BOVINO</v>
          </cell>
          <cell r="AG479">
            <v>10100</v>
          </cell>
          <cell r="AH479">
            <v>1388.8273394164951</v>
          </cell>
          <cell r="AI479">
            <v>81.345740252913529</v>
          </cell>
        </row>
        <row r="480">
          <cell r="C480" t="str">
            <v>020610</v>
          </cell>
          <cell r="AE480">
            <v>7102502</v>
          </cell>
          <cell r="AF480" t="str">
            <v>FIGADO BOVINO (BIFE)</v>
          </cell>
          <cell r="AG480">
            <v>10100</v>
          </cell>
          <cell r="AH480">
            <v>1388.8273394164951</v>
          </cell>
          <cell r="AI480">
            <v>81.345740252913529</v>
          </cell>
        </row>
        <row r="481">
          <cell r="C481" t="str">
            <v>020130</v>
          </cell>
          <cell r="AE481">
            <v>7102601</v>
          </cell>
          <cell r="AF481" t="str">
            <v>CUPIM</v>
          </cell>
          <cell r="AG481">
            <v>26937.633264372518</v>
          </cell>
          <cell r="AH481">
            <v>18136.156896200948</v>
          </cell>
          <cell r="AI481">
            <v>112.26701297421286</v>
          </cell>
        </row>
        <row r="482">
          <cell r="C482" t="str">
            <v>020610</v>
          </cell>
          <cell r="AE482">
            <v>7102701</v>
          </cell>
          <cell r="AF482" t="str">
            <v>LINGUA BOVINA</v>
          </cell>
          <cell r="AG482">
            <v>10100</v>
          </cell>
          <cell r="AH482">
            <v>1388.8273394164951</v>
          </cell>
          <cell r="AI482">
            <v>81.345740252913529</v>
          </cell>
        </row>
        <row r="483">
          <cell r="C483" t="str">
            <v>020120</v>
          </cell>
          <cell r="AE483">
            <v>7102801</v>
          </cell>
          <cell r="AF483" t="str">
            <v>RABADA BOVINA</v>
          </cell>
          <cell r="AG483">
            <v>25444.913183549295</v>
          </cell>
          <cell r="AH483">
            <v>16712.437930800632</v>
          </cell>
          <cell r="AI483">
            <v>102.14361037937029</v>
          </cell>
        </row>
        <row r="484">
          <cell r="C484" t="str">
            <v>020610</v>
          </cell>
          <cell r="AE484">
            <v>7103101</v>
          </cell>
          <cell r="AF484" t="str">
            <v>MOCOTO BOVINO</v>
          </cell>
          <cell r="AG484">
            <v>10100</v>
          </cell>
          <cell r="AH484">
            <v>1388.8273394164951</v>
          </cell>
          <cell r="AI484">
            <v>81.345740252913529</v>
          </cell>
        </row>
        <row r="485">
          <cell r="C485" t="str">
            <v>020311</v>
          </cell>
          <cell r="AE485">
            <v>7103301</v>
          </cell>
          <cell r="AF485" t="str">
            <v>CARRE</v>
          </cell>
          <cell r="AG485">
            <v>4005.4397586713299</v>
          </cell>
          <cell r="AH485">
            <v>7509.0702772841823</v>
          </cell>
          <cell r="AI485">
            <v>34.875</v>
          </cell>
        </row>
        <row r="486">
          <cell r="C486" t="str">
            <v>020111</v>
          </cell>
          <cell r="AE486">
            <v>7103303</v>
          </cell>
          <cell r="AF486" t="str">
            <v>COSTELETA</v>
          </cell>
          <cell r="AG486">
            <v>25444.913183549295</v>
          </cell>
          <cell r="AH486">
            <v>16712.437930800632</v>
          </cell>
          <cell r="AI486">
            <v>102.14361037937029</v>
          </cell>
        </row>
        <row r="487">
          <cell r="C487" t="str">
            <v>020311</v>
          </cell>
          <cell r="AE487">
            <v>7103305</v>
          </cell>
          <cell r="AF487" t="str">
            <v>BISTECA SUINA</v>
          </cell>
          <cell r="AG487">
            <v>4005.4397586713299</v>
          </cell>
          <cell r="AH487">
            <v>7509.0702772841823</v>
          </cell>
          <cell r="AI487">
            <v>34.875</v>
          </cell>
        </row>
        <row r="488">
          <cell r="C488" t="str">
            <v>020319</v>
          </cell>
          <cell r="AE488">
            <v>7103403</v>
          </cell>
          <cell r="AF488" t="str">
            <v>QUARTO SUINO</v>
          </cell>
          <cell r="AG488">
            <v>4005.4397586713299</v>
          </cell>
          <cell r="AH488">
            <v>7509.0702772841823</v>
          </cell>
          <cell r="AI488">
            <v>34.875</v>
          </cell>
        </row>
        <row r="489">
          <cell r="C489" t="str">
            <v>020311</v>
          </cell>
          <cell r="AE489">
            <v>7103501</v>
          </cell>
          <cell r="AF489" t="str">
            <v>COSTELA SUINA</v>
          </cell>
          <cell r="AG489">
            <v>4005.4397586713299</v>
          </cell>
          <cell r="AH489">
            <v>7509.0702772841823</v>
          </cell>
          <cell r="AI489">
            <v>34.875</v>
          </cell>
        </row>
        <row r="490">
          <cell r="C490" t="str">
            <v>020319</v>
          </cell>
          <cell r="AE490">
            <v>7103701</v>
          </cell>
          <cell r="AF490" t="str">
            <v>LOMBO SUINO</v>
          </cell>
          <cell r="AG490">
            <v>4885</v>
          </cell>
          <cell r="AH490">
            <v>7509.0702772841823</v>
          </cell>
          <cell r="AI490">
            <v>34.875</v>
          </cell>
        </row>
        <row r="491">
          <cell r="C491" t="str">
            <v>021012</v>
          </cell>
          <cell r="AE491">
            <v>7103801</v>
          </cell>
          <cell r="AF491" t="str">
            <v>TOUCINHO</v>
          </cell>
          <cell r="AG491">
            <v>10200</v>
          </cell>
          <cell r="AH491">
            <v>7359.5180236216484</v>
          </cell>
          <cell r="AI491">
            <v>19</v>
          </cell>
        </row>
        <row r="492">
          <cell r="C492" t="str">
            <v>020630</v>
          </cell>
          <cell r="AE492">
            <v>7103903</v>
          </cell>
          <cell r="AF492" t="str">
            <v>MIUDO SUÍNO</v>
          </cell>
          <cell r="AG492">
            <v>2925</v>
          </cell>
          <cell r="AH492">
            <v>1388.8273394164951</v>
          </cell>
          <cell r="AI492">
            <v>81.345740252913529</v>
          </cell>
        </row>
        <row r="493">
          <cell r="C493" t="str">
            <v>020630</v>
          </cell>
          <cell r="AE493">
            <v>7103907</v>
          </cell>
          <cell r="AF493" t="str">
            <v>SARAPATEL SUINO FRESCO</v>
          </cell>
          <cell r="AG493">
            <v>2925</v>
          </cell>
          <cell r="AH493">
            <v>1388.8273394164951</v>
          </cell>
          <cell r="AI493">
            <v>81.345740252913529</v>
          </cell>
        </row>
        <row r="494">
          <cell r="C494" t="str">
            <v>020319</v>
          </cell>
          <cell r="AE494">
            <v>7104101</v>
          </cell>
          <cell r="AF494" t="str">
            <v>CARNE SUINA</v>
          </cell>
          <cell r="AG494">
            <v>3983.450752638113</v>
          </cell>
          <cell r="AH494">
            <v>7509.0702772841823</v>
          </cell>
          <cell r="AI494">
            <v>34.875</v>
          </cell>
        </row>
        <row r="495">
          <cell r="C495" t="str">
            <v>020319</v>
          </cell>
          <cell r="AE495">
            <v>7104102</v>
          </cell>
          <cell r="AF495" t="str">
            <v>CARNE DE PORCO</v>
          </cell>
          <cell r="AG495">
            <v>4005.4397586713299</v>
          </cell>
          <cell r="AH495">
            <v>7509.0702772841823</v>
          </cell>
          <cell r="AI495">
            <v>34.875</v>
          </cell>
        </row>
        <row r="496">
          <cell r="C496" t="str">
            <v>020130</v>
          </cell>
          <cell r="AE496">
            <v>7104301</v>
          </cell>
          <cell r="AF496" t="str">
            <v>CARNE MOIDA</v>
          </cell>
          <cell r="AG496">
            <v>26937.633264372518</v>
          </cell>
          <cell r="AH496">
            <v>18136.156896200948</v>
          </cell>
          <cell r="AI496">
            <v>112.26701297421286</v>
          </cell>
        </row>
        <row r="497">
          <cell r="C497" t="str">
            <v>020630</v>
          </cell>
          <cell r="AE497">
            <v>7104501</v>
          </cell>
          <cell r="AF497" t="str">
            <v>TRIPA SUINA</v>
          </cell>
          <cell r="AG497">
            <v>2925</v>
          </cell>
          <cell r="AH497">
            <v>1388.8273394164951</v>
          </cell>
          <cell r="AI497">
            <v>81.345740252913529</v>
          </cell>
        </row>
        <row r="498">
          <cell r="C498" t="str">
            <v>020630</v>
          </cell>
          <cell r="AE498">
            <v>7104601</v>
          </cell>
          <cell r="AF498" t="str">
            <v>FIGADO SUINO</v>
          </cell>
          <cell r="AG498">
            <v>2925</v>
          </cell>
          <cell r="AH498">
            <v>1388.8273394164951</v>
          </cell>
          <cell r="AI498">
            <v>81.345740252913529</v>
          </cell>
        </row>
        <row r="499">
          <cell r="C499" t="str">
            <v>020630</v>
          </cell>
          <cell r="AE499">
            <v>7104701</v>
          </cell>
          <cell r="AF499" t="str">
            <v>LINGUA SUINA</v>
          </cell>
          <cell r="AG499">
            <v>2925</v>
          </cell>
          <cell r="AH499">
            <v>1388.8273394164951</v>
          </cell>
          <cell r="AI499">
            <v>81.345740252913529</v>
          </cell>
        </row>
        <row r="500">
          <cell r="C500" t="str">
            <v>020630</v>
          </cell>
          <cell r="AE500">
            <v>7105001</v>
          </cell>
          <cell r="AF500" t="str">
            <v>ORELHA SUINA FRESCA</v>
          </cell>
          <cell r="AG500">
            <v>2925</v>
          </cell>
          <cell r="AH500">
            <v>1388.8273394164951</v>
          </cell>
          <cell r="AI500">
            <v>81.345740252913529</v>
          </cell>
        </row>
        <row r="501">
          <cell r="C501" t="str">
            <v>020630</v>
          </cell>
          <cell r="AE501">
            <v>7105203</v>
          </cell>
          <cell r="AF501" t="str">
            <v>MOCOTO SUINO / MOCOTO DE PORCO</v>
          </cell>
          <cell r="AG501">
            <v>2925</v>
          </cell>
          <cell r="AH501">
            <v>1388.8273394164951</v>
          </cell>
          <cell r="AI501">
            <v>81.345740252913529</v>
          </cell>
        </row>
        <row r="502">
          <cell r="C502" t="str">
            <v>020451</v>
          </cell>
          <cell r="AE502">
            <v>7105401</v>
          </cell>
          <cell r="AF502" t="str">
            <v>CARNE DE CABRITO</v>
          </cell>
          <cell r="AG502">
            <v>13999.971734892786</v>
          </cell>
          <cell r="AH502">
            <v>7594.0380444357997</v>
          </cell>
          <cell r="AI502">
            <v>76</v>
          </cell>
        </row>
        <row r="503">
          <cell r="C503" t="str">
            <v>020450</v>
          </cell>
          <cell r="AE503">
            <v>7105402</v>
          </cell>
          <cell r="AF503" t="str">
            <v>CARNE DE BODE</v>
          </cell>
          <cell r="AG503">
            <v>13999.971734892786</v>
          </cell>
          <cell r="AH503">
            <v>7594.0380444357997</v>
          </cell>
          <cell r="AI503">
            <v>76</v>
          </cell>
        </row>
        <row r="504">
          <cell r="C504" t="str">
            <v>020450</v>
          </cell>
          <cell r="AE504">
            <v>7105403</v>
          </cell>
          <cell r="AF504" t="str">
            <v>CARNE CAPRINA</v>
          </cell>
          <cell r="AG504">
            <v>13999.971734892786</v>
          </cell>
          <cell r="AH504">
            <v>7594.0380444357997</v>
          </cell>
          <cell r="AI504">
            <v>76</v>
          </cell>
        </row>
        <row r="505">
          <cell r="C505" t="str">
            <v>020450</v>
          </cell>
          <cell r="AE505">
            <v>7105405</v>
          </cell>
          <cell r="AF505" t="str">
            <v>CARNE DE CAPRINO</v>
          </cell>
          <cell r="AG505">
            <v>13999.971734892786</v>
          </cell>
          <cell r="AH505">
            <v>7594.0380444357997</v>
          </cell>
          <cell r="AI505">
            <v>76</v>
          </cell>
        </row>
        <row r="506">
          <cell r="C506" t="str">
            <v>020423</v>
          </cell>
          <cell r="AE506">
            <v>7105601</v>
          </cell>
          <cell r="AF506" t="str">
            <v>CARNE DE CARNEIRO</v>
          </cell>
          <cell r="AG506">
            <v>13999.971734892786</v>
          </cell>
          <cell r="AH506">
            <v>7594.0380444357997</v>
          </cell>
          <cell r="AI506">
            <v>76</v>
          </cell>
        </row>
        <row r="507">
          <cell r="C507" t="str">
            <v>020423</v>
          </cell>
          <cell r="AE507">
            <v>7105602</v>
          </cell>
          <cell r="AF507" t="str">
            <v>CARNE DE OVELHA</v>
          </cell>
          <cell r="AG507">
            <v>13999.971734892786</v>
          </cell>
          <cell r="AH507">
            <v>7594.0380444357997</v>
          </cell>
          <cell r="AI507">
            <v>76</v>
          </cell>
        </row>
        <row r="508">
          <cell r="C508" t="str">
            <v>020319</v>
          </cell>
          <cell r="AE508">
            <v>7106301</v>
          </cell>
          <cell r="AF508" t="str">
            <v>PERNIL</v>
          </cell>
          <cell r="AG508">
            <v>4005.4397586713299</v>
          </cell>
          <cell r="AH508">
            <v>7509.0702772841823</v>
          </cell>
          <cell r="AI508">
            <v>34.875</v>
          </cell>
        </row>
        <row r="509">
          <cell r="C509" t="str">
            <v>020630</v>
          </cell>
          <cell r="AE509">
            <v>7107501</v>
          </cell>
          <cell r="AF509" t="str">
            <v>SUA SUINA</v>
          </cell>
          <cell r="AG509">
            <v>2925</v>
          </cell>
          <cell r="AH509">
            <v>1388.8273394164951</v>
          </cell>
          <cell r="AI509">
            <v>81.345740252913529</v>
          </cell>
        </row>
        <row r="510">
          <cell r="C510" t="str">
            <v>020890</v>
          </cell>
          <cell r="AE510">
            <v>7107601</v>
          </cell>
          <cell r="AF510" t="str">
            <v>CARNE DE OUTROS ANIMAIS</v>
          </cell>
          <cell r="AG510">
            <v>3321</v>
          </cell>
          <cell r="AH510">
            <v>10606.971120102613</v>
          </cell>
          <cell r="AI510">
            <v>81.345740252913529</v>
          </cell>
        </row>
        <row r="511">
          <cell r="C511" t="str">
            <v>020890</v>
          </cell>
          <cell r="AE511">
            <v>7107603</v>
          </cell>
          <cell r="AF511" t="str">
            <v>CARNE DA PACA</v>
          </cell>
          <cell r="AG511">
            <v>3321</v>
          </cell>
          <cell r="AH511">
            <v>10606.971120102613</v>
          </cell>
          <cell r="AI511">
            <v>81.345740252913529</v>
          </cell>
        </row>
        <row r="512">
          <cell r="C512" t="str">
            <v>020850</v>
          </cell>
          <cell r="AE512">
            <v>7107611</v>
          </cell>
          <cell r="AF512" t="str">
            <v>CARNE DE JACARE</v>
          </cell>
          <cell r="AG512">
            <v>3321</v>
          </cell>
          <cell r="AH512">
            <v>10606.971120102613</v>
          </cell>
          <cell r="AI512">
            <v>81.345740252913529</v>
          </cell>
        </row>
        <row r="513">
          <cell r="C513" t="str">
            <v>020890</v>
          </cell>
          <cell r="AE513">
            <v>7107615</v>
          </cell>
          <cell r="AF513" t="str">
            <v>CARNE DE CAPIVARA</v>
          </cell>
          <cell r="AG513">
            <v>3321</v>
          </cell>
          <cell r="AH513">
            <v>10606.971120102613</v>
          </cell>
          <cell r="AI513">
            <v>81.345740252913529</v>
          </cell>
        </row>
        <row r="514">
          <cell r="C514" t="str">
            <v>020890</v>
          </cell>
          <cell r="AE514">
            <v>7107617</v>
          </cell>
          <cell r="AF514" t="str">
            <v>CARNE DE COTIA</v>
          </cell>
          <cell r="AG514">
            <v>3321</v>
          </cell>
          <cell r="AH514">
            <v>10606.971120102613</v>
          </cell>
          <cell r="AI514">
            <v>81.345740252913529</v>
          </cell>
        </row>
        <row r="515">
          <cell r="C515" t="str">
            <v>020850</v>
          </cell>
          <cell r="AE515">
            <v>7107622</v>
          </cell>
          <cell r="AF515" t="str">
            <v>CARNE DE JABUTI</v>
          </cell>
          <cell r="AG515">
            <v>3321</v>
          </cell>
          <cell r="AH515">
            <v>10606.971120102613</v>
          </cell>
          <cell r="AI515">
            <v>81.345740252913529</v>
          </cell>
        </row>
        <row r="516">
          <cell r="C516" t="str">
            <v>020130</v>
          </cell>
          <cell r="AE516">
            <v>7107804</v>
          </cell>
          <cell r="AF516" t="str">
            <v>CHULETA</v>
          </cell>
          <cell r="AG516">
            <v>26937.633264372518</v>
          </cell>
          <cell r="AH516">
            <v>18136.156896200948</v>
          </cell>
          <cell r="AI516">
            <v>112.26701297421286</v>
          </cell>
        </row>
        <row r="517">
          <cell r="C517" t="str">
            <v>020611</v>
          </cell>
          <cell r="AE517">
            <v>7108107</v>
          </cell>
          <cell r="AF517" t="str">
            <v>MIUDO DE BODE</v>
          </cell>
          <cell r="AG517">
            <v>10100</v>
          </cell>
          <cell r="AH517">
            <v>1388.8273394164951</v>
          </cell>
          <cell r="AI517">
            <v>81.345740252913529</v>
          </cell>
        </row>
        <row r="518">
          <cell r="C518" t="str">
            <v>020130</v>
          </cell>
          <cell r="AE518">
            <v>7108902</v>
          </cell>
          <cell r="AF518" t="str">
            <v>BIFE</v>
          </cell>
          <cell r="AG518">
            <v>26937.633264372518</v>
          </cell>
          <cell r="AH518">
            <v>18136.156896200948</v>
          </cell>
          <cell r="AI518">
            <v>112.26701297421286</v>
          </cell>
        </row>
        <row r="519">
          <cell r="C519" t="str">
            <v>020130</v>
          </cell>
          <cell r="AE519">
            <v>7109101</v>
          </cell>
          <cell r="AF519" t="str">
            <v>CARNE BOVINA</v>
          </cell>
          <cell r="AG519">
            <v>26937.633264372518</v>
          </cell>
          <cell r="AH519">
            <v>18136.156896200948</v>
          </cell>
          <cell r="AI519">
            <v>112.26701297421286</v>
          </cell>
        </row>
        <row r="520">
          <cell r="C520" t="str">
            <v>020120</v>
          </cell>
          <cell r="AE520">
            <v>7110902</v>
          </cell>
          <cell r="AF520" t="str">
            <v>OSSADA NAO ESPECIFICADA</v>
          </cell>
          <cell r="AG520">
            <v>25444.913183549295</v>
          </cell>
          <cell r="AH520">
            <v>16712.437930800632</v>
          </cell>
          <cell r="AI520">
            <v>102.14361037937029</v>
          </cell>
        </row>
        <row r="521">
          <cell r="C521" t="str">
            <v>020410</v>
          </cell>
          <cell r="AE521">
            <v>7112502</v>
          </cell>
          <cell r="AF521" t="str">
            <v>CORDEIRO</v>
          </cell>
          <cell r="AG521">
            <v>13999.971734892786</v>
          </cell>
          <cell r="AH521">
            <v>7594.0380444357997</v>
          </cell>
          <cell r="AI521">
            <v>76</v>
          </cell>
        </row>
        <row r="522">
          <cell r="C522" t="str">
            <v>020311</v>
          </cell>
          <cell r="AE522">
            <v>7112901</v>
          </cell>
          <cell r="AF522" t="str">
            <v>JOELHO DE PORCO</v>
          </cell>
          <cell r="AG522">
            <v>4005.4397586713299</v>
          </cell>
          <cell r="AH522">
            <v>7509.0702772841823</v>
          </cell>
          <cell r="AI522">
            <v>34.875</v>
          </cell>
        </row>
        <row r="523">
          <cell r="C523" t="str">
            <v>020319</v>
          </cell>
          <cell r="AE523">
            <v>7113101</v>
          </cell>
          <cell r="AF523" t="str">
            <v>LEITAO</v>
          </cell>
          <cell r="AG523">
            <v>4005.4397586713299</v>
          </cell>
          <cell r="AH523">
            <v>7509.0702772841823</v>
          </cell>
          <cell r="AI523">
            <v>34.875</v>
          </cell>
        </row>
        <row r="524">
          <cell r="C524" t="str">
            <v>020319</v>
          </cell>
          <cell r="AE524">
            <v>7113201</v>
          </cell>
          <cell r="AF524" t="str">
            <v>LOMBINHO</v>
          </cell>
          <cell r="AG524">
            <v>4005.4397586713299</v>
          </cell>
          <cell r="AH524">
            <v>7509.0702772841823</v>
          </cell>
          <cell r="AI524">
            <v>34.875</v>
          </cell>
        </row>
        <row r="525">
          <cell r="C525" t="str">
            <v>020319</v>
          </cell>
          <cell r="AE525">
            <v>7113301</v>
          </cell>
          <cell r="AF525" t="str">
            <v>LOMBO</v>
          </cell>
          <cell r="AG525">
            <v>4005.4397586713299</v>
          </cell>
          <cell r="AH525">
            <v>7509.0702772841823</v>
          </cell>
          <cell r="AI525">
            <v>34.875</v>
          </cell>
        </row>
        <row r="526">
          <cell r="C526" t="str">
            <v>020130</v>
          </cell>
          <cell r="AE526">
            <v>7113401</v>
          </cell>
          <cell r="AF526" t="str">
            <v>MEDALHOES BOVINOS</v>
          </cell>
          <cell r="AG526">
            <v>26937.633264372518</v>
          </cell>
          <cell r="AH526">
            <v>18136.156896200948</v>
          </cell>
          <cell r="AI526">
            <v>112.26701297421286</v>
          </cell>
        </row>
        <row r="527">
          <cell r="C527" t="str">
            <v>020130</v>
          </cell>
          <cell r="AE527">
            <v>7113402</v>
          </cell>
          <cell r="AF527" t="str">
            <v>TORNEDOR BOVINO</v>
          </cell>
          <cell r="AG527">
            <v>26937.633264372518</v>
          </cell>
          <cell r="AH527">
            <v>18136.156896200948</v>
          </cell>
          <cell r="AI527">
            <v>112.26701297421286</v>
          </cell>
        </row>
        <row r="528">
          <cell r="C528" t="str">
            <v>020131</v>
          </cell>
          <cell r="AE528">
            <v>7113501</v>
          </cell>
          <cell r="AF528" t="str">
            <v>VITELA</v>
          </cell>
          <cell r="AG528">
            <v>12010.43245614035</v>
          </cell>
          <cell r="AH528">
            <v>13865</v>
          </cell>
          <cell r="AI528">
            <v>61.65</v>
          </cell>
        </row>
        <row r="529">
          <cell r="C529" t="str">
            <v>020130</v>
          </cell>
          <cell r="AE529">
            <v>7180001</v>
          </cell>
          <cell r="AF529" t="str">
            <v>ROSBIFE</v>
          </cell>
          <cell r="AG529">
            <v>26937.633264372518</v>
          </cell>
          <cell r="AH529">
            <v>18136.156896200948</v>
          </cell>
          <cell r="AI529">
            <v>112.26701297421286</v>
          </cell>
        </row>
        <row r="530">
          <cell r="C530" t="str">
            <v>030210</v>
          </cell>
          <cell r="AE530">
            <v>7200101</v>
          </cell>
          <cell r="AF530" t="str">
            <v>PEIXE DE MAR (INTEIRO, EM POSTA, EM FILÉ, ETC)</v>
          </cell>
          <cell r="AG530">
            <v>4452.4273529411776</v>
          </cell>
          <cell r="AH530">
            <v>0</v>
          </cell>
          <cell r="AI530">
            <v>227.27172789833566</v>
          </cell>
        </row>
        <row r="531">
          <cell r="C531" t="str">
            <v>030551</v>
          </cell>
          <cell r="AE531">
            <v>7200401</v>
          </cell>
          <cell r="AF531" t="str">
            <v>PEIXE DE MAR SALGADO (INTEIRO, EM POSTA, EM FILÉ, ETC)</v>
          </cell>
          <cell r="AG531">
            <v>2857.8571428571427</v>
          </cell>
          <cell r="AH531">
            <v>0</v>
          </cell>
          <cell r="AI531">
            <v>208.95434557966715</v>
          </cell>
        </row>
        <row r="532">
          <cell r="C532" t="str">
            <v>030623</v>
          </cell>
          <cell r="AE532">
            <v>7260101</v>
          </cell>
          <cell r="AF532" t="str">
            <v>CAMARAO</v>
          </cell>
          <cell r="AG532">
            <v>14690</v>
          </cell>
          <cell r="AH532">
            <v>0</v>
          </cell>
          <cell r="AI532">
            <v>208.95434557966715</v>
          </cell>
        </row>
        <row r="533">
          <cell r="C533" t="str">
            <v>030624</v>
          </cell>
          <cell r="AE533">
            <v>7261101</v>
          </cell>
          <cell r="AF533" t="str">
            <v>SIRI</v>
          </cell>
          <cell r="AG533">
            <v>6320</v>
          </cell>
          <cell r="AH533">
            <v>0</v>
          </cell>
          <cell r="AI533">
            <v>208.95434557966715</v>
          </cell>
        </row>
        <row r="534">
          <cell r="C534" t="str">
            <v>030624</v>
          </cell>
          <cell r="AE534">
            <v>7262101</v>
          </cell>
          <cell r="AF534" t="str">
            <v>CARANGUEJO</v>
          </cell>
          <cell r="AG534">
            <v>6320</v>
          </cell>
          <cell r="AH534">
            <v>0</v>
          </cell>
          <cell r="AI534">
            <v>208.95434557966715</v>
          </cell>
        </row>
        <row r="535">
          <cell r="C535" t="str">
            <v>030710</v>
          </cell>
          <cell r="AE535">
            <v>7263101</v>
          </cell>
          <cell r="AF535" t="str">
            <v>MARISCO</v>
          </cell>
          <cell r="AG535">
            <v>4611.2000000000007</v>
          </cell>
          <cell r="AH535">
            <v>0</v>
          </cell>
          <cell r="AI535">
            <v>208.95434557966715</v>
          </cell>
        </row>
        <row r="536">
          <cell r="C536" t="str">
            <v>030710</v>
          </cell>
          <cell r="AE536">
            <v>7264101</v>
          </cell>
          <cell r="AF536" t="str">
            <v>OSTRA</v>
          </cell>
          <cell r="AG536">
            <v>4611.2000000000007</v>
          </cell>
          <cell r="AH536">
            <v>0</v>
          </cell>
          <cell r="AI536">
            <v>208.95434557966715</v>
          </cell>
        </row>
        <row r="537">
          <cell r="C537" t="str">
            <v>030749</v>
          </cell>
          <cell r="AE537">
            <v>7265101</v>
          </cell>
          <cell r="AF537" t="str">
            <v>LULA</v>
          </cell>
          <cell r="AG537">
            <v>6650</v>
          </cell>
          <cell r="AH537">
            <v>0</v>
          </cell>
          <cell r="AI537">
            <v>208.95434557966715</v>
          </cell>
        </row>
        <row r="538">
          <cell r="C538" t="str">
            <v>030731</v>
          </cell>
          <cell r="AE538">
            <v>7266101</v>
          </cell>
          <cell r="AF538" t="str">
            <v>SURURU</v>
          </cell>
          <cell r="AG538">
            <v>5584.971428571429</v>
          </cell>
          <cell r="AH538">
            <v>0</v>
          </cell>
          <cell r="AI538">
            <v>208.95434557966715</v>
          </cell>
        </row>
        <row r="539">
          <cell r="C539" t="str">
            <v>030623</v>
          </cell>
          <cell r="AE539">
            <v>7267101</v>
          </cell>
          <cell r="AF539" t="str">
            <v>LAGOSTA</v>
          </cell>
          <cell r="AG539">
            <v>26793.82</v>
          </cell>
          <cell r="AH539">
            <v>0</v>
          </cell>
          <cell r="AI539">
            <v>208.95434557966715</v>
          </cell>
        </row>
        <row r="540">
          <cell r="C540" t="str">
            <v>030623</v>
          </cell>
          <cell r="AE540">
            <v>7267104</v>
          </cell>
          <cell r="AF540" t="str">
            <v>LAGOSTIM</v>
          </cell>
          <cell r="AG540">
            <v>20741.91</v>
          </cell>
          <cell r="AH540">
            <v>0</v>
          </cell>
          <cell r="AI540">
            <v>208.95434557966715</v>
          </cell>
        </row>
        <row r="541">
          <cell r="C541" t="str">
            <v>030551</v>
          </cell>
          <cell r="AE541">
            <v>7270401</v>
          </cell>
          <cell r="AF541" t="str">
            <v>BACALHAU</v>
          </cell>
          <cell r="AG541">
            <v>2857.8571428571427</v>
          </cell>
          <cell r="AH541">
            <v>0</v>
          </cell>
          <cell r="AI541">
            <v>208.95434557966715</v>
          </cell>
        </row>
        <row r="542">
          <cell r="C542" t="str">
            <v>160431</v>
          </cell>
          <cell r="AE542">
            <v>7273101</v>
          </cell>
          <cell r="AF542" t="str">
            <v>OVAS DE PEIXE (QUALQUER ESPECIE)</v>
          </cell>
          <cell r="AG542">
            <v>6545</v>
          </cell>
          <cell r="AH542">
            <v>632</v>
          </cell>
          <cell r="AI542">
            <v>52</v>
          </cell>
        </row>
        <row r="543">
          <cell r="C543" t="str">
            <v>030749</v>
          </cell>
          <cell r="AE543">
            <v>7274101</v>
          </cell>
          <cell r="AF543" t="str">
            <v>POLVO</v>
          </cell>
          <cell r="AG543">
            <v>7350</v>
          </cell>
          <cell r="AH543">
            <v>0</v>
          </cell>
          <cell r="AI543">
            <v>208.95434557966715</v>
          </cell>
        </row>
        <row r="544">
          <cell r="C544" t="str">
            <v>030210</v>
          </cell>
          <cell r="AE544">
            <v>7280102</v>
          </cell>
          <cell r="AF544" t="str">
            <v>CEVICHE DE PEIXE</v>
          </cell>
          <cell r="AG544">
            <v>4416.8385087719307</v>
          </cell>
          <cell r="AH544">
            <v>0</v>
          </cell>
          <cell r="AI544">
            <v>163.09057596611189</v>
          </cell>
        </row>
        <row r="545">
          <cell r="C545" t="str">
            <v>030210</v>
          </cell>
          <cell r="AE545">
            <v>7280501</v>
          </cell>
          <cell r="AF545" t="str">
            <v>FILE DE PEIXE</v>
          </cell>
          <cell r="AG545">
            <v>4416.8385087719307</v>
          </cell>
          <cell r="AH545">
            <v>0</v>
          </cell>
          <cell r="AI545">
            <v>163.09057596611189</v>
          </cell>
        </row>
        <row r="546">
          <cell r="C546" t="str">
            <v>030210</v>
          </cell>
          <cell r="AE546">
            <v>7281201</v>
          </cell>
          <cell r="AF546" t="str">
            <v>ATUM FRESCO</v>
          </cell>
          <cell r="AG546">
            <v>4416.8385087719307</v>
          </cell>
          <cell r="AH546">
            <v>0</v>
          </cell>
          <cell r="AI546">
            <v>163.09057596611189</v>
          </cell>
        </row>
        <row r="547">
          <cell r="C547" t="str">
            <v>030749</v>
          </cell>
          <cell r="AE547">
            <v>7281401</v>
          </cell>
          <cell r="AF547" t="str">
            <v>FRUTOS DO MAR</v>
          </cell>
          <cell r="AG547">
            <v>6883.333333333333</v>
          </cell>
          <cell r="AH547">
            <v>0</v>
          </cell>
          <cell r="AI547">
            <v>208.95434557966715</v>
          </cell>
        </row>
        <row r="548">
          <cell r="C548">
            <v>160419</v>
          </cell>
          <cell r="AE548">
            <v>7281501</v>
          </cell>
          <cell r="AF548" t="str">
            <v>STEAK DE PEIXE</v>
          </cell>
          <cell r="AG548">
            <v>6545</v>
          </cell>
          <cell r="AH548">
            <v>632</v>
          </cell>
          <cell r="AI548">
            <v>52</v>
          </cell>
        </row>
        <row r="549">
          <cell r="C549" t="str">
            <v>030410</v>
          </cell>
          <cell r="AE549">
            <v>7400101</v>
          </cell>
          <cell r="AF549" t="str">
            <v>PEIXE DE AGUA DOCE (INTEIRO, EM POSTA, EM FILÉ, ETC)</v>
          </cell>
          <cell r="AG549">
            <v>3325.0666666666666</v>
          </cell>
          <cell r="AH549">
            <v>0</v>
          </cell>
          <cell r="AI549">
            <v>277.75</v>
          </cell>
        </row>
        <row r="550">
          <cell r="C550" t="str">
            <v>030552</v>
          </cell>
          <cell r="AE550">
            <v>7400401</v>
          </cell>
          <cell r="AF550" t="str">
            <v>PEIXE DE AGUA DOCE SALGADO (INTEIRO, EM POSTA, EM FILÉ, ETC)</v>
          </cell>
          <cell r="AG550">
            <v>2857.8571428571427</v>
          </cell>
          <cell r="AH550">
            <v>0</v>
          </cell>
          <cell r="AI550">
            <v>208.95434557966715</v>
          </cell>
        </row>
        <row r="551">
          <cell r="C551" t="str">
            <v>030410</v>
          </cell>
          <cell r="AE551">
            <v>7480001</v>
          </cell>
          <cell r="AF551" t="str">
            <v>PACU</v>
          </cell>
          <cell r="AG551">
            <v>3325.0666666666666</v>
          </cell>
          <cell r="AH551">
            <v>0</v>
          </cell>
          <cell r="AI551">
            <v>277.75</v>
          </cell>
        </row>
        <row r="552">
          <cell r="C552" t="str">
            <v>030410</v>
          </cell>
          <cell r="AE552">
            <v>7480101</v>
          </cell>
          <cell r="AF552" t="str">
            <v>TAMBAQUI</v>
          </cell>
          <cell r="AG552">
            <v>3325.0666666666666</v>
          </cell>
          <cell r="AH552">
            <v>0</v>
          </cell>
          <cell r="AI552">
            <v>277.75</v>
          </cell>
        </row>
        <row r="553">
          <cell r="C553" t="str">
            <v>030410</v>
          </cell>
          <cell r="AE553">
            <v>7480201</v>
          </cell>
          <cell r="AF553" t="str">
            <v>TUCUNARE</v>
          </cell>
          <cell r="AG553">
            <v>3325.0666666666666</v>
          </cell>
          <cell r="AH553">
            <v>0</v>
          </cell>
          <cell r="AI553">
            <v>277.75</v>
          </cell>
        </row>
        <row r="554">
          <cell r="C554" t="str">
            <v>030210</v>
          </cell>
          <cell r="AE554">
            <v>7600101</v>
          </cell>
          <cell r="AF554" t="str">
            <v>PEIXE NAO ESPECIFICADO (INTEIRO, EM POSTA, EM FILÉ, ETC)</v>
          </cell>
          <cell r="AG554">
            <v>4114.333333333333</v>
          </cell>
          <cell r="AH554">
            <v>0</v>
          </cell>
          <cell r="AI554">
            <v>131</v>
          </cell>
        </row>
        <row r="555">
          <cell r="C555" t="str">
            <v>030552</v>
          </cell>
          <cell r="AE555">
            <v>7600401</v>
          </cell>
          <cell r="AF555" t="str">
            <v>PEIXE NAO ESPECIFICADO SALGADO (INTEIRO, EM POSTA, EM FILÉ, ETC)</v>
          </cell>
          <cell r="AG555">
            <v>2857.8571428571427</v>
          </cell>
          <cell r="AH555">
            <v>0</v>
          </cell>
          <cell r="AI555">
            <v>208.95434557966715</v>
          </cell>
        </row>
        <row r="556">
          <cell r="C556" t="str">
            <v>200190</v>
          </cell>
          <cell r="AE556">
            <v>7700101</v>
          </cell>
          <cell r="AF556" t="str">
            <v>AZEITONA</v>
          </cell>
          <cell r="AG556">
            <v>624.65000000000009</v>
          </cell>
          <cell r="AH556">
            <v>7687.7940345406287</v>
          </cell>
          <cell r="AI556">
            <v>5.52</v>
          </cell>
        </row>
        <row r="557">
          <cell r="C557" t="str">
            <v>200540</v>
          </cell>
          <cell r="AE557">
            <v>7700201</v>
          </cell>
          <cell r="AF557" t="str">
            <v>ERVILHA EM CONSERVA</v>
          </cell>
          <cell r="AG557">
            <v>1730.4937285223366</v>
          </cell>
          <cell r="AH557">
            <v>2256.485722150212</v>
          </cell>
          <cell r="AI557">
            <v>5</v>
          </cell>
        </row>
        <row r="558">
          <cell r="C558" t="str">
            <v>200540</v>
          </cell>
          <cell r="AE558">
            <v>7700202</v>
          </cell>
          <cell r="AF558" t="str">
            <v>PETIT POIS</v>
          </cell>
          <cell r="AG558">
            <v>1730.4937285223366</v>
          </cell>
          <cell r="AH558">
            <v>2256.485722150212</v>
          </cell>
          <cell r="AI558">
            <v>5</v>
          </cell>
        </row>
        <row r="559">
          <cell r="C559" t="str">
            <v>200540</v>
          </cell>
          <cell r="AE559">
            <v>7700401</v>
          </cell>
          <cell r="AF559" t="str">
            <v>MILHO VERDE EM CONSERVA</v>
          </cell>
          <cell r="AG559">
            <v>1730.4937285223366</v>
          </cell>
          <cell r="AH559">
            <v>2256.485722150212</v>
          </cell>
          <cell r="AI559">
            <v>5</v>
          </cell>
        </row>
        <row r="560">
          <cell r="C560" t="str">
            <v>200190</v>
          </cell>
          <cell r="AE560">
            <v>7700501</v>
          </cell>
          <cell r="AF560" t="str">
            <v>PALMITO EM CONSERVA</v>
          </cell>
          <cell r="AG560">
            <v>1112.325</v>
          </cell>
          <cell r="AH560">
            <v>7687.7940345406287</v>
          </cell>
          <cell r="AI560">
            <v>5.52</v>
          </cell>
        </row>
        <row r="561">
          <cell r="C561" t="str">
            <v>200310</v>
          </cell>
          <cell r="AE561">
            <v>7700601</v>
          </cell>
          <cell r="AF561" t="str">
            <v>COGUMELO EM CONSERVA</v>
          </cell>
          <cell r="AG561">
            <v>3327.8350515463917</v>
          </cell>
          <cell r="AH561">
            <v>2570</v>
          </cell>
          <cell r="AI561">
            <v>0.9</v>
          </cell>
        </row>
        <row r="562">
          <cell r="C562" t="str">
            <v>200310</v>
          </cell>
          <cell r="AE562">
            <v>7700602</v>
          </cell>
          <cell r="AF562" t="str">
            <v>CHAMPIGNON EM CONSERVA</v>
          </cell>
          <cell r="AG562">
            <v>3327.8350515463917</v>
          </cell>
          <cell r="AH562">
            <v>2570</v>
          </cell>
          <cell r="AI562">
            <v>0.9</v>
          </cell>
        </row>
        <row r="563">
          <cell r="C563">
            <v>200310</v>
          </cell>
          <cell r="AE563">
            <v>7700701</v>
          </cell>
          <cell r="AF563" t="str">
            <v>ASPARGO EM CONSERVA</v>
          </cell>
          <cell r="AG563">
            <v>605.66666666666663</v>
          </cell>
          <cell r="AH563">
            <v>2570</v>
          </cell>
          <cell r="AI563">
            <v>0.9</v>
          </cell>
        </row>
        <row r="564">
          <cell r="C564" t="str">
            <v>200190</v>
          </cell>
          <cell r="AE564">
            <v>7700901</v>
          </cell>
          <cell r="AF564" t="str">
            <v>REPOLHO EM CONSERVA</v>
          </cell>
          <cell r="AG564">
            <v>1112.325</v>
          </cell>
          <cell r="AH564">
            <v>7687.7940345406287</v>
          </cell>
          <cell r="AI564">
            <v>5.52</v>
          </cell>
        </row>
        <row r="565">
          <cell r="C565" t="str">
            <v>200190</v>
          </cell>
          <cell r="AE565">
            <v>7701101</v>
          </cell>
          <cell r="AF565" t="str">
            <v>LEGUME NAO ESPECIFICADO EM CONSERVA</v>
          </cell>
          <cell r="AG565">
            <v>1600</v>
          </cell>
          <cell r="AH565">
            <v>7687.7940345406287</v>
          </cell>
          <cell r="AI565">
            <v>5.52</v>
          </cell>
        </row>
        <row r="566">
          <cell r="C566">
            <v>210410</v>
          </cell>
          <cell r="AE566">
            <v>7701404</v>
          </cell>
          <cell r="AF566" t="str">
            <v>CREME DE CEBOLA (SOPA DESIDRATADA)</v>
          </cell>
          <cell r="AG566">
            <v>3000</v>
          </cell>
          <cell r="AH566">
            <v>6114.9086447857417</v>
          </cell>
          <cell r="AI566">
            <v>33.5</v>
          </cell>
        </row>
        <row r="567">
          <cell r="C567" t="str">
            <v>200540</v>
          </cell>
          <cell r="AE567">
            <v>7701501</v>
          </cell>
          <cell r="AF567" t="str">
            <v>MILHO VERDE COM ERVILHA EM CONSERVA</v>
          </cell>
          <cell r="AG567">
            <v>1730.4937285223366</v>
          </cell>
          <cell r="AH567">
            <v>2256.485722150212</v>
          </cell>
          <cell r="AI567">
            <v>5</v>
          </cell>
        </row>
        <row r="568">
          <cell r="C568" t="str">
            <v>160249</v>
          </cell>
          <cell r="AE568">
            <v>7702001</v>
          </cell>
          <cell r="AF568" t="str">
            <v>FEIJAO BRANCO COM DOBRADINHA EM CONSERVA</v>
          </cell>
          <cell r="AG568">
            <v>5300</v>
          </cell>
          <cell r="AH568">
            <v>8744</v>
          </cell>
          <cell r="AI568">
            <v>52</v>
          </cell>
        </row>
        <row r="569">
          <cell r="C569" t="str">
            <v>160210</v>
          </cell>
          <cell r="AE569">
            <v>7702302</v>
          </cell>
          <cell r="AF569" t="str">
            <v>PASTA DE CARNE EM CONSERVA</v>
          </cell>
          <cell r="AG569">
            <v>5300</v>
          </cell>
          <cell r="AH569">
            <v>8744</v>
          </cell>
          <cell r="AI569">
            <v>52</v>
          </cell>
        </row>
        <row r="570">
          <cell r="C570" t="str">
            <v>160210</v>
          </cell>
          <cell r="AE570">
            <v>7702402</v>
          </cell>
          <cell r="AF570" t="str">
            <v>PASTA DE PRESUNTO EM CONSERVA</v>
          </cell>
          <cell r="AG570">
            <v>5300</v>
          </cell>
          <cell r="AH570">
            <v>8744</v>
          </cell>
          <cell r="AI570">
            <v>52</v>
          </cell>
        </row>
        <row r="571">
          <cell r="C571" t="str">
            <v>160210</v>
          </cell>
          <cell r="AE571">
            <v>7702502</v>
          </cell>
          <cell r="AF571" t="str">
            <v>PASTA DE GALINHA EM CONSERVA</v>
          </cell>
          <cell r="AG571">
            <v>5300</v>
          </cell>
          <cell r="AH571">
            <v>8744</v>
          </cell>
          <cell r="AI571">
            <v>52</v>
          </cell>
        </row>
        <row r="572">
          <cell r="C572" t="str">
            <v>160250</v>
          </cell>
          <cell r="AE572">
            <v>7702601</v>
          </cell>
          <cell r="AF572" t="str">
            <v>CARNE BOVINA EM CONSERVA</v>
          </cell>
          <cell r="AG572">
            <v>14500</v>
          </cell>
          <cell r="AH572">
            <v>8744</v>
          </cell>
          <cell r="AI572">
            <v>52</v>
          </cell>
        </row>
        <row r="573">
          <cell r="C573" t="str">
            <v>020130</v>
          </cell>
          <cell r="AE573">
            <v>7702602</v>
          </cell>
          <cell r="AF573" t="str">
            <v>ALMONDEGA</v>
          </cell>
          <cell r="AG573">
            <v>26937.633264372518</v>
          </cell>
          <cell r="AH573">
            <v>18136.156896200948</v>
          </cell>
          <cell r="AI573">
            <v>112.26701297421286</v>
          </cell>
        </row>
        <row r="574">
          <cell r="C574" t="str">
            <v>160250</v>
          </cell>
          <cell r="AE574">
            <v>7702603</v>
          </cell>
          <cell r="AF574" t="str">
            <v>KITUTE BOVINO</v>
          </cell>
          <cell r="AG574">
            <v>14500</v>
          </cell>
          <cell r="AH574">
            <v>8744</v>
          </cell>
          <cell r="AI574">
            <v>52</v>
          </cell>
        </row>
        <row r="575">
          <cell r="C575" t="str">
            <v>160249</v>
          </cell>
          <cell r="AE575">
            <v>7702705</v>
          </cell>
          <cell r="AF575" t="str">
            <v>PRESUNTADA</v>
          </cell>
          <cell r="AG575">
            <v>5300</v>
          </cell>
          <cell r="AH575">
            <v>8744</v>
          </cell>
          <cell r="AI575">
            <v>52</v>
          </cell>
        </row>
        <row r="576">
          <cell r="C576" t="str">
            <v>160250</v>
          </cell>
          <cell r="AE576">
            <v>7702707</v>
          </cell>
          <cell r="AF576" t="str">
            <v>FIAMBRE</v>
          </cell>
          <cell r="AG576">
            <v>14500</v>
          </cell>
          <cell r="AH576">
            <v>8744</v>
          </cell>
          <cell r="AI576">
            <v>52</v>
          </cell>
        </row>
        <row r="577">
          <cell r="C577">
            <v>160101</v>
          </cell>
          <cell r="AE577">
            <v>7702801</v>
          </cell>
          <cell r="AF577" t="str">
            <v>SALSICHA EM CONSERVA</v>
          </cell>
          <cell r="AG577">
            <v>3533.3333333333335</v>
          </cell>
          <cell r="AH577">
            <v>12800</v>
          </cell>
          <cell r="AI577">
            <v>52</v>
          </cell>
        </row>
        <row r="578">
          <cell r="C578" t="str">
            <v>160413</v>
          </cell>
          <cell r="AE578">
            <v>7703002</v>
          </cell>
          <cell r="AF578" t="str">
            <v>SARDINHA EM CONSERVA</v>
          </cell>
          <cell r="AG578">
            <v>6545</v>
          </cell>
          <cell r="AH578">
            <v>632</v>
          </cell>
          <cell r="AI578">
            <v>52</v>
          </cell>
        </row>
        <row r="579">
          <cell r="C579" t="str">
            <v>160414</v>
          </cell>
          <cell r="AE579">
            <v>7703402</v>
          </cell>
          <cell r="AF579" t="str">
            <v>ATUM EM CONSERVA</v>
          </cell>
          <cell r="AG579">
            <v>6545</v>
          </cell>
          <cell r="AH579">
            <v>632</v>
          </cell>
          <cell r="AI579">
            <v>52</v>
          </cell>
        </row>
        <row r="580">
          <cell r="C580" t="str">
            <v>200110</v>
          </cell>
          <cell r="AE580">
            <v>7703701</v>
          </cell>
          <cell r="AF580" t="str">
            <v>PEPINO EM CONSERVA</v>
          </cell>
          <cell r="AG580">
            <v>1112.325</v>
          </cell>
          <cell r="AH580">
            <v>7687.7940345406287</v>
          </cell>
          <cell r="AI580">
            <v>5.52</v>
          </cell>
        </row>
        <row r="581">
          <cell r="C581" t="str">
            <v>160420</v>
          </cell>
          <cell r="AE581">
            <v>7703902</v>
          </cell>
          <cell r="AF581" t="str">
            <v>PASTA DE PEIXE EM CONSERVA</v>
          </cell>
          <cell r="AG581">
            <v>6545</v>
          </cell>
          <cell r="AH581">
            <v>632</v>
          </cell>
          <cell r="AI581">
            <v>52</v>
          </cell>
        </row>
        <row r="582">
          <cell r="C582" t="str">
            <v>200190</v>
          </cell>
          <cell r="AE582">
            <v>7704001</v>
          </cell>
          <cell r="AF582" t="str">
            <v>PICLES</v>
          </cell>
          <cell r="AG582">
            <v>1112.325</v>
          </cell>
          <cell r="AH582">
            <v>7687.7940345406287</v>
          </cell>
          <cell r="AI582">
            <v>5.52</v>
          </cell>
        </row>
        <row r="583">
          <cell r="C583" t="str">
            <v>200190</v>
          </cell>
          <cell r="AE583">
            <v>7705201</v>
          </cell>
          <cell r="AF583" t="str">
            <v>NABO EM CONSERVA</v>
          </cell>
          <cell r="AG583">
            <v>1112.325</v>
          </cell>
          <cell r="AH583">
            <v>7687.7940345406287</v>
          </cell>
          <cell r="AI583">
            <v>5.52</v>
          </cell>
        </row>
        <row r="584">
          <cell r="C584">
            <v>160420</v>
          </cell>
          <cell r="AE584">
            <v>7705901</v>
          </cell>
          <cell r="AF584" t="str">
            <v>KANI KAMA</v>
          </cell>
          <cell r="AG584">
            <v>6545</v>
          </cell>
          <cell r="AH584">
            <v>632</v>
          </cell>
          <cell r="AI584">
            <v>52</v>
          </cell>
        </row>
        <row r="585">
          <cell r="C585" t="str">
            <v>160414</v>
          </cell>
          <cell r="AE585">
            <v>7706001</v>
          </cell>
          <cell r="AF585" t="str">
            <v>SALMAO EM CONSERVA</v>
          </cell>
          <cell r="AG585">
            <v>6545</v>
          </cell>
          <cell r="AH585">
            <v>632</v>
          </cell>
          <cell r="AI585">
            <v>52</v>
          </cell>
        </row>
        <row r="586">
          <cell r="C586" t="str">
            <v>160414</v>
          </cell>
          <cell r="AE586">
            <v>7706302</v>
          </cell>
          <cell r="AF586" t="str">
            <v>ATUM EM CONSERVA LIGHT</v>
          </cell>
          <cell r="AG586">
            <v>6545</v>
          </cell>
          <cell r="AH586">
            <v>632</v>
          </cell>
          <cell r="AI586">
            <v>52</v>
          </cell>
        </row>
        <row r="587">
          <cell r="C587" t="str">
            <v>020711</v>
          </cell>
          <cell r="AE587">
            <v>7800103</v>
          </cell>
          <cell r="AF587" t="str">
            <v>FRANGO INTEIRO</v>
          </cell>
          <cell r="AG587">
            <v>3320.9089509884666</v>
          </cell>
          <cell r="AH587">
            <v>4474.4591510944665</v>
          </cell>
          <cell r="AI587">
            <v>26.5</v>
          </cell>
        </row>
        <row r="588">
          <cell r="C588" t="str">
            <v>020711</v>
          </cell>
          <cell r="AE588">
            <v>7800301</v>
          </cell>
          <cell r="AF588" t="str">
            <v>PARTE DE GALINHA OU FRANGO NAO ESPECIFICADA</v>
          </cell>
          <cell r="AG588">
            <v>3320.9089509884666</v>
          </cell>
          <cell r="AH588">
            <v>4474.4591510944665</v>
          </cell>
          <cell r="AI588">
            <v>26.5</v>
          </cell>
        </row>
        <row r="589">
          <cell r="C589" t="str">
            <v>020711</v>
          </cell>
          <cell r="AE589">
            <v>7800302</v>
          </cell>
          <cell r="AF589" t="str">
            <v>FRANGO EM PEDAÇOS</v>
          </cell>
          <cell r="AG589">
            <v>3320.9089509884666</v>
          </cell>
          <cell r="AH589">
            <v>4474.4591510944665</v>
          </cell>
          <cell r="AI589">
            <v>26.5</v>
          </cell>
        </row>
        <row r="590">
          <cell r="C590" t="str">
            <v>020711</v>
          </cell>
          <cell r="AE590">
            <v>7800303</v>
          </cell>
          <cell r="AF590" t="str">
            <v>GALINHA EM PEDACOS</v>
          </cell>
          <cell r="AG590">
            <v>3320.9089509884666</v>
          </cell>
          <cell r="AH590">
            <v>4474.4591510944665</v>
          </cell>
          <cell r="AI590">
            <v>26.5</v>
          </cell>
        </row>
        <row r="591">
          <cell r="C591" t="str">
            <v>020711</v>
          </cell>
          <cell r="AE591">
            <v>7800304</v>
          </cell>
          <cell r="AF591" t="str">
            <v>CARNE DE GALINHA</v>
          </cell>
          <cell r="AG591">
            <v>3320.9089509884666</v>
          </cell>
          <cell r="AH591">
            <v>4474.4591510944665</v>
          </cell>
          <cell r="AI591">
            <v>26.5</v>
          </cell>
        </row>
        <row r="592">
          <cell r="C592" t="str">
            <v>020711</v>
          </cell>
          <cell r="AE592">
            <v>7800307</v>
          </cell>
          <cell r="AF592" t="str">
            <v>FRANGO DESFIADO</v>
          </cell>
          <cell r="AG592">
            <v>3320.9089509884666</v>
          </cell>
          <cell r="AH592">
            <v>4474.4591510944665</v>
          </cell>
          <cell r="AI592">
            <v>26.5</v>
          </cell>
        </row>
        <row r="593">
          <cell r="C593" t="str">
            <v>020711</v>
          </cell>
          <cell r="AE593">
            <v>7800401</v>
          </cell>
          <cell r="AF593" t="str">
            <v>PEITO DE GALINHA OU FRANGO</v>
          </cell>
          <cell r="AG593">
            <v>3320.9089509884666</v>
          </cell>
          <cell r="AH593">
            <v>4474.4591510944665</v>
          </cell>
          <cell r="AI593">
            <v>26.5</v>
          </cell>
        </row>
        <row r="594">
          <cell r="C594" t="str">
            <v>020711</v>
          </cell>
          <cell r="AE594">
            <v>7800402</v>
          </cell>
          <cell r="AF594" t="str">
            <v>FILE DE FRANGO</v>
          </cell>
          <cell r="AG594">
            <v>3320.9089509884666</v>
          </cell>
          <cell r="AH594">
            <v>4474.4591510944665</v>
          </cell>
          <cell r="AI594">
            <v>26.5</v>
          </cell>
        </row>
        <row r="595">
          <cell r="C595" t="str">
            <v>020711</v>
          </cell>
          <cell r="AE595">
            <v>7800503</v>
          </cell>
          <cell r="AF595" t="str">
            <v>SOBRECOXA / COXA DE FRANGO / GALINHA</v>
          </cell>
          <cell r="AG595">
            <v>3320.9089509884666</v>
          </cell>
          <cell r="AH595">
            <v>4474.4591510944665</v>
          </cell>
          <cell r="AI595">
            <v>26.5</v>
          </cell>
        </row>
        <row r="596">
          <cell r="C596" t="str">
            <v>020711</v>
          </cell>
          <cell r="AE596">
            <v>7800701</v>
          </cell>
          <cell r="AF596" t="str">
            <v>ASA DE GALINHA OU FRANGO</v>
          </cell>
          <cell r="AG596">
            <v>3320.9089509884666</v>
          </cell>
          <cell r="AH596">
            <v>4474.4591510944665</v>
          </cell>
          <cell r="AI596">
            <v>26.5</v>
          </cell>
        </row>
        <row r="597">
          <cell r="C597" t="str">
            <v>020711</v>
          </cell>
          <cell r="AE597">
            <v>7800702</v>
          </cell>
          <cell r="AF597" t="str">
            <v>DRUMETE DE GALINHA OU FRANGO</v>
          </cell>
          <cell r="AG597">
            <v>3320.9089509884666</v>
          </cell>
          <cell r="AH597">
            <v>4474.4591510944665</v>
          </cell>
          <cell r="AI597">
            <v>26.5</v>
          </cell>
        </row>
        <row r="598">
          <cell r="C598" t="str">
            <v>020711</v>
          </cell>
          <cell r="AE598">
            <v>7800801</v>
          </cell>
          <cell r="AF598" t="str">
            <v>PESCOCO DE GALINHA OU FRANGO</v>
          </cell>
          <cell r="AG598">
            <v>3320.9089509884666</v>
          </cell>
          <cell r="AH598">
            <v>4474.4591510944665</v>
          </cell>
          <cell r="AI598">
            <v>26.5</v>
          </cell>
        </row>
        <row r="599">
          <cell r="C599" t="str">
            <v>020711</v>
          </cell>
          <cell r="AE599">
            <v>7800901</v>
          </cell>
          <cell r="AF599" t="str">
            <v>PE DE GALINHA OU FRANGO</v>
          </cell>
          <cell r="AG599">
            <v>3320.9089509884666</v>
          </cell>
          <cell r="AH599">
            <v>4474.4591510944665</v>
          </cell>
          <cell r="AI599">
            <v>26.5</v>
          </cell>
        </row>
        <row r="600">
          <cell r="C600" t="str">
            <v>020713</v>
          </cell>
          <cell r="AE600">
            <v>7801001</v>
          </cell>
          <cell r="AF600" t="str">
            <v>MIUDO DE GALINHA OU FRANGO</v>
          </cell>
          <cell r="AG600">
            <v>3320.9089509884666</v>
          </cell>
          <cell r="AH600">
            <v>4474.4591510944665</v>
          </cell>
          <cell r="AI600">
            <v>26.5</v>
          </cell>
        </row>
        <row r="601">
          <cell r="C601" t="str">
            <v>020713</v>
          </cell>
          <cell r="AE601">
            <v>7801101</v>
          </cell>
          <cell r="AF601" t="str">
            <v>MOELA DE GALINHA OU FRANGO</v>
          </cell>
          <cell r="AG601">
            <v>3320.9089509884666</v>
          </cell>
          <cell r="AH601">
            <v>4474.4591510944665</v>
          </cell>
          <cell r="AI601">
            <v>26.5</v>
          </cell>
        </row>
        <row r="602">
          <cell r="C602" t="str">
            <v>020713</v>
          </cell>
          <cell r="AE602">
            <v>7801202</v>
          </cell>
          <cell r="AF602" t="str">
            <v>CORACAO DE FRANGO</v>
          </cell>
          <cell r="AG602">
            <v>3320.9089509884666</v>
          </cell>
          <cell r="AH602">
            <v>4474.4591510944665</v>
          </cell>
          <cell r="AI602">
            <v>26.5</v>
          </cell>
        </row>
        <row r="603">
          <cell r="C603" t="str">
            <v>020713</v>
          </cell>
          <cell r="AE603">
            <v>7801301</v>
          </cell>
          <cell r="AF603" t="str">
            <v>FIGADO DE GALINHA OU FRANGO</v>
          </cell>
          <cell r="AG603">
            <v>3320.9089509884666</v>
          </cell>
          <cell r="AH603">
            <v>4474.4591510944665</v>
          </cell>
          <cell r="AI603">
            <v>26.5</v>
          </cell>
        </row>
        <row r="604">
          <cell r="C604" t="str">
            <v>020725</v>
          </cell>
          <cell r="AE604">
            <v>7801702</v>
          </cell>
          <cell r="AF604" t="str">
            <v>PERU EM PEDACO NAO ESPECIFICADO</v>
          </cell>
          <cell r="AG604">
            <v>3760</v>
          </cell>
          <cell r="AH604">
            <v>4474.4591510944665</v>
          </cell>
          <cell r="AI604">
            <v>26.5</v>
          </cell>
        </row>
        <row r="605">
          <cell r="C605" t="str">
            <v>020725</v>
          </cell>
          <cell r="AE605">
            <v>7801801</v>
          </cell>
          <cell r="AF605" t="str">
            <v>PEITO DE PERU</v>
          </cell>
          <cell r="AG605">
            <v>3760</v>
          </cell>
          <cell r="AH605">
            <v>4474.4591510944665</v>
          </cell>
          <cell r="AI605">
            <v>26.5</v>
          </cell>
        </row>
        <row r="606">
          <cell r="C606" t="str">
            <v>020725</v>
          </cell>
          <cell r="AE606">
            <v>7801901</v>
          </cell>
          <cell r="AF606" t="str">
            <v>PERU, COXA</v>
          </cell>
          <cell r="AG606">
            <v>3760</v>
          </cell>
          <cell r="AH606">
            <v>4474.4591510944665</v>
          </cell>
          <cell r="AI606">
            <v>26.5</v>
          </cell>
        </row>
        <row r="607">
          <cell r="C607" t="str">
            <v>020725</v>
          </cell>
          <cell r="AE607">
            <v>7801901</v>
          </cell>
          <cell r="AF607" t="str">
            <v>PERU, COXA</v>
          </cell>
          <cell r="AG607">
            <v>3760</v>
          </cell>
          <cell r="AH607">
            <v>4474.4591510944665</v>
          </cell>
          <cell r="AI607">
            <v>26.5</v>
          </cell>
        </row>
        <row r="608">
          <cell r="C608" t="str">
            <v>020725</v>
          </cell>
          <cell r="AE608">
            <v>7801901</v>
          </cell>
          <cell r="AF608" t="str">
            <v>PERU, COXA</v>
          </cell>
          <cell r="AG608">
            <v>3760</v>
          </cell>
          <cell r="AH608">
            <v>4474.4591510944665</v>
          </cell>
          <cell r="AI608">
            <v>26.5</v>
          </cell>
        </row>
        <row r="609">
          <cell r="C609" t="str">
            <v>020725</v>
          </cell>
          <cell r="AE609">
            <v>7802101</v>
          </cell>
          <cell r="AF609" t="str">
            <v>ASA DE PERU</v>
          </cell>
          <cell r="AG609">
            <v>3760</v>
          </cell>
          <cell r="AH609">
            <v>4474.4591510944665</v>
          </cell>
          <cell r="AI609">
            <v>26.5</v>
          </cell>
        </row>
        <row r="610">
          <cell r="C610" t="str">
            <v>020711</v>
          </cell>
          <cell r="AE610">
            <v>7802701</v>
          </cell>
          <cell r="AF610" t="str">
            <v>CHESTER</v>
          </cell>
          <cell r="AG610">
            <v>3320.9089509884666</v>
          </cell>
          <cell r="AH610">
            <v>4474.4591510944665</v>
          </cell>
          <cell r="AI610">
            <v>26.5</v>
          </cell>
        </row>
        <row r="611">
          <cell r="C611">
            <v>160241</v>
          </cell>
          <cell r="AE611">
            <v>7802702</v>
          </cell>
          <cell r="AF611" t="str">
            <v>TENDER</v>
          </cell>
          <cell r="AG611">
            <v>5300</v>
          </cell>
          <cell r="AH611">
            <v>8744</v>
          </cell>
          <cell r="AI611">
            <v>52</v>
          </cell>
        </row>
        <row r="612">
          <cell r="C612">
            <v>160232</v>
          </cell>
          <cell r="AE612">
            <v>7802901</v>
          </cell>
          <cell r="AF612" t="str">
            <v>NUGGETS DE FRANGO</v>
          </cell>
          <cell r="AG612">
            <v>4225</v>
          </cell>
          <cell r="AH612">
            <v>8744</v>
          </cell>
          <cell r="AI612">
            <v>52</v>
          </cell>
        </row>
        <row r="613">
          <cell r="C613">
            <v>160232</v>
          </cell>
          <cell r="AE613">
            <v>7802902</v>
          </cell>
          <cell r="AF613" t="str">
            <v>STEAK DE FRANGO</v>
          </cell>
          <cell r="AG613">
            <v>4225</v>
          </cell>
          <cell r="AH613">
            <v>8744</v>
          </cell>
          <cell r="AI613">
            <v>52</v>
          </cell>
        </row>
        <row r="614">
          <cell r="C614">
            <v>160232</v>
          </cell>
          <cell r="AE614">
            <v>7802905</v>
          </cell>
          <cell r="AF614" t="str">
            <v>NUGGET RECHEADO</v>
          </cell>
          <cell r="AG614">
            <v>4225</v>
          </cell>
          <cell r="AH614">
            <v>8744</v>
          </cell>
          <cell r="AI614">
            <v>52</v>
          </cell>
        </row>
        <row r="615">
          <cell r="C615" t="str">
            <v>040721</v>
          </cell>
          <cell r="AE615">
            <v>7803301</v>
          </cell>
          <cell r="AF615" t="str">
            <v>OVO DE GALINHA</v>
          </cell>
          <cell r="AG615">
            <v>3362.8489755858177</v>
          </cell>
          <cell r="AH615">
            <v>3072.4611524415941</v>
          </cell>
          <cell r="AI615">
            <v>20.840096668140877</v>
          </cell>
        </row>
        <row r="616">
          <cell r="C616" t="str">
            <v>040729</v>
          </cell>
          <cell r="AE616">
            <v>7803501</v>
          </cell>
          <cell r="AF616" t="str">
            <v>OVO DE CODORNA</v>
          </cell>
          <cell r="AG616">
            <v>3362.8489755858177</v>
          </cell>
          <cell r="AH616">
            <v>3072.4611524415941</v>
          </cell>
          <cell r="AI616">
            <v>20.840096668140877</v>
          </cell>
        </row>
        <row r="617">
          <cell r="C617" t="str">
            <v>020760</v>
          </cell>
          <cell r="AE617">
            <v>7803702</v>
          </cell>
          <cell r="AF617" t="str">
            <v>GALINHA DE ANGOLA ABATIDA, CONGELADA OU VIVA</v>
          </cell>
          <cell r="AG617">
            <v>3335.5453192888513</v>
          </cell>
          <cell r="AH617">
            <v>4474.4591510944665</v>
          </cell>
          <cell r="AI617">
            <v>26.5</v>
          </cell>
        </row>
        <row r="618">
          <cell r="C618" t="str">
            <v>020741</v>
          </cell>
          <cell r="AE618">
            <v>7803907</v>
          </cell>
          <cell r="AF618" t="str">
            <v>PATO EM PEDACOS</v>
          </cell>
          <cell r="AG618">
            <v>3335.5453192888513</v>
          </cell>
          <cell r="AH618">
            <v>4474.4591510944665</v>
          </cell>
          <cell r="AI618">
            <v>26.5</v>
          </cell>
        </row>
        <row r="619">
          <cell r="C619" t="str">
            <v>020741</v>
          </cell>
          <cell r="AE619">
            <v>7803908</v>
          </cell>
          <cell r="AF619" t="str">
            <v>PEITO DE PATO</v>
          </cell>
          <cell r="AG619">
            <v>3335.5453192888513</v>
          </cell>
          <cell r="AH619">
            <v>4474.4591510944665</v>
          </cell>
          <cell r="AI619">
            <v>26.5</v>
          </cell>
        </row>
        <row r="620">
          <cell r="C620" t="str">
            <v>020741</v>
          </cell>
          <cell r="AE620">
            <v>7803913</v>
          </cell>
          <cell r="AF620" t="str">
            <v>CARNE DE PATO</v>
          </cell>
          <cell r="AG620">
            <v>3335.5453192888513</v>
          </cell>
          <cell r="AH620">
            <v>4474.4591510944665</v>
          </cell>
          <cell r="AI620">
            <v>26.5</v>
          </cell>
        </row>
        <row r="621">
          <cell r="C621" t="str">
            <v>020725</v>
          </cell>
          <cell r="AE621">
            <v>7805401</v>
          </cell>
          <cell r="AF621" t="str">
            <v>PEITO DE PERU LIGHT</v>
          </cell>
          <cell r="AG621">
            <v>3760</v>
          </cell>
          <cell r="AH621">
            <v>4474.4591510944665</v>
          </cell>
          <cell r="AI621">
            <v>26.5</v>
          </cell>
        </row>
        <row r="622">
          <cell r="C622" t="str">
            <v>020745</v>
          </cell>
          <cell r="AE622">
            <v>7806002</v>
          </cell>
          <cell r="AF622" t="str">
            <v>MARRECO, CARNE NAO ESPECIFICADO</v>
          </cell>
          <cell r="AG622">
            <v>3335.5453192888513</v>
          </cell>
          <cell r="AH622">
            <v>4474.4591510944665</v>
          </cell>
          <cell r="AI622">
            <v>26.5</v>
          </cell>
        </row>
        <row r="623">
          <cell r="C623" t="str">
            <v>020711</v>
          </cell>
          <cell r="AE623">
            <v>7806201</v>
          </cell>
          <cell r="AF623" t="str">
            <v>CARNE MOIDA DE FRANGO</v>
          </cell>
          <cell r="AG623">
            <v>3320.9089509884666</v>
          </cell>
          <cell r="AH623">
            <v>4474.4591510944665</v>
          </cell>
          <cell r="AI623">
            <v>26.5</v>
          </cell>
        </row>
        <row r="624">
          <cell r="C624" t="str">
            <v>040721</v>
          </cell>
          <cell r="AE624">
            <v>7807101</v>
          </cell>
          <cell r="AF624" t="str">
            <v>OVO CLARA</v>
          </cell>
          <cell r="AG624">
            <v>3362.8489755858177</v>
          </cell>
          <cell r="AH624">
            <v>3072.4611524415941</v>
          </cell>
          <cell r="AI624">
            <v>20.840096668140877</v>
          </cell>
        </row>
        <row r="625">
          <cell r="C625" t="str">
            <v>040721</v>
          </cell>
          <cell r="AE625">
            <v>7807201</v>
          </cell>
          <cell r="AF625" t="str">
            <v>OVO GEMA</v>
          </cell>
          <cell r="AG625">
            <v>3362.8489755858177</v>
          </cell>
          <cell r="AH625">
            <v>3072.4611524415941</v>
          </cell>
          <cell r="AI625">
            <v>20.840096668140877</v>
          </cell>
        </row>
        <row r="626">
          <cell r="C626" t="str">
            <v>020711</v>
          </cell>
          <cell r="AE626">
            <v>7807501</v>
          </cell>
          <cell r="AF626" t="str">
            <v>FRANGO A PASSARINHO</v>
          </cell>
          <cell r="AG626">
            <v>3320.9089509884666</v>
          </cell>
          <cell r="AH626">
            <v>4474.4591510944665</v>
          </cell>
          <cell r="AI626">
            <v>26.5</v>
          </cell>
        </row>
        <row r="627">
          <cell r="C627" t="str">
            <v>020754</v>
          </cell>
          <cell r="AE627">
            <v>7807702</v>
          </cell>
          <cell r="AF627" t="str">
            <v>GANSO, CARNE NAO ESPECIFICADO</v>
          </cell>
          <cell r="AG627">
            <v>3335.5453192888513</v>
          </cell>
          <cell r="AH627">
            <v>4474.4591510944665</v>
          </cell>
          <cell r="AI627">
            <v>26.5</v>
          </cell>
        </row>
        <row r="628">
          <cell r="C628" t="str">
            <v>040130</v>
          </cell>
          <cell r="AE628">
            <v>7900101</v>
          </cell>
          <cell r="AF628" t="str">
            <v>LEITE DE VACA INTEGRAL</v>
          </cell>
          <cell r="AG628">
            <v>1265.4625009107467</v>
          </cell>
          <cell r="AH628">
            <v>1346.6666666666667</v>
          </cell>
          <cell r="AI628">
            <v>8.4665445665445667</v>
          </cell>
        </row>
        <row r="629">
          <cell r="C629" t="str">
            <v>040130</v>
          </cell>
          <cell r="AE629">
            <v>7900201</v>
          </cell>
          <cell r="AF629" t="str">
            <v>LEITE DE VACA FRESCO</v>
          </cell>
          <cell r="AG629">
            <v>1265.4625009107467</v>
          </cell>
          <cell r="AH629">
            <v>1346.6666666666667</v>
          </cell>
          <cell r="AI629">
            <v>8.4665445665445667</v>
          </cell>
        </row>
        <row r="630">
          <cell r="C630" t="str">
            <v>040111</v>
          </cell>
          <cell r="AE630">
            <v>7900301</v>
          </cell>
          <cell r="AF630" t="str">
            <v>LEITE DE CABRA</v>
          </cell>
          <cell r="AG630">
            <v>1322</v>
          </cell>
          <cell r="AH630">
            <v>1203.6139137517953</v>
          </cell>
          <cell r="AI630">
            <v>16.662867996201328</v>
          </cell>
        </row>
        <row r="631">
          <cell r="C631" t="str">
            <v>040210</v>
          </cell>
          <cell r="AE631">
            <v>7900601</v>
          </cell>
          <cell r="AF631" t="str">
            <v>LEITE EM PO INTEGRAL</v>
          </cell>
          <cell r="AG631">
            <v>11000</v>
          </cell>
          <cell r="AH631">
            <v>5596.804698945848</v>
          </cell>
          <cell r="AI631">
            <v>27.09194232168722</v>
          </cell>
        </row>
        <row r="632">
          <cell r="C632" t="str">
            <v>040221</v>
          </cell>
          <cell r="AE632">
            <v>7900710</v>
          </cell>
          <cell r="AF632" t="str">
            <v>LEITE EM PO DESNATADO</v>
          </cell>
          <cell r="AG632">
            <v>11000</v>
          </cell>
          <cell r="AH632">
            <v>5596.804698945848</v>
          </cell>
          <cell r="AI632">
            <v>27.09194232168722</v>
          </cell>
        </row>
        <row r="633">
          <cell r="C633" t="str">
            <v>040210</v>
          </cell>
          <cell r="AE633">
            <v>7900801</v>
          </cell>
          <cell r="AF633" t="str">
            <v>LEITE EM PO</v>
          </cell>
          <cell r="AG633">
            <v>11000</v>
          </cell>
          <cell r="AH633">
            <v>5596.804698945848</v>
          </cell>
          <cell r="AI633">
            <v>27.09194232168722</v>
          </cell>
        </row>
        <row r="634">
          <cell r="C634">
            <v>190190</v>
          </cell>
          <cell r="AE634">
            <v>7900901</v>
          </cell>
          <cell r="AF634" t="str">
            <v>LEITE CONDENSADO</v>
          </cell>
          <cell r="AG634">
            <v>3200</v>
          </cell>
          <cell r="AH634">
            <v>1870.1099089032616</v>
          </cell>
          <cell r="AI634">
            <v>5</v>
          </cell>
        </row>
        <row r="635">
          <cell r="C635">
            <v>190190</v>
          </cell>
          <cell r="AE635">
            <v>7900903</v>
          </cell>
          <cell r="AF635" t="str">
            <v>LEITE BEIJINHO</v>
          </cell>
          <cell r="AG635">
            <v>3200</v>
          </cell>
          <cell r="AH635">
            <v>1870.1099089032616</v>
          </cell>
          <cell r="AI635">
            <v>5</v>
          </cell>
        </row>
        <row r="636">
          <cell r="C636" t="str">
            <v>040150</v>
          </cell>
          <cell r="AE636">
            <v>7901001</v>
          </cell>
          <cell r="AF636" t="str">
            <v>CREME DE LEITE</v>
          </cell>
          <cell r="AG636">
            <v>6272.2906885759003</v>
          </cell>
          <cell r="AH636">
            <v>4954.3609397891696</v>
          </cell>
          <cell r="AI636">
            <v>45.35</v>
          </cell>
        </row>
        <row r="637">
          <cell r="C637" t="str">
            <v>040311</v>
          </cell>
          <cell r="AE637">
            <v>7901201</v>
          </cell>
          <cell r="AF637" t="str">
            <v>IOGURTE DE QUALQUER SABOR</v>
          </cell>
          <cell r="AG637">
            <v>3433.3333333333335</v>
          </cell>
          <cell r="AH637">
            <v>1501.8002936841156</v>
          </cell>
          <cell r="AI637">
            <v>12.766666666666666</v>
          </cell>
        </row>
        <row r="638">
          <cell r="C638" t="str">
            <v>040310</v>
          </cell>
          <cell r="AE638">
            <v>7901203</v>
          </cell>
          <cell r="AF638" t="str">
            <v>IOGURTE DESNATADO</v>
          </cell>
          <cell r="AG638">
            <v>1605.4269913377161</v>
          </cell>
          <cell r="AH638">
            <v>1501.8002936841156</v>
          </cell>
          <cell r="AI638">
            <v>12.766666666666666</v>
          </cell>
        </row>
        <row r="639">
          <cell r="C639" t="str">
            <v>040310</v>
          </cell>
          <cell r="AE639">
            <v>7901204</v>
          </cell>
          <cell r="AF639" t="str">
            <v>IOGURTE NATURAL</v>
          </cell>
          <cell r="AG639">
            <v>1605.4269913377161</v>
          </cell>
          <cell r="AH639">
            <v>1501.8002936841156</v>
          </cell>
          <cell r="AI639">
            <v>12.766666666666666</v>
          </cell>
        </row>
        <row r="640">
          <cell r="C640">
            <v>220290</v>
          </cell>
          <cell r="AE640">
            <v>7901301</v>
          </cell>
          <cell r="AF640" t="str">
            <v>YAKULT DE QUALQUER SABOR</v>
          </cell>
          <cell r="AG640">
            <v>794.44444444444446</v>
          </cell>
          <cell r="AH640">
            <v>11543.725015272823</v>
          </cell>
          <cell r="AI640">
            <v>57.5</v>
          </cell>
        </row>
        <row r="641">
          <cell r="C641">
            <v>220290</v>
          </cell>
          <cell r="AE641">
            <v>7901303</v>
          </cell>
          <cell r="AF641" t="str">
            <v>BEBIDA LACTEA</v>
          </cell>
          <cell r="AG641">
            <v>794.44444444444446</v>
          </cell>
          <cell r="AH641">
            <v>1399.201174736462</v>
          </cell>
          <cell r="AI641">
            <v>57.5</v>
          </cell>
        </row>
        <row r="642">
          <cell r="C642">
            <v>220290</v>
          </cell>
          <cell r="AE642">
            <v>7901304</v>
          </cell>
          <cell r="AF642" t="str">
            <v>LEITE FERMENTADO</v>
          </cell>
          <cell r="AG642">
            <v>794.44444444444446</v>
          </cell>
          <cell r="AH642">
            <v>11543.725015272823</v>
          </cell>
          <cell r="AI642">
            <v>57.5</v>
          </cell>
        </row>
        <row r="643">
          <cell r="C643" t="str">
            <v>040390</v>
          </cell>
          <cell r="AE643">
            <v>7901401</v>
          </cell>
          <cell r="AF643" t="str">
            <v>COALHADA</v>
          </cell>
          <cell r="AG643">
            <v>2153.7988939364013</v>
          </cell>
          <cell r="AH643">
            <v>1501.8002936841156</v>
          </cell>
          <cell r="AI643">
            <v>12.766666666666666</v>
          </cell>
        </row>
        <row r="644">
          <cell r="C644" t="str">
            <v>040510</v>
          </cell>
          <cell r="AE644">
            <v>7901501</v>
          </cell>
          <cell r="AF644" t="str">
            <v>MANTEIGA COM OU SEM SAL</v>
          </cell>
          <cell r="AG644">
            <v>9101.3333333333321</v>
          </cell>
          <cell r="AH644">
            <v>4218.3167817482954</v>
          </cell>
          <cell r="AI644">
            <v>115</v>
          </cell>
        </row>
        <row r="645">
          <cell r="C645" t="str">
            <v>040510</v>
          </cell>
          <cell r="AE645">
            <v>7901505</v>
          </cell>
          <cell r="AF645" t="str">
            <v>MANTEIGA DE GARRAFA</v>
          </cell>
          <cell r="AG645">
            <v>9101.3333333333321</v>
          </cell>
          <cell r="AH645">
            <v>4218.3167817482954</v>
          </cell>
          <cell r="AI645">
            <v>115</v>
          </cell>
        </row>
        <row r="646">
          <cell r="C646">
            <v>151710</v>
          </cell>
          <cell r="AE646">
            <v>7901602</v>
          </cell>
          <cell r="AF646" t="str">
            <v>MARGARINA COM OU SEM SAL</v>
          </cell>
          <cell r="AG646">
            <v>1570</v>
          </cell>
          <cell r="AH646">
            <v>1324</v>
          </cell>
          <cell r="AI646">
            <v>66</v>
          </cell>
        </row>
        <row r="647">
          <cell r="C647" t="str">
            <v>040630</v>
          </cell>
          <cell r="AE647">
            <v>7901701</v>
          </cell>
          <cell r="AF647" t="str">
            <v>QUEIJO PRATO</v>
          </cell>
          <cell r="AG647">
            <v>8762.4166666666661</v>
          </cell>
          <cell r="AH647">
            <v>5921.6022838398312</v>
          </cell>
          <cell r="AI647">
            <v>41.388095238095239</v>
          </cell>
        </row>
        <row r="648">
          <cell r="C648" t="str">
            <v>040630</v>
          </cell>
          <cell r="AE648">
            <v>7901703</v>
          </cell>
          <cell r="AF648" t="str">
            <v>QUEIJO COLONIAL</v>
          </cell>
          <cell r="AG648">
            <v>8762.4166666666661</v>
          </cell>
          <cell r="AH648">
            <v>5921.6022838398312</v>
          </cell>
          <cell r="AI648">
            <v>41.388095238095239</v>
          </cell>
        </row>
        <row r="649">
          <cell r="C649" t="str">
            <v>040630</v>
          </cell>
          <cell r="AE649">
            <v>7901705</v>
          </cell>
          <cell r="AF649" t="str">
            <v>QUEIJO DE COLONIA</v>
          </cell>
          <cell r="AG649">
            <v>8762.4166666666661</v>
          </cell>
          <cell r="AH649">
            <v>5921.6022838398312</v>
          </cell>
          <cell r="AI649">
            <v>41.388095238095239</v>
          </cell>
        </row>
        <row r="650">
          <cell r="C650" t="str">
            <v>040611</v>
          </cell>
          <cell r="AE650">
            <v>7901801</v>
          </cell>
          <cell r="AF650" t="str">
            <v>QUEIJO MUZARELLA</v>
          </cell>
          <cell r="AG650">
            <v>9225</v>
          </cell>
          <cell r="AH650">
            <v>6958.2199156802535</v>
          </cell>
          <cell r="AI650">
            <v>35.6</v>
          </cell>
        </row>
        <row r="651">
          <cell r="C651" t="str">
            <v>040611</v>
          </cell>
          <cell r="AE651">
            <v>7901803</v>
          </cell>
          <cell r="AF651" t="str">
            <v>MUSSARELA</v>
          </cell>
          <cell r="AG651">
            <v>9225</v>
          </cell>
          <cell r="AH651">
            <v>7117</v>
          </cell>
          <cell r="AI651">
            <v>35.6</v>
          </cell>
        </row>
        <row r="652">
          <cell r="C652" t="str">
            <v>040611</v>
          </cell>
          <cell r="AE652">
            <v>7901807</v>
          </cell>
          <cell r="AF652" t="str">
            <v>MUSSARELA DE BUFALA</v>
          </cell>
          <cell r="AG652">
            <v>9225</v>
          </cell>
          <cell r="AH652">
            <v>6989.9759325442037</v>
          </cell>
          <cell r="AI652">
            <v>35.6</v>
          </cell>
        </row>
        <row r="653">
          <cell r="C653" t="str">
            <v>040611</v>
          </cell>
          <cell r="AE653">
            <v>7901809</v>
          </cell>
          <cell r="AF653" t="str">
            <v>QUEIJO DE BUFALO</v>
          </cell>
          <cell r="AG653">
            <v>9225</v>
          </cell>
          <cell r="AH653">
            <v>6989.9759325442037</v>
          </cell>
          <cell r="AI653">
            <v>35.6</v>
          </cell>
        </row>
        <row r="654">
          <cell r="C654" t="str">
            <v>040630</v>
          </cell>
          <cell r="AE654">
            <v>7901901</v>
          </cell>
          <cell r="AF654" t="str">
            <v>QUEIJO DE REINO</v>
          </cell>
          <cell r="AG654">
            <v>8762.4166666666661</v>
          </cell>
          <cell r="AH654">
            <v>5921.6022838398312</v>
          </cell>
          <cell r="AI654">
            <v>41.388095238095239</v>
          </cell>
        </row>
        <row r="655">
          <cell r="C655" t="str">
            <v>040610</v>
          </cell>
          <cell r="AE655">
            <v>7902001</v>
          </cell>
          <cell r="AF655" t="str">
            <v>QUEIJO DE MINAS</v>
          </cell>
          <cell r="AG655">
            <v>8350</v>
          </cell>
          <cell r="AH655">
            <v>3748.5041875142397</v>
          </cell>
          <cell r="AI655">
            <v>54.476190476190482</v>
          </cell>
        </row>
        <row r="656">
          <cell r="C656" t="str">
            <v>040630</v>
          </cell>
          <cell r="AE656">
            <v>7902003</v>
          </cell>
          <cell r="AF656" t="str">
            <v>QUEIJO DE MANTEIGA</v>
          </cell>
          <cell r="AG656">
            <v>8762.4166666666661</v>
          </cell>
          <cell r="AH656">
            <v>5921.6022838398312</v>
          </cell>
          <cell r="AI656">
            <v>41.388095238095239</v>
          </cell>
        </row>
        <row r="657">
          <cell r="C657">
            <v>200799</v>
          </cell>
          <cell r="AE657">
            <v>7902004</v>
          </cell>
          <cell r="AF657" t="str">
            <v>QUECHIMIA</v>
          </cell>
          <cell r="AG657">
            <v>2947.5</v>
          </cell>
          <cell r="AH657">
            <v>1471.4151641407616</v>
          </cell>
          <cell r="AI657">
            <v>5.52</v>
          </cell>
        </row>
        <row r="658">
          <cell r="C658" t="str">
            <v>040630</v>
          </cell>
          <cell r="AE658">
            <v>7902005</v>
          </cell>
          <cell r="AF658" t="str">
            <v>QUEIJO DE COALHO</v>
          </cell>
          <cell r="AG658">
            <v>8762.4166666666661</v>
          </cell>
          <cell r="AH658">
            <v>5921.6022838398312</v>
          </cell>
          <cell r="AI658">
            <v>41.388095238095239</v>
          </cell>
        </row>
        <row r="659">
          <cell r="C659" t="str">
            <v>040630</v>
          </cell>
          <cell r="AE659">
            <v>7902008</v>
          </cell>
          <cell r="AF659" t="str">
            <v>QUEIJO CANASTRA</v>
          </cell>
          <cell r="AG659">
            <v>8762.4166666666661</v>
          </cell>
          <cell r="AH659">
            <v>5921.6022838398312</v>
          </cell>
          <cell r="AI659">
            <v>41.388095238095239</v>
          </cell>
        </row>
        <row r="660">
          <cell r="C660" t="str">
            <v>040612</v>
          </cell>
          <cell r="AE660">
            <v>7902201</v>
          </cell>
          <cell r="AF660" t="str">
            <v>QUEIJO RICOTA</v>
          </cell>
          <cell r="AG660">
            <v>4000</v>
          </cell>
          <cell r="AH660">
            <v>2620</v>
          </cell>
          <cell r="AI660">
            <v>13.7</v>
          </cell>
        </row>
        <row r="661">
          <cell r="C661">
            <v>220290</v>
          </cell>
          <cell r="AE661">
            <v>7902301</v>
          </cell>
          <cell r="AF661" t="str">
            <v>LEITE DE SOJA COM SABOR</v>
          </cell>
          <cell r="AG661">
            <v>794.44444444444446</v>
          </cell>
          <cell r="AH661">
            <v>11543.725015272823</v>
          </cell>
          <cell r="AI661">
            <v>57.5</v>
          </cell>
        </row>
        <row r="662">
          <cell r="C662">
            <v>220290</v>
          </cell>
          <cell r="AE662">
            <v>7902303</v>
          </cell>
          <cell r="AF662" t="str">
            <v>ADES ORIGINAL</v>
          </cell>
          <cell r="AG662">
            <v>940</v>
          </cell>
          <cell r="AH662">
            <v>410.6402819602971</v>
          </cell>
          <cell r="AI662">
            <v>57.5</v>
          </cell>
        </row>
        <row r="663">
          <cell r="C663" t="str">
            <v>040620</v>
          </cell>
          <cell r="AE663">
            <v>7902403</v>
          </cell>
          <cell r="AF663" t="str">
            <v>QUEIJO RALADO</v>
          </cell>
          <cell r="AG663">
            <v>8762.4166666666661</v>
          </cell>
          <cell r="AH663">
            <v>5965.8796627210149</v>
          </cell>
          <cell r="AI663">
            <v>41.388095238095239</v>
          </cell>
        </row>
        <row r="664">
          <cell r="C664" t="str">
            <v>040630</v>
          </cell>
          <cell r="AE664">
            <v>7902501</v>
          </cell>
          <cell r="AF664" t="str">
            <v>QUEIJO PROVOLONE</v>
          </cell>
          <cell r="AG664">
            <v>8762.4166666666661</v>
          </cell>
          <cell r="AH664">
            <v>5921.6022838398312</v>
          </cell>
          <cell r="AI664">
            <v>41.388095238095239</v>
          </cell>
        </row>
        <row r="665">
          <cell r="C665" t="str">
            <v>040630</v>
          </cell>
          <cell r="AE665">
            <v>7902801</v>
          </cell>
          <cell r="AF665" t="str">
            <v>QUEIJO POLENGUINHO</v>
          </cell>
          <cell r="AG665">
            <v>8762.4166666666661</v>
          </cell>
          <cell r="AH665">
            <v>5921.6022838398312</v>
          </cell>
          <cell r="AI665">
            <v>41.388095238095239</v>
          </cell>
        </row>
        <row r="666">
          <cell r="C666" t="str">
            <v>040612</v>
          </cell>
          <cell r="AE666">
            <v>7902901</v>
          </cell>
          <cell r="AF666" t="str">
            <v>REQUEIJAO</v>
          </cell>
          <cell r="AG666">
            <v>4000</v>
          </cell>
          <cell r="AH666">
            <v>2620</v>
          </cell>
          <cell r="AI666">
            <v>13.7</v>
          </cell>
        </row>
        <row r="667">
          <cell r="C667" t="str">
            <v>040610</v>
          </cell>
          <cell r="AE667">
            <v>7902902</v>
          </cell>
          <cell r="AF667" t="str">
            <v>QUEIJO CREMOSO</v>
          </cell>
          <cell r="AG667">
            <v>8933.7156862745087</v>
          </cell>
          <cell r="AH667">
            <v>4857.1919251176278</v>
          </cell>
          <cell r="AI667">
            <v>54.476190476190482</v>
          </cell>
        </row>
        <row r="668">
          <cell r="C668" t="str">
            <v>040610</v>
          </cell>
          <cell r="AE668">
            <v>7903001</v>
          </cell>
          <cell r="AF668" t="str">
            <v>QUEIJO NAO ESPECIFICADO</v>
          </cell>
          <cell r="AG668">
            <v>8970.1979166666679</v>
          </cell>
          <cell r="AH668">
            <v>5965.8796627210149</v>
          </cell>
          <cell r="AI668">
            <v>54.476190476190482</v>
          </cell>
        </row>
        <row r="669">
          <cell r="C669">
            <v>220290</v>
          </cell>
          <cell r="AE669">
            <v>7903101</v>
          </cell>
          <cell r="AF669" t="str">
            <v>LEITE COM SABOR</v>
          </cell>
          <cell r="AG669">
            <v>550</v>
          </cell>
          <cell r="AH669">
            <v>11543.725015272823</v>
          </cell>
          <cell r="AI669">
            <v>57.5</v>
          </cell>
        </row>
        <row r="670">
          <cell r="C670">
            <v>220290</v>
          </cell>
          <cell r="AE670">
            <v>7903102</v>
          </cell>
          <cell r="AF670" t="str">
            <v>LEITE ACHOCOLATADO</v>
          </cell>
          <cell r="AG670">
            <v>794.44444444444446</v>
          </cell>
          <cell r="AH670">
            <v>11543.725015272823</v>
          </cell>
          <cell r="AI670">
            <v>57.5</v>
          </cell>
        </row>
        <row r="671">
          <cell r="C671">
            <v>220290</v>
          </cell>
          <cell r="AE671">
            <v>7903109</v>
          </cell>
          <cell r="AF671" t="str">
            <v>LEITE AROMATIZADO</v>
          </cell>
          <cell r="AG671">
            <v>794.44444444444446</v>
          </cell>
          <cell r="AH671">
            <v>11543.725015272823</v>
          </cell>
          <cell r="AI671">
            <v>57.5</v>
          </cell>
        </row>
        <row r="672">
          <cell r="C672">
            <v>220290</v>
          </cell>
          <cell r="AE672">
            <v>7903110</v>
          </cell>
          <cell r="AF672" t="str">
            <v>BEBIDA ACHOCOLATADA</v>
          </cell>
          <cell r="AG672">
            <v>794.44444444444446</v>
          </cell>
          <cell r="AH672">
            <v>11543.725015272823</v>
          </cell>
          <cell r="AI672">
            <v>57.5</v>
          </cell>
        </row>
        <row r="673">
          <cell r="C673" t="str">
            <v>040150</v>
          </cell>
          <cell r="AE673">
            <v>7903201</v>
          </cell>
          <cell r="AF673" t="str">
            <v>NATA</v>
          </cell>
          <cell r="AG673">
            <v>6272.2906885759003</v>
          </cell>
          <cell r="AH673">
            <v>4954.3609397891696</v>
          </cell>
          <cell r="AI673">
            <v>45.35</v>
          </cell>
        </row>
        <row r="674">
          <cell r="C674" t="str">
            <v>040640</v>
          </cell>
          <cell r="AE674">
            <v>7903301</v>
          </cell>
          <cell r="AF674" t="str">
            <v>QUEIJO GORGONZOLA</v>
          </cell>
          <cell r="AG674">
            <v>8762.4166666666661</v>
          </cell>
          <cell r="AH674">
            <v>5965.8796627210149</v>
          </cell>
          <cell r="AI674">
            <v>41.388095238095239</v>
          </cell>
        </row>
        <row r="675">
          <cell r="C675">
            <v>200510</v>
          </cell>
          <cell r="AE675">
            <v>7903402</v>
          </cell>
          <cell r="AF675" t="str">
            <v>TOFU</v>
          </cell>
          <cell r="AG675">
            <v>1560</v>
          </cell>
          <cell r="AH675">
            <v>2585.0680651319931</v>
          </cell>
          <cell r="AI675">
            <v>5</v>
          </cell>
        </row>
        <row r="676">
          <cell r="C676">
            <v>220290</v>
          </cell>
          <cell r="AE676">
            <v>7903501</v>
          </cell>
          <cell r="AF676" t="str">
            <v>LEITE DE SOJA EM PO</v>
          </cell>
          <cell r="AG676">
            <v>893.33333333333337</v>
          </cell>
          <cell r="AH676">
            <v>3854.9260620389368</v>
          </cell>
          <cell r="AI676">
            <v>57.5</v>
          </cell>
        </row>
        <row r="677">
          <cell r="C677" t="str">
            <v>040110</v>
          </cell>
          <cell r="AE677">
            <v>7903601</v>
          </cell>
          <cell r="AF677" t="str">
            <v>LEITE DE VACA DESNATADO</v>
          </cell>
          <cell r="AG677">
            <v>1106</v>
          </cell>
          <cell r="AH677">
            <v>1203.6139137517953</v>
          </cell>
          <cell r="AI677">
            <v>16.662867996201328</v>
          </cell>
        </row>
        <row r="678">
          <cell r="C678" t="str">
            <v>040120</v>
          </cell>
          <cell r="AE678">
            <v>7903702</v>
          </cell>
          <cell r="AF678" t="str">
            <v>LEITE DE VACA SEMIDESNATADO</v>
          </cell>
          <cell r="AG678">
            <v>1408</v>
          </cell>
          <cell r="AH678">
            <v>1243.734377543522</v>
          </cell>
          <cell r="AI678">
            <v>16.662867996201328</v>
          </cell>
        </row>
        <row r="679">
          <cell r="C679" t="str">
            <v>040120</v>
          </cell>
          <cell r="AE679">
            <v>7903801</v>
          </cell>
          <cell r="AF679" t="str">
            <v>LEITE NAO ESPECIFICADO PASTEURIZADO</v>
          </cell>
          <cell r="AG679">
            <v>1408</v>
          </cell>
          <cell r="AH679">
            <v>1243.734377543522</v>
          </cell>
          <cell r="AI679">
            <v>16.662867996201328</v>
          </cell>
        </row>
        <row r="680">
          <cell r="C680" t="str">
            <v>040311</v>
          </cell>
          <cell r="AE680">
            <v>7903901</v>
          </cell>
          <cell r="AF680" t="str">
            <v>IOGURTE DE QUALQUER SABOR LIGHT</v>
          </cell>
          <cell r="AG680">
            <v>3433.3333333333335</v>
          </cell>
          <cell r="AH680">
            <v>1501.8002936841156</v>
          </cell>
          <cell r="AI680">
            <v>12.766666666666666</v>
          </cell>
        </row>
        <row r="681">
          <cell r="C681" t="str">
            <v>040311</v>
          </cell>
          <cell r="AE681">
            <v>7904001</v>
          </cell>
          <cell r="AF681" t="str">
            <v>IOGURTE DE QUALQUER SABOR DIET</v>
          </cell>
          <cell r="AG681">
            <v>3433.3333333333335</v>
          </cell>
          <cell r="AH681">
            <v>1501.8002936841156</v>
          </cell>
          <cell r="AI681">
            <v>12.766666666666666</v>
          </cell>
        </row>
        <row r="682">
          <cell r="C682">
            <v>151710</v>
          </cell>
          <cell r="AE682">
            <v>7904201</v>
          </cell>
          <cell r="AF682" t="str">
            <v>MARGARINA LIGHT</v>
          </cell>
          <cell r="AG682">
            <v>1570</v>
          </cell>
          <cell r="AH682">
            <v>1324</v>
          </cell>
          <cell r="AI682">
            <v>66</v>
          </cell>
        </row>
        <row r="683">
          <cell r="C683" t="str">
            <v>040611</v>
          </cell>
          <cell r="AE683">
            <v>7905103</v>
          </cell>
          <cell r="AF683" t="str">
            <v>MUSSARELA LIGHT</v>
          </cell>
          <cell r="AG683">
            <v>9225</v>
          </cell>
          <cell r="AH683">
            <v>6989.9759325442037</v>
          </cell>
          <cell r="AI683">
            <v>35.6</v>
          </cell>
        </row>
        <row r="684">
          <cell r="C684" t="str">
            <v>040611</v>
          </cell>
          <cell r="AE684">
            <v>7905104</v>
          </cell>
          <cell r="AF684" t="str">
            <v>QUEIJO MUSSARELA LIGHT</v>
          </cell>
          <cell r="AG684">
            <v>9225</v>
          </cell>
          <cell r="AH684">
            <v>6989.9759325442037</v>
          </cell>
          <cell r="AI684">
            <v>35.6</v>
          </cell>
        </row>
        <row r="685">
          <cell r="C685" t="str">
            <v>040150</v>
          </cell>
          <cell r="AE685">
            <v>7905601</v>
          </cell>
          <cell r="AF685" t="str">
            <v>CREME DE LEITE LIGHT</v>
          </cell>
          <cell r="AG685">
            <v>6272.2906885759003</v>
          </cell>
          <cell r="AH685">
            <v>4954.3609397891696</v>
          </cell>
          <cell r="AI685">
            <v>45.35</v>
          </cell>
        </row>
        <row r="686">
          <cell r="C686" t="str">
            <v>040630</v>
          </cell>
          <cell r="AE686">
            <v>7905901</v>
          </cell>
          <cell r="AF686" t="str">
            <v>QUEIJO PRATO LIGHT</v>
          </cell>
          <cell r="AG686">
            <v>8762.4166666666661</v>
          </cell>
          <cell r="AH686">
            <v>5921.6022838398312</v>
          </cell>
          <cell r="AI686">
            <v>41.388095238095239</v>
          </cell>
        </row>
        <row r="687">
          <cell r="C687" t="str">
            <v>040610</v>
          </cell>
          <cell r="AE687">
            <v>7906001</v>
          </cell>
          <cell r="AF687" t="str">
            <v>QUEIJO DE MINAS LIGHT</v>
          </cell>
          <cell r="AG687">
            <v>8933.7156862745087</v>
          </cell>
          <cell r="AH687">
            <v>4857.1919251176278</v>
          </cell>
          <cell r="AI687">
            <v>54.476190476190482</v>
          </cell>
        </row>
        <row r="688">
          <cell r="C688" t="str">
            <v>040630</v>
          </cell>
          <cell r="AE688">
            <v>7906005</v>
          </cell>
          <cell r="AF688" t="str">
            <v>QUEIJO DE COALHO LIGHT</v>
          </cell>
          <cell r="AG688">
            <v>8762.4166666666661</v>
          </cell>
          <cell r="AH688">
            <v>5921.6022838398312</v>
          </cell>
          <cell r="AI688">
            <v>41.388095238095239</v>
          </cell>
        </row>
        <row r="689">
          <cell r="C689" t="str">
            <v>040612</v>
          </cell>
          <cell r="AE689">
            <v>7906201</v>
          </cell>
          <cell r="AF689" t="str">
            <v>QUEIJO RICOTA LIGHT</v>
          </cell>
          <cell r="AG689">
            <v>4000</v>
          </cell>
          <cell r="AH689">
            <v>2620</v>
          </cell>
          <cell r="AI689">
            <v>13.7</v>
          </cell>
        </row>
        <row r="690">
          <cell r="C690" t="str">
            <v>040630</v>
          </cell>
          <cell r="AE690">
            <v>7906401</v>
          </cell>
          <cell r="AF690" t="str">
            <v>QUEIJO POLENGUINHO LIGHT</v>
          </cell>
          <cell r="AG690">
            <v>8762.4166666666661</v>
          </cell>
          <cell r="AH690">
            <v>5921.6022838398312</v>
          </cell>
          <cell r="AI690">
            <v>41.388095238095239</v>
          </cell>
        </row>
        <row r="691">
          <cell r="C691" t="str">
            <v>040612</v>
          </cell>
          <cell r="AE691">
            <v>7906501</v>
          </cell>
          <cell r="AF691" t="str">
            <v>REQUEIJAO LIGHT</v>
          </cell>
          <cell r="AG691">
            <v>4000</v>
          </cell>
          <cell r="AH691">
            <v>2620</v>
          </cell>
          <cell r="AI691">
            <v>13.7</v>
          </cell>
        </row>
        <row r="692">
          <cell r="C692" t="str">
            <v>040610</v>
          </cell>
          <cell r="AE692">
            <v>7906601</v>
          </cell>
          <cell r="AF692" t="str">
            <v>QUEIJO NAO ESPECIFICADO LIGHT</v>
          </cell>
          <cell r="AG692">
            <v>8933.7156862745087</v>
          </cell>
          <cell r="AH692">
            <v>4857.1919251176278</v>
          </cell>
          <cell r="AI692">
            <v>54.476190476190482</v>
          </cell>
        </row>
        <row r="693">
          <cell r="C693">
            <v>220290</v>
          </cell>
          <cell r="AE693">
            <v>7906702</v>
          </cell>
          <cell r="AF693" t="str">
            <v>LEITE ACHOCOLATADO LIGHT</v>
          </cell>
          <cell r="AG693">
            <v>794.44444444444446</v>
          </cell>
          <cell r="AH693">
            <v>11543.725015272823</v>
          </cell>
          <cell r="AI693">
            <v>57.5</v>
          </cell>
        </row>
        <row r="694">
          <cell r="C694">
            <v>220290</v>
          </cell>
          <cell r="AE694">
            <v>7906710</v>
          </cell>
          <cell r="AF694" t="str">
            <v>BEBIDA ACHOCOLATADA LIGHT</v>
          </cell>
          <cell r="AG694">
            <v>794.44444444444446</v>
          </cell>
          <cell r="AH694">
            <v>11543.725015272823</v>
          </cell>
          <cell r="AI694">
            <v>57.5</v>
          </cell>
        </row>
        <row r="695">
          <cell r="C695">
            <v>220290</v>
          </cell>
          <cell r="AE695">
            <v>7906801</v>
          </cell>
          <cell r="AF695" t="str">
            <v>LEITE COM SABOR DIET</v>
          </cell>
          <cell r="AG695">
            <v>794.44444444444446</v>
          </cell>
          <cell r="AH695">
            <v>11543.725015272823</v>
          </cell>
          <cell r="AI695">
            <v>57.5</v>
          </cell>
        </row>
        <row r="696">
          <cell r="C696">
            <v>220290</v>
          </cell>
          <cell r="AE696">
            <v>7906802</v>
          </cell>
          <cell r="AF696" t="str">
            <v>LEITE ACHOCOLATADO DIET</v>
          </cell>
          <cell r="AG696">
            <v>794.44444444444446</v>
          </cell>
          <cell r="AH696">
            <v>11543.725015272823</v>
          </cell>
          <cell r="AI696">
            <v>57.5</v>
          </cell>
        </row>
        <row r="697">
          <cell r="C697">
            <v>220290</v>
          </cell>
          <cell r="AE697">
            <v>7906901</v>
          </cell>
          <cell r="AF697" t="str">
            <v>LEITE DE SOJA EM PO LIGHT</v>
          </cell>
          <cell r="AG697">
            <v>794.44444444444446</v>
          </cell>
          <cell r="AH697">
            <v>11543.725015272823</v>
          </cell>
          <cell r="AI697">
            <v>57.5</v>
          </cell>
        </row>
        <row r="698">
          <cell r="C698" t="str">
            <v>040510</v>
          </cell>
          <cell r="AE698">
            <v>7907101</v>
          </cell>
          <cell r="AF698" t="str">
            <v>MANTEIGA COM OU SEM SAL LIGHT</v>
          </cell>
          <cell r="AG698">
            <v>9101.3333333333321</v>
          </cell>
          <cell r="AH698">
            <v>4218.3167817482954</v>
          </cell>
          <cell r="AI698">
            <v>115</v>
          </cell>
        </row>
        <row r="699">
          <cell r="C699" t="str">
            <v>040110</v>
          </cell>
          <cell r="AE699">
            <v>7980001</v>
          </cell>
          <cell r="AF699" t="str">
            <v>LEITE SEM LACTOSE</v>
          </cell>
          <cell r="AG699">
            <v>1106</v>
          </cell>
          <cell r="AH699">
            <v>1203.6139137517953</v>
          </cell>
          <cell r="AI699">
            <v>16.662867996201328</v>
          </cell>
        </row>
        <row r="700">
          <cell r="C700" t="str">
            <v>040390</v>
          </cell>
          <cell r="AE700">
            <v>7980101</v>
          </cell>
          <cell r="AF700" t="str">
            <v>KEFIR</v>
          </cell>
          <cell r="AG700">
            <v>2153.7988939364013</v>
          </cell>
          <cell r="AH700">
            <v>1501.8002936841156</v>
          </cell>
          <cell r="AI700">
            <v>12.766666666666666</v>
          </cell>
        </row>
        <row r="701">
          <cell r="C701">
            <v>190120</v>
          </cell>
          <cell r="AE701">
            <v>8000101</v>
          </cell>
          <cell r="AF701" t="str">
            <v>PAO, FRANCÃ‹S, NAO ESPECIFICADO</v>
          </cell>
          <cell r="AG701">
            <v>547.0901639344263</v>
          </cell>
          <cell r="AH701">
            <v>1870.1099089032616</v>
          </cell>
          <cell r="AI701">
            <v>5</v>
          </cell>
        </row>
        <row r="702">
          <cell r="C702">
            <v>190120</v>
          </cell>
          <cell r="AE702">
            <v>8000102</v>
          </cell>
          <cell r="AF702" t="str">
            <v>PAO D'AGUA NAO ESPECIFICADO</v>
          </cell>
          <cell r="AG702">
            <v>547.0901639344263</v>
          </cell>
          <cell r="AH702">
            <v>1870.1099089032616</v>
          </cell>
          <cell r="AI702">
            <v>5</v>
          </cell>
        </row>
        <row r="703">
          <cell r="C703" t="str">
            <v>190590</v>
          </cell>
          <cell r="AE703">
            <v>8000103</v>
          </cell>
          <cell r="AF703" t="str">
            <v>PAO DE HAMBURGUER</v>
          </cell>
          <cell r="AG703">
            <v>1264.5163676621726</v>
          </cell>
          <cell r="AH703">
            <v>1045.2</v>
          </cell>
          <cell r="AI703">
            <v>6.7933333333333339</v>
          </cell>
        </row>
        <row r="704">
          <cell r="C704">
            <v>190120</v>
          </cell>
          <cell r="AE704">
            <v>8000105</v>
          </cell>
          <cell r="AF704" t="str">
            <v>PAO DE SAL</v>
          </cell>
          <cell r="AG704">
            <v>547.0901639344263</v>
          </cell>
          <cell r="AH704">
            <v>1870.1099089032616</v>
          </cell>
          <cell r="AI704">
            <v>5</v>
          </cell>
        </row>
        <row r="705">
          <cell r="C705">
            <v>190120</v>
          </cell>
          <cell r="AE705">
            <v>8000106</v>
          </cell>
          <cell r="AF705" t="str">
            <v>PAO DE TRIGO</v>
          </cell>
          <cell r="AG705">
            <v>547.0901639344263</v>
          </cell>
          <cell r="AH705">
            <v>1870.1099089032616</v>
          </cell>
          <cell r="AI705">
            <v>5</v>
          </cell>
        </row>
        <row r="706">
          <cell r="C706">
            <v>190120</v>
          </cell>
          <cell r="AE706">
            <v>8000107</v>
          </cell>
          <cell r="AF706" t="str">
            <v>PAO CACETINHO, NAO ESPECIFICADO</v>
          </cell>
          <cell r="AG706">
            <v>547.0901639344263</v>
          </cell>
          <cell r="AH706">
            <v>1870.1099089032616</v>
          </cell>
          <cell r="AI706">
            <v>5</v>
          </cell>
        </row>
        <row r="707">
          <cell r="C707">
            <v>190120</v>
          </cell>
          <cell r="AE707">
            <v>8000109</v>
          </cell>
          <cell r="AF707" t="str">
            <v>PAO CARECA</v>
          </cell>
          <cell r="AG707">
            <v>547.0901639344263</v>
          </cell>
          <cell r="AH707">
            <v>1870.1099089032616</v>
          </cell>
          <cell r="AI707">
            <v>5</v>
          </cell>
        </row>
        <row r="708">
          <cell r="C708">
            <v>190120</v>
          </cell>
          <cell r="AE708">
            <v>8000145</v>
          </cell>
          <cell r="AF708" t="str">
            <v>PAO CIABATA</v>
          </cell>
          <cell r="AG708">
            <v>547.0901639344263</v>
          </cell>
          <cell r="AH708">
            <v>1870.1099089032616</v>
          </cell>
          <cell r="AI708">
            <v>5</v>
          </cell>
        </row>
        <row r="709">
          <cell r="C709">
            <v>190120</v>
          </cell>
          <cell r="AE709">
            <v>8000157</v>
          </cell>
          <cell r="AF709" t="str">
            <v>PAO, BRANCO NAO ESPECIFICADO</v>
          </cell>
          <cell r="AG709">
            <v>547.0901639344263</v>
          </cell>
          <cell r="AH709">
            <v>1870.1099089032616</v>
          </cell>
          <cell r="AI709">
            <v>5</v>
          </cell>
        </row>
        <row r="710">
          <cell r="C710">
            <v>190120</v>
          </cell>
          <cell r="AE710">
            <v>8000158</v>
          </cell>
          <cell r="AF710" t="str">
            <v>PAOZINHO</v>
          </cell>
          <cell r="AG710">
            <v>547.0901639344263</v>
          </cell>
          <cell r="AH710">
            <v>1870.1099089032616</v>
          </cell>
          <cell r="AI710">
            <v>5</v>
          </cell>
        </row>
        <row r="711">
          <cell r="C711" t="str">
            <v>190590</v>
          </cell>
          <cell r="AE711">
            <v>8000201</v>
          </cell>
          <cell r="AF711" t="str">
            <v>PAO DOCE</v>
          </cell>
          <cell r="AG711">
            <v>1264.5163676621726</v>
          </cell>
          <cell r="AH711">
            <v>1045.2</v>
          </cell>
          <cell r="AI711">
            <v>6.7933333333333339</v>
          </cell>
        </row>
        <row r="712">
          <cell r="C712">
            <v>190520</v>
          </cell>
          <cell r="AE712">
            <v>8000203</v>
          </cell>
          <cell r="AF712" t="str">
            <v>CHINEQUE</v>
          </cell>
          <cell r="AG712">
            <v>2315.1666666666665</v>
          </cell>
          <cell r="AH712">
            <v>1956.5333333333333</v>
          </cell>
          <cell r="AI712">
            <v>12.832539682539684</v>
          </cell>
        </row>
        <row r="713">
          <cell r="C713" t="str">
            <v>190590</v>
          </cell>
          <cell r="AE713">
            <v>8000208</v>
          </cell>
          <cell r="AF713" t="str">
            <v>PAO DOCE, COM RECHEIO</v>
          </cell>
          <cell r="AG713">
            <v>1264.5163676621726</v>
          </cell>
          <cell r="AH713">
            <v>1045.2</v>
          </cell>
          <cell r="AI713">
            <v>6.7933333333333339</v>
          </cell>
        </row>
        <row r="714">
          <cell r="C714" t="str">
            <v>190590</v>
          </cell>
          <cell r="AE714">
            <v>8000213</v>
          </cell>
          <cell r="AF714" t="str">
            <v>PAO DE LEITE</v>
          </cell>
          <cell r="AG714">
            <v>1264.5163676621726</v>
          </cell>
          <cell r="AH714">
            <v>1045.2</v>
          </cell>
          <cell r="AI714">
            <v>6.7933333333333339</v>
          </cell>
        </row>
        <row r="715">
          <cell r="C715" t="str">
            <v>190590</v>
          </cell>
          <cell r="AE715">
            <v>8000223</v>
          </cell>
          <cell r="AF715" t="str">
            <v>PAO DE COCO</v>
          </cell>
          <cell r="AG715">
            <v>1264.5163676621726</v>
          </cell>
          <cell r="AH715">
            <v>1045.2</v>
          </cell>
          <cell r="AI715">
            <v>6.7933333333333339</v>
          </cell>
        </row>
        <row r="716">
          <cell r="C716">
            <v>190520</v>
          </cell>
          <cell r="AE716">
            <v>8000229</v>
          </cell>
          <cell r="AF716" t="str">
            <v>PAO DE MEL</v>
          </cell>
          <cell r="AG716">
            <v>2315.1666666666665</v>
          </cell>
          <cell r="AH716">
            <v>1956.5333333333333</v>
          </cell>
          <cell r="AI716">
            <v>12.832539682539684</v>
          </cell>
        </row>
        <row r="717">
          <cell r="C717">
            <v>190520</v>
          </cell>
          <cell r="AE717">
            <v>8000234</v>
          </cell>
          <cell r="AF717" t="str">
            <v>PANETONE</v>
          </cell>
          <cell r="AG717">
            <v>2315.1666666666665</v>
          </cell>
          <cell r="AH717">
            <v>1956.5333333333333</v>
          </cell>
          <cell r="AI717">
            <v>12.832539682539684</v>
          </cell>
        </row>
        <row r="718">
          <cell r="C718" t="str">
            <v>190590</v>
          </cell>
          <cell r="AE718">
            <v>8000237</v>
          </cell>
          <cell r="AF718" t="str">
            <v>BISNAGUINHA</v>
          </cell>
          <cell r="AG718">
            <v>930</v>
          </cell>
          <cell r="AH718">
            <v>1045.2</v>
          </cell>
          <cell r="AI718">
            <v>6.7933333333333339</v>
          </cell>
        </row>
        <row r="719">
          <cell r="C719" t="str">
            <v>190590</v>
          </cell>
          <cell r="AE719">
            <v>8000240</v>
          </cell>
          <cell r="AF719" t="str">
            <v>CROISSANT</v>
          </cell>
          <cell r="AG719">
            <v>1264.5163676621726</v>
          </cell>
          <cell r="AH719">
            <v>1045.2</v>
          </cell>
          <cell r="AI719">
            <v>6.7933333333333339</v>
          </cell>
        </row>
        <row r="720">
          <cell r="C720" t="str">
            <v>190590</v>
          </cell>
          <cell r="AE720">
            <v>8000245</v>
          </cell>
          <cell r="AF720" t="str">
            <v>PAO AUSTRALIANO</v>
          </cell>
          <cell r="AG720">
            <v>1264.5163676621726</v>
          </cell>
          <cell r="AH720">
            <v>1045.2</v>
          </cell>
          <cell r="AI720">
            <v>6.7933333333333339</v>
          </cell>
        </row>
        <row r="721">
          <cell r="C721" t="str">
            <v>190590</v>
          </cell>
          <cell r="AE721">
            <v>8000249</v>
          </cell>
          <cell r="AF721" t="str">
            <v>PAO DOCE, SEM RECHEIO</v>
          </cell>
          <cell r="AG721">
            <v>1264.5163676621726</v>
          </cell>
          <cell r="AH721">
            <v>1045.2</v>
          </cell>
          <cell r="AI721">
            <v>6.7933333333333339</v>
          </cell>
        </row>
        <row r="722">
          <cell r="C722" t="str">
            <v>190590</v>
          </cell>
          <cell r="AE722">
            <v>8000501</v>
          </cell>
          <cell r="AF722" t="str">
            <v>PAO DE FORMA INDUSTRIALIZADO DE QUALQUER MARCA</v>
          </cell>
          <cell r="AG722">
            <v>1076.4258060418408</v>
          </cell>
          <cell r="AH722">
            <v>876</v>
          </cell>
          <cell r="AI722">
            <v>5.4636363636363647</v>
          </cell>
        </row>
        <row r="723">
          <cell r="C723">
            <v>190120</v>
          </cell>
          <cell r="AE723">
            <v>8000801</v>
          </cell>
          <cell r="AF723" t="str">
            <v>PAO DE QUEIJO</v>
          </cell>
          <cell r="AG723">
            <v>547.0901639344263</v>
          </cell>
          <cell r="AH723">
            <v>1870.1099089032616</v>
          </cell>
          <cell r="AI723">
            <v>5</v>
          </cell>
        </row>
        <row r="724">
          <cell r="C724" t="str">
            <v>190590</v>
          </cell>
          <cell r="AE724">
            <v>8001101</v>
          </cell>
          <cell r="AF724" t="str">
            <v>PAO DE MILHO</v>
          </cell>
          <cell r="AG724">
            <v>1264.5163676621726</v>
          </cell>
          <cell r="AH724">
            <v>1045.2</v>
          </cell>
          <cell r="AI724">
            <v>6.7933333333333339</v>
          </cell>
        </row>
        <row r="725">
          <cell r="C725" t="str">
            <v>190590</v>
          </cell>
          <cell r="AE725">
            <v>8001301</v>
          </cell>
          <cell r="AF725" t="str">
            <v>PAO DE CENTEIO</v>
          </cell>
          <cell r="AG725">
            <v>1264.5163676621726</v>
          </cell>
          <cell r="AH725">
            <v>1045.2</v>
          </cell>
          <cell r="AI725">
            <v>6.7933333333333339</v>
          </cell>
        </row>
        <row r="726">
          <cell r="C726" t="str">
            <v>190590</v>
          </cell>
          <cell r="AE726">
            <v>8001302</v>
          </cell>
          <cell r="AF726" t="str">
            <v>PAO PRETO NAO ESPECIFICADO</v>
          </cell>
          <cell r="AG726">
            <v>1264.5163676621726</v>
          </cell>
          <cell r="AH726">
            <v>1045.2</v>
          </cell>
          <cell r="AI726">
            <v>6.7933333333333339</v>
          </cell>
        </row>
        <row r="727">
          <cell r="C727" t="str">
            <v>190590</v>
          </cell>
          <cell r="AE727">
            <v>8001401</v>
          </cell>
          <cell r="AF727" t="str">
            <v>PAO INTEGRAL</v>
          </cell>
          <cell r="AG727">
            <v>1264.5163676621726</v>
          </cell>
          <cell r="AH727">
            <v>1045.2</v>
          </cell>
          <cell r="AI727">
            <v>6.7933333333333339</v>
          </cell>
        </row>
        <row r="728">
          <cell r="C728" t="str">
            <v>190590</v>
          </cell>
          <cell r="AE728">
            <v>8001407</v>
          </cell>
          <cell r="AF728" t="str">
            <v>PAO ARABE INTEGRAL</v>
          </cell>
          <cell r="AG728">
            <v>1264.5163676621726</v>
          </cell>
          <cell r="AH728">
            <v>1045.2</v>
          </cell>
          <cell r="AI728">
            <v>6.7933333333333339</v>
          </cell>
        </row>
        <row r="729">
          <cell r="C729" t="str">
            <v>190590</v>
          </cell>
          <cell r="AE729">
            <v>8001408</v>
          </cell>
          <cell r="AF729" t="str">
            <v>PAO CACETINHO INTEGRAL</v>
          </cell>
          <cell r="AG729">
            <v>1264.5163676621726</v>
          </cell>
          <cell r="AH729">
            <v>1045.2</v>
          </cell>
          <cell r="AI729">
            <v>6.7933333333333339</v>
          </cell>
        </row>
        <row r="730">
          <cell r="C730" t="str">
            <v>190590</v>
          </cell>
          <cell r="AE730">
            <v>8001409</v>
          </cell>
          <cell r="AF730" t="str">
            <v>PAO CARECA INTEGRAL</v>
          </cell>
          <cell r="AG730">
            <v>1264.5163676621726</v>
          </cell>
          <cell r="AH730">
            <v>1045.2</v>
          </cell>
          <cell r="AI730">
            <v>6.7933333333333339</v>
          </cell>
        </row>
        <row r="731">
          <cell r="C731" t="str">
            <v>190590</v>
          </cell>
          <cell r="AE731">
            <v>8001410</v>
          </cell>
          <cell r="AF731" t="str">
            <v>PAO CENTEIO INTEGRAL</v>
          </cell>
          <cell r="AG731">
            <v>1264.5163676621726</v>
          </cell>
          <cell r="AH731">
            <v>1045.2</v>
          </cell>
          <cell r="AI731">
            <v>6.7933333333333339</v>
          </cell>
        </row>
        <row r="732">
          <cell r="C732" t="str">
            <v>190590</v>
          </cell>
          <cell r="AE732">
            <v>8001411</v>
          </cell>
          <cell r="AF732" t="str">
            <v>PAO DE SAL INTEGRAL</v>
          </cell>
          <cell r="AG732">
            <v>1264.5163676621726</v>
          </cell>
          <cell r="AH732">
            <v>1045.2</v>
          </cell>
          <cell r="AI732">
            <v>6.7933333333333339</v>
          </cell>
        </row>
        <row r="733">
          <cell r="C733" t="str">
            <v>190590</v>
          </cell>
          <cell r="AE733">
            <v>8001412</v>
          </cell>
          <cell r="AF733" t="str">
            <v>PAO DE TRIGO INTEGRAL</v>
          </cell>
          <cell r="AG733">
            <v>1264.5163676621726</v>
          </cell>
          <cell r="AH733">
            <v>1045.2</v>
          </cell>
          <cell r="AI733">
            <v>6.7933333333333339</v>
          </cell>
        </row>
        <row r="734">
          <cell r="C734">
            <v>190120</v>
          </cell>
          <cell r="AE734">
            <v>8001413</v>
          </cell>
          <cell r="AF734" t="str">
            <v>PAO FRANCÃ‹S INTEGRAL</v>
          </cell>
          <cell r="AG734">
            <v>547.0901639344263</v>
          </cell>
          <cell r="AH734">
            <v>1870.1099089032616</v>
          </cell>
          <cell r="AI734">
            <v>5</v>
          </cell>
        </row>
        <row r="735">
          <cell r="C735">
            <v>190120</v>
          </cell>
          <cell r="AE735">
            <v>8001414</v>
          </cell>
          <cell r="AF735" t="str">
            <v>PAOZINHO INTEGRAL</v>
          </cell>
          <cell r="AG735">
            <v>547.0901639344263</v>
          </cell>
          <cell r="AH735">
            <v>1870.1099089032616</v>
          </cell>
          <cell r="AI735">
            <v>5</v>
          </cell>
        </row>
        <row r="736">
          <cell r="C736" t="str">
            <v>190590</v>
          </cell>
          <cell r="AE736">
            <v>8001501</v>
          </cell>
          <cell r="AF736" t="str">
            <v>PAO NAO ESPECIFICADO</v>
          </cell>
          <cell r="AG736">
            <v>1264.5163676621726</v>
          </cell>
          <cell r="AH736">
            <v>1045.2</v>
          </cell>
          <cell r="AI736">
            <v>6.7933333333333339</v>
          </cell>
        </row>
        <row r="737">
          <cell r="C737">
            <v>190540</v>
          </cell>
          <cell r="AE737">
            <v>8001901</v>
          </cell>
          <cell r="AF737" t="str">
            <v>TORRADA DE QUALQUER PAO</v>
          </cell>
          <cell r="AG737">
            <v>1544.5</v>
          </cell>
          <cell r="AH737">
            <v>1324.25</v>
          </cell>
          <cell r="AI737">
            <v>9.8166666666666647</v>
          </cell>
        </row>
        <row r="738">
          <cell r="C738">
            <v>190520</v>
          </cell>
          <cell r="AE738">
            <v>8002001</v>
          </cell>
          <cell r="AF738" t="str">
            <v>ROSCA DOCE</v>
          </cell>
          <cell r="AG738">
            <v>2315.1666666666665</v>
          </cell>
          <cell r="AH738">
            <v>1956.5333333333333</v>
          </cell>
          <cell r="AI738">
            <v>12.832539682539684</v>
          </cell>
        </row>
        <row r="739">
          <cell r="C739" t="str">
            <v>190530</v>
          </cell>
          <cell r="AE739">
            <v>8002002</v>
          </cell>
          <cell r="AF739" t="str">
            <v>ROSQUINHA DOCE</v>
          </cell>
          <cell r="AG739">
            <v>1942.3333333333333</v>
          </cell>
          <cell r="AH739">
            <v>2729.6666666666665</v>
          </cell>
          <cell r="AI739">
            <v>11.1</v>
          </cell>
        </row>
        <row r="740">
          <cell r="C740" t="str">
            <v>190530</v>
          </cell>
          <cell r="AE740">
            <v>8002101</v>
          </cell>
          <cell r="AF740" t="str">
            <v>ROSCA SALGADA</v>
          </cell>
          <cell r="AG740">
            <v>1642.0833333333333</v>
          </cell>
          <cell r="AH740">
            <v>2233.0833333333335</v>
          </cell>
          <cell r="AI740">
            <v>11.427272727272724</v>
          </cell>
        </row>
        <row r="741">
          <cell r="C741" t="str">
            <v>190590</v>
          </cell>
          <cell r="AE741">
            <v>8002106</v>
          </cell>
          <cell r="AF741" t="str">
            <v>ROSQUINHA SALGADA</v>
          </cell>
          <cell r="AG741">
            <v>1264.5163676621726</v>
          </cell>
          <cell r="AH741">
            <v>1045.2</v>
          </cell>
          <cell r="AI741">
            <v>6.7933333333333339</v>
          </cell>
        </row>
        <row r="742">
          <cell r="C742" t="str">
            <v>190590</v>
          </cell>
          <cell r="AE742">
            <v>8002201</v>
          </cell>
          <cell r="AF742" t="str">
            <v>BISCOITO SALGADO</v>
          </cell>
          <cell r="AG742">
            <v>1551.75</v>
          </cell>
          <cell r="AH742">
            <v>1510.5</v>
          </cell>
          <cell r="AI742">
            <v>10.45</v>
          </cell>
        </row>
        <row r="743">
          <cell r="C743">
            <v>200520</v>
          </cell>
          <cell r="AE743">
            <v>8002205</v>
          </cell>
          <cell r="AF743" t="str">
            <v>PRESUNTINHO BISCOITO</v>
          </cell>
          <cell r="AG743">
            <v>2200</v>
          </cell>
          <cell r="AH743">
            <v>2256.485722150212</v>
          </cell>
          <cell r="AI743">
            <v>5</v>
          </cell>
        </row>
        <row r="744">
          <cell r="C744" t="str">
            <v>190530</v>
          </cell>
          <cell r="AE744">
            <v>8002212</v>
          </cell>
          <cell r="AF744" t="str">
            <v>BISCOITO DE POLVILHO</v>
          </cell>
          <cell r="AG744">
            <v>1642.0833333333333</v>
          </cell>
          <cell r="AH744">
            <v>2233.0833333333335</v>
          </cell>
          <cell r="AI744">
            <v>11.427272727272724</v>
          </cell>
        </row>
        <row r="745">
          <cell r="C745" t="str">
            <v>190590</v>
          </cell>
          <cell r="AE745">
            <v>8002217</v>
          </cell>
          <cell r="AF745" t="str">
            <v>GRESSINI / GRISSINI (PALITO DE PAO)</v>
          </cell>
          <cell r="AG745">
            <v>1264.5163676621726</v>
          </cell>
          <cell r="AH745">
            <v>1045.2</v>
          </cell>
          <cell r="AI745">
            <v>6.7933333333333339</v>
          </cell>
        </row>
        <row r="746">
          <cell r="C746">
            <v>190530</v>
          </cell>
          <cell r="AE746">
            <v>8002225</v>
          </cell>
          <cell r="AF746" t="str">
            <v>BOLACHA SALGADA</v>
          </cell>
          <cell r="AG746">
            <v>1448.5</v>
          </cell>
          <cell r="AH746">
            <v>975</v>
          </cell>
          <cell r="AI746">
            <v>9.6499999999999986</v>
          </cell>
        </row>
        <row r="747">
          <cell r="C747">
            <v>190410</v>
          </cell>
          <cell r="AE747">
            <v>8002227</v>
          </cell>
          <cell r="AF747" t="str">
            <v>CHIPS (SALGADINHOS)</v>
          </cell>
          <cell r="AG747">
            <v>3900</v>
          </cell>
          <cell r="AH747">
            <v>1772</v>
          </cell>
          <cell r="AI747">
            <v>10.334717607973422</v>
          </cell>
        </row>
        <row r="748">
          <cell r="C748">
            <v>200520</v>
          </cell>
          <cell r="AE748">
            <v>8002230</v>
          </cell>
          <cell r="AF748" t="str">
            <v>BACONZITOS</v>
          </cell>
          <cell r="AG748">
            <v>2200</v>
          </cell>
          <cell r="AH748">
            <v>2256.485722150212</v>
          </cell>
          <cell r="AI748">
            <v>5</v>
          </cell>
        </row>
        <row r="749">
          <cell r="C749">
            <v>190530</v>
          </cell>
          <cell r="AE749">
            <v>8002236</v>
          </cell>
          <cell r="AF749" t="str">
            <v>BISCOITO SALGADO INTEGRAL</v>
          </cell>
          <cell r="AG749">
            <v>1001.125</v>
          </cell>
          <cell r="AH749">
            <v>624.25</v>
          </cell>
          <cell r="AI749">
            <v>8.5375000000000014</v>
          </cell>
        </row>
        <row r="750">
          <cell r="C750">
            <v>190410</v>
          </cell>
          <cell r="AE750">
            <v>8002246</v>
          </cell>
          <cell r="AF750" t="str">
            <v>SALGADINHO DE MILHO (TIPO DORITOS, FANDAGOS, CHEETOS)</v>
          </cell>
          <cell r="AG750">
            <v>3900</v>
          </cell>
          <cell r="AH750">
            <v>1772</v>
          </cell>
          <cell r="AI750">
            <v>10.334717607973422</v>
          </cell>
        </row>
        <row r="751">
          <cell r="C751">
            <v>190540</v>
          </cell>
          <cell r="AE751">
            <v>8002252</v>
          </cell>
          <cell r="AF751" t="str">
            <v>TORRADA CENTEIO</v>
          </cell>
          <cell r="AG751">
            <v>1544.5</v>
          </cell>
          <cell r="AH751">
            <v>1324.25</v>
          </cell>
          <cell r="AI751">
            <v>9.8166666666666647</v>
          </cell>
        </row>
        <row r="752">
          <cell r="C752">
            <v>190540</v>
          </cell>
          <cell r="AE752">
            <v>8002253</v>
          </cell>
          <cell r="AF752" t="str">
            <v>TORRADA DOCE</v>
          </cell>
          <cell r="AG752">
            <v>1544.5</v>
          </cell>
          <cell r="AH752">
            <v>1324.25</v>
          </cell>
          <cell r="AI752">
            <v>9.8166666666666647</v>
          </cell>
        </row>
        <row r="753">
          <cell r="C753">
            <v>190540</v>
          </cell>
          <cell r="AE753">
            <v>8002254</v>
          </cell>
          <cell r="AF753" t="str">
            <v>TORRADA INTEGRAL</v>
          </cell>
          <cell r="AG753">
            <v>1544.5</v>
          </cell>
          <cell r="AH753">
            <v>1324.25</v>
          </cell>
          <cell r="AI753">
            <v>9.8166666666666647</v>
          </cell>
        </row>
        <row r="754">
          <cell r="C754">
            <v>190410</v>
          </cell>
          <cell r="AE754">
            <v>8002255</v>
          </cell>
          <cell r="AF754" t="str">
            <v>SALGADINHO BATATA CHIPS (TIPO RUFFLES)</v>
          </cell>
          <cell r="AG754">
            <v>3900</v>
          </cell>
          <cell r="AH754">
            <v>1772</v>
          </cell>
          <cell r="AI754">
            <v>10.334717607973422</v>
          </cell>
        </row>
        <row r="755">
          <cell r="C755">
            <v>190410</v>
          </cell>
          <cell r="AE755">
            <v>8002256</v>
          </cell>
          <cell r="AF755" t="str">
            <v>SALGADINHO TIPO TORCIDA</v>
          </cell>
          <cell r="AG755">
            <v>3900</v>
          </cell>
          <cell r="AH755">
            <v>1772</v>
          </cell>
          <cell r="AI755">
            <v>10.334717607973422</v>
          </cell>
        </row>
        <row r="756">
          <cell r="C756" t="str">
            <v>190530</v>
          </cell>
          <cell r="AE756">
            <v>8002301</v>
          </cell>
          <cell r="AF756" t="str">
            <v>BISCOITO DOCE</v>
          </cell>
          <cell r="AG756">
            <v>1690.75</v>
          </cell>
          <cell r="AH756">
            <v>3051</v>
          </cell>
          <cell r="AI756">
            <v>12.850000000000001</v>
          </cell>
        </row>
        <row r="757">
          <cell r="C757" t="str">
            <v>190530</v>
          </cell>
          <cell r="AE757">
            <v>8002302</v>
          </cell>
          <cell r="AF757" t="str">
            <v>CAVACO CHINES</v>
          </cell>
          <cell r="AG757">
            <v>1642.0833333333333</v>
          </cell>
          <cell r="AH757">
            <v>2233.0833333333335</v>
          </cell>
          <cell r="AI757">
            <v>11.427272727272724</v>
          </cell>
        </row>
        <row r="758">
          <cell r="C758" t="str">
            <v>190530</v>
          </cell>
          <cell r="AE758">
            <v>8002305</v>
          </cell>
          <cell r="AF758" t="str">
            <v>SEQUILHO</v>
          </cell>
          <cell r="AG758">
            <v>1642.0833333333333</v>
          </cell>
          <cell r="AH758">
            <v>2233.0833333333335</v>
          </cell>
          <cell r="AI758">
            <v>11.427272727272724</v>
          </cell>
        </row>
        <row r="759">
          <cell r="C759" t="str">
            <v>190530</v>
          </cell>
          <cell r="AE759">
            <v>8002306</v>
          </cell>
          <cell r="AF759" t="str">
            <v>TARECO</v>
          </cell>
          <cell r="AG759">
            <v>1642.0833333333333</v>
          </cell>
          <cell r="AH759">
            <v>2233.0833333333335</v>
          </cell>
          <cell r="AI759">
            <v>11.427272727272724</v>
          </cell>
        </row>
        <row r="760">
          <cell r="C760">
            <v>190530</v>
          </cell>
          <cell r="AE760">
            <v>8002309</v>
          </cell>
          <cell r="AF760" t="str">
            <v>SOLDA</v>
          </cell>
          <cell r="AG760">
            <v>1196</v>
          </cell>
          <cell r="AH760">
            <v>694.4</v>
          </cell>
          <cell r="AI760">
            <v>9.5499999999999989</v>
          </cell>
        </row>
        <row r="761">
          <cell r="C761" t="str">
            <v>190530</v>
          </cell>
          <cell r="AE761">
            <v>8002315</v>
          </cell>
          <cell r="AF761" t="str">
            <v>BREVIDADE</v>
          </cell>
          <cell r="AG761">
            <v>1642.0833333333333</v>
          </cell>
          <cell r="AH761">
            <v>2233.0833333333335</v>
          </cell>
          <cell r="AI761">
            <v>11.427272727272724</v>
          </cell>
        </row>
        <row r="762">
          <cell r="C762" t="str">
            <v>190530</v>
          </cell>
          <cell r="AE762">
            <v>8002334</v>
          </cell>
          <cell r="AF762" t="str">
            <v>BOLACHA DOCE</v>
          </cell>
          <cell r="AG762">
            <v>1465.2142857142858</v>
          </cell>
          <cell r="AH762">
            <v>1682.3571428571429</v>
          </cell>
          <cell r="AI762">
            <v>10.283333333333333</v>
          </cell>
        </row>
        <row r="763">
          <cell r="C763" t="str">
            <v>190530</v>
          </cell>
          <cell r="AE763">
            <v>8002335</v>
          </cell>
          <cell r="AF763" t="str">
            <v>MARIA MALUCA (BOLACHA DOCE)</v>
          </cell>
          <cell r="AG763">
            <v>1642.0833333333333</v>
          </cell>
          <cell r="AH763">
            <v>2233.0833333333335</v>
          </cell>
          <cell r="AI763">
            <v>11.427272727272724</v>
          </cell>
        </row>
        <row r="764">
          <cell r="C764">
            <v>190520</v>
          </cell>
          <cell r="AE764">
            <v>8002502</v>
          </cell>
          <cell r="AF764" t="str">
            <v>ROCAMBOLE</v>
          </cell>
          <cell r="AG764">
            <v>2059.6666666666665</v>
          </cell>
          <cell r="AH764">
            <v>2032.6666666666667</v>
          </cell>
          <cell r="AI764">
            <v>13.64642857142857</v>
          </cell>
        </row>
        <row r="765">
          <cell r="C765">
            <v>190520</v>
          </cell>
          <cell r="AE765">
            <v>8002508</v>
          </cell>
          <cell r="AF765" t="str">
            <v>ROCAMBOLE DOCE</v>
          </cell>
          <cell r="AG765">
            <v>2315.1666666666665</v>
          </cell>
          <cell r="AH765">
            <v>1956.5333333333333</v>
          </cell>
          <cell r="AI765">
            <v>12.832539682539684</v>
          </cell>
        </row>
        <row r="766">
          <cell r="C766">
            <v>190520</v>
          </cell>
          <cell r="AE766">
            <v>8002605</v>
          </cell>
          <cell r="AF766" t="str">
            <v>ANGUSOR DE MILHO</v>
          </cell>
          <cell r="AG766">
            <v>2315.1666666666665</v>
          </cell>
          <cell r="AH766">
            <v>1956.5333333333333</v>
          </cell>
          <cell r="AI766">
            <v>12.832539682539684</v>
          </cell>
        </row>
        <row r="767">
          <cell r="C767">
            <v>190520</v>
          </cell>
          <cell r="AE767">
            <v>8002609</v>
          </cell>
          <cell r="AF767" t="str">
            <v>GRUSTOLI (BOLINHO DOCE)</v>
          </cell>
          <cell r="AG767">
            <v>2315.1666666666665</v>
          </cell>
          <cell r="AH767">
            <v>1956.5333333333333</v>
          </cell>
          <cell r="AI767">
            <v>12.832539682539684</v>
          </cell>
        </row>
        <row r="768">
          <cell r="C768">
            <v>190520</v>
          </cell>
          <cell r="AE768">
            <v>8003501</v>
          </cell>
          <cell r="AF768" t="str">
            <v>TORTAS DOCES DE QUALQUER SABOR</v>
          </cell>
          <cell r="AG768">
            <v>3000</v>
          </cell>
          <cell r="AH768">
            <v>1956.5333333333333</v>
          </cell>
          <cell r="AI768">
            <v>12.832539682539684</v>
          </cell>
        </row>
        <row r="769">
          <cell r="C769">
            <v>190520</v>
          </cell>
          <cell r="AE769">
            <v>8003701</v>
          </cell>
          <cell r="AF769" t="str">
            <v>SONHO</v>
          </cell>
          <cell r="AG769">
            <v>2315.1666666666665</v>
          </cell>
          <cell r="AH769">
            <v>1956.5333333333333</v>
          </cell>
          <cell r="AI769">
            <v>12.832539682539684</v>
          </cell>
        </row>
        <row r="770">
          <cell r="C770" t="str">
            <v>190590</v>
          </cell>
          <cell r="AE770">
            <v>8003702</v>
          </cell>
          <cell r="AF770" t="str">
            <v>FILHOS (BOLINHO DE FARINHA DE TRIGO E OVOS)</v>
          </cell>
          <cell r="AG770">
            <v>1264.5163676621726</v>
          </cell>
          <cell r="AH770">
            <v>1045.2</v>
          </cell>
          <cell r="AI770">
            <v>6.7933333333333339</v>
          </cell>
        </row>
        <row r="771">
          <cell r="C771">
            <v>190520</v>
          </cell>
          <cell r="AE771">
            <v>8003902</v>
          </cell>
          <cell r="AF771" t="str">
            <v>BRIOCHE</v>
          </cell>
          <cell r="AG771">
            <v>1643.6666666666667</v>
          </cell>
          <cell r="AH771">
            <v>1917.3333333333333</v>
          </cell>
          <cell r="AI771">
            <v>10.1</v>
          </cell>
        </row>
        <row r="772">
          <cell r="C772" t="str">
            <v>190590</v>
          </cell>
          <cell r="AE772">
            <v>8004403</v>
          </cell>
          <cell r="AF772" t="str">
            <v>PAO DE ALHO</v>
          </cell>
          <cell r="AG772">
            <v>1264.5163676621726</v>
          </cell>
          <cell r="AH772">
            <v>1045.2</v>
          </cell>
          <cell r="AI772">
            <v>6.7933333333333339</v>
          </cell>
        </row>
        <row r="773">
          <cell r="C773">
            <v>190520</v>
          </cell>
          <cell r="AE773">
            <v>8004701</v>
          </cell>
          <cell r="AF773" t="str">
            <v>BROA</v>
          </cell>
          <cell r="AG773">
            <v>2315.1666666666665</v>
          </cell>
          <cell r="AH773">
            <v>1956.5333333333333</v>
          </cell>
          <cell r="AI773">
            <v>12.832539682539684</v>
          </cell>
        </row>
        <row r="774">
          <cell r="C774" t="str">
            <v>190530</v>
          </cell>
          <cell r="AE774">
            <v>8004801</v>
          </cell>
          <cell r="AF774" t="str">
            <v>BISCOITO RECHEADO</v>
          </cell>
          <cell r="AG774">
            <v>1817</v>
          </cell>
          <cell r="AH774">
            <v>1720</v>
          </cell>
          <cell r="AI774">
            <v>10.7</v>
          </cell>
        </row>
        <row r="775">
          <cell r="C775" t="str">
            <v>190530</v>
          </cell>
          <cell r="AE775">
            <v>8004807</v>
          </cell>
          <cell r="AF775" t="str">
            <v>WAFFER (BISCOITO)</v>
          </cell>
          <cell r="AG775">
            <v>1642.0833333333333</v>
          </cell>
          <cell r="AH775">
            <v>2233.0833333333335</v>
          </cell>
          <cell r="AI775">
            <v>11.427272727272724</v>
          </cell>
        </row>
        <row r="776">
          <cell r="C776" t="str">
            <v>190530</v>
          </cell>
          <cell r="AE776">
            <v>8004809</v>
          </cell>
          <cell r="AF776" t="str">
            <v>ALFAJORES (BISCOITO)</v>
          </cell>
          <cell r="AG776">
            <v>1642.0833333333333</v>
          </cell>
          <cell r="AH776">
            <v>2233.0833333333335</v>
          </cell>
          <cell r="AI776">
            <v>11.427272727272724</v>
          </cell>
        </row>
        <row r="777">
          <cell r="C777" t="str">
            <v>190530</v>
          </cell>
          <cell r="AE777">
            <v>8004810</v>
          </cell>
          <cell r="AF777" t="str">
            <v>BOLACHA RECHEADA</v>
          </cell>
          <cell r="AG777">
            <v>1547</v>
          </cell>
          <cell r="AH777">
            <v>2462</v>
          </cell>
          <cell r="AI777">
            <v>11.5</v>
          </cell>
        </row>
        <row r="778">
          <cell r="C778">
            <v>190520</v>
          </cell>
          <cell r="AE778">
            <v>8004813</v>
          </cell>
          <cell r="AF778" t="str">
            <v>ROSCA RECHEADA</v>
          </cell>
          <cell r="AG778">
            <v>2379.3333333333335</v>
          </cell>
          <cell r="AH778">
            <v>1896.6666666666667</v>
          </cell>
          <cell r="AI778">
            <v>13.066666666666665</v>
          </cell>
        </row>
        <row r="779">
          <cell r="C779" t="str">
            <v>190530</v>
          </cell>
          <cell r="AE779">
            <v>8004814</v>
          </cell>
          <cell r="AF779" t="str">
            <v>ROSQUINHA RECHEADA DE QUALQUER SABOR</v>
          </cell>
          <cell r="AG779">
            <v>1642.0833333333333</v>
          </cell>
          <cell r="AH779">
            <v>2233.0833333333335</v>
          </cell>
          <cell r="AI779">
            <v>11.427272727272724</v>
          </cell>
        </row>
        <row r="780">
          <cell r="C780">
            <v>190530</v>
          </cell>
          <cell r="AE780">
            <v>8005201</v>
          </cell>
          <cell r="AF780" t="str">
            <v>BISCOITO NÃO ESPECIFICADO</v>
          </cell>
          <cell r="AG780">
            <v>2250</v>
          </cell>
          <cell r="AH780">
            <v>694.4</v>
          </cell>
          <cell r="AI780">
            <v>13.5</v>
          </cell>
        </row>
        <row r="781">
          <cell r="C781" t="str">
            <v>190590</v>
          </cell>
          <cell r="AE781">
            <v>8006401</v>
          </cell>
          <cell r="AF781" t="str">
            <v>PAO ARABE NAO ESPECIFICADO</v>
          </cell>
          <cell r="AG781">
            <v>1264.5163676621726</v>
          </cell>
          <cell r="AH781">
            <v>1045.2</v>
          </cell>
          <cell r="AI781">
            <v>6.7933333333333339</v>
          </cell>
        </row>
        <row r="782">
          <cell r="C782" t="str">
            <v>190590</v>
          </cell>
          <cell r="AE782">
            <v>8006501</v>
          </cell>
          <cell r="AF782" t="str">
            <v>PAO DIET (DE FORMA INDUSTRIALIZADO)</v>
          </cell>
          <cell r="AG782">
            <v>1264.5163676621726</v>
          </cell>
          <cell r="AH782">
            <v>1045.2</v>
          </cell>
          <cell r="AI782">
            <v>6.7933333333333339</v>
          </cell>
        </row>
        <row r="783">
          <cell r="C783" t="str">
            <v>190590</v>
          </cell>
          <cell r="AE783">
            <v>8006601</v>
          </cell>
          <cell r="AF783" t="str">
            <v>PAO LIGHT (DE FORMA INDUSTRIALIZADO)</v>
          </cell>
          <cell r="AG783">
            <v>1264.5163676621726</v>
          </cell>
          <cell r="AH783">
            <v>1045.2</v>
          </cell>
          <cell r="AI783">
            <v>6.7933333333333339</v>
          </cell>
        </row>
        <row r="784">
          <cell r="C784" t="str">
            <v>190590</v>
          </cell>
          <cell r="AE784">
            <v>8006701</v>
          </cell>
          <cell r="AF784" t="str">
            <v>PAO DE QUEIJO LIGHT</v>
          </cell>
          <cell r="AG784">
            <v>1264.5163676621726</v>
          </cell>
          <cell r="AH784">
            <v>1045.2</v>
          </cell>
          <cell r="AI784">
            <v>6.7933333333333339</v>
          </cell>
        </row>
        <row r="785">
          <cell r="C785" t="str">
            <v>190590</v>
          </cell>
          <cell r="AE785">
            <v>8006801</v>
          </cell>
          <cell r="AF785" t="str">
            <v>PAO INTEGRAL LIGHT</v>
          </cell>
          <cell r="AG785">
            <v>1264.5163676621726</v>
          </cell>
          <cell r="AH785">
            <v>1045.2</v>
          </cell>
          <cell r="AI785">
            <v>6.7933333333333339</v>
          </cell>
        </row>
        <row r="786">
          <cell r="C786" t="str">
            <v>190590</v>
          </cell>
          <cell r="AE786">
            <v>8007101</v>
          </cell>
          <cell r="AF786" t="str">
            <v>TORTAS DOCES DE QUALQUER SABOR DIET</v>
          </cell>
          <cell r="AG786">
            <v>1264.5163676621726</v>
          </cell>
          <cell r="AH786">
            <v>1045.2</v>
          </cell>
          <cell r="AI786">
            <v>6.7933333333333339</v>
          </cell>
        </row>
        <row r="787">
          <cell r="C787">
            <v>190520</v>
          </cell>
          <cell r="AE787">
            <v>8007501</v>
          </cell>
          <cell r="AF787" t="str">
            <v>BOLO DE CHOCOLATE LIGHT</v>
          </cell>
          <cell r="AG787">
            <v>2315.1666666666665</v>
          </cell>
          <cell r="AH787">
            <v>1956.5333333333333</v>
          </cell>
          <cell r="AI787">
            <v>12.832539682539684</v>
          </cell>
        </row>
        <row r="788">
          <cell r="C788">
            <v>190520</v>
          </cell>
          <cell r="AE788">
            <v>8007701</v>
          </cell>
          <cell r="AF788" t="str">
            <v>BOLO DE LARANJA LIGHT</v>
          </cell>
          <cell r="AG788">
            <v>2559</v>
          </cell>
          <cell r="AH788">
            <v>2039.3333333333333</v>
          </cell>
          <cell r="AI788">
            <v>15.233333333333333</v>
          </cell>
        </row>
        <row r="789">
          <cell r="C789">
            <v>190520</v>
          </cell>
          <cell r="AE789">
            <v>8008201</v>
          </cell>
          <cell r="AF789" t="str">
            <v>BOLO DE CENOURA DIET</v>
          </cell>
          <cell r="AG789">
            <v>2315.1666666666665</v>
          </cell>
          <cell r="AH789">
            <v>1956.5333333333333</v>
          </cell>
          <cell r="AI789">
            <v>12.832539682539684</v>
          </cell>
        </row>
        <row r="790">
          <cell r="C790" t="str">
            <v>190530</v>
          </cell>
          <cell r="AE790">
            <v>8008301</v>
          </cell>
          <cell r="AF790" t="str">
            <v>BISCOITO RECHEADO LIGHT</v>
          </cell>
          <cell r="AG790">
            <v>1642.0833333333333</v>
          </cell>
          <cell r="AH790">
            <v>2233.0833333333335</v>
          </cell>
          <cell r="AI790">
            <v>11.427272727272724</v>
          </cell>
        </row>
        <row r="791">
          <cell r="C791" t="str">
            <v>190530</v>
          </cell>
          <cell r="AE791">
            <v>8008305</v>
          </cell>
          <cell r="AF791" t="str">
            <v>BISCOITO WAFFER LIGHT</v>
          </cell>
          <cell r="AG791">
            <v>1642.0833333333333</v>
          </cell>
          <cell r="AH791">
            <v>2233.0833333333335</v>
          </cell>
          <cell r="AI791">
            <v>11.427272727272724</v>
          </cell>
        </row>
        <row r="792">
          <cell r="C792" t="str">
            <v>190530</v>
          </cell>
          <cell r="AE792">
            <v>8008310</v>
          </cell>
          <cell r="AF792" t="str">
            <v>BOLACHA RECHEADA LIGHT</v>
          </cell>
          <cell r="AG792">
            <v>2943</v>
          </cell>
          <cell r="AH792">
            <v>5466</v>
          </cell>
          <cell r="AI792">
            <v>21.1</v>
          </cell>
        </row>
        <row r="793">
          <cell r="C793" t="str">
            <v>190530</v>
          </cell>
          <cell r="AE793">
            <v>8008401</v>
          </cell>
          <cell r="AF793" t="str">
            <v>BISCOITO RECHEADO DIET</v>
          </cell>
          <cell r="AG793">
            <v>1642.0833333333333</v>
          </cell>
          <cell r="AH793">
            <v>2233.0833333333335</v>
          </cell>
          <cell r="AI793">
            <v>11.427272727272724</v>
          </cell>
        </row>
        <row r="794">
          <cell r="C794" t="str">
            <v>190530</v>
          </cell>
          <cell r="AE794">
            <v>8008408</v>
          </cell>
          <cell r="AF794" t="str">
            <v>ROSQUINHA RECHEADA DE QUALQUER SABOR DIET</v>
          </cell>
          <cell r="AG794">
            <v>1642.0833333333333</v>
          </cell>
          <cell r="AH794">
            <v>2233.0833333333335</v>
          </cell>
          <cell r="AI794">
            <v>11.427272727272724</v>
          </cell>
        </row>
        <row r="795">
          <cell r="C795" t="str">
            <v>190530</v>
          </cell>
          <cell r="AE795">
            <v>8008410</v>
          </cell>
          <cell r="AF795" t="str">
            <v>BOLACHA RECHEADA DIET</v>
          </cell>
          <cell r="AG795">
            <v>1642.0833333333333</v>
          </cell>
          <cell r="AH795">
            <v>2233.0833333333335</v>
          </cell>
          <cell r="AI795">
            <v>11.427272727272724</v>
          </cell>
        </row>
        <row r="796">
          <cell r="C796">
            <v>190520</v>
          </cell>
          <cell r="AE796">
            <v>8010034</v>
          </cell>
          <cell r="AF796" t="str">
            <v>PANETONE DIET</v>
          </cell>
          <cell r="AG796">
            <v>2315.1666666666665</v>
          </cell>
          <cell r="AH796">
            <v>1956.5333333333333</v>
          </cell>
          <cell r="AI796">
            <v>12.832539682539684</v>
          </cell>
        </row>
        <row r="797">
          <cell r="C797">
            <v>190530</v>
          </cell>
          <cell r="AE797">
            <v>8010101</v>
          </cell>
          <cell r="AF797" t="str">
            <v>BISCOITO SALGADO LIGHT</v>
          </cell>
          <cell r="AG797">
            <v>1196</v>
          </cell>
          <cell r="AH797">
            <v>694.4</v>
          </cell>
          <cell r="AI797">
            <v>9.5499999999999989</v>
          </cell>
        </row>
        <row r="798">
          <cell r="C798" t="str">
            <v>190590</v>
          </cell>
          <cell r="AE798">
            <v>8010125</v>
          </cell>
          <cell r="AF798" t="str">
            <v>BOLACHA SALGADA LIGHT</v>
          </cell>
          <cell r="AG798">
            <v>1264.5163676621726</v>
          </cell>
          <cell r="AH798">
            <v>1045.2</v>
          </cell>
          <cell r="AI798">
            <v>6.7933333333333339</v>
          </cell>
        </row>
        <row r="799">
          <cell r="C799">
            <v>190410</v>
          </cell>
          <cell r="AE799">
            <v>8010127</v>
          </cell>
          <cell r="AF799" t="str">
            <v>CHIPS (SALGADINHOS) LIGHT</v>
          </cell>
          <cell r="AG799">
            <v>3900</v>
          </cell>
          <cell r="AH799">
            <v>1772</v>
          </cell>
          <cell r="AI799">
            <v>10.334717607973422</v>
          </cell>
        </row>
        <row r="800">
          <cell r="C800" t="str">
            <v>190530</v>
          </cell>
          <cell r="AE800">
            <v>8010401</v>
          </cell>
          <cell r="AF800" t="str">
            <v>BISCOITO DOCE LIGHT</v>
          </cell>
          <cell r="AG800">
            <v>1642.0833333333333</v>
          </cell>
          <cell r="AH800">
            <v>2233.0833333333335</v>
          </cell>
          <cell r="AI800">
            <v>11.427272727272724</v>
          </cell>
        </row>
        <row r="801">
          <cell r="C801" t="str">
            <v>190530</v>
          </cell>
          <cell r="AE801">
            <v>8010434</v>
          </cell>
          <cell r="AF801" t="str">
            <v>BOLACHA DOCE LIGHT</v>
          </cell>
          <cell r="AG801">
            <v>1642.0833333333333</v>
          </cell>
          <cell r="AH801">
            <v>2233.0833333333335</v>
          </cell>
          <cell r="AI801">
            <v>11.427272727272724</v>
          </cell>
        </row>
        <row r="802">
          <cell r="C802" t="str">
            <v>190530</v>
          </cell>
          <cell r="AE802">
            <v>8010501</v>
          </cell>
          <cell r="AF802" t="str">
            <v>BISCOITO DOCE DIET</v>
          </cell>
          <cell r="AG802">
            <v>1642.0833333333333</v>
          </cell>
          <cell r="AH802">
            <v>2233.0833333333335</v>
          </cell>
          <cell r="AI802">
            <v>11.427272727272724</v>
          </cell>
        </row>
        <row r="803">
          <cell r="C803" t="str">
            <v>190530</v>
          </cell>
          <cell r="AE803">
            <v>8010534</v>
          </cell>
          <cell r="AF803" t="str">
            <v>BOLACHA DOCE DIET</v>
          </cell>
          <cell r="AG803">
            <v>1642.0833333333333</v>
          </cell>
          <cell r="AH803">
            <v>2233.0833333333335</v>
          </cell>
          <cell r="AI803">
            <v>11.427272727272724</v>
          </cell>
        </row>
        <row r="804">
          <cell r="C804" t="str">
            <v>190590</v>
          </cell>
          <cell r="AE804">
            <v>8011601</v>
          </cell>
          <cell r="AF804" t="str">
            <v>PAO PARA WRAP NAO ESPECIFICADO</v>
          </cell>
          <cell r="AG804">
            <v>1264.5163676621726</v>
          </cell>
          <cell r="AH804">
            <v>1045.2</v>
          </cell>
          <cell r="AI804">
            <v>6.7933333333333339</v>
          </cell>
        </row>
        <row r="805">
          <cell r="C805" t="str">
            <v>190590</v>
          </cell>
          <cell r="AE805">
            <v>8011602</v>
          </cell>
          <cell r="AF805" t="str">
            <v>PAO SEM GLUTEN NAO ESPECIFICADO</v>
          </cell>
          <cell r="AG805">
            <v>1264.5163676621726</v>
          </cell>
          <cell r="AH805">
            <v>1045.2</v>
          </cell>
          <cell r="AI805">
            <v>6.7933333333333339</v>
          </cell>
        </row>
        <row r="806">
          <cell r="C806" t="str">
            <v>190590</v>
          </cell>
          <cell r="AE806">
            <v>8011701</v>
          </cell>
          <cell r="AF806" t="str">
            <v>PAO DE BATATA</v>
          </cell>
          <cell r="AG806">
            <v>1264.5163676621726</v>
          </cell>
          <cell r="AH806">
            <v>1045.2</v>
          </cell>
          <cell r="AI806">
            <v>6.7933333333333339</v>
          </cell>
        </row>
        <row r="807">
          <cell r="C807" t="str">
            <v>190590</v>
          </cell>
          <cell r="AE807">
            <v>8011801</v>
          </cell>
          <cell r="AF807" t="str">
            <v>PAO DE BATATA, RECHEADO</v>
          </cell>
          <cell r="AG807">
            <v>1264.5163676621726</v>
          </cell>
          <cell r="AH807">
            <v>1045.2</v>
          </cell>
          <cell r="AI807">
            <v>6.7933333333333339</v>
          </cell>
        </row>
        <row r="808">
          <cell r="C808">
            <v>190410</v>
          </cell>
          <cell r="AE808">
            <v>8011901</v>
          </cell>
          <cell r="AF808" t="str">
            <v>SALGADINHO DE ARROZ (TIPO CAMIL)</v>
          </cell>
          <cell r="AG808">
            <v>3900</v>
          </cell>
          <cell r="AH808">
            <v>1772</v>
          </cell>
          <cell r="AI808">
            <v>10.334717607973422</v>
          </cell>
        </row>
        <row r="809">
          <cell r="C809">
            <v>190120</v>
          </cell>
          <cell r="AE809">
            <v>8080001</v>
          </cell>
          <cell r="AF809" t="str">
            <v>PAO CASEIRO</v>
          </cell>
          <cell r="AG809">
            <v>547.0901639344263</v>
          </cell>
          <cell r="AH809">
            <v>1870.1099089032616</v>
          </cell>
          <cell r="AI809">
            <v>5</v>
          </cell>
        </row>
        <row r="810">
          <cell r="C810" t="str">
            <v>021020</v>
          </cell>
          <cell r="AE810">
            <v>8100101</v>
          </cell>
          <cell r="AF810" t="str">
            <v>CARNE SECA</v>
          </cell>
          <cell r="AG810">
            <v>26938</v>
          </cell>
          <cell r="AH810">
            <v>25255.047398825889</v>
          </cell>
          <cell r="AI810">
            <v>19</v>
          </cell>
        </row>
        <row r="811">
          <cell r="C811" t="str">
            <v>021020</v>
          </cell>
          <cell r="AE811">
            <v>8100102</v>
          </cell>
          <cell r="AF811" t="str">
            <v>CARNE DE CHARQUE</v>
          </cell>
          <cell r="AG811">
            <v>26938</v>
          </cell>
          <cell r="AH811">
            <v>25255.047398825889</v>
          </cell>
          <cell r="AI811">
            <v>19</v>
          </cell>
        </row>
        <row r="812">
          <cell r="C812" t="str">
            <v>021020</v>
          </cell>
          <cell r="AE812">
            <v>8100103</v>
          </cell>
          <cell r="AF812" t="str">
            <v>JABA</v>
          </cell>
          <cell r="AG812">
            <v>26938</v>
          </cell>
          <cell r="AH812">
            <v>25255.047398825889</v>
          </cell>
          <cell r="AI812">
            <v>19</v>
          </cell>
        </row>
        <row r="813">
          <cell r="C813" t="str">
            <v>021020</v>
          </cell>
          <cell r="AE813">
            <v>8100201</v>
          </cell>
          <cell r="AF813" t="str">
            <v>CARNE DE SOL</v>
          </cell>
          <cell r="AG813">
            <v>26938</v>
          </cell>
          <cell r="AH813">
            <v>25255.047398825889</v>
          </cell>
          <cell r="AI813">
            <v>19</v>
          </cell>
        </row>
        <row r="814">
          <cell r="C814" t="str">
            <v>021020</v>
          </cell>
          <cell r="AE814">
            <v>8100202</v>
          </cell>
          <cell r="AF814" t="str">
            <v>CARNE DO SERTAO</v>
          </cell>
          <cell r="AG814">
            <v>26938</v>
          </cell>
          <cell r="AH814">
            <v>25255.047398825889</v>
          </cell>
          <cell r="AI814">
            <v>19</v>
          </cell>
        </row>
        <row r="815">
          <cell r="C815" t="str">
            <v>160250</v>
          </cell>
          <cell r="AE815">
            <v>8100502</v>
          </cell>
          <cell r="AF815" t="str">
            <v>HAMBURGUER DE CARNE BOVINA</v>
          </cell>
          <cell r="AG815">
            <v>14500</v>
          </cell>
          <cell r="AH815">
            <v>8744</v>
          </cell>
          <cell r="AI815">
            <v>52</v>
          </cell>
        </row>
        <row r="816">
          <cell r="C816" t="str">
            <v>021019</v>
          </cell>
          <cell r="AE816">
            <v>8100802</v>
          </cell>
          <cell r="AF816" t="str">
            <v>COPA DE PORCO DEFUMADA</v>
          </cell>
          <cell r="AG816">
            <v>7875</v>
          </cell>
          <cell r="AH816">
            <v>7240.067882558219</v>
          </cell>
          <cell r="AI816">
            <v>19</v>
          </cell>
        </row>
        <row r="817">
          <cell r="C817" t="str">
            <v>021012</v>
          </cell>
          <cell r="AE817">
            <v>8101005</v>
          </cell>
          <cell r="AF817" t="str">
            <v>BACON</v>
          </cell>
          <cell r="AG817">
            <v>10200</v>
          </cell>
          <cell r="AH817">
            <v>7359.5180236216484</v>
          </cell>
          <cell r="AI817">
            <v>19</v>
          </cell>
        </row>
        <row r="818">
          <cell r="C818">
            <v>160232</v>
          </cell>
          <cell r="AE818">
            <v>8101101</v>
          </cell>
          <cell r="AF818" t="str">
            <v>HAMBURGUER DE FRANGO</v>
          </cell>
          <cell r="AG818">
            <v>4225</v>
          </cell>
          <cell r="AH818">
            <v>8744</v>
          </cell>
          <cell r="AI818">
            <v>52</v>
          </cell>
        </row>
        <row r="819">
          <cell r="C819">
            <v>160101</v>
          </cell>
          <cell r="AE819">
            <v>8102101</v>
          </cell>
          <cell r="AF819" t="str">
            <v>SALSICHA NO VAREJO</v>
          </cell>
          <cell r="AG819">
            <v>3533.3333333333335</v>
          </cell>
          <cell r="AH819">
            <v>12800</v>
          </cell>
          <cell r="AI819">
            <v>52</v>
          </cell>
        </row>
        <row r="820">
          <cell r="C820">
            <v>160101</v>
          </cell>
          <cell r="AE820">
            <v>8102103</v>
          </cell>
          <cell r="AF820" t="str">
            <v>SALSICHAO</v>
          </cell>
          <cell r="AG820">
            <v>3533.3333333333335</v>
          </cell>
          <cell r="AH820">
            <v>12800</v>
          </cell>
          <cell r="AI820">
            <v>52</v>
          </cell>
        </row>
        <row r="821">
          <cell r="C821" t="str">
            <v>160100</v>
          </cell>
          <cell r="AE821">
            <v>8102204</v>
          </cell>
          <cell r="AF821" t="str">
            <v>LINGUICA (SUÍNA, BOVINA, MISTA, ETC)</v>
          </cell>
          <cell r="AG821">
            <v>17800</v>
          </cell>
          <cell r="AH821">
            <v>15600</v>
          </cell>
          <cell r="AI821">
            <v>52</v>
          </cell>
        </row>
        <row r="822">
          <cell r="C822" t="str">
            <v>160100</v>
          </cell>
          <cell r="AE822">
            <v>8102205</v>
          </cell>
          <cell r="AF822" t="str">
            <v>LINGUICA CALABRESA</v>
          </cell>
          <cell r="AG822">
            <v>17800</v>
          </cell>
          <cell r="AH822">
            <v>15600</v>
          </cell>
          <cell r="AI822">
            <v>52</v>
          </cell>
        </row>
        <row r="823">
          <cell r="C823">
            <v>160232</v>
          </cell>
          <cell r="AE823">
            <v>8102207</v>
          </cell>
          <cell r="AF823" t="str">
            <v>LINGUICA DE FRANGO</v>
          </cell>
          <cell r="AG823">
            <v>4225</v>
          </cell>
          <cell r="AH823">
            <v>8744</v>
          </cell>
          <cell r="AI823">
            <v>52</v>
          </cell>
        </row>
        <row r="824">
          <cell r="C824">
            <v>160102</v>
          </cell>
          <cell r="AE824">
            <v>8102401</v>
          </cell>
          <cell r="AF824" t="str">
            <v>CHOURICO</v>
          </cell>
          <cell r="AG824">
            <v>11300</v>
          </cell>
          <cell r="AH824">
            <v>10000</v>
          </cell>
          <cell r="AI824">
            <v>52</v>
          </cell>
        </row>
        <row r="825">
          <cell r="C825">
            <v>160102</v>
          </cell>
          <cell r="AE825">
            <v>8102402</v>
          </cell>
          <cell r="AF825" t="str">
            <v>MORCELA</v>
          </cell>
          <cell r="AG825">
            <v>11300</v>
          </cell>
          <cell r="AH825">
            <v>10000</v>
          </cell>
          <cell r="AI825">
            <v>52</v>
          </cell>
        </row>
        <row r="826">
          <cell r="C826">
            <v>160102</v>
          </cell>
          <cell r="AE826">
            <v>8102403</v>
          </cell>
          <cell r="AF826" t="str">
            <v>MORCILHA</v>
          </cell>
          <cell r="AG826">
            <v>11300</v>
          </cell>
          <cell r="AH826">
            <v>10000</v>
          </cell>
          <cell r="AI826">
            <v>52</v>
          </cell>
        </row>
        <row r="827">
          <cell r="C827">
            <v>160102</v>
          </cell>
          <cell r="AE827">
            <v>8102601</v>
          </cell>
          <cell r="AF827" t="str">
            <v>MORTADELA</v>
          </cell>
          <cell r="AG827">
            <v>11300</v>
          </cell>
          <cell r="AH827">
            <v>10000</v>
          </cell>
          <cell r="AI827">
            <v>52</v>
          </cell>
        </row>
        <row r="828">
          <cell r="C828">
            <v>160102</v>
          </cell>
          <cell r="AE828">
            <v>8102701</v>
          </cell>
          <cell r="AF828" t="str">
            <v>SALAME</v>
          </cell>
          <cell r="AG828">
            <v>11300</v>
          </cell>
          <cell r="AH828">
            <v>10000</v>
          </cell>
          <cell r="AI828">
            <v>52</v>
          </cell>
        </row>
        <row r="829">
          <cell r="C829">
            <v>160102</v>
          </cell>
          <cell r="AE829">
            <v>8102702</v>
          </cell>
          <cell r="AF829" t="str">
            <v>SALAMINHO</v>
          </cell>
          <cell r="AG829">
            <v>11300</v>
          </cell>
          <cell r="AH829">
            <v>10000</v>
          </cell>
          <cell r="AI829">
            <v>52</v>
          </cell>
        </row>
        <row r="830">
          <cell r="C830" t="str">
            <v>160231</v>
          </cell>
          <cell r="AE830">
            <v>8102801</v>
          </cell>
          <cell r="AF830" t="str">
            <v>BLANQUET DE PERU</v>
          </cell>
          <cell r="AG830">
            <v>4225</v>
          </cell>
          <cell r="AH830">
            <v>8744</v>
          </cell>
          <cell r="AI830">
            <v>52</v>
          </cell>
        </row>
        <row r="831">
          <cell r="C831" t="str">
            <v>021019</v>
          </cell>
          <cell r="AE831">
            <v>8102901</v>
          </cell>
          <cell r="AF831" t="str">
            <v>PRESUNTO</v>
          </cell>
          <cell r="AG831">
            <v>7875</v>
          </cell>
          <cell r="AH831">
            <v>7240.067882558219</v>
          </cell>
          <cell r="AI831">
            <v>19</v>
          </cell>
        </row>
        <row r="832">
          <cell r="C832" t="str">
            <v>021019</v>
          </cell>
          <cell r="AE832">
            <v>8102905</v>
          </cell>
          <cell r="AF832" t="str">
            <v>PRESUNTO PARMA</v>
          </cell>
          <cell r="AG832">
            <v>7875</v>
          </cell>
          <cell r="AH832">
            <v>7240.067882558219</v>
          </cell>
          <cell r="AI832">
            <v>19</v>
          </cell>
        </row>
        <row r="833">
          <cell r="C833" t="str">
            <v>160250</v>
          </cell>
          <cell r="AE833">
            <v>8103101</v>
          </cell>
          <cell r="AF833" t="str">
            <v>HAMBURGUER NAO ESPECIFICADO</v>
          </cell>
          <cell r="AG833">
            <v>14500</v>
          </cell>
          <cell r="AH833">
            <v>8744</v>
          </cell>
          <cell r="AI833">
            <v>52</v>
          </cell>
        </row>
        <row r="834">
          <cell r="C834" t="str">
            <v>160249</v>
          </cell>
          <cell r="AE834">
            <v>8103601</v>
          </cell>
          <cell r="AF834" t="str">
            <v>APRESUNTADO</v>
          </cell>
          <cell r="AG834">
            <v>5300</v>
          </cell>
          <cell r="AH834">
            <v>8744</v>
          </cell>
          <cell r="AI834">
            <v>52</v>
          </cell>
        </row>
        <row r="835">
          <cell r="C835" t="str">
            <v>021019</v>
          </cell>
          <cell r="AE835">
            <v>8103901</v>
          </cell>
          <cell r="AF835" t="str">
            <v>PURURUCA DE PORCO</v>
          </cell>
          <cell r="AG835">
            <v>7875</v>
          </cell>
          <cell r="AH835">
            <v>7240.067882558219</v>
          </cell>
          <cell r="AI835">
            <v>19</v>
          </cell>
        </row>
        <row r="836">
          <cell r="C836" t="str">
            <v>021019</v>
          </cell>
          <cell r="AE836">
            <v>8103902</v>
          </cell>
          <cell r="AF836" t="str">
            <v>PELE DE PORCO PREPARADA (PURURUCA)</v>
          </cell>
          <cell r="AG836">
            <v>7875</v>
          </cell>
          <cell r="AH836">
            <v>7240.067882558219</v>
          </cell>
          <cell r="AI836">
            <v>19</v>
          </cell>
        </row>
        <row r="837">
          <cell r="C837" t="str">
            <v>160220</v>
          </cell>
          <cell r="AE837">
            <v>8104001</v>
          </cell>
          <cell r="AF837" t="str">
            <v>PATE (FÍGADO, CALABRESA, FRANGO, PRESUNTO, ETC)</v>
          </cell>
          <cell r="AG837">
            <v>5300</v>
          </cell>
          <cell r="AH837">
            <v>8744</v>
          </cell>
          <cell r="AI837">
            <v>52</v>
          </cell>
        </row>
        <row r="838">
          <cell r="C838" t="str">
            <v>021020</v>
          </cell>
          <cell r="AE838">
            <v>8104601</v>
          </cell>
          <cell r="AF838" t="str">
            <v>CARNE SALGADA NAO ESPECIFICADA</v>
          </cell>
          <cell r="AG838">
            <v>26938</v>
          </cell>
          <cell r="AH838">
            <v>25255.047398825889</v>
          </cell>
          <cell r="AI838">
            <v>19</v>
          </cell>
        </row>
        <row r="839">
          <cell r="C839" t="str">
            <v>160230</v>
          </cell>
          <cell r="AE839">
            <v>8104904</v>
          </cell>
          <cell r="AF839" t="str">
            <v>MINI CHICKEN EMPANADO</v>
          </cell>
          <cell r="AG839">
            <v>4225</v>
          </cell>
          <cell r="AH839">
            <v>8744</v>
          </cell>
          <cell r="AI839">
            <v>52</v>
          </cell>
        </row>
        <row r="840">
          <cell r="C840">
            <v>160102</v>
          </cell>
          <cell r="AE840">
            <v>8105001</v>
          </cell>
          <cell r="AF840" t="str">
            <v>MORTADELA LIGHT</v>
          </cell>
          <cell r="AG840">
            <v>11300</v>
          </cell>
          <cell r="AH840">
            <v>10000</v>
          </cell>
          <cell r="AI840">
            <v>52</v>
          </cell>
        </row>
        <row r="841">
          <cell r="C841" t="str">
            <v>220210 </v>
          </cell>
          <cell r="AE841">
            <v>8200101</v>
          </cell>
          <cell r="AF841" t="str">
            <v>REFRIGERANTE DE COLA TRADICIONAL</v>
          </cell>
          <cell r="AG841">
            <v>687.5</v>
          </cell>
          <cell r="AH841">
            <v>450</v>
          </cell>
          <cell r="AI841">
            <v>2</v>
          </cell>
        </row>
        <row r="842">
          <cell r="C842" t="str">
            <v>220210 </v>
          </cell>
          <cell r="AE842">
            <v>8200102</v>
          </cell>
          <cell r="AF842" t="str">
            <v>COCA COLA TRADICIONAL</v>
          </cell>
          <cell r="AG842">
            <v>375</v>
          </cell>
          <cell r="AH842">
            <v>450</v>
          </cell>
          <cell r="AI842">
            <v>2</v>
          </cell>
        </row>
        <row r="843">
          <cell r="C843" t="str">
            <v>220210 </v>
          </cell>
          <cell r="AE843">
            <v>8200202</v>
          </cell>
          <cell r="AF843" t="str">
            <v>FANTA LARANJA TRADICIONAL</v>
          </cell>
          <cell r="AG843">
            <v>451</v>
          </cell>
          <cell r="AH843">
            <v>450</v>
          </cell>
          <cell r="AI843">
            <v>2</v>
          </cell>
        </row>
        <row r="844">
          <cell r="C844" t="str">
            <v>220210 </v>
          </cell>
          <cell r="AE844">
            <v>8200208</v>
          </cell>
          <cell r="AF844" t="str">
            <v>SUKITA TRADICIONAL</v>
          </cell>
          <cell r="AG844">
            <v>451</v>
          </cell>
          <cell r="AH844">
            <v>450</v>
          </cell>
          <cell r="AI844">
            <v>2</v>
          </cell>
        </row>
        <row r="845">
          <cell r="C845" t="str">
            <v>220210 </v>
          </cell>
          <cell r="AE845">
            <v>8200211</v>
          </cell>
          <cell r="AF845" t="str">
            <v>REFRIGERANTE DE LARANJA TRADICIONAL</v>
          </cell>
          <cell r="AG845">
            <v>451</v>
          </cell>
          <cell r="AH845">
            <v>450</v>
          </cell>
          <cell r="AI845">
            <v>2</v>
          </cell>
        </row>
        <row r="846">
          <cell r="C846" t="str">
            <v>220210 </v>
          </cell>
          <cell r="AE846">
            <v>8200301</v>
          </cell>
          <cell r="AF846" t="str">
            <v>REFRIGERANTE DE GUARANA TRADICIONAL</v>
          </cell>
          <cell r="AG846">
            <v>451</v>
          </cell>
          <cell r="AH846">
            <v>450</v>
          </cell>
          <cell r="AI846">
            <v>2</v>
          </cell>
        </row>
        <row r="847">
          <cell r="C847" t="str">
            <v>220210 </v>
          </cell>
          <cell r="AE847">
            <v>8200302</v>
          </cell>
          <cell r="AF847" t="str">
            <v>GUARANA TRADICIONAL</v>
          </cell>
          <cell r="AG847">
            <v>451</v>
          </cell>
          <cell r="AH847">
            <v>450</v>
          </cell>
          <cell r="AI847">
            <v>2</v>
          </cell>
        </row>
        <row r="848">
          <cell r="C848" t="str">
            <v>220210 </v>
          </cell>
          <cell r="AE848">
            <v>8200308</v>
          </cell>
          <cell r="AF848" t="str">
            <v>REFRESCO DE GUARANA NATURAL</v>
          </cell>
          <cell r="AG848">
            <v>451</v>
          </cell>
          <cell r="AH848">
            <v>450</v>
          </cell>
          <cell r="AI848">
            <v>2</v>
          </cell>
        </row>
        <row r="849">
          <cell r="C849" t="str">
            <v>220210 </v>
          </cell>
          <cell r="AE849">
            <v>8200407</v>
          </cell>
          <cell r="AF849" t="str">
            <v>SPRIT REFRIGERANTE TRADICIONAL</v>
          </cell>
          <cell r="AG849">
            <v>327</v>
          </cell>
          <cell r="AH849">
            <v>450</v>
          </cell>
          <cell r="AI849">
            <v>2</v>
          </cell>
        </row>
        <row r="850">
          <cell r="C850" t="str">
            <v>220210 </v>
          </cell>
          <cell r="AE850">
            <v>8200411</v>
          </cell>
          <cell r="AF850" t="str">
            <v>REFRIGERANTE, LIMAO, TRADICIONAL</v>
          </cell>
          <cell r="AG850">
            <v>451</v>
          </cell>
          <cell r="AH850">
            <v>450</v>
          </cell>
          <cell r="AI850">
            <v>2</v>
          </cell>
        </row>
        <row r="851">
          <cell r="C851" t="str">
            <v>220210 </v>
          </cell>
          <cell r="AE851">
            <v>8200505</v>
          </cell>
          <cell r="AF851" t="str">
            <v>FANTA UVA TRADICIONAL</v>
          </cell>
          <cell r="AG851">
            <v>451</v>
          </cell>
          <cell r="AH851">
            <v>450</v>
          </cell>
          <cell r="AI851">
            <v>2</v>
          </cell>
        </row>
        <row r="852">
          <cell r="C852" t="str">
            <v>220210 </v>
          </cell>
          <cell r="AE852">
            <v>8200507</v>
          </cell>
          <cell r="AF852" t="str">
            <v>REFRIGERANTE, UVA, TRADICIONAL</v>
          </cell>
          <cell r="AG852">
            <v>451</v>
          </cell>
          <cell r="AH852">
            <v>450</v>
          </cell>
          <cell r="AI852">
            <v>2</v>
          </cell>
        </row>
        <row r="853">
          <cell r="C853" t="str">
            <v>220210 </v>
          </cell>
          <cell r="AE853">
            <v>8200701</v>
          </cell>
          <cell r="AF853" t="str">
            <v>REFRIGERANTE DE COLA LIGHT</v>
          </cell>
          <cell r="AG853">
            <v>274</v>
          </cell>
          <cell r="AH853">
            <v>450</v>
          </cell>
          <cell r="AI853">
            <v>2</v>
          </cell>
        </row>
        <row r="854">
          <cell r="C854" t="str">
            <v>220210 </v>
          </cell>
          <cell r="AE854">
            <v>8200702</v>
          </cell>
          <cell r="AF854" t="str">
            <v>COCA COLA LIGHT</v>
          </cell>
          <cell r="AG854">
            <v>274</v>
          </cell>
          <cell r="AH854">
            <v>450</v>
          </cell>
          <cell r="AI854">
            <v>2</v>
          </cell>
        </row>
        <row r="855">
          <cell r="C855" t="str">
            <v>220210 </v>
          </cell>
          <cell r="AE855">
            <v>8200801</v>
          </cell>
          <cell r="AF855" t="str">
            <v>REFRIGERANTE DE COLA DIET</v>
          </cell>
          <cell r="AG855">
            <v>274</v>
          </cell>
          <cell r="AH855">
            <v>450</v>
          </cell>
          <cell r="AI855">
            <v>2</v>
          </cell>
        </row>
        <row r="856">
          <cell r="C856">
            <v>220110</v>
          </cell>
          <cell r="AE856">
            <v>8201004</v>
          </cell>
          <cell r="AF856" t="str">
            <v>AGUA, MINERAL NAO ESPECIFICADO</v>
          </cell>
          <cell r="AG856">
            <v>204.33333333333334</v>
          </cell>
          <cell r="AH856">
            <v>12</v>
          </cell>
          <cell r="AI856">
            <v>21.25</v>
          </cell>
        </row>
        <row r="857">
          <cell r="C857">
            <v>220110</v>
          </cell>
          <cell r="AE857">
            <v>8201005</v>
          </cell>
          <cell r="AF857" t="str">
            <v>AGUA, MINERAL, NAO GASEIFICADA</v>
          </cell>
          <cell r="AG857">
            <v>206.5</v>
          </cell>
          <cell r="AH857">
            <v>12</v>
          </cell>
          <cell r="AI857">
            <v>21.25</v>
          </cell>
        </row>
        <row r="858">
          <cell r="C858">
            <v>220110</v>
          </cell>
          <cell r="AE858">
            <v>8201007</v>
          </cell>
          <cell r="AF858" t="str">
            <v>AGUA, MINERAL GASEIFICADA</v>
          </cell>
          <cell r="AG858">
            <v>200</v>
          </cell>
          <cell r="AH858">
            <v>12</v>
          </cell>
          <cell r="AI858">
            <v>21.25</v>
          </cell>
        </row>
        <row r="859">
          <cell r="C859" t="str">
            <v>220210 </v>
          </cell>
          <cell r="AE859">
            <v>8201015</v>
          </cell>
          <cell r="AF859" t="str">
            <v>AGUA, MINERAL GASEIFICADA, COM SUMO DE FRUTA</v>
          </cell>
          <cell r="AG859">
            <v>451</v>
          </cell>
          <cell r="AH859">
            <v>450</v>
          </cell>
          <cell r="AI859">
            <v>2</v>
          </cell>
        </row>
        <row r="860">
          <cell r="C860" t="str">
            <v>220210 </v>
          </cell>
          <cell r="AE860">
            <v>8201017</v>
          </cell>
          <cell r="AF860" t="str">
            <v>BEBIDA REFRIGERANTE, TIPO H2OHÂ®</v>
          </cell>
          <cell r="AG860">
            <v>451</v>
          </cell>
          <cell r="AH860">
            <v>450</v>
          </cell>
          <cell r="AI860">
            <v>2</v>
          </cell>
        </row>
        <row r="861">
          <cell r="C861" t="str">
            <v>090210</v>
          </cell>
          <cell r="AE861">
            <v>8201104</v>
          </cell>
          <cell r="AF861" t="str">
            <v>MATE TRADICIONAL</v>
          </cell>
          <cell r="AG861">
            <v>330</v>
          </cell>
          <cell r="AH861">
            <v>7404.1882297760048</v>
          </cell>
          <cell r="AI861">
            <v>47</v>
          </cell>
        </row>
        <row r="862">
          <cell r="C862" t="str">
            <v>220210 </v>
          </cell>
          <cell r="AE862">
            <v>8201511</v>
          </cell>
          <cell r="AF862" t="str">
            <v>REFRIGERANTE DE LARANJA DIET</v>
          </cell>
          <cell r="AG862">
            <v>451</v>
          </cell>
          <cell r="AH862">
            <v>450</v>
          </cell>
          <cell r="AI862">
            <v>2</v>
          </cell>
        </row>
        <row r="863">
          <cell r="C863" t="str">
            <v>220210 </v>
          </cell>
          <cell r="AE863">
            <v>8201601</v>
          </cell>
          <cell r="AF863" t="str">
            <v>REFRIGERANTE DE GUARANA LIGHT</v>
          </cell>
          <cell r="AG863">
            <v>451</v>
          </cell>
          <cell r="AH863">
            <v>450</v>
          </cell>
          <cell r="AI863">
            <v>2</v>
          </cell>
        </row>
        <row r="864">
          <cell r="C864" t="str">
            <v>220210 </v>
          </cell>
          <cell r="AE864">
            <v>8201602</v>
          </cell>
          <cell r="AF864" t="str">
            <v>GUARANA LIGHT</v>
          </cell>
          <cell r="AG864">
            <v>451</v>
          </cell>
          <cell r="AH864">
            <v>450</v>
          </cell>
          <cell r="AI864">
            <v>2</v>
          </cell>
        </row>
        <row r="865">
          <cell r="C865" t="str">
            <v>220210 </v>
          </cell>
          <cell r="AE865">
            <v>8201802</v>
          </cell>
          <cell r="AF865" t="str">
            <v>TUBAINA TRADICIONAL</v>
          </cell>
          <cell r="AG865">
            <v>451</v>
          </cell>
          <cell r="AH865">
            <v>450</v>
          </cell>
          <cell r="AI865">
            <v>2</v>
          </cell>
        </row>
        <row r="866">
          <cell r="C866" t="str">
            <v>200990</v>
          </cell>
          <cell r="AE866">
            <v>8202001</v>
          </cell>
          <cell r="AF866" t="str">
            <v>CALDO DE CANA</v>
          </cell>
          <cell r="AG866">
            <v>728.29107237189646</v>
          </cell>
          <cell r="AH866">
            <v>860.47430459166037</v>
          </cell>
          <cell r="AI866">
            <v>11</v>
          </cell>
        </row>
        <row r="867">
          <cell r="C867" t="str">
            <v>200990</v>
          </cell>
          <cell r="AE867">
            <v>8202002</v>
          </cell>
          <cell r="AF867" t="str">
            <v>GARAPA</v>
          </cell>
          <cell r="AG867">
            <v>728.29107237189646</v>
          </cell>
          <cell r="AH867">
            <v>860.47430459166037</v>
          </cell>
          <cell r="AI867">
            <v>11</v>
          </cell>
        </row>
        <row r="868">
          <cell r="C868">
            <v>200989</v>
          </cell>
          <cell r="AE868">
            <v>8202101</v>
          </cell>
          <cell r="AF868" t="str">
            <v>AGUA DE COCO</v>
          </cell>
          <cell r="AG868">
            <v>728.29107237189646</v>
          </cell>
          <cell r="AH868">
            <v>2071.6080837668223</v>
          </cell>
          <cell r="AI868">
            <v>11</v>
          </cell>
        </row>
        <row r="869">
          <cell r="C869" t="str">
            <v>220290</v>
          </cell>
          <cell r="AE869">
            <v>8202402</v>
          </cell>
          <cell r="AF869" t="str">
            <v>Q-SUCO</v>
          </cell>
          <cell r="AG869">
            <v>477.7</v>
          </cell>
          <cell r="AH869">
            <v>11543.725015272823</v>
          </cell>
          <cell r="AI869">
            <v>57.5</v>
          </cell>
        </row>
        <row r="870">
          <cell r="C870" t="str">
            <v>220290</v>
          </cell>
          <cell r="AE870">
            <v>8202403</v>
          </cell>
          <cell r="AF870" t="str">
            <v>Q-REFRESKO</v>
          </cell>
          <cell r="AG870">
            <v>477.7</v>
          </cell>
          <cell r="AH870">
            <v>11543.725015272823</v>
          </cell>
          <cell r="AI870">
            <v>57.5</v>
          </cell>
        </row>
        <row r="871">
          <cell r="C871">
            <v>210111</v>
          </cell>
          <cell r="AE871">
            <v>8202602</v>
          </cell>
          <cell r="AF871" t="str">
            <v>NESCAFE</v>
          </cell>
          <cell r="AG871">
            <v>935</v>
          </cell>
          <cell r="AH871">
            <v>6114.9086447857417</v>
          </cell>
          <cell r="AI871">
            <v>33.5</v>
          </cell>
        </row>
        <row r="872">
          <cell r="C872" t="str">
            <v>090210</v>
          </cell>
          <cell r="AE872">
            <v>8202701</v>
          </cell>
          <cell r="AF872" t="str">
            <v>CHA PRETO</v>
          </cell>
          <cell r="AG872">
            <v>330</v>
          </cell>
          <cell r="AH872">
            <v>7404.1882297760048</v>
          </cell>
          <cell r="AI872">
            <v>47</v>
          </cell>
        </row>
        <row r="873">
          <cell r="C873" t="str">
            <v>090210</v>
          </cell>
          <cell r="AE873">
            <v>8202801</v>
          </cell>
          <cell r="AF873" t="str">
            <v>CHA MATE</v>
          </cell>
          <cell r="AG873">
            <v>330</v>
          </cell>
          <cell r="AH873">
            <v>7404.1882297760048</v>
          </cell>
          <cell r="AI873">
            <v>47</v>
          </cell>
        </row>
        <row r="874">
          <cell r="C874" t="str">
            <v>090210</v>
          </cell>
          <cell r="AE874">
            <v>8202803</v>
          </cell>
          <cell r="AF874" t="str">
            <v>ERVA MATE</v>
          </cell>
          <cell r="AG874">
            <v>330</v>
          </cell>
          <cell r="AH874">
            <v>7404.1882297760048</v>
          </cell>
          <cell r="AI874">
            <v>47</v>
          </cell>
        </row>
        <row r="875">
          <cell r="C875" t="str">
            <v>090210</v>
          </cell>
          <cell r="AE875">
            <v>8202804</v>
          </cell>
          <cell r="AF875" t="str">
            <v>CHIMARRAO</v>
          </cell>
          <cell r="AG875">
            <v>330</v>
          </cell>
          <cell r="AH875">
            <v>7404.1882297760048</v>
          </cell>
          <cell r="AI875">
            <v>47</v>
          </cell>
        </row>
        <row r="876">
          <cell r="C876" t="str">
            <v>090210</v>
          </cell>
          <cell r="AE876">
            <v>8202805</v>
          </cell>
          <cell r="AF876" t="str">
            <v>TERERE</v>
          </cell>
          <cell r="AG876">
            <v>330</v>
          </cell>
          <cell r="AH876">
            <v>7404.1882297760048</v>
          </cell>
          <cell r="AI876">
            <v>47</v>
          </cell>
        </row>
        <row r="877">
          <cell r="C877" t="str">
            <v>220210 </v>
          </cell>
          <cell r="AE877">
            <v>8203501</v>
          </cell>
          <cell r="AF877" t="str">
            <v>REFRIGERANTE NAO ESPECIFICADO</v>
          </cell>
          <cell r="AG877">
            <v>900</v>
          </cell>
          <cell r="AH877">
            <v>450</v>
          </cell>
          <cell r="AI877">
            <v>2</v>
          </cell>
        </row>
        <row r="878">
          <cell r="C878" t="str">
            <v>100390</v>
          </cell>
          <cell r="AE878">
            <v>8203603</v>
          </cell>
          <cell r="AF878" t="str">
            <v>CEVADA EM PO</v>
          </cell>
          <cell r="AG878">
            <v>462.33333333333331</v>
          </cell>
          <cell r="AH878">
            <v>1214.0249684209161</v>
          </cell>
          <cell r="AI878">
            <v>8.8000000000000007</v>
          </cell>
        </row>
        <row r="879">
          <cell r="C879">
            <v>220290</v>
          </cell>
          <cell r="AE879">
            <v>8204503</v>
          </cell>
          <cell r="AF879" t="str">
            <v>CHOCOMILK</v>
          </cell>
          <cell r="AG879">
            <v>794.44444444444446</v>
          </cell>
          <cell r="AH879">
            <v>11543.725015272823</v>
          </cell>
          <cell r="AI879">
            <v>57.5</v>
          </cell>
        </row>
        <row r="880">
          <cell r="C880" t="str">
            <v>220210 </v>
          </cell>
          <cell r="AE880">
            <v>8204902</v>
          </cell>
          <cell r="AF880" t="str">
            <v>AGUA TONICA TRADICIONAL</v>
          </cell>
          <cell r="AG880">
            <v>451</v>
          </cell>
          <cell r="AH880">
            <v>450</v>
          </cell>
          <cell r="AI880">
            <v>2</v>
          </cell>
        </row>
        <row r="881">
          <cell r="C881" t="str">
            <v>090210</v>
          </cell>
          <cell r="AE881">
            <v>8205201</v>
          </cell>
          <cell r="AF881" t="str">
            <v>CHA DIET (PRETO, CAMOMILA, ERVA CIDREIRA, CAPIM LIMAO, ETC)</v>
          </cell>
          <cell r="AG881">
            <v>330</v>
          </cell>
          <cell r="AH881">
            <v>7404.1882297760048</v>
          </cell>
          <cell r="AI881">
            <v>47</v>
          </cell>
        </row>
        <row r="882">
          <cell r="C882" t="str">
            <v>220290</v>
          </cell>
          <cell r="AE882">
            <v>8205801</v>
          </cell>
          <cell r="AF882" t="str">
            <v>ENERGETICO</v>
          </cell>
          <cell r="AG882">
            <v>477.7</v>
          </cell>
          <cell r="AH882">
            <v>11543.725015272823</v>
          </cell>
          <cell r="AI882">
            <v>57.5</v>
          </cell>
        </row>
        <row r="883">
          <cell r="C883" t="str">
            <v>220290</v>
          </cell>
          <cell r="AE883">
            <v>8205803</v>
          </cell>
          <cell r="AF883" t="str">
            <v>GATORADE</v>
          </cell>
          <cell r="AG883">
            <v>477.7</v>
          </cell>
          <cell r="AH883">
            <v>11543.725015272823</v>
          </cell>
          <cell r="AI883">
            <v>57.5</v>
          </cell>
        </row>
        <row r="884">
          <cell r="C884" t="str">
            <v>220290</v>
          </cell>
          <cell r="AE884">
            <v>8205805</v>
          </cell>
          <cell r="AF884" t="str">
            <v>BEBIDA ISOTONICA</v>
          </cell>
          <cell r="AG884">
            <v>477.7</v>
          </cell>
          <cell r="AH884">
            <v>11543.725015272823</v>
          </cell>
          <cell r="AI884">
            <v>57.5</v>
          </cell>
        </row>
        <row r="885">
          <cell r="C885" t="str">
            <v>220290</v>
          </cell>
          <cell r="AE885">
            <v>8205901</v>
          </cell>
          <cell r="AF885" t="str">
            <v>BEBIDA ENERGETICA</v>
          </cell>
          <cell r="AG885">
            <v>477.7</v>
          </cell>
          <cell r="AH885">
            <v>11543.725015272823</v>
          </cell>
          <cell r="AI885">
            <v>57.5</v>
          </cell>
        </row>
        <row r="886">
          <cell r="C886" t="str">
            <v>090210</v>
          </cell>
          <cell r="AE886">
            <v>8206301</v>
          </cell>
          <cell r="AF886" t="str">
            <v>CHA (PRETO, CAMOMILA, ERVA CIDREIRA, CAPIM LIMAO, ETC)</v>
          </cell>
          <cell r="AG886">
            <v>330</v>
          </cell>
          <cell r="AH886">
            <v>7404.1882297760048</v>
          </cell>
          <cell r="AI886">
            <v>47</v>
          </cell>
        </row>
        <row r="887">
          <cell r="C887" t="str">
            <v>220210 </v>
          </cell>
          <cell r="AE887">
            <v>8207401</v>
          </cell>
          <cell r="AF887" t="str">
            <v>REFRIGERANTE DE GUARANA DIET</v>
          </cell>
          <cell r="AG887">
            <v>451</v>
          </cell>
          <cell r="AH887">
            <v>450</v>
          </cell>
          <cell r="AI887">
            <v>2</v>
          </cell>
        </row>
        <row r="888">
          <cell r="C888" t="str">
            <v>220210 </v>
          </cell>
          <cell r="AE888">
            <v>8207402</v>
          </cell>
          <cell r="AF888" t="str">
            <v>GUARANA DIET</v>
          </cell>
          <cell r="AG888">
            <v>451</v>
          </cell>
          <cell r="AH888">
            <v>450</v>
          </cell>
          <cell r="AI888">
            <v>2</v>
          </cell>
        </row>
        <row r="889">
          <cell r="C889" t="str">
            <v>220210 </v>
          </cell>
          <cell r="AE889">
            <v>8207501</v>
          </cell>
          <cell r="AF889" t="str">
            <v>REFRIGERANTE, LIMAO, LIGHT</v>
          </cell>
          <cell r="AG889">
            <v>451</v>
          </cell>
          <cell r="AH889">
            <v>450</v>
          </cell>
          <cell r="AI889">
            <v>2</v>
          </cell>
        </row>
        <row r="890">
          <cell r="C890" t="str">
            <v>220210 </v>
          </cell>
          <cell r="AE890">
            <v>8207601</v>
          </cell>
          <cell r="AF890" t="str">
            <v>REFRIGERANTE DE LIMAO DIET</v>
          </cell>
          <cell r="AG890">
            <v>260</v>
          </cell>
          <cell r="AH890">
            <v>450</v>
          </cell>
          <cell r="AI890">
            <v>2</v>
          </cell>
        </row>
        <row r="891">
          <cell r="C891" t="str">
            <v>220210 </v>
          </cell>
          <cell r="AE891">
            <v>8207701</v>
          </cell>
          <cell r="AF891" t="str">
            <v>REFRIGERANTE, UVA, DIET / LIGHT</v>
          </cell>
          <cell r="AG891">
            <v>451</v>
          </cell>
          <cell r="AH891">
            <v>450</v>
          </cell>
          <cell r="AI891">
            <v>2</v>
          </cell>
        </row>
        <row r="892">
          <cell r="C892" t="str">
            <v>220210 </v>
          </cell>
          <cell r="AE892">
            <v>8209002</v>
          </cell>
          <cell r="AF892" t="str">
            <v>AGUA TONICA LIGHT</v>
          </cell>
          <cell r="AG892">
            <v>451</v>
          </cell>
          <cell r="AH892">
            <v>450</v>
          </cell>
          <cell r="AI892">
            <v>2</v>
          </cell>
        </row>
        <row r="893">
          <cell r="C893" t="str">
            <v>220290</v>
          </cell>
          <cell r="AE893">
            <v>8211002</v>
          </cell>
          <cell r="AF893" t="str">
            <v>Q-SUCO LIGHT</v>
          </cell>
          <cell r="AG893">
            <v>477.7</v>
          </cell>
          <cell r="AH893">
            <v>11543.725015272823</v>
          </cell>
          <cell r="AI893">
            <v>57.5</v>
          </cell>
        </row>
        <row r="894">
          <cell r="C894" t="str">
            <v>220290</v>
          </cell>
          <cell r="AE894">
            <v>8211102</v>
          </cell>
          <cell r="AF894" t="str">
            <v>Q-SUCO DIET</v>
          </cell>
          <cell r="AG894">
            <v>477.7</v>
          </cell>
          <cell r="AH894">
            <v>11543.725015272823</v>
          </cell>
          <cell r="AI894">
            <v>57.5</v>
          </cell>
        </row>
        <row r="895">
          <cell r="C895" t="str">
            <v>220290</v>
          </cell>
          <cell r="AE895">
            <v>8212802</v>
          </cell>
          <cell r="AF895" t="str">
            <v>MATE DIET</v>
          </cell>
          <cell r="AG895">
            <v>477.7</v>
          </cell>
          <cell r="AH895">
            <v>11543.725015272823</v>
          </cell>
          <cell r="AI895">
            <v>57.5</v>
          </cell>
        </row>
        <row r="896">
          <cell r="C896" t="str">
            <v>220210 </v>
          </cell>
          <cell r="AE896">
            <v>8212902</v>
          </cell>
          <cell r="AF896" t="str">
            <v>AGUA TONICA DIET</v>
          </cell>
          <cell r="AG896">
            <v>451</v>
          </cell>
          <cell r="AH896">
            <v>450</v>
          </cell>
          <cell r="AI896">
            <v>2</v>
          </cell>
        </row>
        <row r="897">
          <cell r="C897" t="str">
            <v>090210</v>
          </cell>
          <cell r="AE897">
            <v>8213301</v>
          </cell>
          <cell r="AF897" t="str">
            <v>CHA VERDE, CHA BRANCO, CHA VERMELHO</v>
          </cell>
          <cell r="AG897">
            <v>330</v>
          </cell>
          <cell r="AH897">
            <v>7404.1882297760048</v>
          </cell>
          <cell r="AI897">
            <v>47</v>
          </cell>
        </row>
        <row r="898">
          <cell r="C898" t="str">
            <v>090210</v>
          </cell>
          <cell r="AE898">
            <v>8215701</v>
          </cell>
          <cell r="AF898" t="str">
            <v>CHA PRETO DESCAFEINADO</v>
          </cell>
          <cell r="AG898">
            <v>330</v>
          </cell>
          <cell r="AH898">
            <v>7404.1882297760048</v>
          </cell>
          <cell r="AI898">
            <v>47</v>
          </cell>
        </row>
        <row r="899">
          <cell r="C899" t="str">
            <v>090210</v>
          </cell>
          <cell r="AE899">
            <v>8215801</v>
          </cell>
          <cell r="AF899" t="str">
            <v>CHA VERDE, BRANCO OU VERMELHO DIET OU LIGHT</v>
          </cell>
          <cell r="AG899">
            <v>330</v>
          </cell>
          <cell r="AH899">
            <v>7404.1882297760048</v>
          </cell>
          <cell r="AI899">
            <v>47</v>
          </cell>
        </row>
        <row r="900">
          <cell r="C900" t="str">
            <v>090210</v>
          </cell>
          <cell r="AE900">
            <v>8215901</v>
          </cell>
          <cell r="AF900" t="str">
            <v>CHA, ERVAS NAO ESPECIFICADO</v>
          </cell>
          <cell r="AG900">
            <v>330</v>
          </cell>
          <cell r="AH900">
            <v>7404.1882297760048</v>
          </cell>
          <cell r="AI900">
            <v>47</v>
          </cell>
        </row>
        <row r="901">
          <cell r="C901" t="str">
            <v>000000</v>
          </cell>
          <cell r="AE901">
            <v>8216301</v>
          </cell>
          <cell r="AF901" t="str">
            <v>AGUA, REDE PUBLICA</v>
          </cell>
          <cell r="AG901">
            <v>0</v>
          </cell>
          <cell r="AH901">
            <v>0</v>
          </cell>
          <cell r="AI901">
            <v>0</v>
          </cell>
        </row>
        <row r="902">
          <cell r="C902">
            <v>220100</v>
          </cell>
          <cell r="AE902">
            <v>8216501</v>
          </cell>
          <cell r="AF902" t="str">
            <v>ICE TEA TRADICIONAL</v>
          </cell>
          <cell r="AG902">
            <v>204.33333333333334</v>
          </cell>
          <cell r="AH902">
            <v>12</v>
          </cell>
          <cell r="AI902">
            <v>21.25</v>
          </cell>
        </row>
        <row r="903">
          <cell r="C903" t="str">
            <v>100390</v>
          </cell>
          <cell r="AE903">
            <v>8216701</v>
          </cell>
          <cell r="AF903" t="str">
            <v>SUBSTITUTO DE CAFE NAO ESPECIFICADO</v>
          </cell>
          <cell r="AG903">
            <v>462.33333333333331</v>
          </cell>
          <cell r="AH903">
            <v>1214.0249684209161</v>
          </cell>
          <cell r="AI903">
            <v>8.8000000000000007</v>
          </cell>
        </row>
        <row r="904">
          <cell r="C904" t="str">
            <v>200960</v>
          </cell>
          <cell r="AE904">
            <v>8217001</v>
          </cell>
          <cell r="AF904" t="str">
            <v>SUCO NATURAL DE FRUTA</v>
          </cell>
          <cell r="AG904">
            <v>650</v>
          </cell>
          <cell r="AH904">
            <v>524.99825594233926</v>
          </cell>
          <cell r="AI904">
            <v>11</v>
          </cell>
        </row>
        <row r="905">
          <cell r="C905">
            <v>220100</v>
          </cell>
          <cell r="AE905">
            <v>8217401</v>
          </cell>
          <cell r="AF905" t="str">
            <v>TAMPICO</v>
          </cell>
          <cell r="AG905">
            <v>204.33333333333334</v>
          </cell>
          <cell r="AH905">
            <v>12</v>
          </cell>
          <cell r="AI905">
            <v>21.25</v>
          </cell>
        </row>
        <row r="906">
          <cell r="C906">
            <v>220110</v>
          </cell>
          <cell r="AE906">
            <v>8280001</v>
          </cell>
          <cell r="AF906" t="str">
            <v>AGUA COM LIMAO OU OUTRAS FRUTAS/ HORTALICAS</v>
          </cell>
          <cell r="AG906">
            <v>204.33333333333334</v>
          </cell>
          <cell r="AH906">
            <v>12</v>
          </cell>
          <cell r="AI906">
            <v>21.25</v>
          </cell>
        </row>
        <row r="907">
          <cell r="C907" t="str">
            <v>200960</v>
          </cell>
          <cell r="AE907">
            <v>8280101</v>
          </cell>
          <cell r="AF907" t="str">
            <v>SUCO INDUSTRIALIZADO</v>
          </cell>
          <cell r="AG907">
            <v>650</v>
          </cell>
          <cell r="AH907">
            <v>524.99825594233926</v>
          </cell>
          <cell r="AI907">
            <v>11</v>
          </cell>
        </row>
        <row r="908">
          <cell r="C908" t="str">
            <v>200960</v>
          </cell>
          <cell r="AE908">
            <v>8280401</v>
          </cell>
          <cell r="AF908" t="str">
            <v>SUCO DE TAMARINDO</v>
          </cell>
          <cell r="AG908">
            <v>650</v>
          </cell>
          <cell r="AH908">
            <v>524.99825594233926</v>
          </cell>
          <cell r="AI908">
            <v>11</v>
          </cell>
        </row>
        <row r="909">
          <cell r="C909" t="str">
            <v>200960</v>
          </cell>
          <cell r="AE909">
            <v>8280501</v>
          </cell>
          <cell r="AF909" t="str">
            <v>SUCO DE UVA</v>
          </cell>
          <cell r="AG909">
            <v>650</v>
          </cell>
          <cell r="AH909">
            <v>524.99825594233926</v>
          </cell>
          <cell r="AI909">
            <v>11</v>
          </cell>
        </row>
        <row r="910">
          <cell r="C910" t="str">
            <v>220300</v>
          </cell>
          <cell r="AE910">
            <v>8300101</v>
          </cell>
          <cell r="AF910" t="str">
            <v>CERVEJA (COM OU SEM ALCOOL)</v>
          </cell>
          <cell r="AG910">
            <v>1245</v>
          </cell>
          <cell r="AH910">
            <v>452.50899863661198</v>
          </cell>
          <cell r="AI910">
            <v>4.5</v>
          </cell>
        </row>
        <row r="911">
          <cell r="C911" t="str">
            <v>220300</v>
          </cell>
          <cell r="AE911">
            <v>8300201</v>
          </cell>
          <cell r="AF911" t="str">
            <v>CHOPP</v>
          </cell>
          <cell r="AG911">
            <v>1245</v>
          </cell>
          <cell r="AH911">
            <v>452.50899863661198</v>
          </cell>
          <cell r="AI911">
            <v>4.5</v>
          </cell>
        </row>
        <row r="912">
          <cell r="C912" t="str">
            <v>220840</v>
          </cell>
          <cell r="AE912">
            <v>8300301</v>
          </cell>
          <cell r="AF912" t="str">
            <v>AGUARDENTE</v>
          </cell>
          <cell r="AG912">
            <v>5295</v>
          </cell>
          <cell r="AH912">
            <v>503.31988193593691</v>
          </cell>
          <cell r="AI912">
            <v>41</v>
          </cell>
        </row>
        <row r="913">
          <cell r="C913" t="str">
            <v>220840</v>
          </cell>
          <cell r="AE913">
            <v>8300302</v>
          </cell>
          <cell r="AF913" t="str">
            <v>CACHACA</v>
          </cell>
          <cell r="AG913">
            <v>5295</v>
          </cell>
          <cell r="AH913">
            <v>503.31988193593691</v>
          </cell>
          <cell r="AI913">
            <v>41</v>
          </cell>
        </row>
        <row r="914">
          <cell r="C914" t="str">
            <v>220840</v>
          </cell>
          <cell r="AE914">
            <v>8300701</v>
          </cell>
          <cell r="AF914" t="str">
            <v>RUM</v>
          </cell>
          <cell r="AG914">
            <v>5295</v>
          </cell>
          <cell r="AH914">
            <v>503.31988193593691</v>
          </cell>
          <cell r="AI914">
            <v>41</v>
          </cell>
        </row>
        <row r="915">
          <cell r="C915" t="str">
            <v>220840</v>
          </cell>
          <cell r="AE915">
            <v>8300801</v>
          </cell>
          <cell r="AF915" t="str">
            <v>VODKA</v>
          </cell>
          <cell r="AG915">
            <v>5295</v>
          </cell>
          <cell r="AH915">
            <v>503.31988193593691</v>
          </cell>
          <cell r="AI915">
            <v>41</v>
          </cell>
        </row>
        <row r="916">
          <cell r="C916">
            <v>220830</v>
          </cell>
          <cell r="AE916">
            <v>8301001</v>
          </cell>
          <cell r="AF916" t="str">
            <v>UISQUE</v>
          </cell>
          <cell r="AG916">
            <v>3000</v>
          </cell>
          <cell r="AH916">
            <v>503.31988193593691</v>
          </cell>
          <cell r="AI916">
            <v>41</v>
          </cell>
        </row>
        <row r="917">
          <cell r="C917">
            <v>220830</v>
          </cell>
          <cell r="AE917">
            <v>8301002</v>
          </cell>
          <cell r="AF917" t="str">
            <v>WHISKY</v>
          </cell>
          <cell r="AG917">
            <v>3000</v>
          </cell>
          <cell r="AH917">
            <v>503.31988193593691</v>
          </cell>
          <cell r="AI917">
            <v>41</v>
          </cell>
        </row>
        <row r="918">
          <cell r="C918" t="str">
            <v>220410</v>
          </cell>
          <cell r="AE918">
            <v>8301201</v>
          </cell>
          <cell r="AF918" t="str">
            <v>CHAMPANHE</v>
          </cell>
          <cell r="AG918">
            <v>2200</v>
          </cell>
          <cell r="AH918">
            <v>503.31988193593691</v>
          </cell>
          <cell r="AI918">
            <v>16</v>
          </cell>
        </row>
        <row r="919">
          <cell r="C919" t="str">
            <v>220600</v>
          </cell>
          <cell r="AE919">
            <v>8301202</v>
          </cell>
          <cell r="AF919" t="str">
            <v>SIDRA CHAMPANHE</v>
          </cell>
          <cell r="AG919">
            <v>1400</v>
          </cell>
          <cell r="AH919">
            <v>503.31988193593691</v>
          </cell>
          <cell r="AI919">
            <v>21.25</v>
          </cell>
        </row>
        <row r="920">
          <cell r="C920" t="str">
            <v>220600</v>
          </cell>
          <cell r="AE920">
            <v>8301203</v>
          </cell>
          <cell r="AF920" t="str">
            <v>ESPUMANTE</v>
          </cell>
          <cell r="AG920">
            <v>1400</v>
          </cell>
          <cell r="AH920">
            <v>503.31988193593691</v>
          </cell>
          <cell r="AI920">
            <v>21.25</v>
          </cell>
        </row>
        <row r="921">
          <cell r="C921" t="str">
            <v>220600</v>
          </cell>
          <cell r="AE921">
            <v>8301301</v>
          </cell>
          <cell r="AF921" t="str">
            <v>VERMUTE</v>
          </cell>
          <cell r="AG921">
            <v>1400</v>
          </cell>
          <cell r="AH921">
            <v>503.31988193593691</v>
          </cell>
          <cell r="AI921">
            <v>21.25</v>
          </cell>
        </row>
        <row r="922">
          <cell r="C922">
            <v>220600</v>
          </cell>
          <cell r="AE922">
            <v>8301501</v>
          </cell>
          <cell r="AF922" t="str">
            <v>MARTINI</v>
          </cell>
          <cell r="AG922">
            <v>1400</v>
          </cell>
          <cell r="AH922">
            <v>503.31988193593691</v>
          </cell>
          <cell r="AI922">
            <v>21.25</v>
          </cell>
        </row>
        <row r="923">
          <cell r="C923" t="str">
            <v>220820</v>
          </cell>
          <cell r="AE923">
            <v>8301601</v>
          </cell>
          <cell r="AF923" t="str">
            <v>CONHAQUE</v>
          </cell>
          <cell r="AG923">
            <v>7590</v>
          </cell>
          <cell r="AH923">
            <v>503.31988193593691</v>
          </cell>
          <cell r="AI923">
            <v>41</v>
          </cell>
        </row>
        <row r="924">
          <cell r="C924" t="str">
            <v>220840</v>
          </cell>
          <cell r="AE924">
            <v>8301701</v>
          </cell>
          <cell r="AF924" t="str">
            <v>DRINK DREHER</v>
          </cell>
          <cell r="AG924">
            <v>5295</v>
          </cell>
          <cell r="AH924">
            <v>503.31988193593691</v>
          </cell>
          <cell r="AI924">
            <v>41</v>
          </cell>
        </row>
        <row r="925">
          <cell r="C925" t="str">
            <v>220840</v>
          </cell>
          <cell r="AE925">
            <v>8301901</v>
          </cell>
          <cell r="AF925" t="str">
            <v>LICOR DE QUALQUER SABOR</v>
          </cell>
          <cell r="AG925">
            <v>5295</v>
          </cell>
          <cell r="AH925">
            <v>503.31988193593691</v>
          </cell>
          <cell r="AI925">
            <v>41</v>
          </cell>
        </row>
        <row r="926">
          <cell r="C926">
            <v>220429</v>
          </cell>
          <cell r="AE926">
            <v>8302415</v>
          </cell>
          <cell r="AF926" t="str">
            <v>VINHO</v>
          </cell>
          <cell r="AG926">
            <v>2200</v>
          </cell>
          <cell r="AH926">
            <v>409.67897366878577</v>
          </cell>
          <cell r="AI926">
            <v>16</v>
          </cell>
        </row>
        <row r="927">
          <cell r="C927" t="str">
            <v>220840</v>
          </cell>
          <cell r="AE927">
            <v>8302416</v>
          </cell>
          <cell r="AF927" t="str">
            <v>CATUABA</v>
          </cell>
          <cell r="AG927">
            <v>5295</v>
          </cell>
          <cell r="AH927">
            <v>503.31988193593691</v>
          </cell>
          <cell r="AI927">
            <v>41</v>
          </cell>
        </row>
        <row r="928">
          <cell r="C928" t="str">
            <v>220300</v>
          </cell>
          <cell r="AE928">
            <v>8303301</v>
          </cell>
          <cell r="AF928" t="str">
            <v>CERVEJA SEM ALCOOL</v>
          </cell>
          <cell r="AG928">
            <v>1245</v>
          </cell>
          <cell r="AH928">
            <v>452.50899863661198</v>
          </cell>
          <cell r="AI928">
            <v>4.5</v>
          </cell>
        </row>
        <row r="929">
          <cell r="C929" t="str">
            <v>220510</v>
          </cell>
          <cell r="AE929">
            <v>8303501</v>
          </cell>
          <cell r="AF929" t="str">
            <v>BEBIDA ALCOOLICA</v>
          </cell>
          <cell r="AG929">
            <v>3000</v>
          </cell>
          <cell r="AH929">
            <v>4354.5270731281807</v>
          </cell>
          <cell r="AI929">
            <v>21.25</v>
          </cell>
        </row>
        <row r="930">
          <cell r="C930" t="str">
            <v>220840</v>
          </cell>
          <cell r="AE930">
            <v>8305001</v>
          </cell>
          <cell r="AF930" t="str">
            <v>COQUETEL DE FRUTAS SEM ALCOOL</v>
          </cell>
          <cell r="AG930">
            <v>5295</v>
          </cell>
          <cell r="AH930">
            <v>503.31988193593691</v>
          </cell>
          <cell r="AI930">
            <v>41</v>
          </cell>
        </row>
        <row r="931">
          <cell r="C931" t="str">
            <v>220840</v>
          </cell>
          <cell r="AE931">
            <v>8305201</v>
          </cell>
          <cell r="AF931" t="str">
            <v>DRINK - MISTURA DE BEBIDAS</v>
          </cell>
          <cell r="AG931">
            <v>5295</v>
          </cell>
          <cell r="AH931">
            <v>503.31988193593691</v>
          </cell>
          <cell r="AI931">
            <v>41</v>
          </cell>
        </row>
        <row r="932">
          <cell r="C932" t="str">
            <v>220840</v>
          </cell>
          <cell r="AE932">
            <v>8305501</v>
          </cell>
          <cell r="AF932" t="str">
            <v>SAKE / SAQUE</v>
          </cell>
          <cell r="AG932">
            <v>5295</v>
          </cell>
          <cell r="AH932">
            <v>503.31988193593691</v>
          </cell>
          <cell r="AI932">
            <v>41</v>
          </cell>
        </row>
        <row r="933">
          <cell r="C933">
            <v>220429</v>
          </cell>
          <cell r="AE933">
            <v>8305901</v>
          </cell>
          <cell r="AF933" t="str">
            <v>VINHO, SEM ALCOOL</v>
          </cell>
          <cell r="AG933">
            <v>2200</v>
          </cell>
          <cell r="AH933">
            <v>409.67897366878577</v>
          </cell>
          <cell r="AI933">
            <v>16</v>
          </cell>
        </row>
        <row r="934">
          <cell r="C934" t="str">
            <v>150990</v>
          </cell>
          <cell r="AE934">
            <v>8400101</v>
          </cell>
          <cell r="AF934" t="str">
            <v>AZEITE DE OLIVA</v>
          </cell>
          <cell r="AG934">
            <v>2941.4969082125604</v>
          </cell>
          <cell r="AH934">
            <v>7360</v>
          </cell>
          <cell r="AI934">
            <v>75.416666666666671</v>
          </cell>
        </row>
        <row r="935">
          <cell r="C935" t="str">
            <v>150790</v>
          </cell>
          <cell r="AE935">
            <v>8400301</v>
          </cell>
          <cell r="AF935" t="str">
            <v>OLEO DE SOJA</v>
          </cell>
          <cell r="AG935">
            <v>1692</v>
          </cell>
          <cell r="AH935">
            <v>4293.0304906780584</v>
          </cell>
          <cell r="AI935">
            <v>38</v>
          </cell>
        </row>
        <row r="936">
          <cell r="C936" t="str">
            <v>150790</v>
          </cell>
          <cell r="AE936">
            <v>8400401</v>
          </cell>
          <cell r="AF936" t="str">
            <v>OLEO, MILHO</v>
          </cell>
          <cell r="AG936">
            <v>1692</v>
          </cell>
          <cell r="AH936">
            <v>4293.0304906780584</v>
          </cell>
          <cell r="AI936">
            <v>38</v>
          </cell>
        </row>
        <row r="937">
          <cell r="C937">
            <v>150110</v>
          </cell>
          <cell r="AE937">
            <v>8401801</v>
          </cell>
          <cell r="AF937" t="str">
            <v>BANHA SUINA</v>
          </cell>
          <cell r="AG937">
            <v>2571.0720128824478</v>
          </cell>
          <cell r="AH937">
            <v>4399.5</v>
          </cell>
          <cell r="AI937">
            <v>56.708333333333336</v>
          </cell>
        </row>
        <row r="938">
          <cell r="C938">
            <v>150790</v>
          </cell>
          <cell r="AE938">
            <v>8403201</v>
          </cell>
          <cell r="AF938" t="str">
            <v>OLEO NÃO ESPECIFICADO</v>
          </cell>
          <cell r="AG938">
            <v>1869.7142857142858</v>
          </cell>
          <cell r="AH938">
            <v>7821.9024214444908</v>
          </cell>
          <cell r="AI938">
            <v>38</v>
          </cell>
        </row>
        <row r="939">
          <cell r="C939" t="str">
            <v>151190</v>
          </cell>
          <cell r="AE939">
            <v>8403501</v>
          </cell>
          <cell r="AF939" t="str">
            <v>OLEO DE DENDE</v>
          </cell>
          <cell r="AG939">
            <v>2525</v>
          </cell>
          <cell r="AH939">
            <v>5523.487692325024</v>
          </cell>
          <cell r="AI939">
            <v>66</v>
          </cell>
        </row>
        <row r="940">
          <cell r="C940" t="str">
            <v>150790</v>
          </cell>
          <cell r="AE940">
            <v>8403601</v>
          </cell>
          <cell r="AF940" t="str">
            <v>OLEO, COCO</v>
          </cell>
          <cell r="AG940">
            <v>1692</v>
          </cell>
          <cell r="AH940">
            <v>4293.0304906780584</v>
          </cell>
          <cell r="AI940">
            <v>38</v>
          </cell>
        </row>
        <row r="941">
          <cell r="C941">
            <v>190410</v>
          </cell>
          <cell r="AE941">
            <v>8500201</v>
          </cell>
          <cell r="AF941" t="str">
            <v>SALGADINHO</v>
          </cell>
          <cell r="AG941">
            <v>3900</v>
          </cell>
          <cell r="AH941">
            <v>1772</v>
          </cell>
          <cell r="AI941">
            <v>10.334717607973422</v>
          </cell>
        </row>
        <row r="942">
          <cell r="C942" t="str">
            <v>190220</v>
          </cell>
          <cell r="AE942">
            <v>8500202</v>
          </cell>
          <cell r="AF942" t="str">
            <v>PASTEL (QUEIJO, CARNE, PALMITO, ETC)</v>
          </cell>
          <cell r="AG942">
            <v>3600</v>
          </cell>
          <cell r="AH942">
            <v>1730.2020304029807</v>
          </cell>
          <cell r="AI942">
            <v>10.5</v>
          </cell>
        </row>
        <row r="943">
          <cell r="C943" t="str">
            <v>190220</v>
          </cell>
          <cell r="AE943">
            <v>8500203</v>
          </cell>
          <cell r="AF943" t="str">
            <v>CROQUETE</v>
          </cell>
          <cell r="AG943">
            <v>3600</v>
          </cell>
          <cell r="AH943">
            <v>1730.2020304029807</v>
          </cell>
          <cell r="AI943">
            <v>10.5</v>
          </cell>
        </row>
        <row r="944">
          <cell r="C944" t="str">
            <v>190220</v>
          </cell>
          <cell r="AE944">
            <v>8500205</v>
          </cell>
          <cell r="AF944" t="str">
            <v>COXINHA</v>
          </cell>
          <cell r="AG944">
            <v>3600</v>
          </cell>
          <cell r="AH944">
            <v>1730.2020304029807</v>
          </cell>
          <cell r="AI944">
            <v>10.5</v>
          </cell>
        </row>
        <row r="945">
          <cell r="C945">
            <v>160290</v>
          </cell>
          <cell r="AE945">
            <v>8500303</v>
          </cell>
          <cell r="AF945" t="str">
            <v>HAMBURGUER (SANDUICHE)</v>
          </cell>
          <cell r="AG945">
            <v>9000</v>
          </cell>
          <cell r="AH945">
            <v>8744</v>
          </cell>
          <cell r="AI945">
            <v>52</v>
          </cell>
        </row>
        <row r="946">
          <cell r="C946" t="str">
            <v>160290</v>
          </cell>
          <cell r="AE946">
            <v>8500304</v>
          </cell>
          <cell r="AF946" t="str">
            <v>CHEESBURGUER</v>
          </cell>
          <cell r="AG946">
            <v>9000</v>
          </cell>
          <cell r="AH946">
            <v>8744</v>
          </cell>
          <cell r="AI946">
            <v>52</v>
          </cell>
        </row>
        <row r="947">
          <cell r="C947" t="str">
            <v>160290</v>
          </cell>
          <cell r="AE947">
            <v>8500305</v>
          </cell>
          <cell r="AF947" t="str">
            <v>EGGSBURGUER</v>
          </cell>
          <cell r="AG947">
            <v>9000</v>
          </cell>
          <cell r="AH947">
            <v>8744</v>
          </cell>
          <cell r="AI947">
            <v>52</v>
          </cell>
        </row>
        <row r="948">
          <cell r="C948" t="str">
            <v>160290</v>
          </cell>
          <cell r="AE948">
            <v>8500307</v>
          </cell>
          <cell r="AF948" t="str">
            <v>BAURU</v>
          </cell>
          <cell r="AG948">
            <v>9000</v>
          </cell>
          <cell r="AH948">
            <v>8744</v>
          </cell>
          <cell r="AI948">
            <v>52</v>
          </cell>
        </row>
        <row r="949">
          <cell r="C949" t="str">
            <v>160290</v>
          </cell>
          <cell r="AE949">
            <v>8500308</v>
          </cell>
          <cell r="AF949" t="str">
            <v>AMERICANO</v>
          </cell>
          <cell r="AG949">
            <v>9000</v>
          </cell>
          <cell r="AH949">
            <v>8744</v>
          </cell>
          <cell r="AI949">
            <v>52</v>
          </cell>
        </row>
        <row r="950">
          <cell r="C950" t="str">
            <v>160290</v>
          </cell>
          <cell r="AE950">
            <v>8500321</v>
          </cell>
          <cell r="AF950" t="str">
            <v>CHEESE EGG</v>
          </cell>
          <cell r="AG950">
            <v>9000</v>
          </cell>
          <cell r="AH950">
            <v>8744</v>
          </cell>
          <cell r="AI950">
            <v>52</v>
          </cell>
        </row>
        <row r="951">
          <cell r="C951" t="str">
            <v>160290</v>
          </cell>
          <cell r="AE951">
            <v>8500322</v>
          </cell>
          <cell r="AF951" t="str">
            <v>CHEESE TUDO</v>
          </cell>
          <cell r="AG951">
            <v>9000</v>
          </cell>
          <cell r="AH951">
            <v>8744</v>
          </cell>
          <cell r="AI951">
            <v>52</v>
          </cell>
        </row>
        <row r="952">
          <cell r="C952" t="str">
            <v>160290</v>
          </cell>
          <cell r="AE952">
            <v>8500357</v>
          </cell>
          <cell r="AF952" t="str">
            <v>WRAP FRANGO OU GALINHA</v>
          </cell>
          <cell r="AG952">
            <v>9000</v>
          </cell>
          <cell r="AH952">
            <v>8744</v>
          </cell>
          <cell r="AI952">
            <v>52</v>
          </cell>
        </row>
        <row r="953">
          <cell r="C953" t="str">
            <v>160290</v>
          </cell>
          <cell r="AE953">
            <v>8500358</v>
          </cell>
          <cell r="AF953" t="str">
            <v>WRAP, CARNE</v>
          </cell>
          <cell r="AG953">
            <v>9000</v>
          </cell>
          <cell r="AH953">
            <v>8744</v>
          </cell>
          <cell r="AI953">
            <v>52</v>
          </cell>
        </row>
        <row r="954">
          <cell r="C954" t="str">
            <v>200960</v>
          </cell>
          <cell r="AE954">
            <v>8500401</v>
          </cell>
          <cell r="AF954" t="str">
            <v>SUCO</v>
          </cell>
          <cell r="AG954">
            <v>650</v>
          </cell>
          <cell r="AH954">
            <v>524.99825594233926</v>
          </cell>
          <cell r="AI954">
            <v>11</v>
          </cell>
        </row>
        <row r="955">
          <cell r="C955">
            <v>200940</v>
          </cell>
          <cell r="AE955">
            <v>8500402</v>
          </cell>
          <cell r="AF955" t="str">
            <v>SUCO DE ABACAXI</v>
          </cell>
          <cell r="AG955">
            <v>728.29107237189646</v>
          </cell>
          <cell r="AH955">
            <v>797.72771605166247</v>
          </cell>
          <cell r="AI955">
            <v>11</v>
          </cell>
        </row>
        <row r="956">
          <cell r="C956" t="str">
            <v>220290</v>
          </cell>
          <cell r="AE956">
            <v>8500406</v>
          </cell>
          <cell r="AF956" t="str">
            <v>SUCO DE GOIABA</v>
          </cell>
          <cell r="AG956">
            <v>477.7</v>
          </cell>
          <cell r="AH956">
            <v>11543.725015272823</v>
          </cell>
          <cell r="AI956">
            <v>57.5</v>
          </cell>
        </row>
        <row r="957">
          <cell r="C957" t="str">
            <v>200919</v>
          </cell>
          <cell r="AE957">
            <v>8500407</v>
          </cell>
          <cell r="AF957" t="str">
            <v>SUCO DE LARANJA</v>
          </cell>
          <cell r="AG957">
            <v>780.4851206198274</v>
          </cell>
          <cell r="AH957">
            <v>718.51525990446032</v>
          </cell>
          <cell r="AI957">
            <v>11</v>
          </cell>
        </row>
        <row r="958">
          <cell r="C958" t="str">
            <v>220290</v>
          </cell>
          <cell r="AE958">
            <v>8500413</v>
          </cell>
          <cell r="AF958" t="str">
            <v>SUCO DE MANGA</v>
          </cell>
          <cell r="AG958">
            <v>477.7</v>
          </cell>
          <cell r="AH958">
            <v>11543.725015272823</v>
          </cell>
          <cell r="AI958">
            <v>57.5</v>
          </cell>
        </row>
        <row r="959">
          <cell r="C959" t="str">
            <v>200990</v>
          </cell>
          <cell r="AE959">
            <v>8500414</v>
          </cell>
          <cell r="AF959" t="str">
            <v>SUCO DE MARACUJA</v>
          </cell>
          <cell r="AG959">
            <v>728.29107237189646</v>
          </cell>
          <cell r="AH959">
            <v>860.47430459166037</v>
          </cell>
          <cell r="AI959">
            <v>11</v>
          </cell>
        </row>
        <row r="960">
          <cell r="C960" t="str">
            <v>220290</v>
          </cell>
          <cell r="AE960">
            <v>8500417</v>
          </cell>
          <cell r="AF960" t="str">
            <v>SUCO DE PESSEGO</v>
          </cell>
          <cell r="AG960">
            <v>477.7</v>
          </cell>
          <cell r="AH960">
            <v>11543.725015272823</v>
          </cell>
          <cell r="AI960">
            <v>57.5</v>
          </cell>
        </row>
        <row r="961">
          <cell r="C961" t="str">
            <v>220290</v>
          </cell>
          <cell r="AE961">
            <v>8500418</v>
          </cell>
          <cell r="AF961" t="str">
            <v>SUCO DE PESSEGO EM CALDA</v>
          </cell>
          <cell r="AG961">
            <v>477.7</v>
          </cell>
          <cell r="AH961">
            <v>11543.725015272823</v>
          </cell>
          <cell r="AI961">
            <v>57.5</v>
          </cell>
        </row>
        <row r="962">
          <cell r="C962" t="str">
            <v>220290</v>
          </cell>
          <cell r="AE962">
            <v>8500601</v>
          </cell>
          <cell r="AF962" t="str">
            <v>REFRESCO</v>
          </cell>
          <cell r="AG962">
            <v>477.7</v>
          </cell>
          <cell r="AH962">
            <v>11543.725015272823</v>
          </cell>
          <cell r="AI962">
            <v>57.5</v>
          </cell>
        </row>
        <row r="963">
          <cell r="C963" t="str">
            <v>220290</v>
          </cell>
          <cell r="AE963">
            <v>8500602</v>
          </cell>
          <cell r="AF963" t="str">
            <v>REFRESCO DE CAJU</v>
          </cell>
          <cell r="AG963">
            <v>477.7</v>
          </cell>
          <cell r="AH963">
            <v>11543.725015272823</v>
          </cell>
          <cell r="AI963">
            <v>57.5</v>
          </cell>
        </row>
        <row r="964">
          <cell r="C964" t="str">
            <v>220290</v>
          </cell>
          <cell r="AE964">
            <v>8500603</v>
          </cell>
          <cell r="AF964" t="str">
            <v>REFRESCO DE GROSELHA</v>
          </cell>
          <cell r="AG964">
            <v>477.7</v>
          </cell>
          <cell r="AH964">
            <v>11543.725015272823</v>
          </cell>
          <cell r="AI964">
            <v>57.5</v>
          </cell>
        </row>
        <row r="965">
          <cell r="C965" t="str">
            <v>220290</v>
          </cell>
          <cell r="AE965">
            <v>8500604</v>
          </cell>
          <cell r="AF965" t="str">
            <v>REFRESCO DE LARANJA</v>
          </cell>
          <cell r="AG965">
            <v>477.7</v>
          </cell>
          <cell r="AH965">
            <v>11543.725015272823</v>
          </cell>
          <cell r="AI965">
            <v>57.5</v>
          </cell>
        </row>
        <row r="966">
          <cell r="C966" t="str">
            <v>220290</v>
          </cell>
          <cell r="AE966">
            <v>8500605</v>
          </cell>
          <cell r="AF966" t="str">
            <v>REFRESCO DE MARACUJA</v>
          </cell>
          <cell r="AG966">
            <v>477.7</v>
          </cell>
          <cell r="AH966">
            <v>11543.725015272823</v>
          </cell>
          <cell r="AI966">
            <v>57.5</v>
          </cell>
        </row>
        <row r="967">
          <cell r="C967" t="str">
            <v>220290</v>
          </cell>
          <cell r="AE967">
            <v>8500606</v>
          </cell>
          <cell r="AF967" t="str">
            <v>REFRESCO DE LIMAO</v>
          </cell>
          <cell r="AG967">
            <v>477.7</v>
          </cell>
          <cell r="AH967">
            <v>11543.725015272823</v>
          </cell>
          <cell r="AI967">
            <v>57.5</v>
          </cell>
        </row>
        <row r="968">
          <cell r="C968" t="str">
            <v>220290</v>
          </cell>
          <cell r="AE968">
            <v>8500607</v>
          </cell>
          <cell r="AF968" t="str">
            <v>REFRESCO CLIGHT</v>
          </cell>
          <cell r="AG968">
            <v>477.7</v>
          </cell>
          <cell r="AH968">
            <v>11543.725015272823</v>
          </cell>
          <cell r="AI968">
            <v>57.5</v>
          </cell>
        </row>
        <row r="969">
          <cell r="C969" t="str">
            <v>220290</v>
          </cell>
          <cell r="AE969">
            <v>8500608</v>
          </cell>
          <cell r="AF969" t="str">
            <v>REFRESCO DE GUARANA NATURAL LIGHT / DIET</v>
          </cell>
          <cell r="AG969">
            <v>477.7</v>
          </cell>
          <cell r="AH969">
            <v>11543.725015272823</v>
          </cell>
          <cell r="AI969">
            <v>57.5</v>
          </cell>
        </row>
        <row r="970">
          <cell r="C970" t="str">
            <v>220290</v>
          </cell>
          <cell r="AE970">
            <v>8500609</v>
          </cell>
          <cell r="AF970" t="str">
            <v>REFRESCO TANG</v>
          </cell>
          <cell r="AG970">
            <v>477.7</v>
          </cell>
          <cell r="AH970">
            <v>11543.725015272823</v>
          </cell>
          <cell r="AI970">
            <v>57.5</v>
          </cell>
        </row>
        <row r="971">
          <cell r="C971" t="str">
            <v>190590</v>
          </cell>
          <cell r="AE971">
            <v>8500903</v>
          </cell>
          <cell r="AF971" t="str">
            <v>PIZZA</v>
          </cell>
          <cell r="AG971">
            <v>4400</v>
          </cell>
          <cell r="AH971">
            <v>1045.2</v>
          </cell>
          <cell r="AI971">
            <v>6.7933333333333339</v>
          </cell>
        </row>
        <row r="972">
          <cell r="C972">
            <v>190230</v>
          </cell>
          <cell r="AE972">
            <v>8500905</v>
          </cell>
          <cell r="AF972" t="str">
            <v>NHOQUE</v>
          </cell>
          <cell r="AG972">
            <v>1447.9877152988854</v>
          </cell>
          <cell r="AH972">
            <v>1730.2020304029807</v>
          </cell>
          <cell r="AI972">
            <v>10.5</v>
          </cell>
        </row>
        <row r="973">
          <cell r="C973">
            <v>190590</v>
          </cell>
          <cell r="AE973">
            <v>8500914</v>
          </cell>
          <cell r="AF973" t="str">
            <v>PIZZA CALABREZA</v>
          </cell>
          <cell r="AG973">
            <v>5700</v>
          </cell>
          <cell r="AH973">
            <v>1600</v>
          </cell>
          <cell r="AI973">
            <v>6.7933333333333339</v>
          </cell>
        </row>
        <row r="974">
          <cell r="C974">
            <v>190590</v>
          </cell>
          <cell r="AE974">
            <v>8500915</v>
          </cell>
          <cell r="AF974" t="str">
            <v>PIZZA MUZZARELA</v>
          </cell>
          <cell r="AG974">
            <v>4000</v>
          </cell>
          <cell r="AH974">
            <v>1600</v>
          </cell>
          <cell r="AI974">
            <v>6.7933333333333339</v>
          </cell>
        </row>
        <row r="975">
          <cell r="C975">
            <v>190590</v>
          </cell>
          <cell r="AE975">
            <v>8500916</v>
          </cell>
          <cell r="AF975" t="str">
            <v>PIZZA PRESUNTO</v>
          </cell>
          <cell r="AG975">
            <v>4200</v>
          </cell>
          <cell r="AH975">
            <v>1600</v>
          </cell>
          <cell r="AI975">
            <v>6.7933333333333339</v>
          </cell>
        </row>
        <row r="976">
          <cell r="C976" t="str">
            <v>020711</v>
          </cell>
          <cell r="AE976">
            <v>8501004</v>
          </cell>
          <cell r="AF976" t="str">
            <v>GALETO</v>
          </cell>
          <cell r="AG976">
            <v>3320.9089509884666</v>
          </cell>
          <cell r="AH976">
            <v>4474.4591510944665</v>
          </cell>
          <cell r="AI976">
            <v>26.5</v>
          </cell>
        </row>
        <row r="977">
          <cell r="C977" t="str">
            <v>100590</v>
          </cell>
          <cell r="AE977">
            <v>8501202</v>
          </cell>
          <cell r="AF977" t="str">
            <v>PIPOCA DOCE OU SALGADA</v>
          </cell>
          <cell r="AG977">
            <v>558.33333333333337</v>
          </cell>
          <cell r="AH977">
            <v>1254.7498947363872</v>
          </cell>
          <cell r="AI977">
            <v>3.2495477253553973</v>
          </cell>
        </row>
        <row r="978">
          <cell r="C978" t="str">
            <v>090121</v>
          </cell>
          <cell r="AE978">
            <v>8501302</v>
          </cell>
          <cell r="AF978" t="str">
            <v>CAFE</v>
          </cell>
          <cell r="AG978">
            <v>330</v>
          </cell>
          <cell r="AH978">
            <v>12260.744090910444</v>
          </cell>
          <cell r="AI978">
            <v>52</v>
          </cell>
        </row>
        <row r="979">
          <cell r="C979" t="str">
            <v>090121</v>
          </cell>
          <cell r="AE979">
            <v>8501304</v>
          </cell>
          <cell r="AF979" t="str">
            <v>CAFE TIPO EXPRESSO</v>
          </cell>
          <cell r="AG979">
            <v>330</v>
          </cell>
          <cell r="AH979">
            <v>12260.744090910444</v>
          </cell>
          <cell r="AI979">
            <v>52</v>
          </cell>
        </row>
        <row r="980">
          <cell r="C980" t="str">
            <v>090121</v>
          </cell>
          <cell r="AE980">
            <v>8501305</v>
          </cell>
          <cell r="AF980" t="str">
            <v>CAFE TIPO CAPUCCINO</v>
          </cell>
          <cell r="AG980">
            <v>330</v>
          </cell>
          <cell r="AH980">
            <v>12260.744090910444</v>
          </cell>
          <cell r="AI980">
            <v>52</v>
          </cell>
        </row>
        <row r="981">
          <cell r="C981" t="str">
            <v>090121</v>
          </cell>
          <cell r="AE981">
            <v>8501306</v>
          </cell>
          <cell r="AF981" t="str">
            <v>CAFE CAPPUCINO DESCAFEINADO</v>
          </cell>
          <cell r="AG981">
            <v>330</v>
          </cell>
          <cell r="AH981">
            <v>12260.744090910444</v>
          </cell>
          <cell r="AI981">
            <v>52</v>
          </cell>
        </row>
        <row r="982">
          <cell r="C982" t="str">
            <v>090121</v>
          </cell>
          <cell r="AE982">
            <v>8501307</v>
          </cell>
          <cell r="AF982" t="str">
            <v>CAFE CAPPUCINO LIGHT / DIET</v>
          </cell>
          <cell r="AG982">
            <v>330</v>
          </cell>
          <cell r="AH982">
            <v>12260.744090910444</v>
          </cell>
          <cell r="AI982">
            <v>52</v>
          </cell>
        </row>
        <row r="983">
          <cell r="C983" t="str">
            <v>090121</v>
          </cell>
          <cell r="AE983">
            <v>8501308</v>
          </cell>
          <cell r="AF983" t="str">
            <v>CAFE CARIOCA</v>
          </cell>
          <cell r="AG983">
            <v>330</v>
          </cell>
          <cell r="AH983">
            <v>12260.744090910444</v>
          </cell>
          <cell r="AI983">
            <v>52</v>
          </cell>
        </row>
        <row r="984">
          <cell r="C984" t="str">
            <v>090121</v>
          </cell>
          <cell r="AE984">
            <v>8501310</v>
          </cell>
          <cell r="AF984" t="str">
            <v>CAFE DESCAFEINADO</v>
          </cell>
          <cell r="AG984">
            <v>330</v>
          </cell>
          <cell r="AH984">
            <v>12260.744090910444</v>
          </cell>
          <cell r="AI984">
            <v>52</v>
          </cell>
        </row>
        <row r="985">
          <cell r="C985" t="str">
            <v>090121</v>
          </cell>
          <cell r="AE985">
            <v>8501311</v>
          </cell>
          <cell r="AF985" t="str">
            <v>CAFE EXPRESSO DESCAFEINADO</v>
          </cell>
          <cell r="AG985">
            <v>330</v>
          </cell>
          <cell r="AH985">
            <v>12260.744090910444</v>
          </cell>
          <cell r="AI985">
            <v>52</v>
          </cell>
        </row>
        <row r="986">
          <cell r="C986" t="str">
            <v>100590</v>
          </cell>
          <cell r="AE986">
            <v>8501402</v>
          </cell>
          <cell r="AF986" t="str">
            <v>MILHO COZIDO</v>
          </cell>
          <cell r="AG986">
            <v>558.33333333333337</v>
          </cell>
          <cell r="AH986">
            <v>1254.7498947363872</v>
          </cell>
          <cell r="AI986">
            <v>3.2495477253553973</v>
          </cell>
        </row>
        <row r="987">
          <cell r="C987">
            <v>200520</v>
          </cell>
          <cell r="AE987">
            <v>8501502</v>
          </cell>
          <cell r="AF987" t="str">
            <v>BATATA PALITO</v>
          </cell>
          <cell r="AG987">
            <v>2200</v>
          </cell>
          <cell r="AH987">
            <v>2256.485722150212</v>
          </cell>
          <cell r="AI987">
            <v>5</v>
          </cell>
        </row>
        <row r="988">
          <cell r="C988">
            <v>200520</v>
          </cell>
          <cell r="AE988">
            <v>8501503</v>
          </cell>
          <cell r="AF988" t="str">
            <v>BATATA PALHA</v>
          </cell>
          <cell r="AG988">
            <v>2200</v>
          </cell>
          <cell r="AH988">
            <v>2256.485722150212</v>
          </cell>
          <cell r="AI988">
            <v>5</v>
          </cell>
        </row>
        <row r="989">
          <cell r="C989">
            <v>190190</v>
          </cell>
          <cell r="AE989">
            <v>8501904</v>
          </cell>
          <cell r="AF989" t="str">
            <v>CURAU</v>
          </cell>
          <cell r="AG989">
            <v>3200</v>
          </cell>
          <cell r="AH989">
            <v>1870.1099089032616</v>
          </cell>
          <cell r="AI989">
            <v>5</v>
          </cell>
        </row>
        <row r="990">
          <cell r="C990">
            <v>110620</v>
          </cell>
          <cell r="AE990">
            <v>8502101</v>
          </cell>
          <cell r="AF990" t="str">
            <v>FAROFA PRONTA LIGHT</v>
          </cell>
          <cell r="AG990">
            <v>594</v>
          </cell>
          <cell r="AH990">
            <v>1854.3502757816716</v>
          </cell>
          <cell r="AI990">
            <v>8.5</v>
          </cell>
        </row>
        <row r="991">
          <cell r="C991">
            <v>110620</v>
          </cell>
          <cell r="AE991">
            <v>8502901</v>
          </cell>
          <cell r="AF991" t="str">
            <v>FAROFA PRONTA</v>
          </cell>
          <cell r="AG991">
            <v>594</v>
          </cell>
          <cell r="AH991">
            <v>1854.3502757816716</v>
          </cell>
          <cell r="AI991">
            <v>8.5</v>
          </cell>
        </row>
        <row r="992">
          <cell r="C992">
            <v>210410</v>
          </cell>
          <cell r="AE992">
            <v>8503202</v>
          </cell>
          <cell r="AF992" t="str">
            <v>CALDO DE CARNE</v>
          </cell>
          <cell r="AG992">
            <v>2800</v>
          </cell>
          <cell r="AH992">
            <v>6114.9086447857417</v>
          </cell>
          <cell r="AI992">
            <v>33.5</v>
          </cell>
        </row>
        <row r="993">
          <cell r="C993" t="str">
            <v>180500</v>
          </cell>
          <cell r="AE993">
            <v>8507601</v>
          </cell>
          <cell r="AF993" t="str">
            <v>CHOCOLATE</v>
          </cell>
          <cell r="AG993">
            <v>2333.3333333333335</v>
          </cell>
          <cell r="AH993">
            <v>30989.752514303607</v>
          </cell>
          <cell r="AI993">
            <v>46</v>
          </cell>
        </row>
        <row r="994">
          <cell r="C994" t="str">
            <v>070200</v>
          </cell>
          <cell r="AE994">
            <v>8511401</v>
          </cell>
          <cell r="AF994" t="str">
            <v>SALADA DE TOMATE</v>
          </cell>
          <cell r="AG994">
            <v>771.92651067033364</v>
          </cell>
          <cell r="AH994">
            <v>441.55179914628678</v>
          </cell>
          <cell r="AI994">
            <v>0.8</v>
          </cell>
        </row>
        <row r="995">
          <cell r="C995">
            <v>100110</v>
          </cell>
          <cell r="AE995">
            <v>8511501</v>
          </cell>
          <cell r="AF995" t="str">
            <v>TABULE</v>
          </cell>
          <cell r="AG995">
            <v>388.5</v>
          </cell>
          <cell r="AH995">
            <v>712</v>
          </cell>
          <cell r="AI995">
            <v>10</v>
          </cell>
        </row>
        <row r="996">
          <cell r="C996" t="str">
            <v>020130</v>
          </cell>
          <cell r="AE996">
            <v>8579236</v>
          </cell>
          <cell r="AF996" t="str">
            <v>QUIBE CRU</v>
          </cell>
          <cell r="AG996">
            <v>26937.633264372518</v>
          </cell>
          <cell r="AH996">
            <v>18136.156896200948</v>
          </cell>
          <cell r="AI996">
            <v>112.26701297421286</v>
          </cell>
        </row>
        <row r="997">
          <cell r="C997">
            <v>210410</v>
          </cell>
          <cell r="AE997">
            <v>8581301</v>
          </cell>
          <cell r="AF997" t="str">
            <v>SOPA INSTANTANEA</v>
          </cell>
          <cell r="AG997">
            <v>2900</v>
          </cell>
          <cell r="AH997">
            <v>6114.9086447857417</v>
          </cell>
          <cell r="AI997">
            <v>33.5</v>
          </cell>
        </row>
        <row r="998">
          <cell r="C998" t="str">
            <v>190220</v>
          </cell>
          <cell r="AE998">
            <v>8582111</v>
          </cell>
          <cell r="AF998" t="str">
            <v>TORTA DE PRESUNTO E QUEIJO</v>
          </cell>
          <cell r="AG998">
            <v>3600</v>
          </cell>
          <cell r="AH998">
            <v>1730.2020304029807</v>
          </cell>
          <cell r="AI998">
            <v>10.5</v>
          </cell>
        </row>
        <row r="999">
          <cell r="C999" t="str">
            <v>070999</v>
          </cell>
          <cell r="AE999">
            <v>8800109</v>
          </cell>
          <cell r="AF999" t="str">
            <v>PALMA</v>
          </cell>
          <cell r="AG999">
            <v>335.30210772833726</v>
          </cell>
          <cell r="AH999">
            <v>799.09345438723949</v>
          </cell>
          <cell r="AI999">
            <v>1.5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2:B4"/>
  <sheetViews>
    <sheetView tabSelected="1" topLeftCell="A2" zoomScale="98" zoomScaleNormal="98" workbookViewId="0">
      <selection activeCell="D2" sqref="D2"/>
    </sheetView>
  </sheetViews>
  <sheetFormatPr defaultRowHeight="15" x14ac:dyDescent="0.25"/>
  <cols>
    <col min="1" max="1" width="150.42578125" customWidth="1"/>
  </cols>
  <sheetData>
    <row r="2" spans="1:2" s="45" customFormat="1" ht="350.25" customHeight="1" x14ac:dyDescent="0.25">
      <c r="A2" s="86" t="s">
        <v>4583</v>
      </c>
      <c r="B2" s="85"/>
    </row>
    <row r="3" spans="1:2" ht="189" customHeight="1" x14ac:dyDescent="0.25">
      <c r="A3" s="86" t="s">
        <v>4582</v>
      </c>
      <c r="B3" s="30"/>
    </row>
    <row r="4" spans="1:2" x14ac:dyDescent="0.25">
      <c r="A4" s="30"/>
      <c r="B4" s="30"/>
    </row>
  </sheetData>
  <sheetProtection selectLockedCells="1" selectUnlockedCells="1"/>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P2722"/>
  <sheetViews>
    <sheetView zoomScaleNormal="100" workbookViewId="0">
      <selection activeCell="A5" sqref="A5:XFD5"/>
    </sheetView>
  </sheetViews>
  <sheetFormatPr defaultRowHeight="15" x14ac:dyDescent="0.25"/>
  <cols>
    <col min="1" max="1" width="12.42578125" style="32" customWidth="1"/>
    <col min="2" max="2" width="54.85546875" style="30" customWidth="1"/>
    <col min="3" max="3" width="9.140625" style="31"/>
    <col min="4" max="4" width="128" style="70" bestFit="1" customWidth="1"/>
    <col min="5" max="6" width="8.7109375" style="31" customWidth="1"/>
    <col min="7" max="7" width="8.7109375" style="71" customWidth="1"/>
    <col min="8" max="8" width="20.5703125" style="30" customWidth="1"/>
    <col min="10" max="10" width="11.140625" bestFit="1" customWidth="1"/>
    <col min="11" max="11" width="55.5703125" customWidth="1"/>
    <col min="13" max="13" width="78.28515625" customWidth="1"/>
    <col min="14" max="14" width="33.140625" bestFit="1" customWidth="1"/>
    <col min="15" max="15" width="34" bestFit="1" customWidth="1"/>
    <col min="16" max="16" width="33" bestFit="1" customWidth="1"/>
  </cols>
  <sheetData>
    <row r="1" spans="1:16" s="22" customFormat="1" ht="23.45" customHeight="1" x14ac:dyDescent="0.25">
      <c r="A1" s="36" t="s">
        <v>1845</v>
      </c>
      <c r="B1" s="7"/>
      <c r="C1" s="8"/>
      <c r="D1" s="68"/>
      <c r="E1" s="16"/>
      <c r="F1" s="17"/>
      <c r="G1" s="17"/>
      <c r="H1" s="7"/>
      <c r="J1"/>
      <c r="K1"/>
      <c r="L1" s="1"/>
      <c r="M1"/>
      <c r="N1" s="1"/>
      <c r="O1" s="1"/>
      <c r="P1" s="19"/>
    </row>
    <row r="2" spans="1:16" s="22" customFormat="1" ht="23.45" customHeight="1" thickBot="1" x14ac:dyDescent="0.3">
      <c r="A2" s="29"/>
      <c r="B2" s="7"/>
      <c r="C2" s="8"/>
      <c r="D2" s="68"/>
      <c r="E2" s="16"/>
      <c r="F2" s="17"/>
      <c r="G2" s="17"/>
      <c r="H2" s="7"/>
      <c r="J2"/>
      <c r="K2"/>
      <c r="L2" s="1"/>
      <c r="M2"/>
      <c r="N2" s="1"/>
      <c r="O2" s="1"/>
      <c r="P2" s="19"/>
    </row>
    <row r="3" spans="1:16" ht="35.25" customHeight="1" thickBot="1" x14ac:dyDescent="0.3">
      <c r="A3" s="83" t="s">
        <v>4581</v>
      </c>
      <c r="B3" s="83"/>
      <c r="C3" s="83" t="s">
        <v>4580</v>
      </c>
      <c r="D3" s="83"/>
      <c r="E3" s="69" t="s">
        <v>4579</v>
      </c>
      <c r="F3" s="69" t="s">
        <v>4578</v>
      </c>
      <c r="G3" s="69" t="s">
        <v>4577</v>
      </c>
      <c r="L3" s="1"/>
      <c r="N3" s="1"/>
      <c r="O3" s="1"/>
      <c r="P3" s="19"/>
    </row>
    <row r="4" spans="1:16" x14ac:dyDescent="0.25">
      <c r="A4" s="75"/>
      <c r="B4" s="72" t="s">
        <v>14</v>
      </c>
      <c r="C4" s="68"/>
      <c r="D4" s="73"/>
      <c r="E4" s="68"/>
      <c r="F4" s="68"/>
      <c r="G4" s="76"/>
    </row>
    <row r="5" spans="1:16" ht="17.25" customHeight="1" x14ac:dyDescent="0.25">
      <c r="A5" s="75">
        <v>6300101</v>
      </c>
      <c r="B5" s="73" t="s">
        <v>735</v>
      </c>
      <c r="C5" s="68">
        <v>99</v>
      </c>
      <c r="D5" s="73" t="s">
        <v>2693</v>
      </c>
      <c r="E5" s="77">
        <v>100.80533805980903</v>
      </c>
      <c r="F5" s="77">
        <v>54.57904454701535</v>
      </c>
      <c r="G5" s="76">
        <v>0.39109861897924741</v>
      </c>
    </row>
    <row r="6" spans="1:16" x14ac:dyDescent="0.25">
      <c r="A6" s="75">
        <v>6300113</v>
      </c>
      <c r="B6" s="73" t="s">
        <v>2694</v>
      </c>
      <c r="C6" s="68">
        <v>99</v>
      </c>
      <c r="D6" s="73" t="s">
        <v>2693</v>
      </c>
      <c r="E6" s="77">
        <v>100.80533805980905</v>
      </c>
      <c r="F6" s="77">
        <v>54.57904454701535</v>
      </c>
      <c r="G6" s="76">
        <v>0.39109861897924741</v>
      </c>
    </row>
    <row r="7" spans="1:16" x14ac:dyDescent="0.25">
      <c r="A7" s="75">
        <v>6300201</v>
      </c>
      <c r="B7" s="73" t="s">
        <v>1290</v>
      </c>
      <c r="C7" s="68">
        <v>99</v>
      </c>
      <c r="D7" s="73" t="s">
        <v>2695</v>
      </c>
      <c r="E7" s="77">
        <v>101.90648380306487</v>
      </c>
      <c r="F7" s="77">
        <v>54.57904454701535</v>
      </c>
      <c r="G7" s="76">
        <v>0.39109861897924741</v>
      </c>
    </row>
    <row r="8" spans="1:16" x14ac:dyDescent="0.25">
      <c r="A8" s="75">
        <v>6300211</v>
      </c>
      <c r="B8" s="73" t="s">
        <v>2696</v>
      </c>
      <c r="C8" s="68">
        <v>99</v>
      </c>
      <c r="D8" s="73" t="s">
        <v>2695</v>
      </c>
      <c r="E8" s="77">
        <v>101.90648380306487</v>
      </c>
      <c r="F8" s="77">
        <v>54.57904454701535</v>
      </c>
      <c r="G8" s="76">
        <v>0.39109861897924741</v>
      </c>
    </row>
    <row r="9" spans="1:16" x14ac:dyDescent="0.25">
      <c r="A9" s="75">
        <v>6300212</v>
      </c>
      <c r="B9" s="73" t="s">
        <v>2697</v>
      </c>
      <c r="C9" s="68">
        <v>99</v>
      </c>
      <c r="D9" s="73" t="s">
        <v>2695</v>
      </c>
      <c r="E9" s="77">
        <v>101.90648380306487</v>
      </c>
      <c r="F9" s="77">
        <v>54.57904454701535</v>
      </c>
      <c r="G9" s="76">
        <v>0.39109861897924741</v>
      </c>
    </row>
    <row r="10" spans="1:16" x14ac:dyDescent="0.25">
      <c r="A10" s="75">
        <v>6300706</v>
      </c>
      <c r="B10" s="73" t="s">
        <v>1158</v>
      </c>
      <c r="C10" s="68">
        <v>99</v>
      </c>
      <c r="D10" s="73" t="s">
        <v>2698</v>
      </c>
      <c r="E10" s="77">
        <v>60.838734540761266</v>
      </c>
      <c r="F10" s="77">
        <v>117.34226110353447</v>
      </c>
      <c r="G10" s="76">
        <v>0.6462306005208347</v>
      </c>
    </row>
    <row r="11" spans="1:16" x14ac:dyDescent="0.25">
      <c r="A11" s="75">
        <v>6300707</v>
      </c>
      <c r="B11" s="73" t="s">
        <v>1291</v>
      </c>
      <c r="C11" s="68">
        <v>99</v>
      </c>
      <c r="D11" s="73" t="s">
        <v>2698</v>
      </c>
      <c r="E11" s="77">
        <v>60.838734540761266</v>
      </c>
      <c r="F11" s="77">
        <v>117.34226110353447</v>
      </c>
      <c r="G11" s="76">
        <v>0.6462306005208347</v>
      </c>
    </row>
    <row r="12" spans="1:16" x14ac:dyDescent="0.25">
      <c r="A12" s="75">
        <v>6300901</v>
      </c>
      <c r="B12" s="73" t="s">
        <v>2699</v>
      </c>
      <c r="C12" s="68">
        <v>99</v>
      </c>
      <c r="D12" s="73" t="s">
        <v>2700</v>
      </c>
      <c r="E12" s="77">
        <v>32.722439862542956</v>
      </c>
      <c r="F12" s="77">
        <v>36.701030927835049</v>
      </c>
      <c r="G12" s="76">
        <v>0.51546391752577325</v>
      </c>
    </row>
    <row r="13" spans="1:16" x14ac:dyDescent="0.25">
      <c r="A13" s="75">
        <v>6301001</v>
      </c>
      <c r="B13" s="73" t="s">
        <v>742</v>
      </c>
      <c r="C13" s="68">
        <v>99</v>
      </c>
      <c r="D13" s="73" t="s">
        <v>2701</v>
      </c>
      <c r="E13" s="77">
        <v>133.33333333333331</v>
      </c>
      <c r="F13" s="77">
        <v>270.42217653304613</v>
      </c>
      <c r="G13" s="76">
        <v>0.57512152358658519</v>
      </c>
    </row>
    <row r="14" spans="1:16" x14ac:dyDescent="0.25">
      <c r="A14" s="75">
        <v>6301101</v>
      </c>
      <c r="B14" s="73" t="s">
        <v>743</v>
      </c>
      <c r="C14" s="68">
        <v>99</v>
      </c>
      <c r="D14" s="73" t="s">
        <v>2702</v>
      </c>
      <c r="E14" s="77">
        <v>38.212725868138975</v>
      </c>
      <c r="F14" s="77">
        <v>31.580465161384254</v>
      </c>
      <c r="G14" s="76">
        <v>0.98414451686148396</v>
      </c>
    </row>
    <row r="15" spans="1:16" x14ac:dyDescent="0.25">
      <c r="A15" s="75">
        <v>6301201</v>
      </c>
      <c r="B15" s="73" t="s">
        <v>745</v>
      </c>
      <c r="C15" s="68">
        <v>99</v>
      </c>
      <c r="D15" s="73" t="s">
        <v>2703</v>
      </c>
      <c r="E15" s="77">
        <v>57.173489651757052</v>
      </c>
      <c r="F15" s="77">
        <v>211.75154631296198</v>
      </c>
      <c r="G15" s="76">
        <v>0.20401536194392331</v>
      </c>
    </row>
    <row r="16" spans="1:16" x14ac:dyDescent="0.25">
      <c r="A16" s="75">
        <v>6301214</v>
      </c>
      <c r="B16" s="73" t="s">
        <v>2704</v>
      </c>
      <c r="C16" s="68">
        <v>99</v>
      </c>
      <c r="D16" s="73" t="s">
        <v>2705</v>
      </c>
      <c r="E16" s="77">
        <v>57.173489651757052</v>
      </c>
      <c r="F16" s="77">
        <v>211.75154631296198</v>
      </c>
      <c r="G16" s="76">
        <v>0.20401536194392331</v>
      </c>
    </row>
    <row r="17" spans="1:7" x14ac:dyDescent="0.25">
      <c r="A17" s="75">
        <v>6301603</v>
      </c>
      <c r="B17" s="73" t="s">
        <v>747</v>
      </c>
      <c r="C17" s="68">
        <v>99</v>
      </c>
      <c r="D17" s="73" t="s">
        <v>2706</v>
      </c>
      <c r="E17" s="77">
        <v>39.507644686365978</v>
      </c>
      <c r="F17" s="77">
        <v>130.61506694935323</v>
      </c>
      <c r="G17" s="76">
        <v>0.24721059534236817</v>
      </c>
    </row>
    <row r="18" spans="1:7" x14ac:dyDescent="0.25">
      <c r="A18" s="75">
        <v>6301634</v>
      </c>
      <c r="B18" s="73" t="s">
        <v>751</v>
      </c>
      <c r="C18" s="68">
        <v>99</v>
      </c>
      <c r="D18" s="73" t="s">
        <v>2706</v>
      </c>
      <c r="E18" s="77">
        <v>39.507644686365978</v>
      </c>
      <c r="F18" s="77">
        <v>130.61506694935323</v>
      </c>
      <c r="G18" s="76">
        <v>0.24721059534236817</v>
      </c>
    </row>
    <row r="19" spans="1:7" x14ac:dyDescent="0.25">
      <c r="A19" s="75">
        <v>6302001</v>
      </c>
      <c r="B19" s="73" t="s">
        <v>754</v>
      </c>
      <c r="C19" s="68">
        <v>99</v>
      </c>
      <c r="D19" s="73" t="s">
        <v>2707</v>
      </c>
      <c r="E19" s="77">
        <v>63.133333333333319</v>
      </c>
      <c r="F19" s="77">
        <v>379.13373962632795</v>
      </c>
      <c r="G19" s="76">
        <v>0.57512152358658519</v>
      </c>
    </row>
    <row r="20" spans="1:7" x14ac:dyDescent="0.25">
      <c r="A20" s="75">
        <v>6302002</v>
      </c>
      <c r="B20" s="73" t="s">
        <v>2708</v>
      </c>
      <c r="C20" s="68">
        <v>99</v>
      </c>
      <c r="D20" s="73" t="s">
        <v>2707</v>
      </c>
      <c r="E20" s="77">
        <v>63.133333333333319</v>
      </c>
      <c r="F20" s="77">
        <v>379.13373962632795</v>
      </c>
      <c r="G20" s="76">
        <v>0.57512152358658519</v>
      </c>
    </row>
    <row r="21" spans="1:7" x14ac:dyDescent="0.25">
      <c r="A21" s="75">
        <v>6302602</v>
      </c>
      <c r="B21" s="73" t="s">
        <v>1292</v>
      </c>
      <c r="C21" s="68">
        <v>99</v>
      </c>
      <c r="D21" s="73" t="s">
        <v>2709</v>
      </c>
      <c r="E21" s="77">
        <v>57.173489651757052</v>
      </c>
      <c r="F21" s="77">
        <v>145.58486201762312</v>
      </c>
      <c r="G21" s="76">
        <v>0.20401536194392331</v>
      </c>
    </row>
    <row r="22" spans="1:7" x14ac:dyDescent="0.25">
      <c r="A22" s="75">
        <v>6302801</v>
      </c>
      <c r="B22" s="73" t="s">
        <v>756</v>
      </c>
      <c r="C22" s="68">
        <v>99</v>
      </c>
      <c r="D22" s="73" t="s">
        <v>2710</v>
      </c>
      <c r="E22" s="77">
        <v>94.829424371814554</v>
      </c>
      <c r="F22" s="77">
        <v>145.58486201762312</v>
      </c>
      <c r="G22" s="76">
        <v>0.20401536194392331</v>
      </c>
    </row>
    <row r="23" spans="1:7" x14ac:dyDescent="0.25">
      <c r="A23" s="75">
        <v>6302901</v>
      </c>
      <c r="B23" s="73" t="s">
        <v>256</v>
      </c>
      <c r="C23" s="68">
        <v>99</v>
      </c>
      <c r="D23" s="73" t="s">
        <v>2711</v>
      </c>
      <c r="E23" s="77">
        <v>94.483249522566595</v>
      </c>
      <c r="F23" s="77">
        <v>149.3780031911848</v>
      </c>
      <c r="G23" s="76">
        <v>0.24343751983776724</v>
      </c>
    </row>
    <row r="24" spans="1:7" x14ac:dyDescent="0.25">
      <c r="A24" s="75">
        <v>6303001</v>
      </c>
      <c r="B24" s="73" t="s">
        <v>759</v>
      </c>
      <c r="C24" s="68">
        <v>99</v>
      </c>
      <c r="D24" s="73" t="s">
        <v>2712</v>
      </c>
      <c r="E24" s="77">
        <v>34.165746973481014</v>
      </c>
      <c r="F24" s="77">
        <v>75.962857271895558</v>
      </c>
      <c r="G24" s="76">
        <v>0.21769334383336944</v>
      </c>
    </row>
    <row r="25" spans="1:7" x14ac:dyDescent="0.25">
      <c r="A25" s="75">
        <v>6303102</v>
      </c>
      <c r="B25" s="73" t="s">
        <v>753</v>
      </c>
      <c r="C25" s="68">
        <v>99</v>
      </c>
      <c r="D25" s="73" t="s">
        <v>2713</v>
      </c>
      <c r="E25" s="77">
        <v>39.771261196674459</v>
      </c>
      <c r="F25" s="77">
        <v>131.04771425940194</v>
      </c>
      <c r="G25" s="76">
        <v>0.25093854334731996</v>
      </c>
    </row>
    <row r="26" spans="1:7" x14ac:dyDescent="0.25">
      <c r="A26" s="75">
        <v>6303201</v>
      </c>
      <c r="B26" s="73" t="s">
        <v>2714</v>
      </c>
      <c r="C26" s="68">
        <v>99</v>
      </c>
      <c r="D26" s="73" t="s">
        <v>2715</v>
      </c>
      <c r="E26" s="77">
        <v>63.133333333333319</v>
      </c>
      <c r="F26" s="77">
        <v>684.87837130653247</v>
      </c>
      <c r="G26" s="76">
        <v>0.57512152358658519</v>
      </c>
    </row>
    <row r="27" spans="1:7" x14ac:dyDescent="0.25">
      <c r="A27" s="75">
        <v>6303501</v>
      </c>
      <c r="B27" s="73" t="s">
        <v>1293</v>
      </c>
      <c r="C27" s="68">
        <v>99</v>
      </c>
      <c r="D27" s="73" t="s">
        <v>2698</v>
      </c>
      <c r="E27" s="77">
        <v>60.838734540761266</v>
      </c>
      <c r="F27" s="77">
        <v>117.34226110353447</v>
      </c>
      <c r="G27" s="76">
        <v>0.6462306005208347</v>
      </c>
    </row>
    <row r="28" spans="1:7" x14ac:dyDescent="0.25">
      <c r="A28" s="75">
        <v>6304201</v>
      </c>
      <c r="B28" s="73" t="s">
        <v>2716</v>
      </c>
      <c r="C28" s="68">
        <v>99</v>
      </c>
      <c r="D28" s="73" t="s">
        <v>2717</v>
      </c>
      <c r="E28" s="77">
        <v>55.833333333333343</v>
      </c>
      <c r="F28" s="77">
        <v>125.4749894736387</v>
      </c>
      <c r="G28" s="76">
        <v>0.32495477253553973</v>
      </c>
    </row>
    <row r="29" spans="1:7" x14ac:dyDescent="0.25">
      <c r="A29" s="75">
        <v>6304901</v>
      </c>
      <c r="B29" s="73" t="s">
        <v>762</v>
      </c>
      <c r="C29" s="68">
        <v>99</v>
      </c>
      <c r="D29" s="73" t="s">
        <v>2718</v>
      </c>
      <c r="E29" s="77">
        <v>91.209948453608249</v>
      </c>
      <c r="F29" s="77">
        <v>198.25719623289842</v>
      </c>
      <c r="G29" s="76">
        <v>0.27782774312446035</v>
      </c>
    </row>
    <row r="30" spans="1:7" x14ac:dyDescent="0.25">
      <c r="A30" s="75">
        <v>6305001</v>
      </c>
      <c r="B30" s="73" t="s">
        <v>2719</v>
      </c>
      <c r="C30" s="68">
        <v>99</v>
      </c>
      <c r="D30" s="73" t="s">
        <v>2720</v>
      </c>
      <c r="E30" s="77">
        <v>63.133333333333319</v>
      </c>
      <c r="F30" s="77">
        <v>684.87837130653247</v>
      </c>
      <c r="G30" s="76">
        <v>0.57512152358658519</v>
      </c>
    </row>
    <row r="31" spans="1:7" x14ac:dyDescent="0.25">
      <c r="A31" s="75">
        <v>6380001</v>
      </c>
      <c r="B31" s="73" t="s">
        <v>2721</v>
      </c>
      <c r="C31" s="68">
        <v>99</v>
      </c>
      <c r="D31" s="73" t="s">
        <v>2722</v>
      </c>
      <c r="E31" s="77">
        <v>63.133333333333319</v>
      </c>
      <c r="F31" s="77">
        <v>325.23563229545977</v>
      </c>
      <c r="G31" s="76">
        <v>0.57512152358658519</v>
      </c>
    </row>
    <row r="32" spans="1:7" x14ac:dyDescent="0.25">
      <c r="A32" s="75"/>
      <c r="B32" s="72" t="s">
        <v>15</v>
      </c>
      <c r="C32" s="68"/>
      <c r="D32" s="73"/>
      <c r="E32" s="77"/>
      <c r="F32" s="77"/>
      <c r="G32" s="76"/>
    </row>
    <row r="33" spans="1:7" x14ac:dyDescent="0.25">
      <c r="A33" s="75">
        <v>6400101</v>
      </c>
      <c r="B33" s="73" t="s">
        <v>764</v>
      </c>
      <c r="C33" s="68">
        <v>1</v>
      </c>
      <c r="D33" s="73" t="s">
        <v>2723</v>
      </c>
      <c r="E33" s="77">
        <v>56.100743013197985</v>
      </c>
      <c r="F33" s="77">
        <v>89.649531725082511</v>
      </c>
      <c r="G33" s="76">
        <v>0.40354559108291616</v>
      </c>
    </row>
    <row r="34" spans="1:7" x14ac:dyDescent="0.25">
      <c r="A34" s="75">
        <v>6400101</v>
      </c>
      <c r="B34" s="73" t="s">
        <v>764</v>
      </c>
      <c r="C34" s="68">
        <v>2</v>
      </c>
      <c r="D34" s="73" t="s">
        <v>2724</v>
      </c>
      <c r="E34" s="77">
        <v>59.489795106209684</v>
      </c>
      <c r="F34" s="77">
        <v>105.53184632347552</v>
      </c>
      <c r="G34" s="76">
        <v>0.56243902071911012</v>
      </c>
    </row>
    <row r="35" spans="1:7" x14ac:dyDescent="0.25">
      <c r="A35" s="75">
        <v>6400101</v>
      </c>
      <c r="B35" s="73" t="s">
        <v>764</v>
      </c>
      <c r="C35" s="68">
        <v>3</v>
      </c>
      <c r="D35" s="73" t="s">
        <v>2725</v>
      </c>
      <c r="E35" s="77">
        <v>53.170743013197985</v>
      </c>
      <c r="F35" s="77">
        <v>89.649531725082511</v>
      </c>
      <c r="G35" s="76">
        <v>0.40354559108291616</v>
      </c>
    </row>
    <row r="36" spans="1:7" x14ac:dyDescent="0.25">
      <c r="A36" s="75">
        <v>6400101</v>
      </c>
      <c r="B36" s="73" t="s">
        <v>764</v>
      </c>
      <c r="C36" s="68">
        <v>4</v>
      </c>
      <c r="D36" s="73" t="s">
        <v>2725</v>
      </c>
      <c r="E36" s="77">
        <v>26.290070119866332</v>
      </c>
      <c r="F36" s="77">
        <v>69.030139428313518</v>
      </c>
      <c r="G36" s="76">
        <v>0.31073010513384547</v>
      </c>
    </row>
    <row r="37" spans="1:7" x14ac:dyDescent="0.25">
      <c r="A37" s="75">
        <v>6400101</v>
      </c>
      <c r="B37" s="73" t="s">
        <v>764</v>
      </c>
      <c r="C37" s="68">
        <v>5</v>
      </c>
      <c r="D37" s="73" t="s">
        <v>2726</v>
      </c>
      <c r="E37" s="77">
        <v>57.150491918677119</v>
      </c>
      <c r="F37" s="77">
        <v>123.5861035409105</v>
      </c>
      <c r="G37" s="76">
        <v>0.7430614829521538</v>
      </c>
    </row>
    <row r="38" spans="1:7" x14ac:dyDescent="0.25">
      <c r="A38" s="75">
        <v>6400101</v>
      </c>
      <c r="B38" s="73" t="s">
        <v>764</v>
      </c>
      <c r="C38" s="68">
        <v>6</v>
      </c>
      <c r="D38" s="73" t="s">
        <v>2724</v>
      </c>
      <c r="E38" s="77">
        <v>60.75946177287635</v>
      </c>
      <c r="F38" s="77">
        <v>105.53184632347552</v>
      </c>
      <c r="G38" s="76">
        <v>0.56243902071911012</v>
      </c>
    </row>
    <row r="39" spans="1:7" x14ac:dyDescent="0.25">
      <c r="A39" s="75">
        <v>6400101</v>
      </c>
      <c r="B39" s="73" t="s">
        <v>764</v>
      </c>
      <c r="C39" s="68">
        <v>7</v>
      </c>
      <c r="D39" s="73" t="s">
        <v>2726</v>
      </c>
      <c r="E39" s="77">
        <v>69.847158585343777</v>
      </c>
      <c r="F39" s="77">
        <v>123.5861035409105</v>
      </c>
      <c r="G39" s="76">
        <v>0.7430614829521538</v>
      </c>
    </row>
    <row r="40" spans="1:7" x14ac:dyDescent="0.25">
      <c r="A40" s="75">
        <v>6400101</v>
      </c>
      <c r="B40" s="73" t="s">
        <v>764</v>
      </c>
      <c r="C40" s="68">
        <v>8</v>
      </c>
      <c r="D40" s="73" t="s">
        <v>2723</v>
      </c>
      <c r="E40" s="77">
        <v>34.125743013197983</v>
      </c>
      <c r="F40" s="77">
        <v>89.649531725082511</v>
      </c>
      <c r="G40" s="76">
        <v>0.40354559108291616</v>
      </c>
    </row>
    <row r="41" spans="1:7" x14ac:dyDescent="0.25">
      <c r="A41" s="75">
        <v>6400101</v>
      </c>
      <c r="B41" s="73" t="s">
        <v>764</v>
      </c>
      <c r="C41" s="68">
        <v>9</v>
      </c>
      <c r="D41" s="73" t="s">
        <v>2727</v>
      </c>
      <c r="E41" s="77">
        <v>65.671601983074353</v>
      </c>
      <c r="F41" s="77">
        <v>92.135494681734798</v>
      </c>
      <c r="G41" s="76">
        <v>0.69527693032657312</v>
      </c>
    </row>
    <row r="42" spans="1:7" x14ac:dyDescent="0.25">
      <c r="A42" s="75">
        <v>6400101</v>
      </c>
      <c r="B42" s="73" t="s">
        <v>764</v>
      </c>
      <c r="C42" s="68">
        <v>99</v>
      </c>
      <c r="D42" s="73" t="s">
        <v>2725</v>
      </c>
      <c r="E42" s="77">
        <v>53.170743013197985</v>
      </c>
      <c r="F42" s="77">
        <v>89.649531725082511</v>
      </c>
      <c r="G42" s="76">
        <v>0.40354559108291616</v>
      </c>
    </row>
    <row r="43" spans="1:7" x14ac:dyDescent="0.25">
      <c r="A43" s="75">
        <v>6400303</v>
      </c>
      <c r="B43" s="73" t="s">
        <v>1159</v>
      </c>
      <c r="C43" s="68">
        <v>1</v>
      </c>
      <c r="D43" s="73" t="s">
        <v>2728</v>
      </c>
      <c r="E43" s="77">
        <v>59.601577447843304</v>
      </c>
      <c r="F43" s="77">
        <v>120.56676292217752</v>
      </c>
      <c r="G43" s="76">
        <v>0.15087942750654923</v>
      </c>
    </row>
    <row r="44" spans="1:7" x14ac:dyDescent="0.25">
      <c r="A44" s="75">
        <v>6400303</v>
      </c>
      <c r="B44" s="73" t="s">
        <v>1159</v>
      </c>
      <c r="C44" s="68">
        <v>2</v>
      </c>
      <c r="D44" s="73" t="s">
        <v>2729</v>
      </c>
      <c r="E44" s="77">
        <v>59.305722422804394</v>
      </c>
      <c r="F44" s="77">
        <v>126.75793431094064</v>
      </c>
      <c r="G44" s="76">
        <v>0.22388241936007475</v>
      </c>
    </row>
    <row r="45" spans="1:7" x14ac:dyDescent="0.25">
      <c r="A45" s="75">
        <v>6400303</v>
      </c>
      <c r="B45" s="73" t="s">
        <v>1159</v>
      </c>
      <c r="C45" s="68">
        <v>3</v>
      </c>
      <c r="D45" s="73" t="s">
        <v>2728</v>
      </c>
      <c r="E45" s="77">
        <v>56.671577447843298</v>
      </c>
      <c r="F45" s="77">
        <v>120.56676292217752</v>
      </c>
      <c r="G45" s="76">
        <v>0.15087942750654923</v>
      </c>
    </row>
    <row r="46" spans="1:7" x14ac:dyDescent="0.25">
      <c r="A46" s="75">
        <v>6400303</v>
      </c>
      <c r="B46" s="73" t="s">
        <v>1159</v>
      </c>
      <c r="C46" s="68">
        <v>6</v>
      </c>
      <c r="D46" s="73" t="s">
        <v>2729</v>
      </c>
      <c r="E46" s="77">
        <v>60.575389089471059</v>
      </c>
      <c r="F46" s="77">
        <v>126.75793431094064</v>
      </c>
      <c r="G46" s="76">
        <v>0.22388241936007475</v>
      </c>
    </row>
    <row r="47" spans="1:7" x14ac:dyDescent="0.25">
      <c r="A47" s="75">
        <v>6400303</v>
      </c>
      <c r="B47" s="73" t="s">
        <v>1159</v>
      </c>
      <c r="C47" s="68">
        <v>9</v>
      </c>
      <c r="D47" s="73" t="s">
        <v>2730</v>
      </c>
      <c r="E47" s="77">
        <v>69.008071387900756</v>
      </c>
      <c r="F47" s="77">
        <v>121.60115433995932</v>
      </c>
      <c r="G47" s="76">
        <v>0.45447350470189929</v>
      </c>
    </row>
    <row r="48" spans="1:7" x14ac:dyDescent="0.25">
      <c r="A48" s="75">
        <v>6400304</v>
      </c>
      <c r="B48" s="73" t="s">
        <v>1294</v>
      </c>
      <c r="C48" s="68">
        <v>2</v>
      </c>
      <c r="D48" s="73" t="s">
        <v>2729</v>
      </c>
      <c r="E48" s="77">
        <v>59.305722422804394</v>
      </c>
      <c r="F48" s="77">
        <v>126.75793431094064</v>
      </c>
      <c r="G48" s="76">
        <v>0.22388241936007475</v>
      </c>
    </row>
    <row r="49" spans="1:7" x14ac:dyDescent="0.25">
      <c r="A49" s="75">
        <v>6400304</v>
      </c>
      <c r="B49" s="73" t="s">
        <v>1294</v>
      </c>
      <c r="C49" s="68">
        <v>3</v>
      </c>
      <c r="D49" s="73" t="s">
        <v>2728</v>
      </c>
      <c r="E49" s="77">
        <v>56.671577447843298</v>
      </c>
      <c r="F49" s="77">
        <v>120.56676292217752</v>
      </c>
      <c r="G49" s="76">
        <v>0.15087942750654923</v>
      </c>
    </row>
    <row r="50" spans="1:7" x14ac:dyDescent="0.25">
      <c r="A50" s="75">
        <v>6400304</v>
      </c>
      <c r="B50" s="73" t="s">
        <v>1294</v>
      </c>
      <c r="C50" s="68">
        <v>4</v>
      </c>
      <c r="D50" s="73" t="s">
        <v>2728</v>
      </c>
      <c r="E50" s="77">
        <v>28.98571263454323</v>
      </c>
      <c r="F50" s="77">
        <v>92.836407450076692</v>
      </c>
      <c r="G50" s="76">
        <v>0.1161771591800429</v>
      </c>
    </row>
    <row r="51" spans="1:7" x14ac:dyDescent="0.25">
      <c r="A51" s="75">
        <v>6400304</v>
      </c>
      <c r="B51" s="73" t="s">
        <v>1294</v>
      </c>
      <c r="C51" s="68">
        <v>9</v>
      </c>
      <c r="D51" s="73" t="s">
        <v>2730</v>
      </c>
      <c r="E51" s="77">
        <v>69.00807138790077</v>
      </c>
      <c r="F51" s="77">
        <v>121.60115433995932</v>
      </c>
      <c r="G51" s="76">
        <v>0.45447350470189929</v>
      </c>
    </row>
    <row r="52" spans="1:7" x14ac:dyDescent="0.25">
      <c r="A52" s="75">
        <v>6400304</v>
      </c>
      <c r="B52" s="73" t="s">
        <v>1294</v>
      </c>
      <c r="C52" s="68">
        <v>99</v>
      </c>
      <c r="D52" s="73" t="s">
        <v>2728</v>
      </c>
      <c r="E52" s="77">
        <v>56.671577447843298</v>
      </c>
      <c r="F52" s="77">
        <v>120.56676292217752</v>
      </c>
      <c r="G52" s="76">
        <v>0.15087942750654923</v>
      </c>
    </row>
    <row r="53" spans="1:7" x14ac:dyDescent="0.25">
      <c r="A53" s="75">
        <v>6400401</v>
      </c>
      <c r="B53" s="73" t="s">
        <v>767</v>
      </c>
      <c r="C53" s="68">
        <v>1</v>
      </c>
      <c r="D53" s="73" t="s">
        <v>2731</v>
      </c>
      <c r="E53" s="77">
        <v>34.159120323170633</v>
      </c>
      <c r="F53" s="77">
        <v>71.571858175993512</v>
      </c>
      <c r="G53" s="76">
        <v>0.84883409363277318</v>
      </c>
    </row>
    <row r="54" spans="1:7" x14ac:dyDescent="0.25">
      <c r="A54" s="75">
        <v>6400401</v>
      </c>
      <c r="B54" s="73" t="s">
        <v>767</v>
      </c>
      <c r="C54" s="68">
        <v>2</v>
      </c>
      <c r="D54" s="73" t="s">
        <v>2732</v>
      </c>
      <c r="E54" s="77">
        <v>34.368644013633947</v>
      </c>
      <c r="F54" s="77">
        <v>78.736244608627899</v>
      </c>
      <c r="G54" s="76">
        <v>0.90797319526071207</v>
      </c>
    </row>
    <row r="55" spans="1:7" x14ac:dyDescent="0.25">
      <c r="A55" s="75">
        <v>6400401</v>
      </c>
      <c r="B55" s="73" t="s">
        <v>767</v>
      </c>
      <c r="C55" s="68">
        <v>3</v>
      </c>
      <c r="D55" s="73" t="s">
        <v>2733</v>
      </c>
      <c r="E55" s="77">
        <v>31.229120323170626</v>
      </c>
      <c r="F55" s="77">
        <v>71.571858175993512</v>
      </c>
      <c r="G55" s="76">
        <v>0.84883409363277318</v>
      </c>
    </row>
    <row r="56" spans="1:7" x14ac:dyDescent="0.25">
      <c r="A56" s="75">
        <v>6400401</v>
      </c>
      <c r="B56" s="73" t="s">
        <v>767</v>
      </c>
      <c r="C56" s="68">
        <v>4</v>
      </c>
      <c r="D56" s="73" t="s">
        <v>2733</v>
      </c>
      <c r="E56" s="77">
        <v>9.3950206485452696</v>
      </c>
      <c r="F56" s="77">
        <v>55.110330795515011</v>
      </c>
      <c r="G56" s="76">
        <v>0.65360225209723533</v>
      </c>
    </row>
    <row r="57" spans="1:7" x14ac:dyDescent="0.25">
      <c r="A57" s="75">
        <v>6400401</v>
      </c>
      <c r="B57" s="73" t="s">
        <v>767</v>
      </c>
      <c r="C57" s="68">
        <v>5</v>
      </c>
      <c r="D57" s="73" t="s">
        <v>2734</v>
      </c>
      <c r="E57" s="77">
        <v>49.229513496125563</v>
      </c>
      <c r="F57" s="77">
        <v>165.89976802771628</v>
      </c>
      <c r="G57" s="76">
        <v>1.813039071375331</v>
      </c>
    </row>
    <row r="58" spans="1:7" x14ac:dyDescent="0.25">
      <c r="A58" s="75">
        <v>6400401</v>
      </c>
      <c r="B58" s="73" t="s">
        <v>767</v>
      </c>
      <c r="C58" s="68">
        <v>6</v>
      </c>
      <c r="D58" s="73" t="s">
        <v>2732</v>
      </c>
      <c r="E58" s="77">
        <v>35.638310680300613</v>
      </c>
      <c r="F58" s="77">
        <v>78.736244608627899</v>
      </c>
      <c r="G58" s="76">
        <v>0.90797319526071207</v>
      </c>
    </row>
    <row r="59" spans="1:7" x14ac:dyDescent="0.25">
      <c r="A59" s="75">
        <v>6400401</v>
      </c>
      <c r="B59" s="73" t="s">
        <v>767</v>
      </c>
      <c r="C59" s="68">
        <v>7</v>
      </c>
      <c r="D59" s="73" t="s">
        <v>2734</v>
      </c>
      <c r="E59" s="77">
        <v>61.926180162792228</v>
      </c>
      <c r="F59" s="77">
        <v>165.89976802771628</v>
      </c>
      <c r="G59" s="76">
        <v>1.813039071375331</v>
      </c>
    </row>
    <row r="60" spans="1:7" x14ac:dyDescent="0.25">
      <c r="A60" s="75">
        <v>6400401</v>
      </c>
      <c r="B60" s="73" t="s">
        <v>767</v>
      </c>
      <c r="C60" s="68">
        <v>9</v>
      </c>
      <c r="D60" s="73" t="s">
        <v>2735</v>
      </c>
      <c r="E60" s="77">
        <v>44.760143825260073</v>
      </c>
      <c r="F60" s="77">
        <v>74.906572311092702</v>
      </c>
      <c r="G60" s="76">
        <v>1.1196590291701254</v>
      </c>
    </row>
    <row r="61" spans="1:7" x14ac:dyDescent="0.25">
      <c r="A61" s="75">
        <v>6400401</v>
      </c>
      <c r="B61" s="73" t="s">
        <v>767</v>
      </c>
      <c r="C61" s="68">
        <v>99</v>
      </c>
      <c r="D61" s="73" t="s">
        <v>2731</v>
      </c>
      <c r="E61" s="77">
        <v>34.159120323170633</v>
      </c>
      <c r="F61" s="77">
        <v>71.571858175993512</v>
      </c>
      <c r="G61" s="76">
        <v>0.84883409363277318</v>
      </c>
    </row>
    <row r="62" spans="1:7" x14ac:dyDescent="0.25">
      <c r="A62" s="75">
        <v>6400501</v>
      </c>
      <c r="B62" s="73" t="s">
        <v>769</v>
      </c>
      <c r="C62" s="68">
        <v>1</v>
      </c>
      <c r="D62" s="73" t="s">
        <v>2736</v>
      </c>
      <c r="E62" s="77">
        <v>34.666314003530623</v>
      </c>
      <c r="F62" s="77">
        <v>79.697410146332885</v>
      </c>
      <c r="G62" s="76">
        <v>0.8843367173406077</v>
      </c>
    </row>
    <row r="63" spans="1:7" x14ac:dyDescent="0.25">
      <c r="A63" s="75">
        <v>6400501</v>
      </c>
      <c r="B63" s="73" t="s">
        <v>769</v>
      </c>
      <c r="C63" s="68">
        <v>2</v>
      </c>
      <c r="D63" s="73" t="s">
        <v>2737</v>
      </c>
      <c r="E63" s="77">
        <v>39.061717761865332</v>
      </c>
      <c r="F63" s="77">
        <v>96.046979278063574</v>
      </c>
      <c r="G63" s="76">
        <v>1.0206568864358407</v>
      </c>
    </row>
    <row r="64" spans="1:7" x14ac:dyDescent="0.25">
      <c r="A64" s="75">
        <v>6400501</v>
      </c>
      <c r="B64" s="73" t="s">
        <v>769</v>
      </c>
      <c r="C64" s="68">
        <v>3</v>
      </c>
      <c r="D64" s="73" t="s">
        <v>2738</v>
      </c>
      <c r="E64" s="77">
        <v>31.736314003530616</v>
      </c>
      <c r="F64" s="77">
        <v>79.697410146332885</v>
      </c>
      <c r="G64" s="76">
        <v>0.8843367173406077</v>
      </c>
    </row>
    <row r="65" spans="1:7" x14ac:dyDescent="0.25">
      <c r="A65" s="75">
        <v>6400501</v>
      </c>
      <c r="B65" s="73" t="s">
        <v>769</v>
      </c>
      <c r="C65" s="68">
        <v>4</v>
      </c>
      <c r="D65" s="73" t="s">
        <v>2738</v>
      </c>
      <c r="E65" s="77">
        <v>9.7855597824224603</v>
      </c>
      <c r="F65" s="77">
        <v>61.367005812676325</v>
      </c>
      <c r="G65" s="76">
        <v>0.68093927235226781</v>
      </c>
    </row>
    <row r="66" spans="1:7" x14ac:dyDescent="0.25">
      <c r="A66" s="75">
        <v>6400501</v>
      </c>
      <c r="B66" s="73" t="s">
        <v>769</v>
      </c>
      <c r="C66" s="68">
        <v>5</v>
      </c>
      <c r="D66" s="73" t="s">
        <v>2739</v>
      </c>
      <c r="E66" s="77">
        <v>24.822844923410067</v>
      </c>
      <c r="F66" s="77">
        <v>86.696075853090463</v>
      </c>
      <c r="G66" s="76">
        <v>0.89292017202985496</v>
      </c>
    </row>
    <row r="67" spans="1:7" x14ac:dyDescent="0.25">
      <c r="A67" s="75">
        <v>6400501</v>
      </c>
      <c r="B67" s="73" t="s">
        <v>769</v>
      </c>
      <c r="C67" s="68">
        <v>6</v>
      </c>
      <c r="D67" s="73" t="s">
        <v>2739</v>
      </c>
      <c r="E67" s="77">
        <v>35.615011590076733</v>
      </c>
      <c r="F67" s="77">
        <v>86.696075853090463</v>
      </c>
      <c r="G67" s="76">
        <v>0.89292017202985496</v>
      </c>
    </row>
    <row r="68" spans="1:7" x14ac:dyDescent="0.25">
      <c r="A68" s="75">
        <v>6400501</v>
      </c>
      <c r="B68" s="73" t="s">
        <v>769</v>
      </c>
      <c r="C68" s="68">
        <v>7</v>
      </c>
      <c r="D68" s="73" t="s">
        <v>2739</v>
      </c>
      <c r="E68" s="77">
        <v>37.519511590076732</v>
      </c>
      <c r="F68" s="77">
        <v>86.696075853090463</v>
      </c>
      <c r="G68" s="76">
        <v>0.89292017202985496</v>
      </c>
    </row>
    <row r="69" spans="1:7" x14ac:dyDescent="0.25">
      <c r="A69" s="75">
        <v>6400501</v>
      </c>
      <c r="B69" s="73" t="s">
        <v>769</v>
      </c>
      <c r="C69" s="68">
        <v>9</v>
      </c>
      <c r="D69" s="73" t="s">
        <v>2739</v>
      </c>
      <c r="E69" s="77">
        <v>31.171178256743396</v>
      </c>
      <c r="F69" s="77">
        <v>86.696075853090463</v>
      </c>
      <c r="G69" s="76">
        <v>0.89292017202985496</v>
      </c>
    </row>
    <row r="70" spans="1:7" x14ac:dyDescent="0.25">
      <c r="A70" s="75">
        <v>6400501</v>
      </c>
      <c r="B70" s="73" t="s">
        <v>769</v>
      </c>
      <c r="C70" s="68">
        <v>99</v>
      </c>
      <c r="D70" s="73" t="s">
        <v>2738</v>
      </c>
      <c r="E70" s="77">
        <v>31.736314003530616</v>
      </c>
      <c r="F70" s="77">
        <v>79.697410146332885</v>
      </c>
      <c r="G70" s="76">
        <v>0.8843367173406077</v>
      </c>
    </row>
    <row r="71" spans="1:7" x14ac:dyDescent="0.25">
      <c r="A71" s="75">
        <v>6400601</v>
      </c>
      <c r="B71" s="73" t="s">
        <v>771</v>
      </c>
      <c r="C71" s="68">
        <v>1</v>
      </c>
      <c r="D71" s="73" t="s">
        <v>2740</v>
      </c>
      <c r="E71" s="77">
        <v>35.650086503390284</v>
      </c>
      <c r="F71" s="77">
        <v>79.769852123068191</v>
      </c>
      <c r="G71" s="76">
        <v>0.95319898086850396</v>
      </c>
    </row>
    <row r="72" spans="1:7" x14ac:dyDescent="0.25">
      <c r="A72" s="75">
        <v>6400601</v>
      </c>
      <c r="B72" s="73" t="s">
        <v>771</v>
      </c>
      <c r="C72" s="68">
        <v>2</v>
      </c>
      <c r="D72" s="73" t="s">
        <v>2741</v>
      </c>
      <c r="E72" s="77">
        <v>39.999301903122756</v>
      </c>
      <c r="F72" s="77">
        <v>96.116020086337898</v>
      </c>
      <c r="G72" s="76">
        <v>1.0862860499101759</v>
      </c>
    </row>
    <row r="73" spans="1:7" x14ac:dyDescent="0.25">
      <c r="A73" s="75">
        <v>6400601</v>
      </c>
      <c r="B73" s="73" t="s">
        <v>771</v>
      </c>
      <c r="C73" s="68">
        <v>3</v>
      </c>
      <c r="D73" s="73" t="s">
        <v>2742</v>
      </c>
      <c r="E73" s="77">
        <v>32.720086503390284</v>
      </c>
      <c r="F73" s="77">
        <v>79.769852123068191</v>
      </c>
      <c r="G73" s="76">
        <v>0.95319898086850396</v>
      </c>
    </row>
    <row r="74" spans="1:7" x14ac:dyDescent="0.25">
      <c r="A74" s="75">
        <v>6400601</v>
      </c>
      <c r="B74" s="73" t="s">
        <v>771</v>
      </c>
      <c r="C74" s="68">
        <v>4</v>
      </c>
      <c r="D74" s="73" t="s">
        <v>2742</v>
      </c>
      <c r="E74" s="77">
        <v>10.543064607314403</v>
      </c>
      <c r="F74" s="77">
        <v>61.422786134762504</v>
      </c>
      <c r="G74" s="76">
        <v>0.73396321526874819</v>
      </c>
    </row>
    <row r="75" spans="1:7" x14ac:dyDescent="0.25">
      <c r="A75" s="75">
        <v>6400601</v>
      </c>
      <c r="B75" s="73" t="s">
        <v>771</v>
      </c>
      <c r="C75" s="68">
        <v>5</v>
      </c>
      <c r="D75" s="73" t="s">
        <v>2743</v>
      </c>
      <c r="E75" s="77">
        <v>38.751466272352253</v>
      </c>
      <c r="F75" s="77">
        <v>114.6975635428054</v>
      </c>
      <c r="G75" s="76">
        <v>1.2375730801913138</v>
      </c>
    </row>
    <row r="76" spans="1:7" x14ac:dyDescent="0.25">
      <c r="A76" s="75">
        <v>6400601</v>
      </c>
      <c r="B76" s="73" t="s">
        <v>771</v>
      </c>
      <c r="C76" s="68">
        <v>6</v>
      </c>
      <c r="D76" s="73" t="s">
        <v>2741</v>
      </c>
      <c r="E76" s="77">
        <v>41.268968569789422</v>
      </c>
      <c r="F76" s="77">
        <v>96.116020086337898</v>
      </c>
      <c r="G76" s="76">
        <v>1.0862860499101759</v>
      </c>
    </row>
    <row r="77" spans="1:7" x14ac:dyDescent="0.25">
      <c r="A77" s="75">
        <v>6400601</v>
      </c>
      <c r="B77" s="73" t="s">
        <v>771</v>
      </c>
      <c r="C77" s="68">
        <v>7</v>
      </c>
      <c r="D77" s="73" t="s">
        <v>2743</v>
      </c>
      <c r="E77" s="77">
        <v>51.448132939018919</v>
      </c>
      <c r="F77" s="77">
        <v>114.6975635428054</v>
      </c>
      <c r="G77" s="76">
        <v>1.2375730801913138</v>
      </c>
    </row>
    <row r="78" spans="1:7" x14ac:dyDescent="0.25">
      <c r="A78" s="75">
        <v>6400601</v>
      </c>
      <c r="B78" s="73" t="s">
        <v>771</v>
      </c>
      <c r="C78" s="68">
        <v>9</v>
      </c>
      <c r="D78" s="73" t="s">
        <v>2744</v>
      </c>
      <c r="E78" s="77">
        <v>46.181108779987433</v>
      </c>
      <c r="F78" s="77">
        <v>82.719668444597175</v>
      </c>
      <c r="G78" s="76">
        <v>1.2191239595176389</v>
      </c>
    </row>
    <row r="79" spans="1:7" x14ac:dyDescent="0.25">
      <c r="A79" s="75">
        <v>6400601</v>
      </c>
      <c r="B79" s="73" t="s">
        <v>771</v>
      </c>
      <c r="C79" s="68">
        <v>99</v>
      </c>
      <c r="D79" s="73" t="s">
        <v>2741</v>
      </c>
      <c r="E79" s="77">
        <v>39.999301903122756</v>
      </c>
      <c r="F79" s="77">
        <v>96.116020086337898</v>
      </c>
      <c r="G79" s="76">
        <v>1.0862860499101759</v>
      </c>
    </row>
    <row r="80" spans="1:7" x14ac:dyDescent="0.25">
      <c r="A80" s="75">
        <v>6400609</v>
      </c>
      <c r="B80" s="73" t="s">
        <v>1160</v>
      </c>
      <c r="C80" s="68">
        <v>1</v>
      </c>
      <c r="D80" s="73" t="s">
        <v>2740</v>
      </c>
      <c r="E80" s="77">
        <v>35.650086503390284</v>
      </c>
      <c r="F80" s="77">
        <v>79.769852123068191</v>
      </c>
      <c r="G80" s="76">
        <v>0.95319898086850396</v>
      </c>
    </row>
    <row r="81" spans="1:7" x14ac:dyDescent="0.25">
      <c r="A81" s="75">
        <v>6400609</v>
      </c>
      <c r="B81" s="73" t="s">
        <v>1160</v>
      </c>
      <c r="C81" s="68">
        <v>2</v>
      </c>
      <c r="D81" s="73" t="s">
        <v>2741</v>
      </c>
      <c r="E81" s="77">
        <v>39.999301903122756</v>
      </c>
      <c r="F81" s="77">
        <v>96.116020086337898</v>
      </c>
      <c r="G81" s="76">
        <v>1.0862860499101759</v>
      </c>
    </row>
    <row r="82" spans="1:7" x14ac:dyDescent="0.25">
      <c r="A82" s="75">
        <v>6400609</v>
      </c>
      <c r="B82" s="73" t="s">
        <v>1160</v>
      </c>
      <c r="C82" s="68">
        <v>3</v>
      </c>
      <c r="D82" s="73" t="s">
        <v>2742</v>
      </c>
      <c r="E82" s="77">
        <v>32.720086503390284</v>
      </c>
      <c r="F82" s="77">
        <v>79.769852123068191</v>
      </c>
      <c r="G82" s="76">
        <v>0.95319898086850396</v>
      </c>
    </row>
    <row r="83" spans="1:7" x14ac:dyDescent="0.25">
      <c r="A83" s="75">
        <v>6400609</v>
      </c>
      <c r="B83" s="73" t="s">
        <v>1160</v>
      </c>
      <c r="C83" s="68">
        <v>5</v>
      </c>
      <c r="D83" s="73" t="s">
        <v>2743</v>
      </c>
      <c r="E83" s="77">
        <v>38.751466272352253</v>
      </c>
      <c r="F83" s="77">
        <v>114.6975635428054</v>
      </c>
      <c r="G83" s="76">
        <v>1.2375730801913138</v>
      </c>
    </row>
    <row r="84" spans="1:7" x14ac:dyDescent="0.25">
      <c r="A84" s="75">
        <v>6400609</v>
      </c>
      <c r="B84" s="73" t="s">
        <v>1160</v>
      </c>
      <c r="C84" s="68">
        <v>6</v>
      </c>
      <c r="D84" s="73" t="s">
        <v>2741</v>
      </c>
      <c r="E84" s="77">
        <v>41.268968569789422</v>
      </c>
      <c r="F84" s="77">
        <v>96.116020086337898</v>
      </c>
      <c r="G84" s="76">
        <v>1.0862860499101759</v>
      </c>
    </row>
    <row r="85" spans="1:7" x14ac:dyDescent="0.25">
      <c r="A85" s="75">
        <v>6400609</v>
      </c>
      <c r="B85" s="73" t="s">
        <v>1160</v>
      </c>
      <c r="C85" s="68">
        <v>7</v>
      </c>
      <c r="D85" s="73" t="s">
        <v>2743</v>
      </c>
      <c r="E85" s="77">
        <v>51.448132939018919</v>
      </c>
      <c r="F85" s="77">
        <v>114.6975635428054</v>
      </c>
      <c r="G85" s="76">
        <v>1.2375730801913138</v>
      </c>
    </row>
    <row r="86" spans="1:7" x14ac:dyDescent="0.25">
      <c r="A86" s="75">
        <v>6400609</v>
      </c>
      <c r="B86" s="73" t="s">
        <v>1160</v>
      </c>
      <c r="C86" s="68">
        <v>9</v>
      </c>
      <c r="D86" s="73" t="s">
        <v>2744</v>
      </c>
      <c r="E86" s="77">
        <v>46.18110877998744</v>
      </c>
      <c r="F86" s="77">
        <v>82.719668444597175</v>
      </c>
      <c r="G86" s="76">
        <v>1.2191239595176389</v>
      </c>
    </row>
    <row r="87" spans="1:7" x14ac:dyDescent="0.25">
      <c r="A87" s="75">
        <v>6400609</v>
      </c>
      <c r="B87" s="73" t="s">
        <v>1160</v>
      </c>
      <c r="C87" s="68">
        <v>99</v>
      </c>
      <c r="D87" s="73" t="s">
        <v>2741</v>
      </c>
      <c r="E87" s="77">
        <v>39.999301903122756</v>
      </c>
      <c r="F87" s="77">
        <v>96.116020086337898</v>
      </c>
      <c r="G87" s="76">
        <v>1.0862860499101759</v>
      </c>
    </row>
    <row r="88" spans="1:7" x14ac:dyDescent="0.25">
      <c r="A88" s="75">
        <v>6400610</v>
      </c>
      <c r="B88" s="73" t="s">
        <v>1161</v>
      </c>
      <c r="C88" s="68">
        <v>1</v>
      </c>
      <c r="D88" s="73" t="s">
        <v>2740</v>
      </c>
      <c r="E88" s="77">
        <v>35.650086503390284</v>
      </c>
      <c r="F88" s="77">
        <v>79.769852123068191</v>
      </c>
      <c r="G88" s="76">
        <v>0.95319898086850396</v>
      </c>
    </row>
    <row r="89" spans="1:7" x14ac:dyDescent="0.25">
      <c r="A89" s="75">
        <v>6400610</v>
      </c>
      <c r="B89" s="73" t="s">
        <v>1161</v>
      </c>
      <c r="C89" s="68">
        <v>2</v>
      </c>
      <c r="D89" s="73" t="s">
        <v>2741</v>
      </c>
      <c r="E89" s="77">
        <v>39.999301903122756</v>
      </c>
      <c r="F89" s="77">
        <v>96.116020086337898</v>
      </c>
      <c r="G89" s="76">
        <v>1.0862860499101759</v>
      </c>
    </row>
    <row r="90" spans="1:7" x14ac:dyDescent="0.25">
      <c r="A90" s="75">
        <v>6400610</v>
      </c>
      <c r="B90" s="73" t="s">
        <v>1161</v>
      </c>
      <c r="C90" s="68">
        <v>3</v>
      </c>
      <c r="D90" s="73" t="s">
        <v>2742</v>
      </c>
      <c r="E90" s="77">
        <v>32.720086503390284</v>
      </c>
      <c r="F90" s="77">
        <v>79.769852123068191</v>
      </c>
      <c r="G90" s="76">
        <v>0.95319898086850396</v>
      </c>
    </row>
    <row r="91" spans="1:7" x14ac:dyDescent="0.25">
      <c r="A91" s="75">
        <v>6400610</v>
      </c>
      <c r="B91" s="73" t="s">
        <v>1161</v>
      </c>
      <c r="C91" s="68">
        <v>4</v>
      </c>
      <c r="D91" s="73" t="s">
        <v>2742</v>
      </c>
      <c r="E91" s="77">
        <v>10.543064607314403</v>
      </c>
      <c r="F91" s="77">
        <v>61.422786134762504</v>
      </c>
      <c r="G91" s="76">
        <v>0.73396321526874819</v>
      </c>
    </row>
    <row r="92" spans="1:7" x14ac:dyDescent="0.25">
      <c r="A92" s="75">
        <v>6400610</v>
      </c>
      <c r="B92" s="73" t="s">
        <v>1161</v>
      </c>
      <c r="C92" s="68">
        <v>5</v>
      </c>
      <c r="D92" s="73" t="s">
        <v>2743</v>
      </c>
      <c r="E92" s="77">
        <v>38.751466272352253</v>
      </c>
      <c r="F92" s="77">
        <v>114.6975635428054</v>
      </c>
      <c r="G92" s="76">
        <v>1.2375730801913138</v>
      </c>
    </row>
    <row r="93" spans="1:7" x14ac:dyDescent="0.25">
      <c r="A93" s="75">
        <v>6400610</v>
      </c>
      <c r="B93" s="73" t="s">
        <v>1161</v>
      </c>
      <c r="C93" s="68">
        <v>7</v>
      </c>
      <c r="D93" s="73" t="s">
        <v>2743</v>
      </c>
      <c r="E93" s="77">
        <v>51.448132939018919</v>
      </c>
      <c r="F93" s="77">
        <v>114.6975635428054</v>
      </c>
      <c r="G93" s="76">
        <v>1.2375730801913138</v>
      </c>
    </row>
    <row r="94" spans="1:7" x14ac:dyDescent="0.25">
      <c r="A94" s="75">
        <v>6400610</v>
      </c>
      <c r="B94" s="73" t="s">
        <v>1161</v>
      </c>
      <c r="C94" s="68">
        <v>9</v>
      </c>
      <c r="D94" s="73" t="s">
        <v>2744</v>
      </c>
      <c r="E94" s="77">
        <v>46.18110877998744</v>
      </c>
      <c r="F94" s="77">
        <v>82.719668444597175</v>
      </c>
      <c r="G94" s="76">
        <v>1.2191239595176389</v>
      </c>
    </row>
    <row r="95" spans="1:7" x14ac:dyDescent="0.25">
      <c r="A95" s="75">
        <v>6400610</v>
      </c>
      <c r="B95" s="73" t="s">
        <v>1161</v>
      </c>
      <c r="C95" s="68">
        <v>99</v>
      </c>
      <c r="D95" s="73" t="s">
        <v>2741</v>
      </c>
      <c r="E95" s="77">
        <v>39.999301903122756</v>
      </c>
      <c r="F95" s="77">
        <v>96.116020086337898</v>
      </c>
      <c r="G95" s="76">
        <v>1.0862860499101759</v>
      </c>
    </row>
    <row r="96" spans="1:7" x14ac:dyDescent="0.25">
      <c r="A96" s="75">
        <v>6400701</v>
      </c>
      <c r="B96" s="73" t="s">
        <v>1162</v>
      </c>
      <c r="C96" s="68">
        <v>1</v>
      </c>
      <c r="D96" s="73" t="s">
        <v>2745</v>
      </c>
      <c r="E96" s="77">
        <v>34.828492465810051</v>
      </c>
      <c r="F96" s="77">
        <v>80.720482492299865</v>
      </c>
      <c r="G96" s="76">
        <v>0.89568891107404514</v>
      </c>
    </row>
    <row r="97" spans="1:7" x14ac:dyDescent="0.25">
      <c r="A97" s="75">
        <v>6400701</v>
      </c>
      <c r="B97" s="73" t="s">
        <v>1162</v>
      </c>
      <c r="C97" s="68">
        <v>2</v>
      </c>
      <c r="D97" s="73" t="s">
        <v>2746</v>
      </c>
      <c r="E97" s="77">
        <v>39.216281905819748</v>
      </c>
      <c r="F97" s="77">
        <v>97.022018128076681</v>
      </c>
      <c r="G97" s="76">
        <v>1.0314760919070967</v>
      </c>
    </row>
    <row r="98" spans="1:7" x14ac:dyDescent="0.25">
      <c r="A98" s="75">
        <v>6400701</v>
      </c>
      <c r="B98" s="73" t="s">
        <v>1162</v>
      </c>
      <c r="C98" s="68">
        <v>3</v>
      </c>
      <c r="D98" s="73" t="s">
        <v>2745</v>
      </c>
      <c r="E98" s="77">
        <v>31.898492465810044</v>
      </c>
      <c r="F98" s="77">
        <v>80.720482492299865</v>
      </c>
      <c r="G98" s="76">
        <v>0.89568891107404514</v>
      </c>
    </row>
    <row r="99" spans="1:7" x14ac:dyDescent="0.25">
      <c r="A99" s="75">
        <v>6400701</v>
      </c>
      <c r="B99" s="73" t="s">
        <v>1162</v>
      </c>
      <c r="C99" s="68">
        <v>4</v>
      </c>
      <c r="D99" s="73" t="s">
        <v>2745</v>
      </c>
      <c r="E99" s="77">
        <v>9.9104371983776218</v>
      </c>
      <c r="F99" s="77">
        <v>62.154771519070913</v>
      </c>
      <c r="G99" s="76">
        <v>0.6896804615270149</v>
      </c>
    </row>
    <row r="100" spans="1:7" x14ac:dyDescent="0.25">
      <c r="A100" s="75">
        <v>6400701</v>
      </c>
      <c r="B100" s="73" t="s">
        <v>1162</v>
      </c>
      <c r="C100" s="68">
        <v>6</v>
      </c>
      <c r="D100" s="73" t="s">
        <v>2746</v>
      </c>
      <c r="E100" s="77">
        <v>40.485948572486414</v>
      </c>
      <c r="F100" s="77">
        <v>97.022018128076681</v>
      </c>
      <c r="G100" s="76">
        <v>1.0314760919070967</v>
      </c>
    </row>
    <row r="101" spans="1:7" x14ac:dyDescent="0.25">
      <c r="A101" s="75">
        <v>6400701</v>
      </c>
      <c r="B101" s="73" t="s">
        <v>1162</v>
      </c>
      <c r="C101" s="68">
        <v>7</v>
      </c>
      <c r="D101" s="73" t="s">
        <v>2747</v>
      </c>
      <c r="E101" s="77">
        <v>37.674075734031149</v>
      </c>
      <c r="F101" s="77">
        <v>87.671114703103569</v>
      </c>
      <c r="G101" s="76">
        <v>0.903739377501111</v>
      </c>
    </row>
    <row r="102" spans="1:7" x14ac:dyDescent="0.25">
      <c r="A102" s="75">
        <v>6400701</v>
      </c>
      <c r="B102" s="73" t="s">
        <v>1162</v>
      </c>
      <c r="C102" s="68">
        <v>9</v>
      </c>
      <c r="D102" s="73" t="s">
        <v>2747</v>
      </c>
      <c r="E102" s="77">
        <v>31.32574240069782</v>
      </c>
      <c r="F102" s="77">
        <v>87.671114703103569</v>
      </c>
      <c r="G102" s="76">
        <v>0.903739377501111</v>
      </c>
    </row>
    <row r="103" spans="1:7" x14ac:dyDescent="0.25">
      <c r="A103" s="75">
        <v>6400701</v>
      </c>
      <c r="B103" s="73" t="s">
        <v>1162</v>
      </c>
      <c r="C103" s="68">
        <v>99</v>
      </c>
      <c r="D103" s="73" t="s">
        <v>2745</v>
      </c>
      <c r="E103" s="77">
        <v>31.898492465810044</v>
      </c>
      <c r="F103" s="77">
        <v>80.720482492299865</v>
      </c>
      <c r="G103" s="76">
        <v>0.89568891107404514</v>
      </c>
    </row>
    <row r="104" spans="1:7" x14ac:dyDescent="0.25">
      <c r="A104" s="75">
        <v>6400713</v>
      </c>
      <c r="B104" s="73" t="s">
        <v>1163</v>
      </c>
      <c r="C104" s="68">
        <v>1</v>
      </c>
      <c r="D104" s="73" t="s">
        <v>2745</v>
      </c>
      <c r="E104" s="77">
        <v>34.828492465810051</v>
      </c>
      <c r="F104" s="77">
        <v>80.720482492299865</v>
      </c>
      <c r="G104" s="76">
        <v>0.89568891107404514</v>
      </c>
    </row>
    <row r="105" spans="1:7" x14ac:dyDescent="0.25">
      <c r="A105" s="75">
        <v>6400713</v>
      </c>
      <c r="B105" s="73" t="s">
        <v>1163</v>
      </c>
      <c r="C105" s="68">
        <v>3</v>
      </c>
      <c r="D105" s="73" t="s">
        <v>2745</v>
      </c>
      <c r="E105" s="77">
        <v>31.898492465810044</v>
      </c>
      <c r="F105" s="77">
        <v>80.720482492299865</v>
      </c>
      <c r="G105" s="76">
        <v>0.89568891107404514</v>
      </c>
    </row>
    <row r="106" spans="1:7" x14ac:dyDescent="0.25">
      <c r="A106" s="75">
        <v>6400713</v>
      </c>
      <c r="B106" s="73" t="s">
        <v>1163</v>
      </c>
      <c r="C106" s="68">
        <v>99</v>
      </c>
      <c r="D106" s="73" t="s">
        <v>2745</v>
      </c>
      <c r="E106" s="77">
        <v>31.898492465810044</v>
      </c>
      <c r="F106" s="77">
        <v>80.720482492299865</v>
      </c>
      <c r="G106" s="76">
        <v>0.89568891107404514</v>
      </c>
    </row>
    <row r="107" spans="1:7" x14ac:dyDescent="0.25">
      <c r="A107" s="75">
        <v>6400802</v>
      </c>
      <c r="B107" s="73" t="s">
        <v>2748</v>
      </c>
      <c r="C107" s="68">
        <v>1</v>
      </c>
      <c r="D107" s="73" t="s">
        <v>2723</v>
      </c>
      <c r="E107" s="77">
        <v>56.100743013197985</v>
      </c>
      <c r="F107" s="77">
        <v>89.649531725082511</v>
      </c>
      <c r="G107" s="76">
        <v>0.40354559108291616</v>
      </c>
    </row>
    <row r="108" spans="1:7" x14ac:dyDescent="0.25">
      <c r="A108" s="75">
        <v>6400802</v>
      </c>
      <c r="B108" s="73" t="s">
        <v>2748</v>
      </c>
      <c r="C108" s="68">
        <v>2</v>
      </c>
      <c r="D108" s="73" t="s">
        <v>2724</v>
      </c>
      <c r="E108" s="77">
        <v>59.489795106209684</v>
      </c>
      <c r="F108" s="77">
        <v>105.53184632347552</v>
      </c>
      <c r="G108" s="76">
        <v>0.56243902071911012</v>
      </c>
    </row>
    <row r="109" spans="1:7" x14ac:dyDescent="0.25">
      <c r="A109" s="75">
        <v>6400802</v>
      </c>
      <c r="B109" s="73" t="s">
        <v>2748</v>
      </c>
      <c r="C109" s="68">
        <v>3</v>
      </c>
      <c r="D109" s="73" t="s">
        <v>2725</v>
      </c>
      <c r="E109" s="77">
        <v>53.170743013197985</v>
      </c>
      <c r="F109" s="77">
        <v>89.649531725082511</v>
      </c>
      <c r="G109" s="76">
        <v>0.40354559108291616</v>
      </c>
    </row>
    <row r="110" spans="1:7" x14ac:dyDescent="0.25">
      <c r="A110" s="75">
        <v>6400802</v>
      </c>
      <c r="B110" s="73" t="s">
        <v>2748</v>
      </c>
      <c r="C110" s="68">
        <v>4</v>
      </c>
      <c r="D110" s="73" t="s">
        <v>2725</v>
      </c>
      <c r="E110" s="77">
        <v>26.290070119866332</v>
      </c>
      <c r="F110" s="77">
        <v>69.030139428313518</v>
      </c>
      <c r="G110" s="76">
        <v>0.31073010513384547</v>
      </c>
    </row>
    <row r="111" spans="1:7" x14ac:dyDescent="0.25">
      <c r="A111" s="75">
        <v>6400802</v>
      </c>
      <c r="B111" s="73" t="s">
        <v>2748</v>
      </c>
      <c r="C111" s="68">
        <v>5</v>
      </c>
      <c r="D111" s="73" t="s">
        <v>2726</v>
      </c>
      <c r="E111" s="77">
        <v>57.150491918677119</v>
      </c>
      <c r="F111" s="77">
        <v>123.5861035409105</v>
      </c>
      <c r="G111" s="76">
        <v>0.7430614829521538</v>
      </c>
    </row>
    <row r="112" spans="1:7" x14ac:dyDescent="0.25">
      <c r="A112" s="75">
        <v>6400802</v>
      </c>
      <c r="B112" s="73" t="s">
        <v>2748</v>
      </c>
      <c r="C112" s="68">
        <v>6</v>
      </c>
      <c r="D112" s="73" t="s">
        <v>2724</v>
      </c>
      <c r="E112" s="77">
        <v>60.75946177287635</v>
      </c>
      <c r="F112" s="77">
        <v>105.53184632347552</v>
      </c>
      <c r="G112" s="76">
        <v>0.56243902071911012</v>
      </c>
    </row>
    <row r="113" spans="1:7" x14ac:dyDescent="0.25">
      <c r="A113" s="75">
        <v>6400802</v>
      </c>
      <c r="B113" s="73" t="s">
        <v>2748</v>
      </c>
      <c r="C113" s="68">
        <v>7</v>
      </c>
      <c r="D113" s="73" t="s">
        <v>2726</v>
      </c>
      <c r="E113" s="77">
        <v>69.847158585343777</v>
      </c>
      <c r="F113" s="77">
        <v>123.5861035409105</v>
      </c>
      <c r="G113" s="76">
        <v>0.7430614829521538</v>
      </c>
    </row>
    <row r="114" spans="1:7" x14ac:dyDescent="0.25">
      <c r="A114" s="75">
        <v>6400802</v>
      </c>
      <c r="B114" s="73" t="s">
        <v>2748</v>
      </c>
      <c r="C114" s="68">
        <v>9</v>
      </c>
      <c r="D114" s="73" t="s">
        <v>2727</v>
      </c>
      <c r="E114" s="77">
        <v>65.671601983074353</v>
      </c>
      <c r="F114" s="77">
        <v>92.135494681734798</v>
      </c>
      <c r="G114" s="76">
        <v>0.69527693032657312</v>
      </c>
    </row>
    <row r="115" spans="1:7" x14ac:dyDescent="0.25">
      <c r="A115" s="75">
        <v>6400802</v>
      </c>
      <c r="B115" s="73" t="s">
        <v>2748</v>
      </c>
      <c r="C115" s="68">
        <v>99</v>
      </c>
      <c r="D115" s="73" t="s">
        <v>2725</v>
      </c>
      <c r="E115" s="77">
        <v>53.170743013197985</v>
      </c>
      <c r="F115" s="77">
        <v>89.649531725082511</v>
      </c>
      <c r="G115" s="76">
        <v>0.40354559108291616</v>
      </c>
    </row>
    <row r="116" spans="1:7" x14ac:dyDescent="0.25">
      <c r="A116" s="75">
        <v>6400908</v>
      </c>
      <c r="B116" s="73" t="s">
        <v>1164</v>
      </c>
      <c r="C116" s="68">
        <v>1</v>
      </c>
      <c r="D116" s="73" t="s">
        <v>2728</v>
      </c>
      <c r="E116" s="77">
        <v>59.601577447843304</v>
      </c>
      <c r="F116" s="77">
        <v>120.56676292217752</v>
      </c>
      <c r="G116" s="76">
        <v>0.15087942750654923</v>
      </c>
    </row>
    <row r="117" spans="1:7" x14ac:dyDescent="0.25">
      <c r="A117" s="75">
        <v>6400908</v>
      </c>
      <c r="B117" s="73" t="s">
        <v>1164</v>
      </c>
      <c r="C117" s="68">
        <v>2</v>
      </c>
      <c r="D117" s="73" t="s">
        <v>2729</v>
      </c>
      <c r="E117" s="77">
        <v>59.305722422804394</v>
      </c>
      <c r="F117" s="77">
        <v>126.75793431094064</v>
      </c>
      <c r="G117" s="76">
        <v>0.22388241936007475</v>
      </c>
    </row>
    <row r="118" spans="1:7" x14ac:dyDescent="0.25">
      <c r="A118" s="75">
        <v>6400908</v>
      </c>
      <c r="B118" s="73" t="s">
        <v>1164</v>
      </c>
      <c r="C118" s="68">
        <v>3</v>
      </c>
      <c r="D118" s="73" t="s">
        <v>2728</v>
      </c>
      <c r="E118" s="77">
        <v>56.671577447843298</v>
      </c>
      <c r="F118" s="77">
        <v>120.56676292217752</v>
      </c>
      <c r="G118" s="76">
        <v>0.15087942750654923</v>
      </c>
    </row>
    <row r="119" spans="1:7" x14ac:dyDescent="0.25">
      <c r="A119" s="75">
        <v>6400908</v>
      </c>
      <c r="B119" s="73" t="s">
        <v>1164</v>
      </c>
      <c r="C119" s="68">
        <v>6</v>
      </c>
      <c r="D119" s="73" t="s">
        <v>2729</v>
      </c>
      <c r="E119" s="77">
        <v>60.575389089471059</v>
      </c>
      <c r="F119" s="77">
        <v>126.75793431094064</v>
      </c>
      <c r="G119" s="76">
        <v>0.22388241936007475</v>
      </c>
    </row>
    <row r="120" spans="1:7" x14ac:dyDescent="0.25">
      <c r="A120" s="75">
        <v>6400908</v>
      </c>
      <c r="B120" s="73" t="s">
        <v>1164</v>
      </c>
      <c r="C120" s="68">
        <v>7</v>
      </c>
      <c r="D120" s="73" t="s">
        <v>2749</v>
      </c>
      <c r="E120" s="77">
        <v>102.64228025111606</v>
      </c>
      <c r="F120" s="77">
        <v>244.30734618293289</v>
      </c>
      <c r="G120" s="76">
        <v>0.69608751658427226</v>
      </c>
    </row>
    <row r="121" spans="1:7" x14ac:dyDescent="0.25">
      <c r="A121" s="75">
        <v>6401001</v>
      </c>
      <c r="B121" s="73" t="s">
        <v>773</v>
      </c>
      <c r="C121" s="68">
        <v>3</v>
      </c>
      <c r="D121" s="73" t="s">
        <v>2750</v>
      </c>
      <c r="E121" s="77">
        <v>27.068315865861166</v>
      </c>
      <c r="F121" s="77">
        <v>103.98420928983666</v>
      </c>
      <c r="G121" s="76">
        <v>6.5063860002190721E-2</v>
      </c>
    </row>
    <row r="122" spans="1:7" x14ac:dyDescent="0.25">
      <c r="A122" s="75">
        <v>6401001</v>
      </c>
      <c r="B122" s="73" t="s">
        <v>773</v>
      </c>
      <c r="C122" s="68">
        <v>4</v>
      </c>
      <c r="D122" s="73" t="s">
        <v>2751</v>
      </c>
      <c r="E122" s="77">
        <v>14.120667807699039</v>
      </c>
      <c r="F122" s="77">
        <v>102.57939287917193</v>
      </c>
      <c r="G122" s="76">
        <v>6.418485367135926E-2</v>
      </c>
    </row>
    <row r="123" spans="1:7" x14ac:dyDescent="0.25">
      <c r="A123" s="75">
        <v>6401001</v>
      </c>
      <c r="B123" s="73" t="s">
        <v>773</v>
      </c>
      <c r="C123" s="68">
        <v>99</v>
      </c>
      <c r="D123" s="73" t="s">
        <v>2751</v>
      </c>
      <c r="E123" s="77">
        <v>14.120667807699039</v>
      </c>
      <c r="F123" s="77">
        <v>102.57939287917193</v>
      </c>
      <c r="G123" s="76">
        <v>6.418485367135926E-2</v>
      </c>
    </row>
    <row r="124" spans="1:7" x14ac:dyDescent="0.25">
      <c r="A124" s="75">
        <v>6401101</v>
      </c>
      <c r="B124" s="73" t="s">
        <v>775</v>
      </c>
      <c r="C124" s="68">
        <v>1</v>
      </c>
      <c r="D124" s="73" t="s">
        <v>2752</v>
      </c>
      <c r="E124" s="77">
        <v>35.402676997143246</v>
      </c>
      <c r="F124" s="77">
        <v>97.126736491812437</v>
      </c>
      <c r="G124" s="76">
        <v>6.0773077265594111E-2</v>
      </c>
    </row>
    <row r="125" spans="1:7" x14ac:dyDescent="0.25">
      <c r="A125" s="75">
        <v>6401101</v>
      </c>
      <c r="B125" s="73" t="s">
        <v>775</v>
      </c>
      <c r="C125" s="68">
        <v>2</v>
      </c>
      <c r="D125" s="73" t="s">
        <v>2753</v>
      </c>
      <c r="E125" s="77">
        <v>33.415175000151478</v>
      </c>
      <c r="F125" s="77">
        <v>112.65799450430032</v>
      </c>
      <c r="G125" s="76">
        <v>0.23575975995515547</v>
      </c>
    </row>
    <row r="126" spans="1:7" x14ac:dyDescent="0.25">
      <c r="A126" s="75">
        <v>6401101</v>
      </c>
      <c r="B126" s="73" t="s">
        <v>775</v>
      </c>
      <c r="C126" s="68">
        <v>3</v>
      </c>
      <c r="D126" s="73" t="s">
        <v>2752</v>
      </c>
      <c r="E126" s="77">
        <v>26.12434366380991</v>
      </c>
      <c r="F126" s="77">
        <v>97.126736491812437</v>
      </c>
      <c r="G126" s="76">
        <v>6.0773077265594111E-2</v>
      </c>
    </row>
    <row r="127" spans="1:7" x14ac:dyDescent="0.25">
      <c r="A127" s="75">
        <v>6401101</v>
      </c>
      <c r="B127" s="73" t="s">
        <v>775</v>
      </c>
      <c r="C127" s="68">
        <v>4</v>
      </c>
      <c r="D127" s="73" t="s">
        <v>2754</v>
      </c>
      <c r="E127" s="77">
        <v>13.189448576985546</v>
      </c>
      <c r="F127" s="77">
        <v>95.814563862238543</v>
      </c>
      <c r="G127" s="76">
        <v>5.9952038986297938E-2</v>
      </c>
    </row>
    <row r="128" spans="1:7" x14ac:dyDescent="0.25">
      <c r="A128" s="75">
        <v>6401101</v>
      </c>
      <c r="B128" s="73" t="s">
        <v>775</v>
      </c>
      <c r="C128" s="68">
        <v>5</v>
      </c>
      <c r="D128" s="73" t="s">
        <v>2755</v>
      </c>
      <c r="E128" s="77">
        <v>28.698802161696214</v>
      </c>
      <c r="F128" s="77">
        <v>103.30709107932721</v>
      </c>
      <c r="G128" s="76">
        <v>0.1080230455491698</v>
      </c>
    </row>
    <row r="129" spans="1:7" x14ac:dyDescent="0.25">
      <c r="A129" s="75">
        <v>6401101</v>
      </c>
      <c r="B129" s="73" t="s">
        <v>775</v>
      </c>
      <c r="C129" s="68">
        <v>7</v>
      </c>
      <c r="D129" s="73" t="s">
        <v>2755</v>
      </c>
      <c r="E129" s="77">
        <v>28.698802161696214</v>
      </c>
      <c r="F129" s="77">
        <v>103.30709107932721</v>
      </c>
      <c r="G129" s="76">
        <v>0.10802304554916979</v>
      </c>
    </row>
    <row r="130" spans="1:7" x14ac:dyDescent="0.25">
      <c r="A130" s="75">
        <v>6401101</v>
      </c>
      <c r="B130" s="73" t="s">
        <v>775</v>
      </c>
      <c r="C130" s="68">
        <v>9</v>
      </c>
      <c r="D130" s="73" t="s">
        <v>2755</v>
      </c>
      <c r="E130" s="77">
        <v>28.698802161696214</v>
      </c>
      <c r="F130" s="77">
        <v>103.30709107932721</v>
      </c>
      <c r="G130" s="76">
        <v>0.10802304554916979</v>
      </c>
    </row>
    <row r="131" spans="1:7" x14ac:dyDescent="0.25">
      <c r="A131" s="75">
        <v>6401101</v>
      </c>
      <c r="B131" s="73" t="s">
        <v>775</v>
      </c>
      <c r="C131" s="68">
        <v>99</v>
      </c>
      <c r="D131" s="73" t="s">
        <v>2754</v>
      </c>
      <c r="E131" s="77">
        <v>13.189448576985546</v>
      </c>
      <c r="F131" s="77">
        <v>95.814563862238543</v>
      </c>
      <c r="G131" s="76">
        <v>5.9952038986297938E-2</v>
      </c>
    </row>
    <row r="132" spans="1:7" x14ac:dyDescent="0.25">
      <c r="A132" s="75">
        <v>6401201</v>
      </c>
      <c r="B132" s="73" t="s">
        <v>776</v>
      </c>
      <c r="C132" s="68">
        <v>1</v>
      </c>
      <c r="D132" s="73" t="s">
        <v>2756</v>
      </c>
      <c r="E132" s="77">
        <v>46.757482593439626</v>
      </c>
      <c r="F132" s="77">
        <v>79.347356794937355</v>
      </c>
      <c r="G132" s="76">
        <v>9.9296717247899929E-2</v>
      </c>
    </row>
    <row r="133" spans="1:7" x14ac:dyDescent="0.25">
      <c r="A133" s="75">
        <v>6401201</v>
      </c>
      <c r="B133" s="73" t="s">
        <v>776</v>
      </c>
      <c r="C133" s="68">
        <v>2</v>
      </c>
      <c r="D133" s="73" t="s">
        <v>2757</v>
      </c>
      <c r="E133" s="77">
        <v>44.236869706668706</v>
      </c>
      <c r="F133" s="77">
        <v>95.71336101681996</v>
      </c>
      <c r="G133" s="76">
        <v>0.27247470565253251</v>
      </c>
    </row>
    <row r="134" spans="1:7" x14ac:dyDescent="0.25">
      <c r="A134" s="75">
        <v>6401201</v>
      </c>
      <c r="B134" s="73" t="s">
        <v>776</v>
      </c>
      <c r="C134" s="68">
        <v>3</v>
      </c>
      <c r="D134" s="73" t="s">
        <v>2756</v>
      </c>
      <c r="E134" s="77">
        <v>37.47914926010629</v>
      </c>
      <c r="F134" s="77">
        <v>79.347356794937355</v>
      </c>
      <c r="G134" s="76">
        <v>9.9296717247899929E-2</v>
      </c>
    </row>
    <row r="135" spans="1:7" x14ac:dyDescent="0.25">
      <c r="A135" s="75">
        <v>6401201</v>
      </c>
      <c r="B135" s="73" t="s">
        <v>776</v>
      </c>
      <c r="C135" s="68">
        <v>4</v>
      </c>
      <c r="D135" s="73" t="s">
        <v>2758</v>
      </c>
      <c r="E135" s="77">
        <v>29.020979682248885</v>
      </c>
      <c r="F135" s="77">
        <v>93.134437365422315</v>
      </c>
      <c r="G135" s="76">
        <v>0.11655011920581879</v>
      </c>
    </row>
    <row r="136" spans="1:7" x14ac:dyDescent="0.25">
      <c r="A136" s="75">
        <v>6401201</v>
      </c>
      <c r="B136" s="73" t="s">
        <v>776</v>
      </c>
      <c r="C136" s="68">
        <v>5</v>
      </c>
      <c r="D136" s="73" t="s">
        <v>2759</v>
      </c>
      <c r="E136" s="77">
        <v>39.520496868213442</v>
      </c>
      <c r="F136" s="77">
        <v>86.362457591846848</v>
      </c>
      <c r="G136" s="76">
        <v>0.14473799124654679</v>
      </c>
    </row>
    <row r="137" spans="1:7" x14ac:dyDescent="0.25">
      <c r="A137" s="75">
        <v>6401201</v>
      </c>
      <c r="B137" s="73" t="s">
        <v>776</v>
      </c>
      <c r="C137" s="68">
        <v>6</v>
      </c>
      <c r="D137" s="73" t="s">
        <v>2757</v>
      </c>
      <c r="E137" s="77">
        <v>45.506536373335372</v>
      </c>
      <c r="F137" s="77">
        <v>95.71336101681996</v>
      </c>
      <c r="G137" s="76">
        <v>0.27247470565253251</v>
      </c>
    </row>
    <row r="138" spans="1:7" x14ac:dyDescent="0.25">
      <c r="A138" s="75">
        <v>6401201</v>
      </c>
      <c r="B138" s="73" t="s">
        <v>776</v>
      </c>
      <c r="C138" s="68">
        <v>8</v>
      </c>
      <c r="D138" s="73" t="s">
        <v>2756</v>
      </c>
      <c r="E138" s="77">
        <v>24.782482593439628</v>
      </c>
      <c r="F138" s="77">
        <v>79.347356794937355</v>
      </c>
      <c r="G138" s="76">
        <v>9.9296717247899929E-2</v>
      </c>
    </row>
    <row r="139" spans="1:7" x14ac:dyDescent="0.25">
      <c r="A139" s="75">
        <v>6401201</v>
      </c>
      <c r="B139" s="73" t="s">
        <v>776</v>
      </c>
      <c r="C139" s="68">
        <v>9</v>
      </c>
      <c r="D139" s="73" t="s">
        <v>2759</v>
      </c>
      <c r="E139" s="77">
        <v>39.520496868213442</v>
      </c>
      <c r="F139" s="77">
        <v>86.362457591846848</v>
      </c>
      <c r="G139" s="76">
        <v>0.14473799124654682</v>
      </c>
    </row>
    <row r="140" spans="1:7" x14ac:dyDescent="0.25">
      <c r="A140" s="75">
        <v>6401201</v>
      </c>
      <c r="B140" s="73" t="s">
        <v>776</v>
      </c>
      <c r="C140" s="68">
        <v>99</v>
      </c>
      <c r="D140" s="73" t="s">
        <v>2758</v>
      </c>
      <c r="E140" s="77">
        <v>29.020979682248885</v>
      </c>
      <c r="F140" s="77">
        <v>93.134437365422315</v>
      </c>
      <c r="G140" s="76">
        <v>0.11655011920581879</v>
      </c>
    </row>
    <row r="141" spans="1:7" x14ac:dyDescent="0.25">
      <c r="A141" s="75">
        <v>6401301</v>
      </c>
      <c r="B141" s="73" t="s">
        <v>1165</v>
      </c>
      <c r="C141" s="68">
        <v>3</v>
      </c>
      <c r="D141" s="73" t="s">
        <v>2760</v>
      </c>
      <c r="E141" s="77">
        <v>42.172686295037529</v>
      </c>
      <c r="F141" s="77">
        <v>94.409905881433914</v>
      </c>
      <c r="G141" s="76">
        <v>0.11814626357292501</v>
      </c>
    </row>
    <row r="142" spans="1:7" x14ac:dyDescent="0.25">
      <c r="A142" s="75">
        <v>6401301</v>
      </c>
      <c r="B142" s="73" t="s">
        <v>1165</v>
      </c>
      <c r="C142" s="68">
        <v>99</v>
      </c>
      <c r="D142" s="73" t="s">
        <v>2761</v>
      </c>
      <c r="E142" s="77">
        <v>29.020979682248885</v>
      </c>
      <c r="F142" s="77">
        <v>93.134437365422315</v>
      </c>
      <c r="G142" s="76">
        <v>0.11655011920581879</v>
      </c>
    </row>
    <row r="143" spans="1:7" x14ac:dyDescent="0.25">
      <c r="A143" s="75">
        <v>6401601</v>
      </c>
      <c r="B143" s="73" t="s">
        <v>1166</v>
      </c>
      <c r="C143" s="68">
        <v>99</v>
      </c>
      <c r="D143" s="73" t="s">
        <v>2762</v>
      </c>
      <c r="E143" s="77">
        <v>33</v>
      </c>
      <c r="F143" s="77">
        <v>815.88851894663992</v>
      </c>
      <c r="G143" s="76">
        <v>4.95</v>
      </c>
    </row>
    <row r="144" spans="1:7" x14ac:dyDescent="0.25">
      <c r="A144" s="75">
        <v>6480001</v>
      </c>
      <c r="B144" s="73" t="s">
        <v>2763</v>
      </c>
      <c r="C144" s="68">
        <v>99</v>
      </c>
      <c r="D144" s="73" t="s">
        <v>2764</v>
      </c>
      <c r="E144" s="77">
        <v>33</v>
      </c>
      <c r="F144" s="77">
        <v>815.88851894663992</v>
      </c>
      <c r="G144" s="76">
        <v>4.95</v>
      </c>
    </row>
    <row r="145" spans="1:7" x14ac:dyDescent="0.25">
      <c r="A145" s="75"/>
      <c r="B145" s="72" t="s">
        <v>16</v>
      </c>
      <c r="C145" s="68"/>
      <c r="D145" s="73"/>
      <c r="E145" s="77"/>
      <c r="F145" s="77"/>
      <c r="G145" s="76"/>
    </row>
    <row r="146" spans="1:7" x14ac:dyDescent="0.25">
      <c r="A146" s="75">
        <v>6500101</v>
      </c>
      <c r="B146" s="73" t="s">
        <v>1295</v>
      </c>
      <c r="C146" s="68">
        <v>99</v>
      </c>
      <c r="D146" s="73" t="s">
        <v>2765</v>
      </c>
      <c r="E146" s="77">
        <v>421.07143574223232</v>
      </c>
      <c r="F146" s="77">
        <v>210.20216988554472</v>
      </c>
      <c r="G146" s="76">
        <v>0.78857144200072016</v>
      </c>
    </row>
    <row r="147" spans="1:7" x14ac:dyDescent="0.25">
      <c r="A147" s="75">
        <v>6500105</v>
      </c>
      <c r="B147" s="73" t="s">
        <v>1296</v>
      </c>
      <c r="C147" s="68">
        <v>99</v>
      </c>
      <c r="D147" s="73" t="s">
        <v>2766</v>
      </c>
      <c r="E147" s="77">
        <v>208.30384814463122</v>
      </c>
      <c r="F147" s="77">
        <v>166.97513066459936</v>
      </c>
      <c r="G147" s="76">
        <v>1.0183828986032593</v>
      </c>
    </row>
    <row r="148" spans="1:7" x14ac:dyDescent="0.25">
      <c r="A148" s="75">
        <v>6500108</v>
      </c>
      <c r="B148" s="73" t="s">
        <v>1297</v>
      </c>
      <c r="C148" s="68">
        <v>99</v>
      </c>
      <c r="D148" s="73" t="s">
        <v>2765</v>
      </c>
      <c r="E148" s="77">
        <v>421.07143574223232</v>
      </c>
      <c r="F148" s="77">
        <v>210.20216988554472</v>
      </c>
      <c r="G148" s="76">
        <v>0.78857144200072016</v>
      </c>
    </row>
    <row r="149" spans="1:7" x14ac:dyDescent="0.25">
      <c r="A149" s="75">
        <v>6500201</v>
      </c>
      <c r="B149" s="73" t="s">
        <v>2767</v>
      </c>
      <c r="C149" s="68">
        <v>99</v>
      </c>
      <c r="D149" s="73" t="s">
        <v>2768</v>
      </c>
      <c r="E149" s="77">
        <v>155.17500000000001</v>
      </c>
      <c r="F149" s="77">
        <v>151.05000000000001</v>
      </c>
      <c r="G149" s="76">
        <v>1.0449999999999999</v>
      </c>
    </row>
    <row r="150" spans="1:7" x14ac:dyDescent="0.25">
      <c r="A150" s="75">
        <v>6500202</v>
      </c>
      <c r="B150" s="73" t="s">
        <v>1298</v>
      </c>
      <c r="C150" s="68">
        <v>99</v>
      </c>
      <c r="D150" s="73" t="s">
        <v>2768</v>
      </c>
      <c r="E150" s="77">
        <v>155.17500000000001</v>
      </c>
      <c r="F150" s="77">
        <v>151.05000000000001</v>
      </c>
      <c r="G150" s="76">
        <v>1.0449999999999999</v>
      </c>
    </row>
    <row r="151" spans="1:7" x14ac:dyDescent="0.25">
      <c r="A151" s="75">
        <v>6500301</v>
      </c>
      <c r="B151" s="73" t="s">
        <v>1299</v>
      </c>
      <c r="C151" s="68">
        <v>99</v>
      </c>
      <c r="D151" s="73" t="s">
        <v>2769</v>
      </c>
      <c r="E151" s="77">
        <v>73.3</v>
      </c>
      <c r="F151" s="77">
        <v>455.72872510274715</v>
      </c>
      <c r="G151" s="76">
        <v>1</v>
      </c>
    </row>
    <row r="152" spans="1:7" x14ac:dyDescent="0.25">
      <c r="A152" s="75">
        <v>6500401</v>
      </c>
      <c r="B152" s="73" t="s">
        <v>779</v>
      </c>
      <c r="C152" s="68">
        <v>99</v>
      </c>
      <c r="D152" s="73" t="s">
        <v>2770</v>
      </c>
      <c r="E152" s="77">
        <v>73.3</v>
      </c>
      <c r="F152" s="77">
        <v>455.72872510274715</v>
      </c>
      <c r="G152" s="76">
        <v>1</v>
      </c>
    </row>
    <row r="153" spans="1:7" x14ac:dyDescent="0.25">
      <c r="A153" s="75">
        <v>6500603</v>
      </c>
      <c r="B153" s="73" t="s">
        <v>783</v>
      </c>
      <c r="C153" s="68">
        <v>99</v>
      </c>
      <c r="D153" s="73" t="s">
        <v>2771</v>
      </c>
      <c r="E153" s="77">
        <v>45.268177493669327</v>
      </c>
      <c r="F153" s="77">
        <v>91.854366959530665</v>
      </c>
      <c r="G153" s="76">
        <v>0.4360850461979503</v>
      </c>
    </row>
    <row r="154" spans="1:7" x14ac:dyDescent="0.25">
      <c r="A154" s="75">
        <v>6500614</v>
      </c>
      <c r="B154" s="73" t="s">
        <v>1300</v>
      </c>
      <c r="C154" s="68">
        <v>99</v>
      </c>
      <c r="D154" s="73" t="s">
        <v>2772</v>
      </c>
      <c r="E154" s="77">
        <v>126.42027262111424</v>
      </c>
      <c r="F154" s="77">
        <v>133.19777160864581</v>
      </c>
      <c r="G154" s="76">
        <v>0.78347906967598724</v>
      </c>
    </row>
    <row r="155" spans="1:7" x14ac:dyDescent="0.25">
      <c r="A155" s="75">
        <v>6500615</v>
      </c>
      <c r="B155" s="73" t="s">
        <v>2773</v>
      </c>
      <c r="C155" s="68">
        <v>99</v>
      </c>
      <c r="D155" s="73" t="s">
        <v>2772</v>
      </c>
      <c r="E155" s="77">
        <v>126.42027262111424</v>
      </c>
      <c r="F155" s="77">
        <v>133.19777160864581</v>
      </c>
      <c r="G155" s="76">
        <v>0.78347906967598724</v>
      </c>
    </row>
    <row r="156" spans="1:7" x14ac:dyDescent="0.25">
      <c r="A156" s="75">
        <v>6500616</v>
      </c>
      <c r="B156" s="73" t="s">
        <v>2774</v>
      </c>
      <c r="C156" s="68">
        <v>99</v>
      </c>
      <c r="D156" s="73" t="s">
        <v>2772</v>
      </c>
      <c r="E156" s="77">
        <v>126.42027262111424</v>
      </c>
      <c r="F156" s="77">
        <v>133.19777160864581</v>
      </c>
      <c r="G156" s="76">
        <v>0.78347906967598724</v>
      </c>
    </row>
    <row r="157" spans="1:7" x14ac:dyDescent="0.25">
      <c r="A157" s="75">
        <v>6500617</v>
      </c>
      <c r="B157" s="73" t="s">
        <v>2775</v>
      </c>
      <c r="C157" s="68">
        <v>99</v>
      </c>
      <c r="D157" s="73" t="s">
        <v>2766</v>
      </c>
      <c r="E157" s="77">
        <v>174.37606993486679</v>
      </c>
      <c r="F157" s="77">
        <v>146.26551199849445</v>
      </c>
      <c r="G157" s="76">
        <v>0.89759956864670776</v>
      </c>
    </row>
    <row r="158" spans="1:7" x14ac:dyDescent="0.25">
      <c r="A158" s="75">
        <v>6500801</v>
      </c>
      <c r="B158" s="73" t="s">
        <v>1301</v>
      </c>
      <c r="C158" s="68">
        <v>99</v>
      </c>
      <c r="D158" s="73" t="s">
        <v>2772</v>
      </c>
      <c r="E158" s="77">
        <v>129.99814644029721</v>
      </c>
      <c r="F158" s="77">
        <v>128.78682392882322</v>
      </c>
      <c r="G158" s="76">
        <v>0.79663418392699481</v>
      </c>
    </row>
    <row r="159" spans="1:7" x14ac:dyDescent="0.25">
      <c r="A159" s="75">
        <v>6500802</v>
      </c>
      <c r="B159" s="73" t="s">
        <v>1302</v>
      </c>
      <c r="C159" s="68">
        <v>99</v>
      </c>
      <c r="D159" s="73" t="s">
        <v>2776</v>
      </c>
      <c r="E159" s="77">
        <v>425.54639720479867</v>
      </c>
      <c r="F159" s="77">
        <v>251.95308691489848</v>
      </c>
      <c r="G159" s="76">
        <v>1.4694492120331031</v>
      </c>
    </row>
    <row r="160" spans="1:7" x14ac:dyDescent="0.25">
      <c r="A160" s="75">
        <v>6500804</v>
      </c>
      <c r="B160" s="73" t="s">
        <v>1303</v>
      </c>
      <c r="C160" s="68">
        <v>99</v>
      </c>
      <c r="D160" s="73" t="s">
        <v>2772</v>
      </c>
      <c r="E160" s="77">
        <v>126.42027262111424</v>
      </c>
      <c r="F160" s="77">
        <v>133.19777160864581</v>
      </c>
      <c r="G160" s="76">
        <v>0.78347906967598724</v>
      </c>
    </row>
    <row r="161" spans="1:7" x14ac:dyDescent="0.25">
      <c r="A161" s="75">
        <v>6500902</v>
      </c>
      <c r="B161" s="73" t="s">
        <v>788</v>
      </c>
      <c r="C161" s="68">
        <v>99</v>
      </c>
      <c r="D161" s="73" t="s">
        <v>2777</v>
      </c>
      <c r="E161" s="77">
        <v>290.3</v>
      </c>
      <c r="F161" s="77">
        <v>177.2</v>
      </c>
      <c r="G161" s="76">
        <v>1.0334717607973423</v>
      </c>
    </row>
    <row r="162" spans="1:7" x14ac:dyDescent="0.25">
      <c r="A162" s="75">
        <v>6500903</v>
      </c>
      <c r="B162" s="73" t="s">
        <v>1304</v>
      </c>
      <c r="C162" s="68">
        <v>99</v>
      </c>
      <c r="D162" s="73" t="s">
        <v>2777</v>
      </c>
      <c r="E162" s="77">
        <v>290.3</v>
      </c>
      <c r="F162" s="77">
        <v>177.2</v>
      </c>
      <c r="G162" s="76">
        <v>1.0334717607973423</v>
      </c>
    </row>
    <row r="163" spans="1:7" x14ac:dyDescent="0.25">
      <c r="A163" s="75">
        <v>6501301</v>
      </c>
      <c r="B163" s="73" t="s">
        <v>1305</v>
      </c>
      <c r="C163" s="68">
        <v>99</v>
      </c>
      <c r="D163" s="73" t="s">
        <v>2778</v>
      </c>
      <c r="E163" s="77">
        <v>73.3</v>
      </c>
      <c r="F163" s="77">
        <v>455.72872510274715</v>
      </c>
      <c r="G163" s="76">
        <v>1</v>
      </c>
    </row>
    <row r="164" spans="1:7" x14ac:dyDescent="0.25">
      <c r="A164" s="75">
        <v>6501303</v>
      </c>
      <c r="B164" s="73" t="s">
        <v>1306</v>
      </c>
      <c r="C164" s="68">
        <v>99</v>
      </c>
      <c r="D164" s="73" t="s">
        <v>2778</v>
      </c>
      <c r="E164" s="77">
        <v>73.3</v>
      </c>
      <c r="F164" s="77">
        <v>455.72872510274715</v>
      </c>
      <c r="G164" s="76">
        <v>1</v>
      </c>
    </row>
    <row r="165" spans="1:7" x14ac:dyDescent="0.25">
      <c r="A165" s="75">
        <v>6501304</v>
      </c>
      <c r="B165" s="73" t="s">
        <v>1307</v>
      </c>
      <c r="C165" s="68">
        <v>99</v>
      </c>
      <c r="D165" s="73" t="s">
        <v>2778</v>
      </c>
      <c r="E165" s="77">
        <v>73.3</v>
      </c>
      <c r="F165" s="77">
        <v>455.72872510274715</v>
      </c>
      <c r="G165" s="76">
        <v>1</v>
      </c>
    </row>
    <row r="166" spans="1:7" x14ac:dyDescent="0.25">
      <c r="A166" s="75">
        <v>6501401</v>
      </c>
      <c r="B166" s="73" t="s">
        <v>793</v>
      </c>
      <c r="C166" s="68">
        <v>99</v>
      </c>
      <c r="D166" s="73" t="s">
        <v>2779</v>
      </c>
      <c r="E166" s="77">
        <v>59.4</v>
      </c>
      <c r="F166" s="77">
        <v>165.38799756971667</v>
      </c>
      <c r="G166" s="76">
        <v>0.85</v>
      </c>
    </row>
    <row r="167" spans="1:7" x14ac:dyDescent="0.25">
      <c r="A167" s="75">
        <v>6501410</v>
      </c>
      <c r="B167" s="73" t="s">
        <v>1308</v>
      </c>
      <c r="C167" s="68">
        <v>99</v>
      </c>
      <c r="D167" s="73" t="s">
        <v>2779</v>
      </c>
      <c r="E167" s="77">
        <v>59.4</v>
      </c>
      <c r="F167" s="77">
        <v>165.38799756971667</v>
      </c>
      <c r="G167" s="76">
        <v>0.85</v>
      </c>
    </row>
    <row r="168" spans="1:7" x14ac:dyDescent="0.25">
      <c r="A168" s="75">
        <v>6501415</v>
      </c>
      <c r="B168" s="73" t="s">
        <v>1309</v>
      </c>
      <c r="C168" s="68">
        <v>99</v>
      </c>
      <c r="D168" s="73" t="s">
        <v>2779</v>
      </c>
      <c r="E168" s="77">
        <v>59.4</v>
      </c>
      <c r="F168" s="77">
        <v>165.38799756971667</v>
      </c>
      <c r="G168" s="76">
        <v>0.85</v>
      </c>
    </row>
    <row r="169" spans="1:7" x14ac:dyDescent="0.25">
      <c r="A169" s="75">
        <v>6501416</v>
      </c>
      <c r="B169" s="73" t="s">
        <v>1310</v>
      </c>
      <c r="C169" s="68">
        <v>99</v>
      </c>
      <c r="D169" s="73" t="s">
        <v>2779</v>
      </c>
      <c r="E169" s="77">
        <v>59.4</v>
      </c>
      <c r="F169" s="77">
        <v>165.38799756971667</v>
      </c>
      <c r="G169" s="76">
        <v>0.85</v>
      </c>
    </row>
    <row r="170" spans="1:7" x14ac:dyDescent="0.25">
      <c r="A170" s="75">
        <v>6501515</v>
      </c>
      <c r="B170" s="73" t="s">
        <v>1311</v>
      </c>
      <c r="C170" s="68">
        <v>99</v>
      </c>
      <c r="D170" s="73" t="s">
        <v>2780</v>
      </c>
      <c r="E170" s="77">
        <v>27.703933333333335</v>
      </c>
      <c r="F170" s="77">
        <v>49.856034559079738</v>
      </c>
      <c r="G170" s="76">
        <v>0.31868776804027599</v>
      </c>
    </row>
    <row r="171" spans="1:7" x14ac:dyDescent="0.25">
      <c r="A171" s="75">
        <v>6501516</v>
      </c>
      <c r="B171" s="73" t="s">
        <v>1312</v>
      </c>
      <c r="C171" s="68">
        <v>99</v>
      </c>
      <c r="D171" s="73" t="s">
        <v>2781</v>
      </c>
      <c r="E171" s="77">
        <v>49.218840362548818</v>
      </c>
      <c r="F171" s="77">
        <v>153.65146498307487</v>
      </c>
      <c r="G171" s="76">
        <v>0.70431000518798814</v>
      </c>
    </row>
    <row r="172" spans="1:7" x14ac:dyDescent="0.25">
      <c r="A172" s="75">
        <v>6502001</v>
      </c>
      <c r="B172" s="73" t="s">
        <v>1313</v>
      </c>
      <c r="C172" s="68">
        <v>99</v>
      </c>
      <c r="D172" s="73" t="s">
        <v>2782</v>
      </c>
      <c r="E172" s="77">
        <v>290.3</v>
      </c>
      <c r="F172" s="77">
        <v>177.2</v>
      </c>
      <c r="G172" s="76">
        <v>1.0334717607973423</v>
      </c>
    </row>
    <row r="173" spans="1:7" x14ac:dyDescent="0.25">
      <c r="A173" s="75">
        <v>6502101</v>
      </c>
      <c r="B173" s="73" t="s">
        <v>1314</v>
      </c>
      <c r="C173" s="68">
        <v>99</v>
      </c>
      <c r="D173" s="73" t="s">
        <v>2783</v>
      </c>
      <c r="E173" s="77">
        <v>290.3</v>
      </c>
      <c r="F173" s="77">
        <v>177.2</v>
      </c>
      <c r="G173" s="76">
        <v>1.0334717607973423</v>
      </c>
    </row>
    <row r="174" spans="1:7" x14ac:dyDescent="0.25">
      <c r="A174" s="75">
        <v>6502102</v>
      </c>
      <c r="B174" s="73" t="s">
        <v>1315</v>
      </c>
      <c r="C174" s="68">
        <v>99</v>
      </c>
      <c r="D174" s="73" t="s">
        <v>2784</v>
      </c>
      <c r="E174" s="77">
        <v>290.3</v>
      </c>
      <c r="F174" s="77">
        <v>177.2</v>
      </c>
      <c r="G174" s="76">
        <v>1.0334717607973423</v>
      </c>
    </row>
    <row r="175" spans="1:7" x14ac:dyDescent="0.25">
      <c r="A175" s="75">
        <v>6502106</v>
      </c>
      <c r="B175" s="73" t="s">
        <v>2785</v>
      </c>
      <c r="C175" s="68">
        <v>99</v>
      </c>
      <c r="D175" s="73" t="s">
        <v>2770</v>
      </c>
      <c r="E175" s="77">
        <v>73.3</v>
      </c>
      <c r="F175" s="77">
        <v>455.72872510274715</v>
      </c>
      <c r="G175" s="76">
        <v>1</v>
      </c>
    </row>
    <row r="176" spans="1:7" x14ac:dyDescent="0.25">
      <c r="A176" s="75">
        <v>6502109</v>
      </c>
      <c r="B176" s="73" t="s">
        <v>2786</v>
      </c>
      <c r="C176" s="68">
        <v>99</v>
      </c>
      <c r="D176" s="73" t="s">
        <v>2700</v>
      </c>
      <c r="E176" s="77">
        <v>32.722439862542956</v>
      </c>
      <c r="F176" s="77">
        <v>36.701030927835049</v>
      </c>
      <c r="G176" s="76">
        <v>0.51546391752577325</v>
      </c>
    </row>
    <row r="177" spans="1:7" x14ac:dyDescent="0.25">
      <c r="A177" s="75">
        <v>6502501</v>
      </c>
      <c r="B177" s="73" t="s">
        <v>1316</v>
      </c>
      <c r="C177" s="68">
        <v>99</v>
      </c>
      <c r="D177" s="73" t="s">
        <v>2787</v>
      </c>
      <c r="E177" s="77">
        <v>324</v>
      </c>
      <c r="F177" s="77">
        <v>225.6485722150212</v>
      </c>
      <c r="G177" s="76">
        <v>0.5</v>
      </c>
    </row>
    <row r="178" spans="1:7" x14ac:dyDescent="0.25">
      <c r="A178" s="75">
        <v>6502603</v>
      </c>
      <c r="B178" s="73" t="s">
        <v>1317</v>
      </c>
      <c r="C178" s="68">
        <v>99</v>
      </c>
      <c r="D178" s="73" t="s">
        <v>2788</v>
      </c>
      <c r="E178" s="77">
        <v>1561.3945906326737</v>
      </c>
      <c r="F178" s="77">
        <v>1026.0685550132421</v>
      </c>
      <c r="G178" s="76">
        <v>6.1575802986170851</v>
      </c>
    </row>
    <row r="179" spans="1:7" x14ac:dyDescent="0.25">
      <c r="A179" s="75">
        <v>6503401</v>
      </c>
      <c r="B179" s="73" t="s">
        <v>798</v>
      </c>
      <c r="C179" s="68">
        <v>2</v>
      </c>
      <c r="D179" s="73" t="s">
        <v>2789</v>
      </c>
      <c r="E179" s="77">
        <v>88.530564244516569</v>
      </c>
      <c r="F179" s="77">
        <v>104.90740364057947</v>
      </c>
      <c r="G179" s="76">
        <v>0.60762678601294973</v>
      </c>
    </row>
    <row r="180" spans="1:7" x14ac:dyDescent="0.25">
      <c r="A180" s="75">
        <v>6503401</v>
      </c>
      <c r="B180" s="73" t="s">
        <v>798</v>
      </c>
      <c r="C180" s="68">
        <v>3</v>
      </c>
      <c r="D180" s="73" t="s">
        <v>2790</v>
      </c>
      <c r="E180" s="77">
        <v>71.992249587648715</v>
      </c>
      <c r="F180" s="77">
        <v>74.872611293019844</v>
      </c>
      <c r="G180" s="76">
        <v>0.45437608138374669</v>
      </c>
    </row>
    <row r="181" spans="1:7" x14ac:dyDescent="0.25">
      <c r="A181" s="75">
        <v>6503401</v>
      </c>
      <c r="B181" s="73" t="s">
        <v>798</v>
      </c>
      <c r="C181" s="68">
        <v>7</v>
      </c>
      <c r="D181" s="73" t="s">
        <v>2789</v>
      </c>
      <c r="E181" s="77">
        <v>85.35639757784989</v>
      </c>
      <c r="F181" s="77">
        <v>104.90740364057949</v>
      </c>
      <c r="G181" s="76">
        <v>0.60762678601294962</v>
      </c>
    </row>
    <row r="182" spans="1:7" x14ac:dyDescent="0.25">
      <c r="A182" s="75">
        <v>6503401</v>
      </c>
      <c r="B182" s="73" t="s">
        <v>798</v>
      </c>
      <c r="C182" s="68">
        <v>9</v>
      </c>
      <c r="D182" s="73" t="s">
        <v>2789</v>
      </c>
      <c r="E182" s="77">
        <v>85.35639757784989</v>
      </c>
      <c r="F182" s="77">
        <v>104.90740364057947</v>
      </c>
      <c r="G182" s="76">
        <v>0.60762678601294973</v>
      </c>
    </row>
    <row r="183" spans="1:7" x14ac:dyDescent="0.25">
      <c r="A183" s="75">
        <v>6503401</v>
      </c>
      <c r="B183" s="73" t="s">
        <v>798</v>
      </c>
      <c r="C183" s="68">
        <v>99</v>
      </c>
      <c r="D183" s="73" t="s">
        <v>2790</v>
      </c>
      <c r="E183" s="77">
        <v>71.992249587648715</v>
      </c>
      <c r="F183" s="77">
        <v>74.872611293019844</v>
      </c>
      <c r="G183" s="76">
        <v>0.45437608138374669</v>
      </c>
    </row>
    <row r="184" spans="1:7" x14ac:dyDescent="0.25">
      <c r="A184" s="75">
        <v>6503501</v>
      </c>
      <c r="B184" s="73" t="s">
        <v>1318</v>
      </c>
      <c r="C184" s="68">
        <v>99</v>
      </c>
      <c r="D184" s="73" t="s">
        <v>2791</v>
      </c>
      <c r="E184" s="77">
        <v>74.18062300719177</v>
      </c>
      <c r="F184" s="77">
        <v>103.74420574811603</v>
      </c>
      <c r="G184" s="76">
        <v>0.62958809967623541</v>
      </c>
    </row>
    <row r="185" spans="1:7" x14ac:dyDescent="0.25">
      <c r="A185" s="75">
        <v>6503502</v>
      </c>
      <c r="B185" s="73" t="s">
        <v>2792</v>
      </c>
      <c r="C185" s="68">
        <v>99</v>
      </c>
      <c r="D185" s="73" t="s">
        <v>2793</v>
      </c>
      <c r="E185" s="77">
        <v>33.530210772833726</v>
      </c>
      <c r="F185" s="77">
        <v>79.909345438723946</v>
      </c>
      <c r="G185" s="76">
        <v>0.15</v>
      </c>
    </row>
    <row r="186" spans="1:7" x14ac:dyDescent="0.25">
      <c r="A186" s="75">
        <v>6503503</v>
      </c>
      <c r="B186" s="73" t="s">
        <v>2794</v>
      </c>
      <c r="C186" s="68">
        <v>99</v>
      </c>
      <c r="D186" s="73" t="s">
        <v>2739</v>
      </c>
      <c r="E186" s="77">
        <v>31.171178256743396</v>
      </c>
      <c r="F186" s="77">
        <v>86.696075853090463</v>
      </c>
      <c r="G186" s="76">
        <v>0.89292017202985496</v>
      </c>
    </row>
    <row r="187" spans="1:7" x14ac:dyDescent="0.25">
      <c r="A187" s="75">
        <v>6503504</v>
      </c>
      <c r="B187" s="73" t="s">
        <v>2795</v>
      </c>
      <c r="C187" s="68">
        <v>99</v>
      </c>
      <c r="D187" s="73" t="s">
        <v>2741</v>
      </c>
      <c r="E187" s="77">
        <v>39.999301903122756</v>
      </c>
      <c r="F187" s="77">
        <v>96.116020086337898</v>
      </c>
      <c r="G187" s="76">
        <v>1.0862860499101759</v>
      </c>
    </row>
    <row r="188" spans="1:7" x14ac:dyDescent="0.25">
      <c r="A188" s="75">
        <v>6503601</v>
      </c>
      <c r="B188" s="73" t="s">
        <v>799</v>
      </c>
      <c r="C188" s="68">
        <v>99</v>
      </c>
      <c r="D188" s="73" t="s">
        <v>2796</v>
      </c>
      <c r="E188" s="77">
        <v>102.58358539075415</v>
      </c>
      <c r="F188" s="77">
        <v>91.955239292720307</v>
      </c>
      <c r="G188" s="76">
        <v>0.22935518881937167</v>
      </c>
    </row>
    <row r="189" spans="1:7" x14ac:dyDescent="0.25">
      <c r="A189" s="75">
        <v>6503603</v>
      </c>
      <c r="B189" s="73" t="s">
        <v>800</v>
      </c>
      <c r="C189" s="68">
        <v>7</v>
      </c>
      <c r="D189" s="73" t="s">
        <v>2796</v>
      </c>
      <c r="E189" s="77">
        <v>99.409418724087487</v>
      </c>
      <c r="F189" s="77">
        <v>91.955239292720307</v>
      </c>
      <c r="G189" s="76">
        <v>0.22935518881937167</v>
      </c>
    </row>
    <row r="190" spans="1:7" x14ac:dyDescent="0.25">
      <c r="A190" s="75">
        <v>6503603</v>
      </c>
      <c r="B190" s="73" t="s">
        <v>800</v>
      </c>
      <c r="C190" s="68">
        <v>8</v>
      </c>
      <c r="D190" s="73" t="s">
        <v>2796</v>
      </c>
      <c r="E190" s="77">
        <v>89.886918724087494</v>
      </c>
      <c r="F190" s="77">
        <v>91.955239292720307</v>
      </c>
      <c r="G190" s="76">
        <v>0.22935518881937167</v>
      </c>
    </row>
    <row r="191" spans="1:7" x14ac:dyDescent="0.25">
      <c r="A191" s="75">
        <v>6503603</v>
      </c>
      <c r="B191" s="73" t="s">
        <v>800</v>
      </c>
      <c r="C191" s="68">
        <v>99</v>
      </c>
      <c r="D191" s="73" t="s">
        <v>2796</v>
      </c>
      <c r="E191" s="77">
        <v>102.58358539075415</v>
      </c>
      <c r="F191" s="77">
        <v>91.955239292720307</v>
      </c>
      <c r="G191" s="76">
        <v>0.22935518881937167</v>
      </c>
    </row>
    <row r="192" spans="1:7" x14ac:dyDescent="0.25">
      <c r="A192" s="75">
        <v>6503605</v>
      </c>
      <c r="B192" s="73" t="s">
        <v>802</v>
      </c>
      <c r="C192" s="68">
        <v>99</v>
      </c>
      <c r="D192" s="73" t="s">
        <v>2796</v>
      </c>
      <c r="E192" s="77">
        <v>102.58358539075415</v>
      </c>
      <c r="F192" s="77">
        <v>91.955239292720307</v>
      </c>
      <c r="G192" s="76">
        <v>0.22935518881937167</v>
      </c>
    </row>
    <row r="193" spans="1:7" x14ac:dyDescent="0.25">
      <c r="A193" s="75">
        <v>6503702</v>
      </c>
      <c r="B193" s="73" t="s">
        <v>1319</v>
      </c>
      <c r="C193" s="68">
        <v>99</v>
      </c>
      <c r="D193" s="73" t="s">
        <v>2797</v>
      </c>
      <c r="E193" s="77">
        <v>133.33333333333331</v>
      </c>
      <c r="F193" s="77">
        <v>270.42217653304613</v>
      </c>
      <c r="G193" s="76">
        <v>0.57512152358658519</v>
      </c>
    </row>
    <row r="194" spans="1:7" x14ac:dyDescent="0.25">
      <c r="A194" s="75">
        <v>6504101</v>
      </c>
      <c r="B194" s="73" t="s">
        <v>1320</v>
      </c>
      <c r="C194" s="68">
        <v>99</v>
      </c>
      <c r="D194" s="73" t="s">
        <v>2798</v>
      </c>
      <c r="E194" s="77">
        <v>241.31359766034618</v>
      </c>
      <c r="F194" s="77">
        <v>693.91536193447234</v>
      </c>
      <c r="G194" s="76">
        <v>1.2831666831579778</v>
      </c>
    </row>
    <row r="195" spans="1:7" x14ac:dyDescent="0.25">
      <c r="A195" s="75">
        <v>6504701</v>
      </c>
      <c r="B195" s="73" t="s">
        <v>1321</v>
      </c>
      <c r="C195" s="68">
        <v>99</v>
      </c>
      <c r="D195" s="73" t="s">
        <v>2798</v>
      </c>
      <c r="E195" s="77">
        <v>241.31359766034612</v>
      </c>
      <c r="F195" s="77">
        <v>693.91536193447223</v>
      </c>
      <c r="G195" s="76">
        <v>1.2831666831579778</v>
      </c>
    </row>
    <row r="196" spans="1:7" x14ac:dyDescent="0.25">
      <c r="A196" s="75">
        <v>6504801</v>
      </c>
      <c r="B196" s="73" t="s">
        <v>1322</v>
      </c>
      <c r="C196" s="68">
        <v>99</v>
      </c>
      <c r="D196" s="73" t="s">
        <v>2799</v>
      </c>
      <c r="E196" s="77">
        <v>69.01308941766311</v>
      </c>
      <c r="F196" s="77">
        <v>75.226175234912205</v>
      </c>
      <c r="G196" s="76">
        <v>0.45652173913043481</v>
      </c>
    </row>
    <row r="197" spans="1:7" x14ac:dyDescent="0.25">
      <c r="A197" s="75">
        <v>6504802</v>
      </c>
      <c r="B197" s="73" t="s">
        <v>1323</v>
      </c>
      <c r="C197" s="68">
        <v>99</v>
      </c>
      <c r="D197" s="73" t="s">
        <v>2799</v>
      </c>
      <c r="E197" s="77">
        <v>69.01308941766311</v>
      </c>
      <c r="F197" s="77">
        <v>75.226175234912205</v>
      </c>
      <c r="G197" s="76">
        <v>0.45652173913043481</v>
      </c>
    </row>
    <row r="198" spans="1:7" x14ac:dyDescent="0.25">
      <c r="A198" s="75">
        <v>6505101</v>
      </c>
      <c r="B198" s="73" t="s">
        <v>1324</v>
      </c>
      <c r="C198" s="68">
        <v>99</v>
      </c>
      <c r="D198" s="73" t="s">
        <v>2800</v>
      </c>
      <c r="E198" s="77">
        <v>79.444444444444443</v>
      </c>
      <c r="F198" s="77">
        <v>1154.3725015272823</v>
      </c>
      <c r="G198" s="76">
        <v>5.75</v>
      </c>
    </row>
    <row r="199" spans="1:7" x14ac:dyDescent="0.25">
      <c r="A199" s="75">
        <v>6505102</v>
      </c>
      <c r="B199" s="73" t="s">
        <v>2801</v>
      </c>
      <c r="C199" s="68">
        <v>99</v>
      </c>
      <c r="D199" s="73" t="s">
        <v>2800</v>
      </c>
      <c r="E199" s="77">
        <v>79.444444444444443</v>
      </c>
      <c r="F199" s="77">
        <v>1154.3725015272823</v>
      </c>
      <c r="G199" s="76">
        <v>5.75</v>
      </c>
    </row>
    <row r="200" spans="1:7" x14ac:dyDescent="0.25">
      <c r="A200" s="75">
        <v>6505601</v>
      </c>
      <c r="B200" s="73" t="s">
        <v>803</v>
      </c>
      <c r="C200" s="68">
        <v>99</v>
      </c>
      <c r="D200" s="73" t="s">
        <v>2796</v>
      </c>
      <c r="E200" s="77">
        <v>102.58358539075415</v>
      </c>
      <c r="F200" s="77">
        <v>91.955239292720307</v>
      </c>
      <c r="G200" s="76">
        <v>0.22935518881937167</v>
      </c>
    </row>
    <row r="201" spans="1:7" x14ac:dyDescent="0.25">
      <c r="A201" s="75">
        <v>6505603</v>
      </c>
      <c r="B201" s="73" t="s">
        <v>1325</v>
      </c>
      <c r="C201" s="68">
        <v>99</v>
      </c>
      <c r="D201" s="73" t="s">
        <v>2796</v>
      </c>
      <c r="E201" s="77">
        <v>102.58358539075415</v>
      </c>
      <c r="F201" s="77">
        <v>91.955239292720307</v>
      </c>
      <c r="G201" s="76">
        <v>0.22935518881937167</v>
      </c>
    </row>
    <row r="202" spans="1:7" x14ac:dyDescent="0.25">
      <c r="A202" s="75">
        <v>6505701</v>
      </c>
      <c r="B202" s="73" t="s">
        <v>1326</v>
      </c>
      <c r="C202" s="68">
        <v>99</v>
      </c>
      <c r="D202" s="73" t="s">
        <v>2802</v>
      </c>
      <c r="E202" s="77">
        <v>79.444444444444443</v>
      </c>
      <c r="F202" s="77">
        <v>1154.3725015272823</v>
      </c>
      <c r="G202" s="76">
        <v>5.75</v>
      </c>
    </row>
    <row r="203" spans="1:7" x14ac:dyDescent="0.25">
      <c r="A203" s="75">
        <v>6506302</v>
      </c>
      <c r="B203" s="73" t="s">
        <v>1327</v>
      </c>
      <c r="C203" s="68">
        <v>99</v>
      </c>
      <c r="D203" s="73" t="s">
        <v>2799</v>
      </c>
      <c r="E203" s="77">
        <v>69.01308941766311</v>
      </c>
      <c r="F203" s="77">
        <v>75.226175234912205</v>
      </c>
      <c r="G203" s="76">
        <v>0.45652173913043481</v>
      </c>
    </row>
    <row r="204" spans="1:7" x14ac:dyDescent="0.25">
      <c r="A204" s="75">
        <v>6573225</v>
      </c>
      <c r="B204" s="73" t="s">
        <v>1328</v>
      </c>
      <c r="C204" s="68">
        <v>99</v>
      </c>
      <c r="D204" s="73" t="s">
        <v>2803</v>
      </c>
      <c r="E204" s="77">
        <v>428.41425855527837</v>
      </c>
      <c r="F204" s="77">
        <v>271.97834296423457</v>
      </c>
      <c r="G204" s="76">
        <v>1.6800108290614741</v>
      </c>
    </row>
    <row r="205" spans="1:7" x14ac:dyDescent="0.25">
      <c r="A205" s="75">
        <v>6573226</v>
      </c>
      <c r="B205" s="73" t="s">
        <v>1329</v>
      </c>
      <c r="C205" s="68">
        <v>99</v>
      </c>
      <c r="D205" s="73" t="s">
        <v>2804</v>
      </c>
      <c r="E205" s="77">
        <v>275.19063997568225</v>
      </c>
      <c r="F205" s="77">
        <v>43.30825490812262</v>
      </c>
      <c r="G205" s="76">
        <v>18.487413631454046</v>
      </c>
    </row>
    <row r="206" spans="1:7" x14ac:dyDescent="0.25">
      <c r="A206" s="75">
        <v>6573239</v>
      </c>
      <c r="B206" s="73" t="s">
        <v>2805</v>
      </c>
      <c r="C206" s="68">
        <v>99</v>
      </c>
      <c r="D206" s="73" t="s">
        <v>2806</v>
      </c>
      <c r="E206" s="77">
        <v>136.99459009581031</v>
      </c>
      <c r="F206" s="77">
        <v>79.474672852236495</v>
      </c>
      <c r="G206" s="76">
        <v>0.36555126850692282</v>
      </c>
    </row>
    <row r="207" spans="1:7" x14ac:dyDescent="0.25">
      <c r="A207" s="75">
        <v>6573240</v>
      </c>
      <c r="B207" s="73" t="s">
        <v>2807</v>
      </c>
      <c r="C207" s="68">
        <v>99</v>
      </c>
      <c r="D207" s="73" t="s">
        <v>2806</v>
      </c>
      <c r="E207" s="77">
        <v>136.99459009581031</v>
      </c>
      <c r="F207" s="77">
        <v>79.474672852236495</v>
      </c>
      <c r="G207" s="76">
        <v>0.36555126850692277</v>
      </c>
    </row>
    <row r="208" spans="1:7" x14ac:dyDescent="0.25">
      <c r="A208" s="75">
        <v>6573241</v>
      </c>
      <c r="B208" s="73" t="s">
        <v>2808</v>
      </c>
      <c r="C208" s="68">
        <v>99</v>
      </c>
      <c r="D208" s="73" t="s">
        <v>2806</v>
      </c>
      <c r="E208" s="77">
        <v>136.99459009581034</v>
      </c>
      <c r="F208" s="77">
        <v>79.474672852236495</v>
      </c>
      <c r="G208" s="76">
        <v>0.36555126850692277</v>
      </c>
    </row>
    <row r="209" spans="1:7" x14ac:dyDescent="0.25">
      <c r="A209" s="75">
        <v>6573242</v>
      </c>
      <c r="B209" s="73" t="s">
        <v>2809</v>
      </c>
      <c r="C209" s="68">
        <v>99</v>
      </c>
      <c r="D209" s="73" t="s">
        <v>2810</v>
      </c>
      <c r="E209" s="77">
        <v>71.992249587648715</v>
      </c>
      <c r="F209" s="77">
        <v>74.872611293019844</v>
      </c>
      <c r="G209" s="76">
        <v>0.45437608138374669</v>
      </c>
    </row>
    <row r="210" spans="1:7" x14ac:dyDescent="0.25">
      <c r="A210" s="75">
        <v>6573243</v>
      </c>
      <c r="B210" s="73" t="s">
        <v>2811</v>
      </c>
      <c r="C210" s="68">
        <v>99</v>
      </c>
      <c r="D210" s="73" t="s">
        <v>2790</v>
      </c>
      <c r="E210" s="77">
        <v>71.992249587648715</v>
      </c>
      <c r="F210" s="77">
        <v>74.872611293019844</v>
      </c>
      <c r="G210" s="76">
        <v>0.45437608138374669</v>
      </c>
    </row>
    <row r="211" spans="1:7" x14ac:dyDescent="0.25">
      <c r="A211" s="75">
        <v>6573244</v>
      </c>
      <c r="B211" s="73" t="s">
        <v>2812</v>
      </c>
      <c r="C211" s="68">
        <v>99</v>
      </c>
      <c r="D211" s="73" t="s">
        <v>2790</v>
      </c>
      <c r="E211" s="77">
        <v>71.992249587648715</v>
      </c>
      <c r="F211" s="77">
        <v>74.872611293019844</v>
      </c>
      <c r="G211" s="76">
        <v>0.45437608138374669</v>
      </c>
    </row>
    <row r="212" spans="1:7" x14ac:dyDescent="0.25">
      <c r="A212" s="75">
        <v>6580001</v>
      </c>
      <c r="B212" s="73" t="s">
        <v>2813</v>
      </c>
      <c r="C212" s="68">
        <v>99</v>
      </c>
      <c r="D212" s="73" t="s">
        <v>2814</v>
      </c>
      <c r="E212" s="77">
        <v>79.444444444444443</v>
      </c>
      <c r="F212" s="77">
        <v>1154.3725015272823</v>
      </c>
      <c r="G212" s="76">
        <v>5.75</v>
      </c>
    </row>
    <row r="213" spans="1:7" x14ac:dyDescent="0.25">
      <c r="A213" s="75">
        <v>6580101</v>
      </c>
      <c r="B213" s="73" t="s">
        <v>2815</v>
      </c>
      <c r="C213" s="68">
        <v>99</v>
      </c>
      <c r="D213" s="73" t="s">
        <v>2800</v>
      </c>
      <c r="E213" s="77">
        <v>79.444444444444443</v>
      </c>
      <c r="F213" s="77">
        <v>1154.3725015272823</v>
      </c>
      <c r="G213" s="76">
        <v>5.75</v>
      </c>
    </row>
    <row r="214" spans="1:7" x14ac:dyDescent="0.25">
      <c r="A214" s="75"/>
      <c r="B214" s="72" t="s">
        <v>17</v>
      </c>
      <c r="C214" s="68"/>
      <c r="D214" s="73"/>
      <c r="E214" s="77"/>
      <c r="F214" s="77"/>
      <c r="G214" s="76"/>
    </row>
    <row r="215" spans="1:7" x14ac:dyDescent="0.25">
      <c r="A215" s="75">
        <v>6600101</v>
      </c>
      <c r="B215" s="73" t="s">
        <v>1330</v>
      </c>
      <c r="C215" s="68">
        <v>99</v>
      </c>
      <c r="D215" s="73" t="s">
        <v>2816</v>
      </c>
      <c r="E215" s="77">
        <v>1782.0512452833289</v>
      </c>
      <c r="F215" s="77">
        <v>892.48131395142991</v>
      </c>
      <c r="G215" s="76">
        <v>4.6882437725890238</v>
      </c>
    </row>
    <row r="216" spans="1:7" x14ac:dyDescent="0.25">
      <c r="A216" s="75">
        <v>6600104</v>
      </c>
      <c r="B216" s="73" t="s">
        <v>2817</v>
      </c>
      <c r="C216" s="68">
        <v>99</v>
      </c>
      <c r="D216" s="73" t="s">
        <v>2816</v>
      </c>
      <c r="E216" s="77">
        <v>1782.0512452833289</v>
      </c>
      <c r="F216" s="77">
        <v>892.48131395142991</v>
      </c>
      <c r="G216" s="76">
        <v>4.6882437725890238</v>
      </c>
    </row>
    <row r="217" spans="1:7" x14ac:dyDescent="0.25">
      <c r="A217" s="75">
        <v>6600105</v>
      </c>
      <c r="B217" s="73" t="s">
        <v>2818</v>
      </c>
      <c r="C217" s="68">
        <v>99</v>
      </c>
      <c r="D217" s="73" t="s">
        <v>2816</v>
      </c>
      <c r="E217" s="77">
        <v>1782.0512452833289</v>
      </c>
      <c r="F217" s="77">
        <v>892.48131395142991</v>
      </c>
      <c r="G217" s="76">
        <v>4.6882437725890238</v>
      </c>
    </row>
    <row r="218" spans="1:7" x14ac:dyDescent="0.25">
      <c r="A218" s="75">
        <v>6600301</v>
      </c>
      <c r="B218" s="73" t="s">
        <v>805</v>
      </c>
      <c r="C218" s="68">
        <v>99</v>
      </c>
      <c r="D218" s="73" t="s">
        <v>2819</v>
      </c>
      <c r="E218" s="77">
        <v>404.85745689008877</v>
      </c>
      <c r="F218" s="77">
        <v>1911.9877048824478</v>
      </c>
      <c r="G218" s="76">
        <v>3.3625082022460835</v>
      </c>
    </row>
    <row r="219" spans="1:7" x14ac:dyDescent="0.25">
      <c r="A219" s="75">
        <v>6600401</v>
      </c>
      <c r="B219" s="73" t="s">
        <v>1331</v>
      </c>
      <c r="C219" s="68">
        <v>99</v>
      </c>
      <c r="D219" s="73" t="s">
        <v>2819</v>
      </c>
      <c r="E219" s="77">
        <v>404.85745689008877</v>
      </c>
      <c r="F219" s="77">
        <v>1911.9877048824478</v>
      </c>
      <c r="G219" s="76">
        <v>3.3625082022460835</v>
      </c>
    </row>
    <row r="220" spans="1:7" x14ac:dyDescent="0.25">
      <c r="A220" s="75">
        <v>6600501</v>
      </c>
      <c r="B220" s="73" t="s">
        <v>806</v>
      </c>
      <c r="C220" s="68">
        <v>99</v>
      </c>
      <c r="D220" s="73" t="s">
        <v>2820</v>
      </c>
      <c r="E220" s="77">
        <v>470.89949426455064</v>
      </c>
      <c r="F220" s="77">
        <v>1911.9877048824478</v>
      </c>
      <c r="G220" s="76">
        <v>3.3625082022460835</v>
      </c>
    </row>
    <row r="221" spans="1:7" x14ac:dyDescent="0.25">
      <c r="A221" s="75">
        <v>6600601</v>
      </c>
      <c r="B221" s="73" t="s">
        <v>808</v>
      </c>
      <c r="C221" s="68">
        <v>99</v>
      </c>
      <c r="D221" s="73" t="s">
        <v>2821</v>
      </c>
      <c r="E221" s="77">
        <v>404.85745689008877</v>
      </c>
      <c r="F221" s="77">
        <v>1911.9877048824478</v>
      </c>
      <c r="G221" s="76">
        <v>3.3625082022460835</v>
      </c>
    </row>
    <row r="222" spans="1:7" x14ac:dyDescent="0.25">
      <c r="A222" s="75">
        <v>6600701</v>
      </c>
      <c r="B222" s="73" t="s">
        <v>810</v>
      </c>
      <c r="C222" s="68">
        <v>99</v>
      </c>
      <c r="D222" s="73" t="s">
        <v>2822</v>
      </c>
      <c r="E222" s="77">
        <v>326.86656530722865</v>
      </c>
      <c r="F222" s="77">
        <v>1599.6451436138011</v>
      </c>
      <c r="G222" s="76">
        <v>0.85992484409478165</v>
      </c>
    </row>
    <row r="223" spans="1:7" x14ac:dyDescent="0.25">
      <c r="A223" s="75">
        <v>6600702</v>
      </c>
      <c r="B223" s="73" t="s">
        <v>2823</v>
      </c>
      <c r="C223" s="68">
        <v>99</v>
      </c>
      <c r="D223" s="73" t="s">
        <v>2822</v>
      </c>
      <c r="E223" s="77">
        <v>326.86656530722865</v>
      </c>
      <c r="F223" s="77">
        <v>1599.6451436138011</v>
      </c>
      <c r="G223" s="76">
        <v>0.85992484409478165</v>
      </c>
    </row>
    <row r="224" spans="1:7" x14ac:dyDescent="0.25">
      <c r="A224" s="75">
        <v>6600703</v>
      </c>
      <c r="B224" s="73" t="s">
        <v>2824</v>
      </c>
      <c r="C224" s="68">
        <v>99</v>
      </c>
      <c r="D224" s="73" t="s">
        <v>2822</v>
      </c>
      <c r="E224" s="77">
        <v>326.86656530722865</v>
      </c>
      <c r="F224" s="77">
        <v>1599.6451436138011</v>
      </c>
      <c r="G224" s="76">
        <v>0.85992484409478165</v>
      </c>
    </row>
    <row r="225" spans="1:7" x14ac:dyDescent="0.25">
      <c r="A225" s="75">
        <v>6600801</v>
      </c>
      <c r="B225" s="73" t="s">
        <v>811</v>
      </c>
      <c r="C225" s="68">
        <v>99</v>
      </c>
      <c r="D225" s="73" t="s">
        <v>2825</v>
      </c>
      <c r="E225" s="77">
        <v>326.86656530722865</v>
      </c>
      <c r="F225" s="77">
        <v>5907.4797111141988</v>
      </c>
      <c r="G225" s="76">
        <v>0.85992484409478165</v>
      </c>
    </row>
    <row r="226" spans="1:7" x14ac:dyDescent="0.25">
      <c r="A226" s="75">
        <v>6600901</v>
      </c>
      <c r="B226" s="73" t="s">
        <v>2826</v>
      </c>
      <c r="C226" s="68">
        <v>99</v>
      </c>
      <c r="D226" s="73" t="s">
        <v>2816</v>
      </c>
      <c r="E226" s="77">
        <v>1782.0512452833289</v>
      </c>
      <c r="F226" s="77">
        <v>892.48131395142991</v>
      </c>
      <c r="G226" s="76">
        <v>4.6882437725890238</v>
      </c>
    </row>
    <row r="227" spans="1:7" x14ac:dyDescent="0.25">
      <c r="A227" s="75">
        <v>6600912</v>
      </c>
      <c r="B227" s="73" t="s">
        <v>1332</v>
      </c>
      <c r="C227" s="68">
        <v>99</v>
      </c>
      <c r="D227" s="73" t="s">
        <v>2827</v>
      </c>
      <c r="E227" s="77">
        <v>1782.0512452833289</v>
      </c>
      <c r="F227" s="77">
        <v>892.48131395142991</v>
      </c>
      <c r="G227" s="76">
        <v>4.6882437725890238</v>
      </c>
    </row>
    <row r="228" spans="1:7" x14ac:dyDescent="0.25">
      <c r="A228" s="75">
        <v>6600913</v>
      </c>
      <c r="B228" s="73" t="s">
        <v>2828</v>
      </c>
      <c r="C228" s="68">
        <v>99</v>
      </c>
      <c r="D228" s="73" t="s">
        <v>2816</v>
      </c>
      <c r="E228" s="77">
        <v>1782.0512452833289</v>
      </c>
      <c r="F228" s="77">
        <v>892.48131395142991</v>
      </c>
      <c r="G228" s="76">
        <v>4.6882437725890238</v>
      </c>
    </row>
    <row r="229" spans="1:7" x14ac:dyDescent="0.25">
      <c r="A229" s="75">
        <v>6601002</v>
      </c>
      <c r="B229" s="73" t="s">
        <v>2829</v>
      </c>
      <c r="C229" s="68">
        <v>99</v>
      </c>
      <c r="D229" s="73" t="s">
        <v>2816</v>
      </c>
      <c r="E229" s="77">
        <v>1782.0512452833289</v>
      </c>
      <c r="F229" s="77">
        <v>892.48131395142991</v>
      </c>
      <c r="G229" s="76">
        <v>4.6882437725890238</v>
      </c>
    </row>
    <row r="230" spans="1:7" x14ac:dyDescent="0.25">
      <c r="A230" s="75">
        <v>6601108</v>
      </c>
      <c r="B230" s="73" t="s">
        <v>1333</v>
      </c>
      <c r="C230" s="68">
        <v>99</v>
      </c>
      <c r="D230" s="73" t="s">
        <v>2830</v>
      </c>
      <c r="E230" s="77">
        <v>1782.0512452833289</v>
      </c>
      <c r="F230" s="77">
        <v>892.48131395142991</v>
      </c>
      <c r="G230" s="76">
        <v>4.6882437725890238</v>
      </c>
    </row>
    <row r="231" spans="1:7" x14ac:dyDescent="0.25">
      <c r="A231" s="75">
        <v>6601213</v>
      </c>
      <c r="B231" s="73" t="s">
        <v>2831</v>
      </c>
      <c r="C231" s="68">
        <v>99</v>
      </c>
      <c r="D231" s="73" t="s">
        <v>2832</v>
      </c>
      <c r="E231" s="77">
        <v>1782.0512452833289</v>
      </c>
      <c r="F231" s="77">
        <v>892.48131395142991</v>
      </c>
      <c r="G231" s="76">
        <v>4.6882437725890238</v>
      </c>
    </row>
    <row r="232" spans="1:7" x14ac:dyDescent="0.25">
      <c r="A232" s="75">
        <v>6601501</v>
      </c>
      <c r="B232" s="73" t="s">
        <v>813</v>
      </c>
      <c r="C232" s="68">
        <v>99</v>
      </c>
      <c r="D232" s="73" t="s">
        <v>2833</v>
      </c>
      <c r="E232" s="77">
        <v>287.66903249812896</v>
      </c>
      <c r="F232" s="77">
        <v>1911.9877048824478</v>
      </c>
      <c r="G232" s="76">
        <v>3.3625082022460835</v>
      </c>
    </row>
    <row r="233" spans="1:7" x14ac:dyDescent="0.25">
      <c r="A233" s="75">
        <v>6601707</v>
      </c>
      <c r="B233" s="73" t="s">
        <v>1334</v>
      </c>
      <c r="C233" s="68">
        <v>99</v>
      </c>
      <c r="D233" s="73" t="s">
        <v>2834</v>
      </c>
      <c r="E233" s="77">
        <v>185.33333333333331</v>
      </c>
      <c r="F233" s="77">
        <v>92.81805856600586</v>
      </c>
      <c r="G233" s="76">
        <v>0.48757736240913813</v>
      </c>
    </row>
    <row r="234" spans="1:7" x14ac:dyDescent="0.25">
      <c r="A234" s="75">
        <v>6601712</v>
      </c>
      <c r="B234" s="73" t="s">
        <v>1335</v>
      </c>
      <c r="C234" s="68">
        <v>99</v>
      </c>
      <c r="D234" s="73" t="s">
        <v>2834</v>
      </c>
      <c r="E234" s="77">
        <v>185.33333333333331</v>
      </c>
      <c r="F234" s="77">
        <v>92.81805856600586</v>
      </c>
      <c r="G234" s="76">
        <v>0.48757736240913813</v>
      </c>
    </row>
    <row r="235" spans="1:7" x14ac:dyDescent="0.25">
      <c r="A235" s="75">
        <v>6601803</v>
      </c>
      <c r="B235" s="73" t="s">
        <v>2835</v>
      </c>
      <c r="C235" s="68">
        <v>99</v>
      </c>
      <c r="D235" s="73" t="s">
        <v>2827</v>
      </c>
      <c r="E235" s="77">
        <v>1782.0512452833289</v>
      </c>
      <c r="F235" s="77">
        <v>892.48131395142991</v>
      </c>
      <c r="G235" s="76">
        <v>4.6882437725890238</v>
      </c>
    </row>
    <row r="236" spans="1:7" x14ac:dyDescent="0.25">
      <c r="A236" s="75">
        <v>6601805</v>
      </c>
      <c r="B236" s="73" t="s">
        <v>1336</v>
      </c>
      <c r="C236" s="68">
        <v>99</v>
      </c>
      <c r="D236" s="73" t="s">
        <v>2827</v>
      </c>
      <c r="E236" s="77">
        <v>1782.0512452833289</v>
      </c>
      <c r="F236" s="77">
        <v>892.48131395142991</v>
      </c>
      <c r="G236" s="76">
        <v>4.6882437725890238</v>
      </c>
    </row>
    <row r="237" spans="1:7" x14ac:dyDescent="0.25">
      <c r="A237" s="75">
        <v>6601902</v>
      </c>
      <c r="B237" s="73" t="s">
        <v>1337</v>
      </c>
      <c r="C237" s="68">
        <v>99</v>
      </c>
      <c r="D237" s="73" t="s">
        <v>2830</v>
      </c>
      <c r="E237" s="77">
        <v>1782.0512452833289</v>
      </c>
      <c r="F237" s="77">
        <v>892.48131395142991</v>
      </c>
      <c r="G237" s="76">
        <v>4.6882437725890238</v>
      </c>
    </row>
    <row r="238" spans="1:7" x14ac:dyDescent="0.25">
      <c r="A238" s="75">
        <v>6602001</v>
      </c>
      <c r="B238" s="73" t="s">
        <v>1338</v>
      </c>
      <c r="C238" s="68">
        <v>99</v>
      </c>
      <c r="D238" s="73" t="s">
        <v>2819</v>
      </c>
      <c r="E238" s="77">
        <v>404.85745689008877</v>
      </c>
      <c r="F238" s="77">
        <v>1911.9877048824478</v>
      </c>
      <c r="G238" s="76">
        <v>3.3625082022460835</v>
      </c>
    </row>
    <row r="239" spans="1:7" x14ac:dyDescent="0.25">
      <c r="A239" s="75">
        <v>6602201</v>
      </c>
      <c r="B239" s="73" t="s">
        <v>815</v>
      </c>
      <c r="C239" s="68">
        <v>99</v>
      </c>
      <c r="D239" s="73" t="s">
        <v>2836</v>
      </c>
      <c r="E239" s="77">
        <v>580.11449309277509</v>
      </c>
      <c r="F239" s="77">
        <v>1642.0375118656855</v>
      </c>
      <c r="G239" s="76">
        <v>2.8877615624539699</v>
      </c>
    </row>
    <row r="240" spans="1:7" x14ac:dyDescent="0.25">
      <c r="A240" s="75">
        <v>6602301</v>
      </c>
      <c r="B240" s="73" t="s">
        <v>1339</v>
      </c>
      <c r="C240" s="68">
        <v>99</v>
      </c>
      <c r="D240" s="73" t="s">
        <v>2827</v>
      </c>
      <c r="E240" s="77">
        <v>1782.0512452833289</v>
      </c>
      <c r="F240" s="77">
        <v>892.48131395142991</v>
      </c>
      <c r="G240" s="76">
        <v>4.6882437725890238</v>
      </c>
    </row>
    <row r="241" spans="1:7" x14ac:dyDescent="0.25">
      <c r="A241" s="75">
        <v>6602401</v>
      </c>
      <c r="B241" s="73" t="s">
        <v>817</v>
      </c>
      <c r="C241" s="68">
        <v>99</v>
      </c>
      <c r="D241" s="73" t="s">
        <v>2816</v>
      </c>
      <c r="E241" s="77">
        <v>1782.0512452833289</v>
      </c>
      <c r="F241" s="77">
        <v>892.48131395142991</v>
      </c>
      <c r="G241" s="76">
        <v>4.6882437725890238</v>
      </c>
    </row>
    <row r="242" spans="1:7" x14ac:dyDescent="0.25">
      <c r="A242" s="75">
        <v>6602501</v>
      </c>
      <c r="B242" s="73" t="s">
        <v>2837</v>
      </c>
      <c r="C242" s="68">
        <v>99</v>
      </c>
      <c r="D242" s="73" t="s">
        <v>2838</v>
      </c>
      <c r="E242" s="77">
        <v>326.86656530722865</v>
      </c>
      <c r="F242" s="77">
        <v>5907.4797111141988</v>
      </c>
      <c r="G242" s="76">
        <v>0.85992484409478165</v>
      </c>
    </row>
    <row r="243" spans="1:7" x14ac:dyDescent="0.25">
      <c r="A243" s="75">
        <v>6602502</v>
      </c>
      <c r="B243" s="73" t="s">
        <v>2839</v>
      </c>
      <c r="C243" s="68">
        <v>99</v>
      </c>
      <c r="D243" s="73" t="s">
        <v>2838</v>
      </c>
      <c r="E243" s="77">
        <v>326.86656530722865</v>
      </c>
      <c r="F243" s="77">
        <v>5907.4797111141988</v>
      </c>
      <c r="G243" s="76">
        <v>0.85992484409478165</v>
      </c>
    </row>
    <row r="244" spans="1:7" x14ac:dyDescent="0.25">
      <c r="A244" s="75">
        <v>6602601</v>
      </c>
      <c r="B244" s="73" t="s">
        <v>1340</v>
      </c>
      <c r="C244" s="68">
        <v>99</v>
      </c>
      <c r="D244" s="73" t="s">
        <v>2827</v>
      </c>
      <c r="E244" s="77">
        <v>1782.0512452833289</v>
      </c>
      <c r="F244" s="77">
        <v>892.48131395142991</v>
      </c>
      <c r="G244" s="76">
        <v>4.6882437725890238</v>
      </c>
    </row>
    <row r="245" spans="1:7" x14ac:dyDescent="0.25">
      <c r="A245" s="75">
        <v>6603001</v>
      </c>
      <c r="B245" s="73" t="s">
        <v>2840</v>
      </c>
      <c r="C245" s="68">
        <v>99</v>
      </c>
      <c r="D245" s="73" t="s">
        <v>2833</v>
      </c>
      <c r="E245" s="77">
        <v>287.66903249812896</v>
      </c>
      <c r="F245" s="77">
        <v>1911.9877048824478</v>
      </c>
      <c r="G245" s="76">
        <v>3.3625082022460835</v>
      </c>
    </row>
    <row r="246" spans="1:7" x14ac:dyDescent="0.25">
      <c r="A246" s="75">
        <v>6603201</v>
      </c>
      <c r="B246" s="73" t="s">
        <v>2841</v>
      </c>
      <c r="C246" s="68">
        <v>99</v>
      </c>
      <c r="D246" s="73" t="s">
        <v>2842</v>
      </c>
      <c r="E246" s="77">
        <v>204.75</v>
      </c>
      <c r="F246" s="77">
        <v>447.36157692437683</v>
      </c>
      <c r="G246" s="76">
        <v>6.6</v>
      </c>
    </row>
    <row r="247" spans="1:7" x14ac:dyDescent="0.25">
      <c r="A247" s="75"/>
      <c r="B247" s="72" t="s">
        <v>18</v>
      </c>
      <c r="C247" s="68"/>
      <c r="D247" s="73"/>
      <c r="E247" s="77"/>
      <c r="F247" s="77"/>
      <c r="G247" s="76"/>
    </row>
    <row r="248" spans="1:7" x14ac:dyDescent="0.25">
      <c r="A248" s="75">
        <v>6700101</v>
      </c>
      <c r="B248" s="73" t="s">
        <v>819</v>
      </c>
      <c r="C248" s="68">
        <v>1</v>
      </c>
      <c r="D248" s="73" t="s">
        <v>2843</v>
      </c>
      <c r="E248" s="77">
        <v>63.023525295346715</v>
      </c>
      <c r="F248" s="77">
        <v>50.617298707114522</v>
      </c>
      <c r="G248" s="76">
        <v>0.26259214021495142</v>
      </c>
    </row>
    <row r="249" spans="1:7" x14ac:dyDescent="0.25">
      <c r="A249" s="75">
        <v>6700101</v>
      </c>
      <c r="B249" s="73" t="s">
        <v>819</v>
      </c>
      <c r="C249" s="68">
        <v>2</v>
      </c>
      <c r="D249" s="73" t="s">
        <v>2844</v>
      </c>
      <c r="E249" s="77">
        <v>59.668925405507544</v>
      </c>
      <c r="F249" s="77">
        <v>68.17781573118458</v>
      </c>
      <c r="G249" s="76">
        <v>0.42730252668107149</v>
      </c>
    </row>
    <row r="250" spans="1:7" x14ac:dyDescent="0.25">
      <c r="A250" s="75">
        <v>6700101</v>
      </c>
      <c r="B250" s="73" t="s">
        <v>819</v>
      </c>
      <c r="C250" s="68">
        <v>3</v>
      </c>
      <c r="D250" s="73" t="s">
        <v>2843</v>
      </c>
      <c r="E250" s="77">
        <v>53.745191962013379</v>
      </c>
      <c r="F250" s="77">
        <v>50.617298707114522</v>
      </c>
      <c r="G250" s="76">
        <v>0.26259214021495142</v>
      </c>
    </row>
    <row r="251" spans="1:7" x14ac:dyDescent="0.25">
      <c r="A251" s="75">
        <v>6700101</v>
      </c>
      <c r="B251" s="73" t="s">
        <v>819</v>
      </c>
      <c r="C251" s="68">
        <v>4</v>
      </c>
      <c r="D251" s="73" t="s">
        <v>2843</v>
      </c>
      <c r="E251" s="77">
        <v>41.048525295346714</v>
      </c>
      <c r="F251" s="77">
        <v>50.617298707114522</v>
      </c>
      <c r="G251" s="76">
        <v>0.26259214021495142</v>
      </c>
    </row>
    <row r="252" spans="1:7" x14ac:dyDescent="0.25">
      <c r="A252" s="75">
        <v>6700101</v>
      </c>
      <c r="B252" s="73" t="s">
        <v>819</v>
      </c>
      <c r="C252" s="68">
        <v>5</v>
      </c>
      <c r="D252" s="73" t="s">
        <v>2844</v>
      </c>
      <c r="E252" s="77">
        <v>59.668925405507544</v>
      </c>
      <c r="F252" s="77">
        <v>68.17781573118458</v>
      </c>
      <c r="G252" s="76">
        <v>0.42730252668107149</v>
      </c>
    </row>
    <row r="253" spans="1:7" x14ac:dyDescent="0.25">
      <c r="A253" s="75">
        <v>6700101</v>
      </c>
      <c r="B253" s="73" t="s">
        <v>819</v>
      </c>
      <c r="C253" s="68">
        <v>6</v>
      </c>
      <c r="D253" s="73" t="s">
        <v>2844</v>
      </c>
      <c r="E253" s="77">
        <v>60.93859207217421</v>
      </c>
      <c r="F253" s="77">
        <v>68.17781573118458</v>
      </c>
      <c r="G253" s="76">
        <v>0.42730252668107149</v>
      </c>
    </row>
    <row r="254" spans="1:7" x14ac:dyDescent="0.25">
      <c r="A254" s="75">
        <v>6700101</v>
      </c>
      <c r="B254" s="73" t="s">
        <v>819</v>
      </c>
      <c r="C254" s="68">
        <v>7</v>
      </c>
      <c r="D254" s="73" t="s">
        <v>2844</v>
      </c>
      <c r="E254" s="77">
        <v>59.668925405507544</v>
      </c>
      <c r="F254" s="77">
        <v>68.17781573118458</v>
      </c>
      <c r="G254" s="76">
        <v>0.42730252668107149</v>
      </c>
    </row>
    <row r="255" spans="1:7" x14ac:dyDescent="0.25">
      <c r="A255" s="75">
        <v>6700101</v>
      </c>
      <c r="B255" s="73" t="s">
        <v>819</v>
      </c>
      <c r="C255" s="68">
        <v>9</v>
      </c>
      <c r="D255" s="73" t="s">
        <v>2844</v>
      </c>
      <c r="E255" s="77">
        <v>59.668925405507544</v>
      </c>
      <c r="F255" s="77">
        <v>68.17781573118458</v>
      </c>
      <c r="G255" s="76">
        <v>0.42730252668107149</v>
      </c>
    </row>
    <row r="256" spans="1:7" x14ac:dyDescent="0.25">
      <c r="A256" s="75">
        <v>6700101</v>
      </c>
      <c r="B256" s="73" t="s">
        <v>819</v>
      </c>
      <c r="C256" s="68">
        <v>99</v>
      </c>
      <c r="D256" s="73" t="s">
        <v>2843</v>
      </c>
      <c r="E256" s="77">
        <v>41.048525295346714</v>
      </c>
      <c r="F256" s="77">
        <v>50.617298707114522</v>
      </c>
      <c r="G256" s="76">
        <v>0.26259214021495142</v>
      </c>
    </row>
    <row r="257" spans="1:7" x14ac:dyDescent="0.25">
      <c r="A257" s="75">
        <v>6700201</v>
      </c>
      <c r="B257" s="73" t="s">
        <v>1167</v>
      </c>
      <c r="C257" s="68">
        <v>9</v>
      </c>
      <c r="D257" s="73" t="s">
        <v>2845</v>
      </c>
      <c r="E257" s="77">
        <v>37.8285461959115</v>
      </c>
      <c r="F257" s="77">
        <v>99.012428422879864</v>
      </c>
      <c r="G257" s="76">
        <v>0.20475443928913475</v>
      </c>
    </row>
    <row r="258" spans="1:7" x14ac:dyDescent="0.25">
      <c r="A258" s="75">
        <v>6700301</v>
      </c>
      <c r="B258" s="73" t="s">
        <v>1168</v>
      </c>
      <c r="C258" s="68">
        <v>2</v>
      </c>
      <c r="D258" s="73" t="s">
        <v>2846</v>
      </c>
      <c r="E258" s="77">
        <v>52.143847881979404</v>
      </c>
      <c r="F258" s="77">
        <v>55.363473778237797</v>
      </c>
      <c r="G258" s="76">
        <v>0.25835587128727594</v>
      </c>
    </row>
    <row r="259" spans="1:7" x14ac:dyDescent="0.25">
      <c r="A259" s="75">
        <v>6700301</v>
      </c>
      <c r="B259" s="73" t="s">
        <v>1168</v>
      </c>
      <c r="C259" s="68">
        <v>3</v>
      </c>
      <c r="D259" s="73" t="s">
        <v>2847</v>
      </c>
      <c r="E259" s="77">
        <v>50.724366448575054</v>
      </c>
      <c r="F259" s="77">
        <v>46.821265047561667</v>
      </c>
      <c r="G259" s="76">
        <v>0.21851177321772419</v>
      </c>
    </row>
    <row r="260" spans="1:7" x14ac:dyDescent="0.25">
      <c r="A260" s="75">
        <v>6700301</v>
      </c>
      <c r="B260" s="73" t="s">
        <v>1168</v>
      </c>
      <c r="C260" s="68">
        <v>4</v>
      </c>
      <c r="D260" s="73" t="s">
        <v>2848</v>
      </c>
      <c r="E260" s="77">
        <v>39.23475386933864</v>
      </c>
      <c r="F260" s="77">
        <v>48.380721159051248</v>
      </c>
      <c r="G260" s="76">
        <v>0.22578965261356401</v>
      </c>
    </row>
    <row r="261" spans="1:7" x14ac:dyDescent="0.25">
      <c r="A261" s="75">
        <v>6700301</v>
      </c>
      <c r="B261" s="73" t="s">
        <v>1168</v>
      </c>
      <c r="C261" s="68">
        <v>9</v>
      </c>
      <c r="D261" s="73" t="s">
        <v>2846</v>
      </c>
      <c r="E261" s="77">
        <v>52.143847881979404</v>
      </c>
      <c r="F261" s="77">
        <v>55.363473778237804</v>
      </c>
      <c r="G261" s="76">
        <v>0.25835587128727594</v>
      </c>
    </row>
    <row r="262" spans="1:7" x14ac:dyDescent="0.25">
      <c r="A262" s="75">
        <v>6700301</v>
      </c>
      <c r="B262" s="73" t="s">
        <v>1168</v>
      </c>
      <c r="C262" s="68">
        <v>99</v>
      </c>
      <c r="D262" s="73" t="s">
        <v>2848</v>
      </c>
      <c r="E262" s="77">
        <v>39.23475386933864</v>
      </c>
      <c r="F262" s="77">
        <v>48.380721159051248</v>
      </c>
      <c r="G262" s="76">
        <v>0.22578965261356401</v>
      </c>
    </row>
    <row r="263" spans="1:7" x14ac:dyDescent="0.25">
      <c r="A263" s="75">
        <v>6700304</v>
      </c>
      <c r="B263" s="73" t="s">
        <v>1341</v>
      </c>
      <c r="C263" s="68">
        <v>2</v>
      </c>
      <c r="D263" s="73" t="s">
        <v>2846</v>
      </c>
      <c r="E263" s="77">
        <v>52.143847881979404</v>
      </c>
      <c r="F263" s="77">
        <v>55.363473778237804</v>
      </c>
      <c r="G263" s="76">
        <v>0.25835587128727594</v>
      </c>
    </row>
    <row r="264" spans="1:7" x14ac:dyDescent="0.25">
      <c r="A264" s="75">
        <v>6700304</v>
      </c>
      <c r="B264" s="73" t="s">
        <v>1341</v>
      </c>
      <c r="C264" s="68">
        <v>3</v>
      </c>
      <c r="D264" s="73" t="s">
        <v>2847</v>
      </c>
      <c r="E264" s="77">
        <v>50.724366448575054</v>
      </c>
      <c r="F264" s="77">
        <v>46.821265047561667</v>
      </c>
      <c r="G264" s="76">
        <v>0.21851177321772419</v>
      </c>
    </row>
    <row r="265" spans="1:7" x14ac:dyDescent="0.25">
      <c r="A265" s="75">
        <v>6700304</v>
      </c>
      <c r="B265" s="73" t="s">
        <v>1341</v>
      </c>
      <c r="C265" s="68">
        <v>4</v>
      </c>
      <c r="D265" s="73" t="s">
        <v>2848</v>
      </c>
      <c r="E265" s="77">
        <v>39.23475386933864</v>
      </c>
      <c r="F265" s="77">
        <v>48.380721159051248</v>
      </c>
      <c r="G265" s="76">
        <v>0.22578965261356401</v>
      </c>
    </row>
    <row r="266" spans="1:7" x14ac:dyDescent="0.25">
      <c r="A266" s="75">
        <v>6700304</v>
      </c>
      <c r="B266" s="73" t="s">
        <v>1341</v>
      </c>
      <c r="C266" s="68">
        <v>9</v>
      </c>
      <c r="D266" s="73" t="s">
        <v>2846</v>
      </c>
      <c r="E266" s="77">
        <v>52.143847881979404</v>
      </c>
      <c r="F266" s="77">
        <v>55.363473778237797</v>
      </c>
      <c r="G266" s="76">
        <v>0.25835587128727594</v>
      </c>
    </row>
    <row r="267" spans="1:7" x14ac:dyDescent="0.25">
      <c r="A267" s="75">
        <v>6700304</v>
      </c>
      <c r="B267" s="73" t="s">
        <v>1341</v>
      </c>
      <c r="C267" s="68">
        <v>99</v>
      </c>
      <c r="D267" s="73" t="s">
        <v>2848</v>
      </c>
      <c r="E267" s="77">
        <v>39.23475386933864</v>
      </c>
      <c r="F267" s="77">
        <v>48.380721159051248</v>
      </c>
      <c r="G267" s="76">
        <v>0.22578965261356401</v>
      </c>
    </row>
    <row r="268" spans="1:7" x14ac:dyDescent="0.25">
      <c r="A268" s="75">
        <v>6700305</v>
      </c>
      <c r="B268" s="73" t="s">
        <v>2849</v>
      </c>
      <c r="C268" s="68">
        <v>2</v>
      </c>
      <c r="D268" s="73" t="s">
        <v>2846</v>
      </c>
      <c r="E268" s="77">
        <v>52.143847881979404</v>
      </c>
      <c r="F268" s="77">
        <v>55.363473778237804</v>
      </c>
      <c r="G268" s="76">
        <v>0.25835587128727594</v>
      </c>
    </row>
    <row r="269" spans="1:7" x14ac:dyDescent="0.25">
      <c r="A269" s="75">
        <v>6700305</v>
      </c>
      <c r="B269" s="73" t="s">
        <v>2849</v>
      </c>
      <c r="C269" s="68">
        <v>99</v>
      </c>
      <c r="D269" s="73" t="s">
        <v>2848</v>
      </c>
      <c r="E269" s="77">
        <v>39.23475386933864</v>
      </c>
      <c r="F269" s="77">
        <v>48.380721159051248</v>
      </c>
      <c r="G269" s="76">
        <v>0.22578965261356401</v>
      </c>
    </row>
    <row r="270" spans="1:7" x14ac:dyDescent="0.25">
      <c r="A270" s="75">
        <v>6700501</v>
      </c>
      <c r="B270" s="73" t="s">
        <v>1169</v>
      </c>
      <c r="C270" s="68">
        <v>1</v>
      </c>
      <c r="D270" s="73" t="s">
        <v>2850</v>
      </c>
      <c r="E270" s="77">
        <v>70.743359976501253</v>
      </c>
      <c r="F270" s="77">
        <v>111.40369048791895</v>
      </c>
      <c r="G270" s="76">
        <v>0.18820700048659067</v>
      </c>
    </row>
    <row r="271" spans="1:7" x14ac:dyDescent="0.25">
      <c r="A271" s="75">
        <v>6700501</v>
      </c>
      <c r="B271" s="73" t="s">
        <v>1169</v>
      </c>
      <c r="C271" s="68">
        <v>2</v>
      </c>
      <c r="D271" s="73" t="s">
        <v>2851</v>
      </c>
      <c r="E271" s="77">
        <v>63.87785573990444</v>
      </c>
      <c r="F271" s="77">
        <v>117.77687345497374</v>
      </c>
      <c r="G271" s="76">
        <v>0.26046853247273671</v>
      </c>
    </row>
    <row r="272" spans="1:7" x14ac:dyDescent="0.25">
      <c r="A272" s="75">
        <v>6700501</v>
      </c>
      <c r="B272" s="73" t="s">
        <v>1169</v>
      </c>
      <c r="C272" s="68">
        <v>3</v>
      </c>
      <c r="D272" s="73" t="s">
        <v>2850</v>
      </c>
      <c r="E272" s="77">
        <v>61.465026643167924</v>
      </c>
      <c r="F272" s="77">
        <v>111.40369048791895</v>
      </c>
      <c r="G272" s="76">
        <v>0.18820700048659067</v>
      </c>
    </row>
    <row r="273" spans="1:7" x14ac:dyDescent="0.25">
      <c r="A273" s="75">
        <v>6700501</v>
      </c>
      <c r="B273" s="73" t="s">
        <v>1169</v>
      </c>
      <c r="C273" s="68">
        <v>4</v>
      </c>
      <c r="D273" s="73" t="s">
        <v>2852</v>
      </c>
      <c r="E273" s="77">
        <v>48.867134659568684</v>
      </c>
      <c r="F273" s="77">
        <v>111.7613263913026</v>
      </c>
      <c r="G273" s="76">
        <v>0.18881119573674218</v>
      </c>
    </row>
    <row r="274" spans="1:7" x14ac:dyDescent="0.25">
      <c r="A274" s="75">
        <v>6700501</v>
      </c>
      <c r="B274" s="73" t="s">
        <v>1169</v>
      </c>
      <c r="C274" s="68">
        <v>5</v>
      </c>
      <c r="D274" s="73" t="s">
        <v>2853</v>
      </c>
      <c r="E274" s="77">
        <v>62.38023146306314</v>
      </c>
      <c r="F274" s="77">
        <v>116.91373860619018</v>
      </c>
      <c r="G274" s="76">
        <v>0.22947391502078707</v>
      </c>
    </row>
    <row r="275" spans="1:7" x14ac:dyDescent="0.25">
      <c r="A275" s="75">
        <v>6700501</v>
      </c>
      <c r="B275" s="73" t="s">
        <v>1169</v>
      </c>
      <c r="C275" s="68">
        <v>6</v>
      </c>
      <c r="D275" s="73" t="s">
        <v>2851</v>
      </c>
      <c r="E275" s="77">
        <v>65.147522406571099</v>
      </c>
      <c r="F275" s="77">
        <v>117.77687345497374</v>
      </c>
      <c r="G275" s="76">
        <v>0.26046853247273671</v>
      </c>
    </row>
    <row r="276" spans="1:7" x14ac:dyDescent="0.25">
      <c r="A276" s="75">
        <v>6700501</v>
      </c>
      <c r="B276" s="73" t="s">
        <v>1169</v>
      </c>
      <c r="C276" s="68">
        <v>7</v>
      </c>
      <c r="D276" s="73" t="s">
        <v>2853</v>
      </c>
      <c r="E276" s="77">
        <v>62.38023146306314</v>
      </c>
      <c r="F276" s="77">
        <v>116.91373860619018</v>
      </c>
      <c r="G276" s="76">
        <v>0.22947391502078707</v>
      </c>
    </row>
    <row r="277" spans="1:7" x14ac:dyDescent="0.25">
      <c r="A277" s="75">
        <v>6700501</v>
      </c>
      <c r="B277" s="73" t="s">
        <v>1169</v>
      </c>
      <c r="C277" s="68">
        <v>9</v>
      </c>
      <c r="D277" s="73" t="s">
        <v>2853</v>
      </c>
      <c r="E277" s="77">
        <v>62.38023146306314</v>
      </c>
      <c r="F277" s="77">
        <v>116.91373860619018</v>
      </c>
      <c r="G277" s="76">
        <v>0.22947391502078707</v>
      </c>
    </row>
    <row r="278" spans="1:7" x14ac:dyDescent="0.25">
      <c r="A278" s="75">
        <v>6700501</v>
      </c>
      <c r="B278" s="73" t="s">
        <v>1169</v>
      </c>
      <c r="C278" s="68">
        <v>99</v>
      </c>
      <c r="D278" s="73" t="s">
        <v>2852</v>
      </c>
      <c r="E278" s="77">
        <v>48.867134659568684</v>
      </c>
      <c r="F278" s="77">
        <v>111.7613263913026</v>
      </c>
      <c r="G278" s="76">
        <v>0.18881119573674218</v>
      </c>
    </row>
    <row r="279" spans="1:7" x14ac:dyDescent="0.25">
      <c r="A279" s="75">
        <v>6700601</v>
      </c>
      <c r="B279" s="73" t="s">
        <v>822</v>
      </c>
      <c r="C279" s="68">
        <v>2</v>
      </c>
      <c r="D279" s="73" t="s">
        <v>2854</v>
      </c>
      <c r="E279" s="77">
        <v>55.687209587219634</v>
      </c>
      <c r="F279" s="77">
        <v>111.08248581096584</v>
      </c>
      <c r="G279" s="76">
        <v>0.31448148893946853</v>
      </c>
    </row>
    <row r="280" spans="1:7" x14ac:dyDescent="0.25">
      <c r="A280" s="75">
        <v>6700601</v>
      </c>
      <c r="B280" s="73" t="s">
        <v>822</v>
      </c>
      <c r="C280" s="68">
        <v>3</v>
      </c>
      <c r="D280" s="73" t="s">
        <v>2855</v>
      </c>
      <c r="E280" s="77">
        <v>49.493569078924011</v>
      </c>
      <c r="F280" s="77">
        <v>95.473613259892559</v>
      </c>
      <c r="G280" s="76">
        <v>0.14337288746749188</v>
      </c>
    </row>
    <row r="281" spans="1:7" x14ac:dyDescent="0.25">
      <c r="A281" s="75">
        <v>6700601</v>
      </c>
      <c r="B281" s="73" t="s">
        <v>822</v>
      </c>
      <c r="C281" s="68">
        <v>4</v>
      </c>
      <c r="D281" s="73" t="s">
        <v>2855</v>
      </c>
      <c r="E281" s="77">
        <v>37.899081484663697</v>
      </c>
      <c r="F281" s="77">
        <v>98.337821657689346</v>
      </c>
      <c r="G281" s="76">
        <v>0.14767407409151667</v>
      </c>
    </row>
    <row r="282" spans="1:7" x14ac:dyDescent="0.25">
      <c r="A282" s="75">
        <v>6700601</v>
      </c>
      <c r="B282" s="73" t="s">
        <v>822</v>
      </c>
      <c r="C282" s="68">
        <v>5</v>
      </c>
      <c r="D282" s="73" t="s">
        <v>2856</v>
      </c>
      <c r="E282" s="77">
        <v>100.78248886300132</v>
      </c>
      <c r="F282" s="77">
        <v>146.19766425105198</v>
      </c>
      <c r="G282" s="76">
        <v>0.67866378055383569</v>
      </c>
    </row>
    <row r="283" spans="1:7" x14ac:dyDescent="0.25">
      <c r="A283" s="75">
        <v>6700601</v>
      </c>
      <c r="B283" s="73" t="s">
        <v>822</v>
      </c>
      <c r="C283" s="68">
        <v>8</v>
      </c>
      <c r="D283" s="73" t="s">
        <v>2855</v>
      </c>
      <c r="E283" s="77">
        <v>36.796902412257346</v>
      </c>
      <c r="F283" s="77">
        <v>95.473613259892559</v>
      </c>
      <c r="G283" s="76">
        <v>0.14337288746749188</v>
      </c>
    </row>
    <row r="284" spans="1:7" x14ac:dyDescent="0.25">
      <c r="A284" s="75">
        <v>6700601</v>
      </c>
      <c r="B284" s="73" t="s">
        <v>822</v>
      </c>
      <c r="C284" s="68">
        <v>9</v>
      </c>
      <c r="D284" s="73" t="s">
        <v>2856</v>
      </c>
      <c r="E284" s="77">
        <v>100.78248886300132</v>
      </c>
      <c r="F284" s="77">
        <v>146.19766425105198</v>
      </c>
      <c r="G284" s="76">
        <v>0.67866378055383569</v>
      </c>
    </row>
    <row r="285" spans="1:7" x14ac:dyDescent="0.25">
      <c r="A285" s="75">
        <v>6700601</v>
      </c>
      <c r="B285" s="73" t="s">
        <v>822</v>
      </c>
      <c r="C285" s="68">
        <v>99</v>
      </c>
      <c r="D285" s="73" t="s">
        <v>2855</v>
      </c>
      <c r="E285" s="77">
        <v>49.493569078924011</v>
      </c>
      <c r="F285" s="77">
        <v>95.473613259892559</v>
      </c>
      <c r="G285" s="76">
        <v>0.14337288746749188</v>
      </c>
    </row>
    <row r="286" spans="1:7" x14ac:dyDescent="0.25">
      <c r="A286" s="75">
        <v>6700701</v>
      </c>
      <c r="B286" s="73" t="s">
        <v>824</v>
      </c>
      <c r="C286" s="68">
        <v>3</v>
      </c>
      <c r="D286" s="73" t="s">
        <v>2857</v>
      </c>
      <c r="E286" s="77">
        <v>35.703847749249455</v>
      </c>
      <c r="F286" s="77">
        <v>92.620505177019822</v>
      </c>
      <c r="G286" s="76">
        <v>0.16226976523948661</v>
      </c>
    </row>
    <row r="287" spans="1:7" x14ac:dyDescent="0.25">
      <c r="A287" s="75">
        <v>6700701</v>
      </c>
      <c r="B287" s="73" t="s">
        <v>824</v>
      </c>
      <c r="C287" s="68">
        <v>4</v>
      </c>
      <c r="D287" s="73" t="s">
        <v>2858</v>
      </c>
      <c r="E287" s="77">
        <v>23.023255430988012</v>
      </c>
      <c r="F287" s="77">
        <v>92.917841987818107</v>
      </c>
      <c r="G287" s="76">
        <v>0.16279069496658188</v>
      </c>
    </row>
    <row r="288" spans="1:7" x14ac:dyDescent="0.25">
      <c r="A288" s="75">
        <v>6700701</v>
      </c>
      <c r="B288" s="73" t="s">
        <v>824</v>
      </c>
      <c r="C288" s="68">
        <v>9</v>
      </c>
      <c r="D288" s="73" t="s">
        <v>2845</v>
      </c>
      <c r="E288" s="77">
        <v>37.8285461959115</v>
      </c>
      <c r="F288" s="77">
        <v>99.01242842287985</v>
      </c>
      <c r="G288" s="76">
        <v>0.20475443928913473</v>
      </c>
    </row>
    <row r="289" spans="1:7" x14ac:dyDescent="0.25">
      <c r="A289" s="75">
        <v>6700701</v>
      </c>
      <c r="B289" s="73" t="s">
        <v>824</v>
      </c>
      <c r="C289" s="68">
        <v>99</v>
      </c>
      <c r="D289" s="73" t="s">
        <v>2845</v>
      </c>
      <c r="E289" s="77">
        <v>37.8285461959115</v>
      </c>
      <c r="F289" s="77">
        <v>99.012428422879864</v>
      </c>
      <c r="G289" s="76">
        <v>0.20475443928913475</v>
      </c>
    </row>
    <row r="290" spans="1:7" x14ac:dyDescent="0.25">
      <c r="A290" s="75">
        <v>6700801</v>
      </c>
      <c r="B290" s="73" t="s">
        <v>1170</v>
      </c>
      <c r="C290" s="68">
        <v>2</v>
      </c>
      <c r="D290" s="73" t="s">
        <v>2859</v>
      </c>
      <c r="E290" s="77">
        <v>41.649755384941578</v>
      </c>
      <c r="F290" s="77">
        <v>96.722690871133551</v>
      </c>
      <c r="G290" s="76">
        <v>0.21386971568513585</v>
      </c>
    </row>
    <row r="291" spans="1:7" x14ac:dyDescent="0.25">
      <c r="A291" s="75">
        <v>6700801</v>
      </c>
      <c r="B291" s="73" t="s">
        <v>1170</v>
      </c>
      <c r="C291" s="68">
        <v>4</v>
      </c>
      <c r="D291" s="73" t="s">
        <v>2860</v>
      </c>
      <c r="E291" s="77">
        <v>26.899224358763767</v>
      </c>
      <c r="F291" s="77">
        <v>92.917841987818107</v>
      </c>
      <c r="G291" s="76">
        <v>0.14534883479159097</v>
      </c>
    </row>
    <row r="292" spans="1:7" x14ac:dyDescent="0.25">
      <c r="A292" s="75">
        <v>6700801</v>
      </c>
      <c r="B292" s="73" t="s">
        <v>1170</v>
      </c>
      <c r="C292" s="68">
        <v>9</v>
      </c>
      <c r="D292" s="73" t="s">
        <v>2861</v>
      </c>
      <c r="E292" s="77">
        <v>40.766417750866658</v>
      </c>
      <c r="F292" s="77">
        <v>96.441400756226642</v>
      </c>
      <c r="G292" s="76">
        <v>0.1841628839757474</v>
      </c>
    </row>
    <row r="293" spans="1:7" x14ac:dyDescent="0.25">
      <c r="A293" s="75">
        <v>6700801</v>
      </c>
      <c r="B293" s="73" t="s">
        <v>1170</v>
      </c>
      <c r="C293" s="68">
        <v>99</v>
      </c>
      <c r="D293" s="73" t="s">
        <v>2860</v>
      </c>
      <c r="E293" s="77">
        <v>26.899224358763767</v>
      </c>
      <c r="F293" s="77">
        <v>92.917841987818107</v>
      </c>
      <c r="G293" s="76">
        <v>0.14534883479159097</v>
      </c>
    </row>
    <row r="294" spans="1:7" x14ac:dyDescent="0.25">
      <c r="A294" s="75">
        <v>6700901</v>
      </c>
      <c r="B294" s="73" t="s">
        <v>826</v>
      </c>
      <c r="C294" s="68">
        <v>2</v>
      </c>
      <c r="D294" s="73" t="s">
        <v>2862</v>
      </c>
      <c r="E294" s="77">
        <v>27.634347417110337</v>
      </c>
      <c r="F294" s="77">
        <v>94.467552696382356</v>
      </c>
      <c r="G294" s="76">
        <v>0.21034206481656431</v>
      </c>
    </row>
    <row r="295" spans="1:7" x14ac:dyDescent="0.25">
      <c r="A295" s="75">
        <v>6700901</v>
      </c>
      <c r="B295" s="73" t="s">
        <v>826</v>
      </c>
      <c r="C295" s="68">
        <v>3</v>
      </c>
      <c r="D295" s="73" t="s">
        <v>2863</v>
      </c>
      <c r="E295" s="77">
        <v>24.487001735033509</v>
      </c>
      <c r="F295" s="77">
        <v>87.621979403928648</v>
      </c>
      <c r="G295" s="76">
        <v>0.13706466202867176</v>
      </c>
    </row>
    <row r="296" spans="1:7" x14ac:dyDescent="0.25">
      <c r="A296" s="75">
        <v>6700901</v>
      </c>
      <c r="B296" s="73" t="s">
        <v>826</v>
      </c>
      <c r="C296" s="68">
        <v>4</v>
      </c>
      <c r="D296" s="73" t="s">
        <v>2864</v>
      </c>
      <c r="E296" s="77">
        <v>12.82973634306776</v>
      </c>
      <c r="F296" s="77">
        <v>95.814563862238543</v>
      </c>
      <c r="G296" s="76">
        <v>0.14988009746574485</v>
      </c>
    </row>
    <row r="297" spans="1:7" x14ac:dyDescent="0.25">
      <c r="A297" s="75">
        <v>6700901</v>
      </c>
      <c r="B297" s="73" t="s">
        <v>826</v>
      </c>
      <c r="C297" s="68">
        <v>5</v>
      </c>
      <c r="D297" s="73" t="s">
        <v>2865</v>
      </c>
      <c r="E297" s="77">
        <v>27.138333835476903</v>
      </c>
      <c r="F297" s="77">
        <v>94.248584652917458</v>
      </c>
      <c r="G297" s="76">
        <v>0.18073272181625591</v>
      </c>
    </row>
    <row r="298" spans="1:7" x14ac:dyDescent="0.25">
      <c r="A298" s="75">
        <v>6700901</v>
      </c>
      <c r="B298" s="73" t="s">
        <v>826</v>
      </c>
      <c r="C298" s="68">
        <v>6</v>
      </c>
      <c r="D298" s="73" t="s">
        <v>2862</v>
      </c>
      <c r="E298" s="77">
        <v>28.904014083777003</v>
      </c>
      <c r="F298" s="77">
        <v>94.467552696382356</v>
      </c>
      <c r="G298" s="76">
        <v>0.21034206481656431</v>
      </c>
    </row>
    <row r="299" spans="1:7" x14ac:dyDescent="0.25">
      <c r="A299" s="75">
        <v>6700901</v>
      </c>
      <c r="B299" s="73" t="s">
        <v>826</v>
      </c>
      <c r="C299" s="68">
        <v>7</v>
      </c>
      <c r="D299" s="73" t="s">
        <v>2865</v>
      </c>
      <c r="E299" s="77">
        <v>27.138333835476899</v>
      </c>
      <c r="F299" s="77">
        <v>94.248584652917458</v>
      </c>
      <c r="G299" s="76">
        <v>0.18073272181625591</v>
      </c>
    </row>
    <row r="300" spans="1:7" x14ac:dyDescent="0.25">
      <c r="A300" s="75">
        <v>6700901</v>
      </c>
      <c r="B300" s="73" t="s">
        <v>826</v>
      </c>
      <c r="C300" s="68">
        <v>9</v>
      </c>
      <c r="D300" s="73" t="s">
        <v>2865</v>
      </c>
      <c r="E300" s="77">
        <v>27.138333835476899</v>
      </c>
      <c r="F300" s="77">
        <v>94.248584652917458</v>
      </c>
      <c r="G300" s="76">
        <v>0.18073272181625591</v>
      </c>
    </row>
    <row r="301" spans="1:7" x14ac:dyDescent="0.25">
      <c r="A301" s="75">
        <v>6700901</v>
      </c>
      <c r="B301" s="73" t="s">
        <v>826</v>
      </c>
      <c r="C301" s="68">
        <v>99</v>
      </c>
      <c r="D301" s="73" t="s">
        <v>2864</v>
      </c>
      <c r="E301" s="77">
        <v>12.82973634306776</v>
      </c>
      <c r="F301" s="77">
        <v>95.814563862238543</v>
      </c>
      <c r="G301" s="76">
        <v>0.14988009746574485</v>
      </c>
    </row>
    <row r="302" spans="1:7" x14ac:dyDescent="0.25">
      <c r="A302" s="75">
        <v>6700903</v>
      </c>
      <c r="B302" s="73" t="s">
        <v>2866</v>
      </c>
      <c r="C302" s="68">
        <v>3</v>
      </c>
      <c r="D302" s="73" t="s">
        <v>2867</v>
      </c>
      <c r="E302" s="77">
        <v>38.120366784818721</v>
      </c>
      <c r="F302" s="77">
        <v>87.621979403928648</v>
      </c>
      <c r="G302" s="76">
        <v>0.13706466202867176</v>
      </c>
    </row>
    <row r="303" spans="1:7" x14ac:dyDescent="0.25">
      <c r="A303" s="75">
        <v>6700903</v>
      </c>
      <c r="B303" s="73" t="s">
        <v>2866</v>
      </c>
      <c r="C303" s="68">
        <v>4</v>
      </c>
      <c r="D303" s="73" t="s">
        <v>2868</v>
      </c>
      <c r="E303" s="77">
        <v>27.737810037660509</v>
      </c>
      <c r="F303" s="77">
        <v>95.814563862238543</v>
      </c>
      <c r="G303" s="76">
        <v>0.14988009746574485</v>
      </c>
    </row>
    <row r="304" spans="1:7" x14ac:dyDescent="0.25">
      <c r="A304" s="75">
        <v>6700903</v>
      </c>
      <c r="B304" s="73" t="s">
        <v>2866</v>
      </c>
      <c r="C304" s="68">
        <v>9</v>
      </c>
      <c r="D304" s="73" t="s">
        <v>2869</v>
      </c>
      <c r="E304" s="77">
        <v>40.131609073883425</v>
      </c>
      <c r="F304" s="77">
        <v>94.248584652917458</v>
      </c>
      <c r="G304" s="76">
        <v>0.18073272181625591</v>
      </c>
    </row>
    <row r="305" spans="1:7" x14ac:dyDescent="0.25">
      <c r="A305" s="75">
        <v>6700904</v>
      </c>
      <c r="B305" s="73" t="s">
        <v>2870</v>
      </c>
      <c r="C305" s="68">
        <v>2</v>
      </c>
      <c r="D305" s="73" t="s">
        <v>2862</v>
      </c>
      <c r="E305" s="77">
        <v>27.634347417110337</v>
      </c>
      <c r="F305" s="77">
        <v>94.467552696382356</v>
      </c>
      <c r="G305" s="76">
        <v>0.21034206481656431</v>
      </c>
    </row>
    <row r="306" spans="1:7" x14ac:dyDescent="0.25">
      <c r="A306" s="75">
        <v>6700904</v>
      </c>
      <c r="B306" s="73" t="s">
        <v>2870</v>
      </c>
      <c r="C306" s="68">
        <v>3</v>
      </c>
      <c r="D306" s="73" t="s">
        <v>2863</v>
      </c>
      <c r="E306" s="77">
        <v>24.487001735033509</v>
      </c>
      <c r="F306" s="77">
        <v>87.621979403928648</v>
      </c>
      <c r="G306" s="76">
        <v>0.13706466202867176</v>
      </c>
    </row>
    <row r="307" spans="1:7" x14ac:dyDescent="0.25">
      <c r="A307" s="75">
        <v>6700904</v>
      </c>
      <c r="B307" s="73" t="s">
        <v>2870</v>
      </c>
      <c r="C307" s="68">
        <v>4</v>
      </c>
      <c r="D307" s="73" t="s">
        <v>2864</v>
      </c>
      <c r="E307" s="77">
        <v>12.82973634306776</v>
      </c>
      <c r="F307" s="77">
        <v>95.814563862238543</v>
      </c>
      <c r="G307" s="76">
        <v>0.14988009746574485</v>
      </c>
    </row>
    <row r="308" spans="1:7" x14ac:dyDescent="0.25">
      <c r="A308" s="75">
        <v>6700904</v>
      </c>
      <c r="B308" s="73" t="s">
        <v>2870</v>
      </c>
      <c r="C308" s="68">
        <v>6</v>
      </c>
      <c r="D308" s="73" t="s">
        <v>2862</v>
      </c>
      <c r="E308" s="77">
        <v>28.904014083777003</v>
      </c>
      <c r="F308" s="77">
        <v>94.467552696382356</v>
      </c>
      <c r="G308" s="76">
        <v>0.21034206481656431</v>
      </c>
    </row>
    <row r="309" spans="1:7" x14ac:dyDescent="0.25">
      <c r="A309" s="75">
        <v>6700904</v>
      </c>
      <c r="B309" s="73" t="s">
        <v>2870</v>
      </c>
      <c r="C309" s="68">
        <v>9</v>
      </c>
      <c r="D309" s="73" t="s">
        <v>2865</v>
      </c>
      <c r="E309" s="77">
        <v>27.138333835476899</v>
      </c>
      <c r="F309" s="77">
        <v>94.248584652917458</v>
      </c>
      <c r="G309" s="76">
        <v>0.18073272181625591</v>
      </c>
    </row>
    <row r="310" spans="1:7" x14ac:dyDescent="0.25">
      <c r="A310" s="75">
        <v>6701101</v>
      </c>
      <c r="B310" s="73" t="s">
        <v>828</v>
      </c>
      <c r="C310" s="68">
        <v>2</v>
      </c>
      <c r="D310" s="73" t="s">
        <v>2871</v>
      </c>
      <c r="E310" s="77">
        <v>35.799298005429485</v>
      </c>
      <c r="F310" s="77">
        <v>178.87749751003233</v>
      </c>
      <c r="G310" s="76">
        <v>0.13222107390896642</v>
      </c>
    </row>
    <row r="311" spans="1:7" x14ac:dyDescent="0.25">
      <c r="A311" s="75">
        <v>6701101</v>
      </c>
      <c r="B311" s="73" t="s">
        <v>828</v>
      </c>
      <c r="C311" s="68">
        <v>3</v>
      </c>
      <c r="D311" s="73" t="s">
        <v>2871</v>
      </c>
      <c r="E311" s="77">
        <v>35.799298005429485</v>
      </c>
      <c r="F311" s="77">
        <v>178.87749751003233</v>
      </c>
      <c r="G311" s="76">
        <v>0.13222107390896642</v>
      </c>
    </row>
    <row r="312" spans="1:7" x14ac:dyDescent="0.25">
      <c r="A312" s="75">
        <v>6701101</v>
      </c>
      <c r="B312" s="73" t="s">
        <v>828</v>
      </c>
      <c r="C312" s="68">
        <v>4</v>
      </c>
      <c r="D312" s="73" t="s">
        <v>2872</v>
      </c>
      <c r="E312" s="77">
        <v>22.733695239772313</v>
      </c>
      <c r="F312" s="77">
        <v>176.46088016287047</v>
      </c>
      <c r="G312" s="76">
        <v>0.13043478024253777</v>
      </c>
    </row>
    <row r="313" spans="1:7" x14ac:dyDescent="0.25">
      <c r="A313" s="75">
        <v>6701101</v>
      </c>
      <c r="B313" s="73" t="s">
        <v>828</v>
      </c>
      <c r="C313" s="68">
        <v>7</v>
      </c>
      <c r="D313" s="73" t="s">
        <v>2871</v>
      </c>
      <c r="E313" s="77">
        <v>32.625131338762813</v>
      </c>
      <c r="F313" s="77">
        <v>178.87749751003233</v>
      </c>
      <c r="G313" s="76">
        <v>0.13222107390896642</v>
      </c>
    </row>
    <row r="314" spans="1:7" x14ac:dyDescent="0.25">
      <c r="A314" s="75">
        <v>6701101</v>
      </c>
      <c r="B314" s="73" t="s">
        <v>828</v>
      </c>
      <c r="C314" s="68">
        <v>9</v>
      </c>
      <c r="D314" s="73" t="s">
        <v>2871</v>
      </c>
      <c r="E314" s="77">
        <v>32.625131338762813</v>
      </c>
      <c r="F314" s="77">
        <v>178.87749751003233</v>
      </c>
      <c r="G314" s="76">
        <v>0.13222107390896642</v>
      </c>
    </row>
    <row r="315" spans="1:7" x14ac:dyDescent="0.25">
      <c r="A315" s="75">
        <v>6701101</v>
      </c>
      <c r="B315" s="73" t="s">
        <v>828</v>
      </c>
      <c r="C315" s="68">
        <v>99</v>
      </c>
      <c r="D315" s="73" t="s">
        <v>2872</v>
      </c>
      <c r="E315" s="77">
        <v>22.733695239772313</v>
      </c>
      <c r="F315" s="77">
        <v>176.46088016287047</v>
      </c>
      <c r="G315" s="76">
        <v>0.13043478024253777</v>
      </c>
    </row>
    <row r="316" spans="1:7" x14ac:dyDescent="0.25">
      <c r="A316" s="75">
        <v>6701301</v>
      </c>
      <c r="B316" s="73" t="s">
        <v>1171</v>
      </c>
      <c r="C316" s="68">
        <v>2</v>
      </c>
      <c r="D316" s="73" t="s">
        <v>2873</v>
      </c>
      <c r="E316" s="77">
        <v>49.281157069207993</v>
      </c>
      <c r="F316" s="77">
        <v>123.08379951823891</v>
      </c>
      <c r="G316" s="76">
        <v>0.25510567579464455</v>
      </c>
    </row>
    <row r="317" spans="1:7" x14ac:dyDescent="0.25">
      <c r="A317" s="75">
        <v>6701301</v>
      </c>
      <c r="B317" s="73" t="s">
        <v>1171</v>
      </c>
      <c r="C317" s="68">
        <v>4</v>
      </c>
      <c r="D317" s="73" t="s">
        <v>2874</v>
      </c>
      <c r="E317" s="77">
        <v>34.944612260831484</v>
      </c>
      <c r="F317" s="77">
        <v>120.70898093831633</v>
      </c>
      <c r="G317" s="76">
        <v>0.18882175212985314</v>
      </c>
    </row>
    <row r="318" spans="1:7" x14ac:dyDescent="0.25">
      <c r="A318" s="75">
        <v>6701301</v>
      </c>
      <c r="B318" s="73" t="s">
        <v>1171</v>
      </c>
      <c r="C318" s="68">
        <v>9</v>
      </c>
      <c r="D318" s="73" t="s">
        <v>2873</v>
      </c>
      <c r="E318" s="77">
        <v>49.281157069207993</v>
      </c>
      <c r="F318" s="77">
        <v>123.08379951823891</v>
      </c>
      <c r="G318" s="76">
        <v>0.25510567579464455</v>
      </c>
    </row>
    <row r="319" spans="1:7" x14ac:dyDescent="0.25">
      <c r="A319" s="75">
        <v>6701301</v>
      </c>
      <c r="B319" s="73" t="s">
        <v>1171</v>
      </c>
      <c r="C319" s="68">
        <v>99</v>
      </c>
      <c r="D319" s="73" t="s">
        <v>2874</v>
      </c>
      <c r="E319" s="77">
        <v>34.944612260831484</v>
      </c>
      <c r="F319" s="77">
        <v>120.70898093831633</v>
      </c>
      <c r="G319" s="76">
        <v>0.18882175212985314</v>
      </c>
    </row>
    <row r="320" spans="1:7" x14ac:dyDescent="0.25">
      <c r="A320" s="75">
        <v>6701401</v>
      </c>
      <c r="B320" s="73" t="s">
        <v>830</v>
      </c>
      <c r="C320" s="68">
        <v>2</v>
      </c>
      <c r="D320" s="73" t="s">
        <v>2875</v>
      </c>
      <c r="E320" s="77">
        <v>26.187223142504511</v>
      </c>
      <c r="F320" s="77">
        <v>75.279365602308204</v>
      </c>
      <c r="G320" s="76">
        <v>0.76623831314048896</v>
      </c>
    </row>
    <row r="321" spans="1:7" x14ac:dyDescent="0.25">
      <c r="A321" s="75">
        <v>6701401</v>
      </c>
      <c r="B321" s="73" t="s">
        <v>830</v>
      </c>
      <c r="C321" s="68">
        <v>3</v>
      </c>
      <c r="D321" s="73" t="s">
        <v>2876</v>
      </c>
      <c r="E321" s="77">
        <v>23.489036322762523</v>
      </c>
      <c r="F321" s="77">
        <v>67.718276659153105</v>
      </c>
      <c r="G321" s="76">
        <v>0.75141410962742627</v>
      </c>
    </row>
    <row r="322" spans="1:7" x14ac:dyDescent="0.25">
      <c r="A322" s="75">
        <v>6701401</v>
      </c>
      <c r="B322" s="73" t="s">
        <v>830</v>
      </c>
      <c r="C322" s="68">
        <v>4</v>
      </c>
      <c r="D322" s="73" t="s">
        <v>2877</v>
      </c>
      <c r="E322" s="77">
        <v>10.769231164243815</v>
      </c>
      <c r="F322" s="77">
        <v>67.935670597742657</v>
      </c>
      <c r="G322" s="76">
        <v>0.7538263516522179</v>
      </c>
    </row>
    <row r="323" spans="1:7" x14ac:dyDescent="0.25">
      <c r="A323" s="75">
        <v>6701401</v>
      </c>
      <c r="B323" s="73" t="s">
        <v>830</v>
      </c>
      <c r="C323" s="68">
        <v>9</v>
      </c>
      <c r="D323" s="73" t="s">
        <v>2875</v>
      </c>
      <c r="E323" s="77">
        <v>26.187223142504518</v>
      </c>
      <c r="F323" s="77">
        <v>75.279365602308204</v>
      </c>
      <c r="G323" s="76">
        <v>0.76623831314048896</v>
      </c>
    </row>
    <row r="324" spans="1:7" x14ac:dyDescent="0.25">
      <c r="A324" s="75">
        <v>6701401</v>
      </c>
      <c r="B324" s="73" t="s">
        <v>830</v>
      </c>
      <c r="C324" s="68">
        <v>99</v>
      </c>
      <c r="D324" s="73" t="s">
        <v>2877</v>
      </c>
      <c r="E324" s="77">
        <v>10.769231164243815</v>
      </c>
      <c r="F324" s="77">
        <v>67.935670597742657</v>
      </c>
      <c r="G324" s="76">
        <v>0.7538263516522179</v>
      </c>
    </row>
    <row r="325" spans="1:7" x14ac:dyDescent="0.25">
      <c r="A325" s="75">
        <v>6701501</v>
      </c>
      <c r="B325" s="73" t="s">
        <v>1172</v>
      </c>
      <c r="C325" s="68">
        <v>3</v>
      </c>
      <c r="D325" s="73" t="s">
        <v>2878</v>
      </c>
      <c r="E325" s="77">
        <v>49.03680802288838</v>
      </c>
      <c r="F325" s="77">
        <v>44.740321863754446</v>
      </c>
      <c r="G325" s="76">
        <v>0.20880014785695805</v>
      </c>
    </row>
    <row r="326" spans="1:7" x14ac:dyDescent="0.25">
      <c r="A326" s="75">
        <v>6701501</v>
      </c>
      <c r="B326" s="73" t="s">
        <v>1172</v>
      </c>
      <c r="C326" s="68">
        <v>4</v>
      </c>
      <c r="D326" s="73" t="s">
        <v>2879</v>
      </c>
      <c r="E326" s="77">
        <v>37.490988647493012</v>
      </c>
      <c r="F326" s="77">
        <v>46.230468878995659</v>
      </c>
      <c r="G326" s="76">
        <v>0.21575456624622405</v>
      </c>
    </row>
    <row r="327" spans="1:7" x14ac:dyDescent="0.25">
      <c r="A327" s="75">
        <v>6701501</v>
      </c>
      <c r="B327" s="73" t="s">
        <v>1172</v>
      </c>
      <c r="C327" s="68">
        <v>5</v>
      </c>
      <c r="D327" s="73" t="s">
        <v>2880</v>
      </c>
      <c r="E327" s="77">
        <v>50.535520735616934</v>
      </c>
      <c r="F327" s="77">
        <v>53.380231384011786</v>
      </c>
      <c r="G327" s="76">
        <v>0.24910020910380706</v>
      </c>
    </row>
    <row r="328" spans="1:7" x14ac:dyDescent="0.25">
      <c r="A328" s="75">
        <v>6701501</v>
      </c>
      <c r="B328" s="73" t="s">
        <v>1172</v>
      </c>
      <c r="C328" s="68">
        <v>9</v>
      </c>
      <c r="D328" s="73" t="s">
        <v>2880</v>
      </c>
      <c r="E328" s="77">
        <v>50.535520735616934</v>
      </c>
      <c r="F328" s="77">
        <v>53.380231384011786</v>
      </c>
      <c r="G328" s="76">
        <v>0.24910020910380706</v>
      </c>
    </row>
    <row r="329" spans="1:7" x14ac:dyDescent="0.25">
      <c r="A329" s="75">
        <v>6701501</v>
      </c>
      <c r="B329" s="73" t="s">
        <v>1172</v>
      </c>
      <c r="C329" s="68">
        <v>99</v>
      </c>
      <c r="D329" s="73" t="s">
        <v>2879</v>
      </c>
      <c r="E329" s="77">
        <v>37.490988647493012</v>
      </c>
      <c r="F329" s="77">
        <v>46.230468878995659</v>
      </c>
      <c r="G329" s="76">
        <v>0.21575456624622405</v>
      </c>
    </row>
    <row r="330" spans="1:7" x14ac:dyDescent="0.25">
      <c r="A330" s="75">
        <v>6701505</v>
      </c>
      <c r="B330" s="73" t="s">
        <v>1173</v>
      </c>
      <c r="C330" s="68">
        <v>4</v>
      </c>
      <c r="D330" s="73" t="s">
        <v>2879</v>
      </c>
      <c r="E330" s="77">
        <v>37.490988647493012</v>
      </c>
      <c r="F330" s="77">
        <v>46.230468878995659</v>
      </c>
      <c r="G330" s="76">
        <v>0.21575456624622405</v>
      </c>
    </row>
    <row r="331" spans="1:7" x14ac:dyDescent="0.25">
      <c r="A331" s="75">
        <v>6701601</v>
      </c>
      <c r="B331" s="73" t="s">
        <v>1174</v>
      </c>
      <c r="C331" s="68">
        <v>2</v>
      </c>
      <c r="D331" s="73" t="s">
        <v>2881</v>
      </c>
      <c r="E331" s="77">
        <v>52.143847881979404</v>
      </c>
      <c r="F331" s="77">
        <v>55.363473778237804</v>
      </c>
      <c r="G331" s="76">
        <v>0.258355871287276</v>
      </c>
    </row>
    <row r="332" spans="1:7" x14ac:dyDescent="0.25">
      <c r="A332" s="75">
        <v>6701601</v>
      </c>
      <c r="B332" s="73" t="s">
        <v>1174</v>
      </c>
      <c r="C332" s="68">
        <v>3</v>
      </c>
      <c r="D332" s="73" t="s">
        <v>2882</v>
      </c>
      <c r="E332" s="77">
        <v>50.724366448575054</v>
      </c>
      <c r="F332" s="77">
        <v>46.821265047561667</v>
      </c>
      <c r="G332" s="76">
        <v>0.21851177321772419</v>
      </c>
    </row>
    <row r="333" spans="1:7" x14ac:dyDescent="0.25">
      <c r="A333" s="75">
        <v>6701601</v>
      </c>
      <c r="B333" s="73" t="s">
        <v>1174</v>
      </c>
      <c r="C333" s="68">
        <v>4</v>
      </c>
      <c r="D333" s="73" t="s">
        <v>2883</v>
      </c>
      <c r="E333" s="77">
        <v>39.23475386933864</v>
      </c>
      <c r="F333" s="77">
        <v>48.380721159051248</v>
      </c>
      <c r="G333" s="76">
        <v>0.22578965261356401</v>
      </c>
    </row>
    <row r="334" spans="1:7" x14ac:dyDescent="0.25">
      <c r="A334" s="75">
        <v>6701601</v>
      </c>
      <c r="B334" s="73" t="s">
        <v>1174</v>
      </c>
      <c r="C334" s="68">
        <v>9</v>
      </c>
      <c r="D334" s="73" t="s">
        <v>2881</v>
      </c>
      <c r="E334" s="77">
        <v>52.143847881979404</v>
      </c>
      <c r="F334" s="77">
        <v>55.363473778237804</v>
      </c>
      <c r="G334" s="76">
        <v>0.25835587128727594</v>
      </c>
    </row>
    <row r="335" spans="1:7" x14ac:dyDescent="0.25">
      <c r="A335" s="75">
        <v>6701601</v>
      </c>
      <c r="B335" s="73" t="s">
        <v>1174</v>
      </c>
      <c r="C335" s="68">
        <v>99</v>
      </c>
      <c r="D335" s="73" t="s">
        <v>2883</v>
      </c>
      <c r="E335" s="77">
        <v>39.23475386933864</v>
      </c>
      <c r="F335" s="77">
        <v>48.380721159051248</v>
      </c>
      <c r="G335" s="76">
        <v>0.22578965261356401</v>
      </c>
    </row>
    <row r="336" spans="1:7" x14ac:dyDescent="0.25">
      <c r="A336" s="75">
        <v>6701602</v>
      </c>
      <c r="B336" s="73" t="s">
        <v>1175</v>
      </c>
      <c r="C336" s="68">
        <v>2</v>
      </c>
      <c r="D336" s="73" t="s">
        <v>2881</v>
      </c>
      <c r="E336" s="77">
        <v>52.143847881979404</v>
      </c>
      <c r="F336" s="77">
        <v>55.363473778237804</v>
      </c>
      <c r="G336" s="76">
        <v>0.25835587128727594</v>
      </c>
    </row>
    <row r="337" spans="1:7" x14ac:dyDescent="0.25">
      <c r="A337" s="75">
        <v>6701602</v>
      </c>
      <c r="B337" s="73" t="s">
        <v>1175</v>
      </c>
      <c r="C337" s="68">
        <v>3</v>
      </c>
      <c r="D337" s="73" t="s">
        <v>2882</v>
      </c>
      <c r="E337" s="77">
        <v>50.724366448575054</v>
      </c>
      <c r="F337" s="77">
        <v>46.821265047561667</v>
      </c>
      <c r="G337" s="76">
        <v>0.21851177321772419</v>
      </c>
    </row>
    <row r="338" spans="1:7" x14ac:dyDescent="0.25">
      <c r="A338" s="75">
        <v>6701602</v>
      </c>
      <c r="B338" s="73" t="s">
        <v>1175</v>
      </c>
      <c r="C338" s="68">
        <v>4</v>
      </c>
      <c r="D338" s="73" t="s">
        <v>2883</v>
      </c>
      <c r="E338" s="77">
        <v>39.23475386933864</v>
      </c>
      <c r="F338" s="77">
        <v>48.380721159051248</v>
      </c>
      <c r="G338" s="76">
        <v>0.22578965261356401</v>
      </c>
    </row>
    <row r="339" spans="1:7" x14ac:dyDescent="0.25">
      <c r="A339" s="75">
        <v>6701602</v>
      </c>
      <c r="B339" s="73" t="s">
        <v>1175</v>
      </c>
      <c r="C339" s="68">
        <v>9</v>
      </c>
      <c r="D339" s="73" t="s">
        <v>2881</v>
      </c>
      <c r="E339" s="77">
        <v>52.143847881979404</v>
      </c>
      <c r="F339" s="77">
        <v>55.363473778237804</v>
      </c>
      <c r="G339" s="76">
        <v>0.25835587128727594</v>
      </c>
    </row>
    <row r="340" spans="1:7" x14ac:dyDescent="0.25">
      <c r="A340" s="75">
        <v>6701602</v>
      </c>
      <c r="B340" s="73" t="s">
        <v>1175</v>
      </c>
      <c r="C340" s="68">
        <v>99</v>
      </c>
      <c r="D340" s="73" t="s">
        <v>2883</v>
      </c>
      <c r="E340" s="77">
        <v>39.23475386933864</v>
      </c>
      <c r="F340" s="77">
        <v>48.380721159051248</v>
      </c>
      <c r="G340" s="76">
        <v>0.22578965261356401</v>
      </c>
    </row>
    <row r="341" spans="1:7" x14ac:dyDescent="0.25">
      <c r="A341" s="75">
        <v>6701704</v>
      </c>
      <c r="B341" s="73" t="s">
        <v>831</v>
      </c>
      <c r="C341" s="68">
        <v>1</v>
      </c>
      <c r="D341" s="73" t="s">
        <v>2884</v>
      </c>
      <c r="E341" s="77">
        <v>62.607128346299341</v>
      </c>
      <c r="F341" s="77">
        <v>85.926254463090388</v>
      </c>
      <c r="G341" s="76">
        <v>0.16129450314853411</v>
      </c>
    </row>
    <row r="342" spans="1:7" x14ac:dyDescent="0.25">
      <c r="A342" s="75">
        <v>6701704</v>
      </c>
      <c r="B342" s="73" t="s">
        <v>831</v>
      </c>
      <c r="C342" s="68">
        <v>2</v>
      </c>
      <c r="D342" s="73" t="s">
        <v>2885</v>
      </c>
      <c r="E342" s="77">
        <v>59.34237072905875</v>
      </c>
      <c r="F342" s="77">
        <v>101.98337783625297</v>
      </c>
      <c r="G342" s="76">
        <v>0.33156168039699813</v>
      </c>
    </row>
    <row r="343" spans="1:7" x14ac:dyDescent="0.25">
      <c r="A343" s="75">
        <v>6701704</v>
      </c>
      <c r="B343" s="73" t="s">
        <v>831</v>
      </c>
      <c r="C343" s="68">
        <v>3</v>
      </c>
      <c r="D343" s="73" t="s">
        <v>2884</v>
      </c>
      <c r="E343" s="77">
        <v>53.328795012966005</v>
      </c>
      <c r="F343" s="77">
        <v>85.926254463090388</v>
      </c>
      <c r="G343" s="76">
        <v>0.16129450314853411</v>
      </c>
    </row>
    <row r="344" spans="1:7" x14ac:dyDescent="0.25">
      <c r="A344" s="75">
        <v>6701704</v>
      </c>
      <c r="B344" s="73" t="s">
        <v>831</v>
      </c>
      <c r="C344" s="68">
        <v>4</v>
      </c>
      <c r="D344" s="73" t="s">
        <v>2884</v>
      </c>
      <c r="E344" s="77">
        <v>41.849364196726945</v>
      </c>
      <c r="F344" s="77">
        <v>88.504042096983099</v>
      </c>
      <c r="G344" s="76">
        <v>0.16613333824299012</v>
      </c>
    </row>
    <row r="345" spans="1:7" x14ac:dyDescent="0.25">
      <c r="A345" s="75">
        <v>6701704</v>
      </c>
      <c r="B345" s="73" t="s">
        <v>831</v>
      </c>
      <c r="C345" s="68">
        <v>5</v>
      </c>
      <c r="D345" s="73" t="s">
        <v>2886</v>
      </c>
      <c r="E345" s="77">
        <v>103.09975562488093</v>
      </c>
      <c r="F345" s="77">
        <v>138.55978105285931</v>
      </c>
      <c r="G345" s="76">
        <v>0.68977518904801161</v>
      </c>
    </row>
    <row r="346" spans="1:7" x14ac:dyDescent="0.25">
      <c r="A346" s="75">
        <v>6701704</v>
      </c>
      <c r="B346" s="73" t="s">
        <v>831</v>
      </c>
      <c r="C346" s="68">
        <v>7</v>
      </c>
      <c r="D346" s="73" t="s">
        <v>2886</v>
      </c>
      <c r="E346" s="77">
        <v>106.27392229154759</v>
      </c>
      <c r="F346" s="77">
        <v>138.55978105285931</v>
      </c>
      <c r="G346" s="76">
        <v>0.68977518904801161</v>
      </c>
    </row>
    <row r="347" spans="1:7" x14ac:dyDescent="0.25">
      <c r="A347" s="75">
        <v>6701704</v>
      </c>
      <c r="B347" s="73" t="s">
        <v>831</v>
      </c>
      <c r="C347" s="68">
        <v>8</v>
      </c>
      <c r="D347" s="73" t="s">
        <v>2884</v>
      </c>
      <c r="E347" s="77">
        <v>40.632128346299339</v>
      </c>
      <c r="F347" s="77">
        <v>85.926254463090388</v>
      </c>
      <c r="G347" s="76">
        <v>0.16129450314853411</v>
      </c>
    </row>
    <row r="348" spans="1:7" x14ac:dyDescent="0.25">
      <c r="A348" s="75">
        <v>6701704</v>
      </c>
      <c r="B348" s="73" t="s">
        <v>831</v>
      </c>
      <c r="C348" s="68">
        <v>9</v>
      </c>
      <c r="D348" s="73" t="s">
        <v>2887</v>
      </c>
      <c r="E348" s="77">
        <v>54.625997890603486</v>
      </c>
      <c r="F348" s="77">
        <v>92.632474411279858</v>
      </c>
      <c r="G348" s="76">
        <v>0.20382496599101244</v>
      </c>
    </row>
    <row r="349" spans="1:7" x14ac:dyDescent="0.25">
      <c r="A349" s="75">
        <v>6701704</v>
      </c>
      <c r="B349" s="73" t="s">
        <v>831</v>
      </c>
      <c r="C349" s="68">
        <v>99</v>
      </c>
      <c r="D349" s="73" t="s">
        <v>2884</v>
      </c>
      <c r="E349" s="77">
        <v>53.328795012966005</v>
      </c>
      <c r="F349" s="77">
        <v>85.926254463090388</v>
      </c>
      <c r="G349" s="76">
        <v>0.16129450314853411</v>
      </c>
    </row>
    <row r="350" spans="1:7" x14ac:dyDescent="0.25">
      <c r="A350" s="75">
        <v>6701801</v>
      </c>
      <c r="B350" s="73" t="s">
        <v>1176</v>
      </c>
      <c r="C350" s="68">
        <v>2</v>
      </c>
      <c r="D350" s="73" t="s">
        <v>2888</v>
      </c>
      <c r="E350" s="77">
        <v>39.663753697044122</v>
      </c>
      <c r="F350" s="77">
        <v>92.632474411279858</v>
      </c>
      <c r="G350" s="76">
        <v>0.17820468483765736</v>
      </c>
    </row>
    <row r="351" spans="1:7" x14ac:dyDescent="0.25">
      <c r="A351" s="75">
        <v>6701801</v>
      </c>
      <c r="B351" s="73" t="s">
        <v>1176</v>
      </c>
      <c r="C351" s="68">
        <v>4</v>
      </c>
      <c r="D351" s="73" t="s">
        <v>2889</v>
      </c>
      <c r="E351" s="77">
        <v>25.703704384619336</v>
      </c>
      <c r="F351" s="77">
        <v>88.78816395066525</v>
      </c>
      <c r="G351" s="76">
        <v>0.13888889256818804</v>
      </c>
    </row>
    <row r="352" spans="1:7" x14ac:dyDescent="0.25">
      <c r="A352" s="75">
        <v>6701801</v>
      </c>
      <c r="B352" s="73" t="s">
        <v>1176</v>
      </c>
      <c r="C352" s="68">
        <v>9</v>
      </c>
      <c r="D352" s="73" t="s">
        <v>2888</v>
      </c>
      <c r="E352" s="77">
        <v>39.663753697044122</v>
      </c>
      <c r="F352" s="77">
        <v>92.632474411279858</v>
      </c>
      <c r="G352" s="76">
        <v>0.17820468483765736</v>
      </c>
    </row>
    <row r="353" spans="1:7" x14ac:dyDescent="0.25">
      <c r="A353" s="75">
        <v>6701901</v>
      </c>
      <c r="B353" s="73" t="s">
        <v>1177</v>
      </c>
      <c r="C353" s="68">
        <v>2</v>
      </c>
      <c r="D353" s="73" t="s">
        <v>2890</v>
      </c>
      <c r="E353" s="77">
        <v>39.792522944342458</v>
      </c>
      <c r="F353" s="77">
        <v>93.398099181113281</v>
      </c>
      <c r="G353" s="76">
        <v>0.14610008796269763</v>
      </c>
    </row>
    <row r="354" spans="1:7" x14ac:dyDescent="0.25">
      <c r="A354" s="75">
        <v>6701901</v>
      </c>
      <c r="B354" s="73" t="s">
        <v>1177</v>
      </c>
      <c r="C354" s="68">
        <v>3</v>
      </c>
      <c r="D354" s="73" t="s">
        <v>2890</v>
      </c>
      <c r="E354" s="77">
        <v>39.792522944342458</v>
      </c>
      <c r="F354" s="77">
        <v>93.398099181113281</v>
      </c>
      <c r="G354" s="76">
        <v>0.14610008796269763</v>
      </c>
    </row>
    <row r="355" spans="1:7" x14ac:dyDescent="0.25">
      <c r="A355" s="75">
        <v>6701906</v>
      </c>
      <c r="B355" s="73" t="s">
        <v>1342</v>
      </c>
      <c r="C355" s="68">
        <v>2</v>
      </c>
      <c r="D355" s="73" t="s">
        <v>2851</v>
      </c>
      <c r="E355" s="77">
        <v>63.87785573990444</v>
      </c>
      <c r="F355" s="77">
        <v>117.77687345497374</v>
      </c>
      <c r="G355" s="76">
        <v>0.26046853247273671</v>
      </c>
    </row>
    <row r="356" spans="1:7" x14ac:dyDescent="0.25">
      <c r="A356" s="75">
        <v>6701906</v>
      </c>
      <c r="B356" s="73" t="s">
        <v>1342</v>
      </c>
      <c r="C356" s="68">
        <v>3</v>
      </c>
      <c r="D356" s="73" t="s">
        <v>2850</v>
      </c>
      <c r="E356" s="77">
        <v>61.465026643167924</v>
      </c>
      <c r="F356" s="77">
        <v>111.40369048791895</v>
      </c>
      <c r="G356" s="76">
        <v>0.18820700048659067</v>
      </c>
    </row>
    <row r="357" spans="1:7" x14ac:dyDescent="0.25">
      <c r="A357" s="75">
        <v>6701906</v>
      </c>
      <c r="B357" s="73" t="s">
        <v>1342</v>
      </c>
      <c r="C357" s="68">
        <v>9</v>
      </c>
      <c r="D357" s="73" t="s">
        <v>2853</v>
      </c>
      <c r="E357" s="77">
        <v>62.38023146306314</v>
      </c>
      <c r="F357" s="77">
        <v>116.91373860619018</v>
      </c>
      <c r="G357" s="76">
        <v>0.22947391502078707</v>
      </c>
    </row>
    <row r="358" spans="1:7" x14ac:dyDescent="0.25">
      <c r="A358" s="75">
        <v>6701906</v>
      </c>
      <c r="B358" s="73" t="s">
        <v>1342</v>
      </c>
      <c r="C358" s="68">
        <v>99</v>
      </c>
      <c r="D358" s="73" t="s">
        <v>2850</v>
      </c>
      <c r="E358" s="77">
        <v>61.465026643167924</v>
      </c>
      <c r="F358" s="77">
        <v>111.40369048791895</v>
      </c>
      <c r="G358" s="76">
        <v>0.18820700048659067</v>
      </c>
    </row>
    <row r="359" spans="1:7" x14ac:dyDescent="0.25">
      <c r="A359" s="75">
        <v>6701907</v>
      </c>
      <c r="B359" s="73" t="s">
        <v>1343</v>
      </c>
      <c r="C359" s="68">
        <v>2</v>
      </c>
      <c r="D359" s="73" t="s">
        <v>2851</v>
      </c>
      <c r="E359" s="77">
        <v>63.87785573990444</v>
      </c>
      <c r="F359" s="77">
        <v>117.77687345497374</v>
      </c>
      <c r="G359" s="76">
        <v>0.26046853247273671</v>
      </c>
    </row>
    <row r="360" spans="1:7" x14ac:dyDescent="0.25">
      <c r="A360" s="75">
        <v>6701907</v>
      </c>
      <c r="B360" s="73" t="s">
        <v>1343</v>
      </c>
      <c r="C360" s="68">
        <v>3</v>
      </c>
      <c r="D360" s="73" t="s">
        <v>2850</v>
      </c>
      <c r="E360" s="77">
        <v>61.465026643167924</v>
      </c>
      <c r="F360" s="77">
        <v>111.40369048791895</v>
      </c>
      <c r="G360" s="76">
        <v>0.18820700048659067</v>
      </c>
    </row>
    <row r="361" spans="1:7" x14ac:dyDescent="0.25">
      <c r="A361" s="75">
        <v>6701907</v>
      </c>
      <c r="B361" s="73" t="s">
        <v>1343</v>
      </c>
      <c r="C361" s="68">
        <v>4</v>
      </c>
      <c r="D361" s="73" t="s">
        <v>2852</v>
      </c>
      <c r="E361" s="77">
        <v>48.867134659568684</v>
      </c>
      <c r="F361" s="77">
        <v>111.7613263913026</v>
      </c>
      <c r="G361" s="76">
        <v>0.18881119573674218</v>
      </c>
    </row>
    <row r="362" spans="1:7" x14ac:dyDescent="0.25">
      <c r="A362" s="75">
        <v>6701913</v>
      </c>
      <c r="B362" s="73" t="s">
        <v>1344</v>
      </c>
      <c r="C362" s="68">
        <v>4</v>
      </c>
      <c r="D362" s="73" t="s">
        <v>2891</v>
      </c>
      <c r="E362" s="77">
        <v>27.938808067886907</v>
      </c>
      <c r="F362" s="77">
        <v>96.50887024681478</v>
      </c>
      <c r="G362" s="76">
        <v>0.15096618192302003</v>
      </c>
    </row>
    <row r="363" spans="1:7" x14ac:dyDescent="0.25">
      <c r="A363" s="75">
        <v>6702001</v>
      </c>
      <c r="B363" s="73" t="s">
        <v>1345</v>
      </c>
      <c r="C363" s="68">
        <v>3</v>
      </c>
      <c r="D363" s="73" t="s">
        <v>2892</v>
      </c>
      <c r="E363" s="77">
        <v>46.572509003475638</v>
      </c>
      <c r="F363" s="77">
        <v>116.81816754144495</v>
      </c>
      <c r="G363" s="76">
        <v>0.18273545931968527</v>
      </c>
    </row>
    <row r="364" spans="1:7" x14ac:dyDescent="0.25">
      <c r="A364" s="75">
        <v>6702001</v>
      </c>
      <c r="B364" s="73" t="s">
        <v>1345</v>
      </c>
      <c r="C364" s="68">
        <v>4</v>
      </c>
      <c r="D364" s="73" t="s">
        <v>2893</v>
      </c>
      <c r="E364" s="77">
        <v>34.944612260831484</v>
      </c>
      <c r="F364" s="77">
        <v>120.70898093831633</v>
      </c>
      <c r="G364" s="76">
        <v>0.18882175212985314</v>
      </c>
    </row>
    <row r="365" spans="1:7" x14ac:dyDescent="0.25">
      <c r="A365" s="75">
        <v>6702001</v>
      </c>
      <c r="B365" s="73" t="s">
        <v>1345</v>
      </c>
      <c r="C365" s="68">
        <v>9</v>
      </c>
      <c r="D365" s="73" t="s">
        <v>2894</v>
      </c>
      <c r="E365" s="77">
        <v>48.186921155686399</v>
      </c>
      <c r="F365" s="77">
        <v>122.07400464260851</v>
      </c>
      <c r="G365" s="76">
        <v>0.22425926404501834</v>
      </c>
    </row>
    <row r="366" spans="1:7" x14ac:dyDescent="0.25">
      <c r="A366" s="75">
        <v>6702001</v>
      </c>
      <c r="B366" s="73" t="s">
        <v>1345</v>
      </c>
      <c r="C366" s="68">
        <v>99</v>
      </c>
      <c r="D366" s="73" t="s">
        <v>2893</v>
      </c>
      <c r="E366" s="77">
        <v>34.944612260831484</v>
      </c>
      <c r="F366" s="77">
        <v>120.70898093831633</v>
      </c>
      <c r="G366" s="76">
        <v>0.18882175212985314</v>
      </c>
    </row>
    <row r="367" spans="1:7" x14ac:dyDescent="0.25">
      <c r="A367" s="75">
        <v>6702105</v>
      </c>
      <c r="B367" s="73" t="s">
        <v>1346</v>
      </c>
      <c r="C367" s="68">
        <v>4</v>
      </c>
      <c r="D367" s="73" t="s">
        <v>2895</v>
      </c>
      <c r="E367" s="77">
        <v>26.139359980358975</v>
      </c>
      <c r="F367" s="77">
        <v>90.29304666646955</v>
      </c>
      <c r="G367" s="76">
        <v>0.14124293937513857</v>
      </c>
    </row>
    <row r="368" spans="1:7" x14ac:dyDescent="0.25">
      <c r="A368" s="75">
        <v>6702105</v>
      </c>
      <c r="B368" s="73" t="s">
        <v>1346</v>
      </c>
      <c r="C368" s="68">
        <v>9</v>
      </c>
      <c r="D368" s="73" t="s">
        <v>2895</v>
      </c>
      <c r="E368" s="77">
        <v>32.487693313692304</v>
      </c>
      <c r="F368" s="77">
        <v>90.29304666646955</v>
      </c>
      <c r="G368" s="76">
        <v>0.14124293937513857</v>
      </c>
    </row>
    <row r="369" spans="1:7" x14ac:dyDescent="0.25">
      <c r="A369" s="75">
        <v>6702105</v>
      </c>
      <c r="B369" s="73" t="s">
        <v>1346</v>
      </c>
      <c r="C369" s="68">
        <v>99</v>
      </c>
      <c r="D369" s="73" t="s">
        <v>2895</v>
      </c>
      <c r="E369" s="77">
        <v>26.139359980358975</v>
      </c>
      <c r="F369" s="77">
        <v>90.29304666646955</v>
      </c>
      <c r="G369" s="76">
        <v>0.14124293937513857</v>
      </c>
    </row>
    <row r="370" spans="1:7" x14ac:dyDescent="0.25">
      <c r="A370" s="75">
        <v>6702201</v>
      </c>
      <c r="B370" s="73" t="s">
        <v>1178</v>
      </c>
      <c r="C370" s="68">
        <v>7</v>
      </c>
      <c r="D370" s="73" t="s">
        <v>2896</v>
      </c>
      <c r="E370" s="77">
        <v>43.449308020224748</v>
      </c>
      <c r="F370" s="77">
        <v>117.19318537700615</v>
      </c>
      <c r="G370" s="76">
        <v>0.18332208944645934</v>
      </c>
    </row>
    <row r="371" spans="1:7" x14ac:dyDescent="0.25">
      <c r="A371" s="75">
        <v>6702501</v>
      </c>
      <c r="B371" s="73" t="s">
        <v>1347</v>
      </c>
      <c r="C371" s="68">
        <v>2</v>
      </c>
      <c r="D371" s="73" t="s">
        <v>2890</v>
      </c>
      <c r="E371" s="77">
        <v>39.792522944342458</v>
      </c>
      <c r="F371" s="77">
        <v>93.398099181113281</v>
      </c>
      <c r="G371" s="76">
        <v>0.14610008796269763</v>
      </c>
    </row>
    <row r="372" spans="1:7" x14ac:dyDescent="0.25">
      <c r="A372" s="75">
        <v>6702501</v>
      </c>
      <c r="B372" s="73" t="s">
        <v>1347</v>
      </c>
      <c r="C372" s="68">
        <v>3</v>
      </c>
      <c r="D372" s="73" t="s">
        <v>2890</v>
      </c>
      <c r="E372" s="77">
        <v>39.792522944342458</v>
      </c>
      <c r="F372" s="77">
        <v>93.398099181113281</v>
      </c>
      <c r="G372" s="76">
        <v>0.14610008796269763</v>
      </c>
    </row>
    <row r="373" spans="1:7" x14ac:dyDescent="0.25">
      <c r="A373" s="75">
        <v>6702604</v>
      </c>
      <c r="B373" s="73" t="s">
        <v>835</v>
      </c>
      <c r="C373" s="68">
        <v>3</v>
      </c>
      <c r="D373" s="73" t="s">
        <v>2897</v>
      </c>
      <c r="E373" s="77">
        <v>53.0682003204399</v>
      </c>
      <c r="F373" s="77">
        <v>49.711467274278057</v>
      </c>
      <c r="G373" s="76">
        <v>0.17921610933436491</v>
      </c>
    </row>
    <row r="374" spans="1:7" x14ac:dyDescent="0.25">
      <c r="A374" s="75">
        <v>6702701</v>
      </c>
      <c r="B374" s="73" t="s">
        <v>2898</v>
      </c>
      <c r="C374" s="68">
        <v>4</v>
      </c>
      <c r="D374" s="73" t="s">
        <v>2879</v>
      </c>
      <c r="E374" s="77">
        <v>37.490988647493012</v>
      </c>
      <c r="F374" s="77">
        <v>46.230468878995659</v>
      </c>
      <c r="G374" s="76">
        <v>0.21575456624622405</v>
      </c>
    </row>
    <row r="375" spans="1:7" x14ac:dyDescent="0.25">
      <c r="A375" s="75">
        <v>6702701</v>
      </c>
      <c r="B375" s="73" t="s">
        <v>2898</v>
      </c>
      <c r="C375" s="68">
        <v>9</v>
      </c>
      <c r="D375" s="73" t="s">
        <v>2880</v>
      </c>
      <c r="E375" s="77">
        <v>50.535520735616934</v>
      </c>
      <c r="F375" s="77">
        <v>53.380231384011779</v>
      </c>
      <c r="G375" s="76">
        <v>0.24910020910380706</v>
      </c>
    </row>
    <row r="376" spans="1:7" x14ac:dyDescent="0.25">
      <c r="A376" s="75">
        <v>6702801</v>
      </c>
      <c r="B376" s="73" t="s">
        <v>1348</v>
      </c>
      <c r="C376" s="68">
        <v>99</v>
      </c>
      <c r="D376" s="73" t="s">
        <v>2852</v>
      </c>
      <c r="E376" s="77">
        <v>48.867134659568684</v>
      </c>
      <c r="F376" s="77">
        <v>111.7613263913026</v>
      </c>
      <c r="G376" s="76">
        <v>0.18881119573674218</v>
      </c>
    </row>
    <row r="377" spans="1:7" x14ac:dyDescent="0.25">
      <c r="A377" s="75">
        <v>6703101</v>
      </c>
      <c r="B377" s="73" t="s">
        <v>1179</v>
      </c>
      <c r="C377" s="68">
        <v>2</v>
      </c>
      <c r="D377" s="73" t="s">
        <v>2899</v>
      </c>
      <c r="E377" s="77">
        <v>34.076776109190305</v>
      </c>
      <c r="F377" s="77">
        <v>330.81997362123337</v>
      </c>
      <c r="G377" s="76">
        <v>0.54636718848507504</v>
      </c>
    </row>
    <row r="378" spans="1:7" x14ac:dyDescent="0.25">
      <c r="A378" s="75">
        <v>6703101</v>
      </c>
      <c r="B378" s="73" t="s">
        <v>1179</v>
      </c>
      <c r="C378" s="68">
        <v>3</v>
      </c>
      <c r="D378" s="73" t="s">
        <v>2899</v>
      </c>
      <c r="E378" s="77">
        <v>34.076776109190305</v>
      </c>
      <c r="F378" s="77">
        <v>330.81997362123337</v>
      </c>
      <c r="G378" s="76">
        <v>0.54636718848507504</v>
      </c>
    </row>
    <row r="379" spans="1:7" x14ac:dyDescent="0.25">
      <c r="A379" s="75">
        <v>6703101</v>
      </c>
      <c r="B379" s="73" t="s">
        <v>1179</v>
      </c>
      <c r="C379" s="68">
        <v>4</v>
      </c>
      <c r="D379" s="73" t="s">
        <v>2900</v>
      </c>
      <c r="E379" s="77">
        <v>21.034444444444443</v>
      </c>
      <c r="F379" s="77">
        <v>326.35062840917908</v>
      </c>
      <c r="G379" s="76">
        <v>0.53898582166145304</v>
      </c>
    </row>
    <row r="380" spans="1:7" x14ac:dyDescent="0.25">
      <c r="A380" s="75">
        <v>6703306</v>
      </c>
      <c r="B380" s="73" t="s">
        <v>836</v>
      </c>
      <c r="C380" s="68">
        <v>1</v>
      </c>
      <c r="D380" s="73" t="s">
        <v>2901</v>
      </c>
      <c r="E380" s="77">
        <v>68.913317858998482</v>
      </c>
      <c r="F380" s="77">
        <v>81.2626350957255</v>
      </c>
      <c r="G380" s="76">
        <v>0.15254029672544234</v>
      </c>
    </row>
    <row r="381" spans="1:7" x14ac:dyDescent="0.25">
      <c r="A381" s="75">
        <v>6703306</v>
      </c>
      <c r="B381" s="73" t="s">
        <v>836</v>
      </c>
      <c r="C381" s="68">
        <v>2</v>
      </c>
      <c r="D381" s="73" t="s">
        <v>2902</v>
      </c>
      <c r="E381" s="77">
        <v>62.084164841551846</v>
      </c>
      <c r="F381" s="77">
        <v>88.23452784082356</v>
      </c>
      <c r="G381" s="76">
        <v>0.22551029774210224</v>
      </c>
    </row>
    <row r="382" spans="1:7" x14ac:dyDescent="0.25">
      <c r="A382" s="75">
        <v>6703306</v>
      </c>
      <c r="B382" s="73" t="s">
        <v>836</v>
      </c>
      <c r="C382" s="68">
        <v>3</v>
      </c>
      <c r="D382" s="73" t="s">
        <v>2903</v>
      </c>
      <c r="E382" s="77">
        <v>59.634984525665146</v>
      </c>
      <c r="F382" s="77">
        <v>81.2626350957255</v>
      </c>
      <c r="G382" s="76">
        <v>0.15254029672544234</v>
      </c>
    </row>
    <row r="383" spans="1:7" x14ac:dyDescent="0.25">
      <c r="A383" s="75">
        <v>6703306</v>
      </c>
      <c r="B383" s="73" t="s">
        <v>836</v>
      </c>
      <c r="C383" s="68">
        <v>5</v>
      </c>
      <c r="D383" s="73" t="s">
        <v>2904</v>
      </c>
      <c r="E383" s="77">
        <v>60.636110268936932</v>
      </c>
      <c r="F383" s="77">
        <v>88.187813109682125</v>
      </c>
      <c r="G383" s="76">
        <v>0.19548177169278233</v>
      </c>
    </row>
    <row r="384" spans="1:7" x14ac:dyDescent="0.25">
      <c r="A384" s="75">
        <v>6703306</v>
      </c>
      <c r="B384" s="73" t="s">
        <v>836</v>
      </c>
      <c r="C384" s="68">
        <v>6</v>
      </c>
      <c r="D384" s="73" t="s">
        <v>2902</v>
      </c>
      <c r="E384" s="77">
        <v>63.353831508218512</v>
      </c>
      <c r="F384" s="77">
        <v>88.23452784082356</v>
      </c>
      <c r="G384" s="76">
        <v>0.22551029774210224</v>
      </c>
    </row>
    <row r="385" spans="1:7" x14ac:dyDescent="0.25">
      <c r="A385" s="75">
        <v>6703306</v>
      </c>
      <c r="B385" s="73" t="s">
        <v>836</v>
      </c>
      <c r="C385" s="68">
        <v>7</v>
      </c>
      <c r="D385" s="73" t="s">
        <v>2904</v>
      </c>
      <c r="E385" s="77">
        <v>60.636110268936932</v>
      </c>
      <c r="F385" s="77">
        <v>88.187813109682125</v>
      </c>
      <c r="G385" s="76">
        <v>0.19548177169278233</v>
      </c>
    </row>
    <row r="386" spans="1:7" x14ac:dyDescent="0.25">
      <c r="A386" s="75">
        <v>6703306</v>
      </c>
      <c r="B386" s="73" t="s">
        <v>836</v>
      </c>
      <c r="C386" s="68">
        <v>9</v>
      </c>
      <c r="D386" s="73" t="s">
        <v>2904</v>
      </c>
      <c r="E386" s="77">
        <v>60.636110268936932</v>
      </c>
      <c r="F386" s="77">
        <v>88.187813109682125</v>
      </c>
      <c r="G386" s="76">
        <v>0.19548177169278233</v>
      </c>
    </row>
    <row r="387" spans="1:7" x14ac:dyDescent="0.25">
      <c r="A387" s="75">
        <v>6703306</v>
      </c>
      <c r="B387" s="73" t="s">
        <v>836</v>
      </c>
      <c r="C387" s="68">
        <v>99</v>
      </c>
      <c r="D387" s="73" t="s">
        <v>2903</v>
      </c>
      <c r="E387" s="77">
        <v>59.634984525665146</v>
      </c>
      <c r="F387" s="77">
        <v>81.2626350957255</v>
      </c>
      <c r="G387" s="76">
        <v>0.15254029672544234</v>
      </c>
    </row>
    <row r="388" spans="1:7" x14ac:dyDescent="0.25">
      <c r="A388" s="75">
        <v>6703701</v>
      </c>
      <c r="B388" s="73" t="s">
        <v>839</v>
      </c>
      <c r="C388" s="68">
        <v>1</v>
      </c>
      <c r="D388" s="73" t="s">
        <v>2905</v>
      </c>
      <c r="E388" s="77">
        <v>44.110733427868873</v>
      </c>
      <c r="F388" s="77">
        <v>105.1996096195447</v>
      </c>
      <c r="G388" s="76">
        <v>0.19747304093526924</v>
      </c>
    </row>
    <row r="389" spans="1:7" x14ac:dyDescent="0.25">
      <c r="A389" s="75">
        <v>6703701</v>
      </c>
      <c r="B389" s="73" t="s">
        <v>839</v>
      </c>
      <c r="C389" s="68">
        <v>2</v>
      </c>
      <c r="D389" s="73" t="s">
        <v>2906</v>
      </c>
      <c r="E389" s="77">
        <v>37.774248952596352</v>
      </c>
      <c r="F389" s="77">
        <v>111.69602794884328</v>
      </c>
      <c r="G389" s="76">
        <v>0.2695505160279793</v>
      </c>
    </row>
    <row r="390" spans="1:7" x14ac:dyDescent="0.25">
      <c r="A390" s="75">
        <v>6703701</v>
      </c>
      <c r="B390" s="73" t="s">
        <v>839</v>
      </c>
      <c r="C390" s="68">
        <v>3</v>
      </c>
      <c r="D390" s="73" t="s">
        <v>2907</v>
      </c>
      <c r="E390" s="77">
        <v>34.832400094535537</v>
      </c>
      <c r="F390" s="77">
        <v>105.1996096195447</v>
      </c>
      <c r="G390" s="76">
        <v>0.19747304093526924</v>
      </c>
    </row>
    <row r="391" spans="1:7" x14ac:dyDescent="0.25">
      <c r="A391" s="75">
        <v>6703701</v>
      </c>
      <c r="B391" s="73" t="s">
        <v>839</v>
      </c>
      <c r="C391" s="68">
        <v>4</v>
      </c>
      <c r="D391" s="73" t="s">
        <v>2908</v>
      </c>
      <c r="E391" s="77">
        <v>21.779860024281234</v>
      </c>
      <c r="F391" s="77">
        <v>103.77837327031082</v>
      </c>
      <c r="G391" s="76">
        <v>0.19480519963066795</v>
      </c>
    </row>
    <row r="392" spans="1:7" x14ac:dyDescent="0.25">
      <c r="A392" s="75">
        <v>6703701</v>
      </c>
      <c r="B392" s="73" t="s">
        <v>839</v>
      </c>
      <c r="C392" s="68">
        <v>5</v>
      </c>
      <c r="D392" s="73" t="s">
        <v>2909</v>
      </c>
      <c r="E392" s="77">
        <v>100.17939328233943</v>
      </c>
      <c r="F392" s="77">
        <v>202.08335423856957</v>
      </c>
      <c r="G392" s="76">
        <v>0.79110963267320722</v>
      </c>
    </row>
    <row r="393" spans="1:7" x14ac:dyDescent="0.25">
      <c r="A393" s="75">
        <v>6703701</v>
      </c>
      <c r="B393" s="73" t="s">
        <v>839</v>
      </c>
      <c r="C393" s="68">
        <v>6</v>
      </c>
      <c r="D393" s="73" t="s">
        <v>2906</v>
      </c>
      <c r="E393" s="77">
        <v>39.043915619263018</v>
      </c>
      <c r="F393" s="77">
        <v>111.69602794884328</v>
      </c>
      <c r="G393" s="76">
        <v>0.2695505160279793</v>
      </c>
    </row>
    <row r="394" spans="1:7" x14ac:dyDescent="0.25">
      <c r="A394" s="75">
        <v>6703701</v>
      </c>
      <c r="B394" s="73" t="s">
        <v>839</v>
      </c>
      <c r="C394" s="68">
        <v>7</v>
      </c>
      <c r="D394" s="73" t="s">
        <v>2909</v>
      </c>
      <c r="E394" s="77">
        <v>103.35355994900611</v>
      </c>
      <c r="F394" s="77">
        <v>202.08335423856957</v>
      </c>
      <c r="G394" s="76">
        <v>0.79110963267320722</v>
      </c>
    </row>
    <row r="395" spans="1:7" x14ac:dyDescent="0.25">
      <c r="A395" s="75">
        <v>6703701</v>
      </c>
      <c r="B395" s="73" t="s">
        <v>839</v>
      </c>
      <c r="C395" s="68">
        <v>8</v>
      </c>
      <c r="D395" s="73" t="s">
        <v>2905</v>
      </c>
      <c r="E395" s="77">
        <v>22.135733427868871</v>
      </c>
      <c r="F395" s="77">
        <v>105.1996096195447</v>
      </c>
      <c r="G395" s="76">
        <v>0.19747304093526924</v>
      </c>
    </row>
    <row r="396" spans="1:7" x14ac:dyDescent="0.25">
      <c r="A396" s="75">
        <v>6703701</v>
      </c>
      <c r="B396" s="73" t="s">
        <v>839</v>
      </c>
      <c r="C396" s="68">
        <v>9</v>
      </c>
      <c r="D396" s="73" t="s">
        <v>2910</v>
      </c>
      <c r="E396" s="77">
        <v>36.998013220947982</v>
      </c>
      <c r="F396" s="77">
        <v>111.00094084644788</v>
      </c>
      <c r="G396" s="76">
        <v>0.23830491261237474</v>
      </c>
    </row>
    <row r="397" spans="1:7" x14ac:dyDescent="0.25">
      <c r="A397" s="75">
        <v>6703701</v>
      </c>
      <c r="B397" s="73" t="s">
        <v>839</v>
      </c>
      <c r="C397" s="68">
        <v>99</v>
      </c>
      <c r="D397" s="73" t="s">
        <v>2907</v>
      </c>
      <c r="E397" s="77">
        <v>34.832400094535537</v>
      </c>
      <c r="F397" s="77">
        <v>105.1996096195447</v>
      </c>
      <c r="G397" s="76">
        <v>0.19747304093526924</v>
      </c>
    </row>
    <row r="398" spans="1:7" x14ac:dyDescent="0.25">
      <c r="A398" s="75">
        <v>6703707</v>
      </c>
      <c r="B398" s="73" t="s">
        <v>2911</v>
      </c>
      <c r="C398" s="68">
        <v>2</v>
      </c>
      <c r="D398" s="73" t="s">
        <v>2906</v>
      </c>
      <c r="E398" s="77">
        <v>37.774248952596352</v>
      </c>
      <c r="F398" s="77">
        <v>111.69602794884328</v>
      </c>
      <c r="G398" s="76">
        <v>0.2695505160279793</v>
      </c>
    </row>
    <row r="399" spans="1:7" x14ac:dyDescent="0.25">
      <c r="A399" s="75">
        <v>6703707</v>
      </c>
      <c r="B399" s="73" t="s">
        <v>2911</v>
      </c>
      <c r="C399" s="68">
        <v>9</v>
      </c>
      <c r="D399" s="73" t="s">
        <v>2910</v>
      </c>
      <c r="E399" s="77">
        <v>36.998013220947982</v>
      </c>
      <c r="F399" s="77">
        <v>111.00094084644788</v>
      </c>
      <c r="G399" s="76">
        <v>0.23830491261237474</v>
      </c>
    </row>
    <row r="400" spans="1:7" x14ac:dyDescent="0.25">
      <c r="A400" s="75">
        <v>6703805</v>
      </c>
      <c r="B400" s="73" t="s">
        <v>1180</v>
      </c>
      <c r="C400" s="68">
        <v>2</v>
      </c>
      <c r="D400" s="73" t="s">
        <v>2902</v>
      </c>
      <c r="E400" s="77">
        <v>62.084164841551846</v>
      </c>
      <c r="F400" s="77">
        <v>88.23452784082356</v>
      </c>
      <c r="G400" s="76">
        <v>0.22551029774210224</v>
      </c>
    </row>
    <row r="401" spans="1:7" x14ac:dyDescent="0.25">
      <c r="A401" s="75">
        <v>6703805</v>
      </c>
      <c r="B401" s="73" t="s">
        <v>1180</v>
      </c>
      <c r="C401" s="68">
        <v>3</v>
      </c>
      <c r="D401" s="73" t="s">
        <v>2912</v>
      </c>
      <c r="E401" s="77">
        <v>46.852322002410403</v>
      </c>
      <c r="F401" s="77">
        <v>81.2626350957255</v>
      </c>
      <c r="G401" s="76">
        <v>0.15254029672544234</v>
      </c>
    </row>
    <row r="402" spans="1:7" x14ac:dyDescent="0.25">
      <c r="A402" s="75">
        <v>6703805</v>
      </c>
      <c r="B402" s="73" t="s">
        <v>1180</v>
      </c>
      <c r="C402" s="68">
        <v>6</v>
      </c>
      <c r="D402" s="73" t="s">
        <v>2904</v>
      </c>
      <c r="E402" s="77">
        <v>61.905776935603598</v>
      </c>
      <c r="F402" s="77">
        <v>88.187813109682125</v>
      </c>
      <c r="G402" s="76">
        <v>0.19548177169278233</v>
      </c>
    </row>
    <row r="403" spans="1:7" x14ac:dyDescent="0.25">
      <c r="A403" s="75">
        <v>6703805</v>
      </c>
      <c r="B403" s="73" t="s">
        <v>1180</v>
      </c>
      <c r="C403" s="68">
        <v>99</v>
      </c>
      <c r="D403" s="73" t="s">
        <v>2912</v>
      </c>
      <c r="E403" s="77">
        <v>46.852322002410403</v>
      </c>
      <c r="F403" s="77">
        <v>81.2626350957255</v>
      </c>
      <c r="G403" s="76">
        <v>0.15254029672544234</v>
      </c>
    </row>
    <row r="404" spans="1:7" x14ac:dyDescent="0.25">
      <c r="A404" s="75">
        <v>6703901</v>
      </c>
      <c r="B404" s="73" t="s">
        <v>1181</v>
      </c>
      <c r="C404" s="68">
        <v>1</v>
      </c>
      <c r="D404" s="73" t="s">
        <v>2901</v>
      </c>
      <c r="E404" s="77">
        <v>68.913317858998482</v>
      </c>
      <c r="F404" s="77">
        <v>81.2626350957255</v>
      </c>
      <c r="G404" s="76">
        <v>0.15254029672544234</v>
      </c>
    </row>
    <row r="405" spans="1:7" x14ac:dyDescent="0.25">
      <c r="A405" s="75">
        <v>6703901</v>
      </c>
      <c r="B405" s="73" t="s">
        <v>1181</v>
      </c>
      <c r="C405" s="68">
        <v>2</v>
      </c>
      <c r="D405" s="73" t="s">
        <v>2902</v>
      </c>
      <c r="E405" s="77">
        <v>62.084164841551846</v>
      </c>
      <c r="F405" s="77">
        <v>88.23452784082356</v>
      </c>
      <c r="G405" s="76">
        <v>0.22551029774210224</v>
      </c>
    </row>
    <row r="406" spans="1:7" x14ac:dyDescent="0.25">
      <c r="A406" s="75">
        <v>6703901</v>
      </c>
      <c r="B406" s="73" t="s">
        <v>1181</v>
      </c>
      <c r="C406" s="68">
        <v>3</v>
      </c>
      <c r="D406" s="73" t="s">
        <v>2903</v>
      </c>
      <c r="E406" s="77">
        <v>59.634984525665146</v>
      </c>
      <c r="F406" s="77">
        <v>81.2626350957255</v>
      </c>
      <c r="G406" s="76">
        <v>0.15254029672544234</v>
      </c>
    </row>
    <row r="407" spans="1:7" x14ac:dyDescent="0.25">
      <c r="A407" s="75">
        <v>6703901</v>
      </c>
      <c r="B407" s="73" t="s">
        <v>1181</v>
      </c>
      <c r="C407" s="68">
        <v>4</v>
      </c>
      <c r="D407" s="73" t="s">
        <v>2903</v>
      </c>
      <c r="E407" s="77">
        <v>61.002533217084277</v>
      </c>
      <c r="F407" s="77">
        <v>105.64142562444314</v>
      </c>
      <c r="G407" s="76">
        <v>0.19830238574307507</v>
      </c>
    </row>
    <row r="408" spans="1:7" x14ac:dyDescent="0.25">
      <c r="A408" s="75">
        <v>6703901</v>
      </c>
      <c r="B408" s="73" t="s">
        <v>1181</v>
      </c>
      <c r="C408" s="68">
        <v>5</v>
      </c>
      <c r="D408" s="73" t="s">
        <v>2904</v>
      </c>
      <c r="E408" s="77">
        <v>60.636110268936932</v>
      </c>
      <c r="F408" s="77">
        <v>88.187813109682125</v>
      </c>
      <c r="G408" s="76">
        <v>0.19548177169278233</v>
      </c>
    </row>
    <row r="409" spans="1:7" x14ac:dyDescent="0.25">
      <c r="A409" s="75">
        <v>6703901</v>
      </c>
      <c r="B409" s="73" t="s">
        <v>1181</v>
      </c>
      <c r="C409" s="68">
        <v>6</v>
      </c>
      <c r="D409" s="73" t="s">
        <v>2902</v>
      </c>
      <c r="E409" s="77">
        <v>63.353831508218512</v>
      </c>
      <c r="F409" s="77">
        <v>88.23452784082356</v>
      </c>
      <c r="G409" s="76">
        <v>0.22551029774210224</v>
      </c>
    </row>
    <row r="410" spans="1:7" x14ac:dyDescent="0.25">
      <c r="A410" s="75">
        <v>6703901</v>
      </c>
      <c r="B410" s="73" t="s">
        <v>1181</v>
      </c>
      <c r="C410" s="68">
        <v>7</v>
      </c>
      <c r="D410" s="73" t="s">
        <v>2904</v>
      </c>
      <c r="E410" s="77">
        <v>60.636110268936932</v>
      </c>
      <c r="F410" s="77">
        <v>88.187813109682125</v>
      </c>
      <c r="G410" s="76">
        <v>0.19548177169278233</v>
      </c>
    </row>
    <row r="411" spans="1:7" x14ac:dyDescent="0.25">
      <c r="A411" s="75">
        <v>6703901</v>
      </c>
      <c r="B411" s="73" t="s">
        <v>1181</v>
      </c>
      <c r="C411" s="68">
        <v>9</v>
      </c>
      <c r="D411" s="73" t="s">
        <v>2904</v>
      </c>
      <c r="E411" s="77">
        <v>60.636110268936932</v>
      </c>
      <c r="F411" s="77">
        <v>88.187813109682111</v>
      </c>
      <c r="G411" s="76">
        <v>0.1954817716927823</v>
      </c>
    </row>
    <row r="412" spans="1:7" x14ac:dyDescent="0.25">
      <c r="A412" s="75">
        <v>6703901</v>
      </c>
      <c r="B412" s="73" t="s">
        <v>1181</v>
      </c>
      <c r="C412" s="68">
        <v>99</v>
      </c>
      <c r="D412" s="73" t="s">
        <v>2903</v>
      </c>
      <c r="E412" s="77">
        <v>59.634984525665146</v>
      </c>
      <c r="F412" s="77">
        <v>81.2626350957255</v>
      </c>
      <c r="G412" s="76">
        <v>0.15254029672544234</v>
      </c>
    </row>
    <row r="413" spans="1:7" x14ac:dyDescent="0.25">
      <c r="A413" s="75">
        <v>6704001</v>
      </c>
      <c r="B413" s="73" t="s">
        <v>841</v>
      </c>
      <c r="C413" s="68">
        <v>3</v>
      </c>
      <c r="D413" s="73" t="s">
        <v>2913</v>
      </c>
      <c r="E413" s="77">
        <v>56.700844338792002</v>
      </c>
      <c r="F413" s="77">
        <v>107.49172357222199</v>
      </c>
      <c r="G413" s="76">
        <v>0.35663177038138177</v>
      </c>
    </row>
    <row r="414" spans="1:7" x14ac:dyDescent="0.25">
      <c r="A414" s="75">
        <v>6704001</v>
      </c>
      <c r="B414" s="73" t="s">
        <v>841</v>
      </c>
      <c r="C414" s="68">
        <v>4</v>
      </c>
      <c r="D414" s="73" t="s">
        <v>2913</v>
      </c>
      <c r="E414" s="77">
        <v>43.270774710923249</v>
      </c>
      <c r="F414" s="77">
        <v>105.70019484601831</v>
      </c>
      <c r="G414" s="76">
        <v>0.35068790754169205</v>
      </c>
    </row>
    <row r="415" spans="1:7" x14ac:dyDescent="0.25">
      <c r="A415" s="75">
        <v>6704001</v>
      </c>
      <c r="B415" s="73" t="s">
        <v>841</v>
      </c>
      <c r="C415" s="68">
        <v>5</v>
      </c>
      <c r="D415" s="73" t="s">
        <v>2914</v>
      </c>
      <c r="E415" s="77">
        <v>62.476795163447228</v>
      </c>
      <c r="F415" s="77">
        <v>122.20851935303668</v>
      </c>
      <c r="G415" s="76">
        <v>0.51664017533918039</v>
      </c>
    </row>
    <row r="416" spans="1:7" x14ac:dyDescent="0.25">
      <c r="A416" s="75">
        <v>6704001</v>
      </c>
      <c r="B416" s="73" t="s">
        <v>841</v>
      </c>
      <c r="C416" s="68">
        <v>9</v>
      </c>
      <c r="D416" s="73" t="s">
        <v>2914</v>
      </c>
      <c r="E416" s="77">
        <v>62.476795163447228</v>
      </c>
      <c r="F416" s="77">
        <v>122.20851935303668</v>
      </c>
      <c r="G416" s="76">
        <v>0.51664017533918039</v>
      </c>
    </row>
    <row r="417" spans="1:7" x14ac:dyDescent="0.25">
      <c r="A417" s="75">
        <v>6704001</v>
      </c>
      <c r="B417" s="73" t="s">
        <v>841</v>
      </c>
      <c r="C417" s="68">
        <v>99</v>
      </c>
      <c r="D417" s="73" t="s">
        <v>2913</v>
      </c>
      <c r="E417" s="77">
        <v>43.270774710923249</v>
      </c>
      <c r="F417" s="77">
        <v>105.70019484601831</v>
      </c>
      <c r="G417" s="76">
        <v>0.35068790754169205</v>
      </c>
    </row>
    <row r="418" spans="1:7" x14ac:dyDescent="0.25">
      <c r="A418" s="75">
        <v>6704101</v>
      </c>
      <c r="B418" s="73" t="s">
        <v>1182</v>
      </c>
      <c r="C418" s="68">
        <v>2</v>
      </c>
      <c r="D418" s="73" t="s">
        <v>2915</v>
      </c>
      <c r="E418" s="77">
        <v>80.773608928925512</v>
      </c>
      <c r="F418" s="77">
        <v>162.63387180042835</v>
      </c>
      <c r="G418" s="76">
        <v>0.36516732449748152</v>
      </c>
    </row>
    <row r="419" spans="1:7" x14ac:dyDescent="0.25">
      <c r="A419" s="75">
        <v>6704101</v>
      </c>
      <c r="B419" s="73" t="s">
        <v>1182</v>
      </c>
      <c r="C419" s="68">
        <v>3</v>
      </c>
      <c r="D419" s="73" t="s">
        <v>2916</v>
      </c>
      <c r="E419" s="77">
        <v>78.703191798178153</v>
      </c>
      <c r="F419" s="77">
        <v>157.16976774924103</v>
      </c>
      <c r="G419" s="76">
        <v>0.29502763453949554</v>
      </c>
    </row>
    <row r="420" spans="1:7" x14ac:dyDescent="0.25">
      <c r="A420" s="75">
        <v>6704101</v>
      </c>
      <c r="B420" s="73" t="s">
        <v>1182</v>
      </c>
      <c r="C420" s="68">
        <v>4</v>
      </c>
      <c r="D420" s="73" t="s">
        <v>2916</v>
      </c>
      <c r="E420" s="77">
        <v>46.221847591671811</v>
      </c>
      <c r="F420" s="77">
        <v>110.01883742446871</v>
      </c>
      <c r="G420" s="76">
        <v>0.20651934417764686</v>
      </c>
    </row>
    <row r="421" spans="1:7" x14ac:dyDescent="0.25">
      <c r="A421" s="75">
        <v>6704101</v>
      </c>
      <c r="B421" s="73" t="s">
        <v>1182</v>
      </c>
      <c r="C421" s="68">
        <v>6</v>
      </c>
      <c r="D421" s="73" t="s">
        <v>2915</v>
      </c>
      <c r="E421" s="77">
        <v>82.043275595592178</v>
      </c>
      <c r="F421" s="77">
        <v>162.63387180042835</v>
      </c>
      <c r="G421" s="76">
        <v>0.36516732449748152</v>
      </c>
    </row>
    <row r="422" spans="1:7" x14ac:dyDescent="0.25">
      <c r="A422" s="75">
        <v>6704101</v>
      </c>
      <c r="B422" s="73" t="s">
        <v>1182</v>
      </c>
      <c r="C422" s="68">
        <v>7</v>
      </c>
      <c r="D422" s="73" t="s">
        <v>2917</v>
      </c>
      <c r="E422" s="77">
        <v>78.809060563306858</v>
      </c>
      <c r="F422" s="77">
        <v>160.53108738743654</v>
      </c>
      <c r="G422" s="76">
        <v>0.33127929427397151</v>
      </c>
    </row>
    <row r="423" spans="1:7" x14ac:dyDescent="0.25">
      <c r="A423" s="75">
        <v>6704101</v>
      </c>
      <c r="B423" s="73" t="s">
        <v>1182</v>
      </c>
      <c r="C423" s="68">
        <v>8</v>
      </c>
      <c r="D423" s="73" t="s">
        <v>2916</v>
      </c>
      <c r="E423" s="77">
        <v>66.006525131511495</v>
      </c>
      <c r="F423" s="77">
        <v>157.16976774924103</v>
      </c>
      <c r="G423" s="76">
        <v>0.29502763453949554</v>
      </c>
    </row>
    <row r="424" spans="1:7" x14ac:dyDescent="0.25">
      <c r="A424" s="75">
        <v>6704101</v>
      </c>
      <c r="B424" s="73" t="s">
        <v>1182</v>
      </c>
      <c r="C424" s="68">
        <v>9</v>
      </c>
      <c r="D424" s="73" t="s">
        <v>2917</v>
      </c>
      <c r="E424" s="77">
        <v>78.809060563306858</v>
      </c>
      <c r="F424" s="77">
        <v>160.53108738743654</v>
      </c>
      <c r="G424" s="76">
        <v>0.33127929427397151</v>
      </c>
    </row>
    <row r="425" spans="1:7" x14ac:dyDescent="0.25">
      <c r="A425" s="75">
        <v>6704101</v>
      </c>
      <c r="B425" s="73" t="s">
        <v>1182</v>
      </c>
      <c r="C425" s="68">
        <v>99</v>
      </c>
      <c r="D425" s="73" t="s">
        <v>2916</v>
      </c>
      <c r="E425" s="77">
        <v>78.703191798178153</v>
      </c>
      <c r="F425" s="77">
        <v>157.16976774924103</v>
      </c>
      <c r="G425" s="76">
        <v>0.29502763453949554</v>
      </c>
    </row>
    <row r="426" spans="1:7" x14ac:dyDescent="0.25">
      <c r="A426" s="75">
        <v>6704106</v>
      </c>
      <c r="B426" s="73" t="s">
        <v>2918</v>
      </c>
      <c r="C426" s="68">
        <v>2</v>
      </c>
      <c r="D426" s="73" t="s">
        <v>2919</v>
      </c>
      <c r="E426" s="77">
        <v>158.94530885908915</v>
      </c>
      <c r="F426" s="77">
        <v>185.31318171703847</v>
      </c>
      <c r="G426" s="76">
        <v>0.85891387315207712</v>
      </c>
    </row>
    <row r="427" spans="1:7" x14ac:dyDescent="0.25">
      <c r="A427" s="75">
        <v>6704106</v>
      </c>
      <c r="B427" s="73" t="s">
        <v>2918</v>
      </c>
      <c r="C427" s="68">
        <v>3</v>
      </c>
      <c r="D427" s="73" t="s">
        <v>2919</v>
      </c>
      <c r="E427" s="77">
        <v>158.94530885908918</v>
      </c>
      <c r="F427" s="77">
        <v>185.31318171703847</v>
      </c>
      <c r="G427" s="76">
        <v>0.85891387315207712</v>
      </c>
    </row>
    <row r="428" spans="1:7" x14ac:dyDescent="0.25">
      <c r="A428" s="75">
        <v>6704201</v>
      </c>
      <c r="B428" s="73" t="s">
        <v>1183</v>
      </c>
      <c r="C428" s="68">
        <v>2</v>
      </c>
      <c r="D428" s="73" t="s">
        <v>2920</v>
      </c>
      <c r="E428" s="77">
        <v>54.996252538183427</v>
      </c>
      <c r="F428" s="77">
        <v>101.12064653774264</v>
      </c>
      <c r="G428" s="76">
        <v>0.24390920801578658</v>
      </c>
    </row>
    <row r="429" spans="1:7" x14ac:dyDescent="0.25">
      <c r="A429" s="75">
        <v>6704201</v>
      </c>
      <c r="B429" s="73" t="s">
        <v>1183</v>
      </c>
      <c r="C429" s="68">
        <v>3</v>
      </c>
      <c r="D429" s="73" t="s">
        <v>2921</v>
      </c>
      <c r="E429" s="77">
        <v>52.40342748746879</v>
      </c>
      <c r="F429" s="77">
        <v>94.409905881433914</v>
      </c>
      <c r="G429" s="76">
        <v>0.17131208218074126</v>
      </c>
    </row>
    <row r="430" spans="1:7" x14ac:dyDescent="0.25">
      <c r="A430" s="75">
        <v>6704201</v>
      </c>
      <c r="B430" s="73" t="s">
        <v>1183</v>
      </c>
      <c r="C430" s="68">
        <v>4</v>
      </c>
      <c r="D430" s="73" t="s">
        <v>2921</v>
      </c>
      <c r="E430" s="77">
        <v>39.0459414737673</v>
      </c>
      <c r="F430" s="77">
        <v>92.836407450076692</v>
      </c>
      <c r="G430" s="76">
        <v>0.16845688081106222</v>
      </c>
    </row>
    <row r="431" spans="1:7" x14ac:dyDescent="0.25">
      <c r="A431" s="75">
        <v>6704201</v>
      </c>
      <c r="B431" s="73" t="s">
        <v>1183</v>
      </c>
      <c r="C431" s="68">
        <v>5</v>
      </c>
      <c r="D431" s="73" t="s">
        <v>2922</v>
      </c>
      <c r="E431" s="77">
        <v>106.18568715002404</v>
      </c>
      <c r="F431" s="77">
        <v>229.32000041600935</v>
      </c>
      <c r="G431" s="76">
        <v>1.199219101210742</v>
      </c>
    </row>
    <row r="432" spans="1:7" x14ac:dyDescent="0.25">
      <c r="A432" s="75">
        <v>6704201</v>
      </c>
      <c r="B432" s="73" t="s">
        <v>1183</v>
      </c>
      <c r="C432" s="68">
        <v>6</v>
      </c>
      <c r="D432" s="73" t="s">
        <v>2920</v>
      </c>
      <c r="E432" s="77">
        <v>56.265919204850093</v>
      </c>
      <c r="F432" s="77">
        <v>101.12064653774264</v>
      </c>
      <c r="G432" s="76">
        <v>0.24390920801578658</v>
      </c>
    </row>
    <row r="433" spans="1:7" x14ac:dyDescent="0.25">
      <c r="A433" s="75">
        <v>6704201</v>
      </c>
      <c r="B433" s="73" t="s">
        <v>1183</v>
      </c>
      <c r="C433" s="68">
        <v>7</v>
      </c>
      <c r="D433" s="73" t="s">
        <v>2922</v>
      </c>
      <c r="E433" s="77">
        <v>106.18568715002404</v>
      </c>
      <c r="F433" s="77">
        <v>229.32000041600935</v>
      </c>
      <c r="G433" s="76">
        <v>1.199219101210742</v>
      </c>
    </row>
    <row r="434" spans="1:7" x14ac:dyDescent="0.25">
      <c r="A434" s="75">
        <v>6704201</v>
      </c>
      <c r="B434" s="73" t="s">
        <v>1183</v>
      </c>
      <c r="C434" s="68">
        <v>9</v>
      </c>
      <c r="D434" s="73" t="s">
        <v>2923</v>
      </c>
      <c r="E434" s="77">
        <v>53.744076595929585</v>
      </c>
      <c r="F434" s="77">
        <v>100.71781632816574</v>
      </c>
      <c r="G434" s="76">
        <v>0.21337221724649083</v>
      </c>
    </row>
    <row r="435" spans="1:7" x14ac:dyDescent="0.25">
      <c r="A435" s="75">
        <v>6704201</v>
      </c>
      <c r="B435" s="73" t="s">
        <v>1183</v>
      </c>
      <c r="C435" s="68">
        <v>99</v>
      </c>
      <c r="D435" s="73" t="s">
        <v>2921</v>
      </c>
      <c r="E435" s="77">
        <v>52.40342748746879</v>
      </c>
      <c r="F435" s="77">
        <v>94.409905881433914</v>
      </c>
      <c r="G435" s="76">
        <v>0.17131208218074126</v>
      </c>
    </row>
    <row r="436" spans="1:7" x14ac:dyDescent="0.25">
      <c r="A436" s="75">
        <v>6704301</v>
      </c>
      <c r="B436" s="73" t="s">
        <v>1184</v>
      </c>
      <c r="C436" s="68">
        <v>2</v>
      </c>
      <c r="D436" s="73" t="s">
        <v>2924</v>
      </c>
      <c r="E436" s="77">
        <v>60.318024870862324</v>
      </c>
      <c r="F436" s="77">
        <v>113.8840341176012</v>
      </c>
      <c r="G436" s="76">
        <v>0.27365768176074534</v>
      </c>
    </row>
    <row r="437" spans="1:7" x14ac:dyDescent="0.25">
      <c r="A437" s="75">
        <v>6704301</v>
      </c>
      <c r="B437" s="73" t="s">
        <v>1184</v>
      </c>
      <c r="C437" s="68">
        <v>3</v>
      </c>
      <c r="D437" s="73" t="s">
        <v>2925</v>
      </c>
      <c r="E437" s="77">
        <v>57.833051687217065</v>
      </c>
      <c r="F437" s="77">
        <v>107.43195826214556</v>
      </c>
      <c r="G437" s="76">
        <v>0.20166344312855089</v>
      </c>
    </row>
    <row r="438" spans="1:7" x14ac:dyDescent="0.25">
      <c r="A438" s="75">
        <v>6704301</v>
      </c>
      <c r="B438" s="73" t="s">
        <v>1184</v>
      </c>
      <c r="C438" s="68">
        <v>4</v>
      </c>
      <c r="D438" s="73" t="s">
        <v>2926</v>
      </c>
      <c r="E438" s="77">
        <v>44.469775082694198</v>
      </c>
      <c r="F438" s="77">
        <v>105.98056310294557</v>
      </c>
      <c r="G438" s="76">
        <v>0.19893898990365316</v>
      </c>
    </row>
    <row r="439" spans="1:7" x14ac:dyDescent="0.25">
      <c r="A439" s="75">
        <v>6704301</v>
      </c>
      <c r="B439" s="73" t="s">
        <v>1184</v>
      </c>
      <c r="C439" s="68">
        <v>6</v>
      </c>
      <c r="D439" s="73" t="s">
        <v>2924</v>
      </c>
      <c r="E439" s="77">
        <v>61.58769153752899</v>
      </c>
      <c r="F439" s="77">
        <v>113.8840341176012</v>
      </c>
      <c r="G439" s="76">
        <v>0.27365768176074534</v>
      </c>
    </row>
    <row r="440" spans="1:7" x14ac:dyDescent="0.25">
      <c r="A440" s="75">
        <v>6704301</v>
      </c>
      <c r="B440" s="73" t="s">
        <v>1184</v>
      </c>
      <c r="C440" s="68">
        <v>9</v>
      </c>
      <c r="D440" s="73" t="s">
        <v>2927</v>
      </c>
      <c r="E440" s="77">
        <v>58.918778616363888</v>
      </c>
      <c r="F440" s="77">
        <v>113.12848017628141</v>
      </c>
      <c r="G440" s="76">
        <v>0.24229857440152991</v>
      </c>
    </row>
    <row r="441" spans="1:7" x14ac:dyDescent="0.25">
      <c r="A441" s="75">
        <v>6704301</v>
      </c>
      <c r="B441" s="73" t="s">
        <v>1184</v>
      </c>
      <c r="C441" s="68">
        <v>99</v>
      </c>
      <c r="D441" s="73" t="s">
        <v>2925</v>
      </c>
      <c r="E441" s="77">
        <v>57.833051687217065</v>
      </c>
      <c r="F441" s="77">
        <v>107.43195826214556</v>
      </c>
      <c r="G441" s="76">
        <v>0.20166344312855089</v>
      </c>
    </row>
    <row r="442" spans="1:7" x14ac:dyDescent="0.25">
      <c r="A442" s="75">
        <v>6704306</v>
      </c>
      <c r="B442" s="73" t="s">
        <v>1185</v>
      </c>
      <c r="C442" s="68">
        <v>4</v>
      </c>
      <c r="D442" s="73" t="s">
        <v>2926</v>
      </c>
      <c r="E442" s="77">
        <v>44.469775082694198</v>
      </c>
      <c r="F442" s="77">
        <v>105.98056310294557</v>
      </c>
      <c r="G442" s="76">
        <v>0.19893898990365316</v>
      </c>
    </row>
    <row r="443" spans="1:7" x14ac:dyDescent="0.25">
      <c r="A443" s="75">
        <v>6704401</v>
      </c>
      <c r="B443" s="73" t="s">
        <v>1186</v>
      </c>
      <c r="C443" s="68">
        <v>2</v>
      </c>
      <c r="D443" s="73" t="s">
        <v>2928</v>
      </c>
      <c r="E443" s="77">
        <v>104.97256003110249</v>
      </c>
      <c r="F443" s="77">
        <v>251.62480006471299</v>
      </c>
      <c r="G443" s="76">
        <v>0.69855510931928833</v>
      </c>
    </row>
    <row r="444" spans="1:7" x14ac:dyDescent="0.25">
      <c r="A444" s="75">
        <v>6704401</v>
      </c>
      <c r="B444" s="73" t="s">
        <v>1186</v>
      </c>
      <c r="C444" s="68">
        <v>3</v>
      </c>
      <c r="D444" s="73" t="s">
        <v>2929</v>
      </c>
      <c r="E444" s="77">
        <v>101.43322841000807</v>
      </c>
      <c r="F444" s="77">
        <v>243.71938747924972</v>
      </c>
      <c r="G444" s="76">
        <v>0.54812117457096909</v>
      </c>
    </row>
    <row r="445" spans="1:7" x14ac:dyDescent="0.25">
      <c r="A445" s="75">
        <v>6704401</v>
      </c>
      <c r="B445" s="73" t="s">
        <v>1186</v>
      </c>
      <c r="C445" s="68">
        <v>4</v>
      </c>
      <c r="D445" s="73" t="s">
        <v>2929</v>
      </c>
      <c r="E445" s="77">
        <v>87.257619047619045</v>
      </c>
      <c r="F445" s="77">
        <v>239.65739768792886</v>
      </c>
      <c r="G445" s="76">
        <v>0.53898582166145304</v>
      </c>
    </row>
    <row r="446" spans="1:7" x14ac:dyDescent="0.25">
      <c r="A446" s="75">
        <v>6704401</v>
      </c>
      <c r="B446" s="73" t="s">
        <v>1186</v>
      </c>
      <c r="C446" s="68">
        <v>6</v>
      </c>
      <c r="D446" s="73" t="s">
        <v>2928</v>
      </c>
      <c r="E446" s="77">
        <v>106.24222669776914</v>
      </c>
      <c r="F446" s="77">
        <v>251.62480006471299</v>
      </c>
      <c r="G446" s="76">
        <v>0.69855510931928833</v>
      </c>
    </row>
    <row r="447" spans="1:7" x14ac:dyDescent="0.25">
      <c r="A447" s="75">
        <v>6704401</v>
      </c>
      <c r="B447" s="73" t="s">
        <v>1186</v>
      </c>
      <c r="C447" s="68">
        <v>8</v>
      </c>
      <c r="D447" s="73" t="s">
        <v>2929</v>
      </c>
      <c r="E447" s="77">
        <v>88.736561743341412</v>
      </c>
      <c r="F447" s="77">
        <v>243.71938747924972</v>
      </c>
      <c r="G447" s="76">
        <v>0.54812117457096909</v>
      </c>
    </row>
    <row r="448" spans="1:7" x14ac:dyDescent="0.25">
      <c r="A448" s="75">
        <v>6704401</v>
      </c>
      <c r="B448" s="73" t="s">
        <v>1186</v>
      </c>
      <c r="C448" s="68">
        <v>9</v>
      </c>
      <c r="D448" s="73" t="s">
        <v>2928</v>
      </c>
      <c r="E448" s="77">
        <v>104.97256003110249</v>
      </c>
      <c r="F448" s="77">
        <v>251.62480006471299</v>
      </c>
      <c r="G448" s="76">
        <v>0.69855510931928833</v>
      </c>
    </row>
    <row r="449" spans="1:7" x14ac:dyDescent="0.25">
      <c r="A449" s="75">
        <v>6704401</v>
      </c>
      <c r="B449" s="73" t="s">
        <v>1186</v>
      </c>
      <c r="C449" s="68">
        <v>99</v>
      </c>
      <c r="D449" s="73" t="s">
        <v>2929</v>
      </c>
      <c r="E449" s="77">
        <v>87.257619047619045</v>
      </c>
      <c r="F449" s="77">
        <v>239.65739768792886</v>
      </c>
      <c r="G449" s="76">
        <v>0.53898582166145304</v>
      </c>
    </row>
    <row r="450" spans="1:7" x14ac:dyDescent="0.25">
      <c r="A450" s="75">
        <v>6704409</v>
      </c>
      <c r="B450" s="73" t="s">
        <v>1187</v>
      </c>
      <c r="C450" s="68">
        <v>2</v>
      </c>
      <c r="D450" s="73" t="s">
        <v>2928</v>
      </c>
      <c r="E450" s="77">
        <v>104.97256003110247</v>
      </c>
      <c r="F450" s="77">
        <v>251.62480006471299</v>
      </c>
      <c r="G450" s="76">
        <v>0.69855510931928833</v>
      </c>
    </row>
    <row r="451" spans="1:7" x14ac:dyDescent="0.25">
      <c r="A451" s="75">
        <v>6704409</v>
      </c>
      <c r="B451" s="73" t="s">
        <v>1187</v>
      </c>
      <c r="C451" s="68">
        <v>3</v>
      </c>
      <c r="D451" s="73" t="s">
        <v>2929</v>
      </c>
      <c r="E451" s="77">
        <v>101.43322841000807</v>
      </c>
      <c r="F451" s="77">
        <v>243.71938747924972</v>
      </c>
      <c r="G451" s="76">
        <v>0.54812117457096909</v>
      </c>
    </row>
    <row r="452" spans="1:7" x14ac:dyDescent="0.25">
      <c r="A452" s="75">
        <v>6704409</v>
      </c>
      <c r="B452" s="73" t="s">
        <v>1187</v>
      </c>
      <c r="C452" s="68">
        <v>6</v>
      </c>
      <c r="D452" s="73" t="s">
        <v>2928</v>
      </c>
      <c r="E452" s="77">
        <v>106.24222669776914</v>
      </c>
      <c r="F452" s="77">
        <v>251.62480006471299</v>
      </c>
      <c r="G452" s="76">
        <v>0.69855510931928833</v>
      </c>
    </row>
    <row r="453" spans="1:7" x14ac:dyDescent="0.25">
      <c r="A453" s="75">
        <v>6704409</v>
      </c>
      <c r="B453" s="73" t="s">
        <v>1187</v>
      </c>
      <c r="C453" s="68">
        <v>9</v>
      </c>
      <c r="D453" s="73" t="s">
        <v>2928</v>
      </c>
      <c r="E453" s="77">
        <v>104.97256003110249</v>
      </c>
      <c r="F453" s="77">
        <v>251.62480006471299</v>
      </c>
      <c r="G453" s="76">
        <v>0.69855510931928833</v>
      </c>
    </row>
    <row r="454" spans="1:7" x14ac:dyDescent="0.25">
      <c r="A454" s="75">
        <v>6704409</v>
      </c>
      <c r="B454" s="73" t="s">
        <v>1187</v>
      </c>
      <c r="C454" s="68">
        <v>99</v>
      </c>
      <c r="D454" s="73" t="s">
        <v>2929</v>
      </c>
      <c r="E454" s="77">
        <v>87.257619047619045</v>
      </c>
      <c r="F454" s="77">
        <v>239.65739768792886</v>
      </c>
      <c r="G454" s="76">
        <v>0.53898582166145304</v>
      </c>
    </row>
    <row r="455" spans="1:7" x14ac:dyDescent="0.25">
      <c r="A455" s="75">
        <v>6704410</v>
      </c>
      <c r="B455" s="73" t="s">
        <v>2930</v>
      </c>
      <c r="C455" s="68">
        <v>2</v>
      </c>
      <c r="D455" s="73" t="s">
        <v>2928</v>
      </c>
      <c r="E455" s="77">
        <v>104.97256003110249</v>
      </c>
      <c r="F455" s="77">
        <v>251.62480006471299</v>
      </c>
      <c r="G455" s="76">
        <v>0.69855510931928833</v>
      </c>
    </row>
    <row r="456" spans="1:7" x14ac:dyDescent="0.25">
      <c r="A456" s="75">
        <v>6704410</v>
      </c>
      <c r="B456" s="73" t="s">
        <v>2930</v>
      </c>
      <c r="C456" s="68">
        <v>4</v>
      </c>
      <c r="D456" s="73" t="s">
        <v>2929</v>
      </c>
      <c r="E456" s="77">
        <v>87.257619047619045</v>
      </c>
      <c r="F456" s="77">
        <v>239.65739768792886</v>
      </c>
      <c r="G456" s="76">
        <v>0.53898582166145304</v>
      </c>
    </row>
    <row r="457" spans="1:7" x14ac:dyDescent="0.25">
      <c r="A457" s="75">
        <v>6704410</v>
      </c>
      <c r="B457" s="73" t="s">
        <v>2930</v>
      </c>
      <c r="C457" s="68">
        <v>9</v>
      </c>
      <c r="D457" s="73" t="s">
        <v>2928</v>
      </c>
      <c r="E457" s="77">
        <v>104.97256003110249</v>
      </c>
      <c r="F457" s="77">
        <v>251.62480006471299</v>
      </c>
      <c r="G457" s="76">
        <v>0.69855510931928833</v>
      </c>
    </row>
    <row r="458" spans="1:7" x14ac:dyDescent="0.25">
      <c r="A458" s="75">
        <v>6704501</v>
      </c>
      <c r="B458" s="73" t="s">
        <v>1349</v>
      </c>
      <c r="C458" s="68">
        <v>1</v>
      </c>
      <c r="D458" s="73" t="s">
        <v>2931</v>
      </c>
      <c r="E458" s="77">
        <v>62.82274335639066</v>
      </c>
      <c r="F458" s="77">
        <v>97.126736491812437</v>
      </c>
      <c r="G458" s="76">
        <v>0.17624192407022293</v>
      </c>
    </row>
    <row r="459" spans="1:7" x14ac:dyDescent="0.25">
      <c r="A459" s="75">
        <v>6704501</v>
      </c>
      <c r="B459" s="73" t="s">
        <v>1349</v>
      </c>
      <c r="C459" s="68">
        <v>2</v>
      </c>
      <c r="D459" s="73" t="s">
        <v>2932</v>
      </c>
      <c r="E459" s="77">
        <v>54.83148972342817</v>
      </c>
      <c r="F459" s="77">
        <v>103.30709107932719</v>
      </c>
      <c r="G459" s="76">
        <v>0.21807060185791666</v>
      </c>
    </row>
    <row r="460" spans="1:7" x14ac:dyDescent="0.25">
      <c r="A460" s="75">
        <v>6704501</v>
      </c>
      <c r="B460" s="73" t="s">
        <v>1349</v>
      </c>
      <c r="C460" s="68">
        <v>3</v>
      </c>
      <c r="D460" s="73" t="s">
        <v>2933</v>
      </c>
      <c r="E460" s="77">
        <v>53.544410023057324</v>
      </c>
      <c r="F460" s="77">
        <v>97.126736491812437</v>
      </c>
      <c r="G460" s="76">
        <v>0.17624192407022293</v>
      </c>
    </row>
    <row r="461" spans="1:7" x14ac:dyDescent="0.25">
      <c r="A461" s="75">
        <v>6704501</v>
      </c>
      <c r="B461" s="73" t="s">
        <v>1349</v>
      </c>
      <c r="C461" s="68">
        <v>4</v>
      </c>
      <c r="D461" s="73" t="s">
        <v>2934</v>
      </c>
      <c r="E461" s="77">
        <v>40.2390725443923</v>
      </c>
      <c r="F461" s="77">
        <v>95.814563862238543</v>
      </c>
      <c r="G461" s="76">
        <v>0.17386091306026402</v>
      </c>
    </row>
    <row r="462" spans="1:7" x14ac:dyDescent="0.25">
      <c r="A462" s="75">
        <v>6704501</v>
      </c>
      <c r="B462" s="73" t="s">
        <v>1349</v>
      </c>
      <c r="C462" s="68">
        <v>6</v>
      </c>
      <c r="D462" s="73" t="s">
        <v>2932</v>
      </c>
      <c r="E462" s="77">
        <v>56.101156390094836</v>
      </c>
      <c r="F462" s="77">
        <v>103.30709107932721</v>
      </c>
      <c r="G462" s="76">
        <v>0.21807060185791666</v>
      </c>
    </row>
    <row r="463" spans="1:7" x14ac:dyDescent="0.25">
      <c r="A463" s="75">
        <v>6704501</v>
      </c>
      <c r="B463" s="73" t="s">
        <v>1349</v>
      </c>
      <c r="C463" s="68">
        <v>7</v>
      </c>
      <c r="D463" s="73" t="s">
        <v>2932</v>
      </c>
      <c r="E463" s="77">
        <v>54.83148972342817</v>
      </c>
      <c r="F463" s="77">
        <v>103.30709107932719</v>
      </c>
      <c r="G463" s="76">
        <v>0.21807060185791666</v>
      </c>
    </row>
    <row r="464" spans="1:7" x14ac:dyDescent="0.25">
      <c r="A464" s="75">
        <v>6704501</v>
      </c>
      <c r="B464" s="73" t="s">
        <v>1349</v>
      </c>
      <c r="C464" s="68">
        <v>8</v>
      </c>
      <c r="D464" s="73" t="s">
        <v>2931</v>
      </c>
      <c r="E464" s="77">
        <v>40.847743356390659</v>
      </c>
      <c r="F464" s="77">
        <v>97.126736491812437</v>
      </c>
      <c r="G464" s="76">
        <v>0.17624192407022293</v>
      </c>
    </row>
    <row r="465" spans="1:7" x14ac:dyDescent="0.25">
      <c r="A465" s="75">
        <v>6704501</v>
      </c>
      <c r="B465" s="73" t="s">
        <v>1349</v>
      </c>
      <c r="C465" s="68">
        <v>9</v>
      </c>
      <c r="D465" s="73" t="s">
        <v>2932</v>
      </c>
      <c r="E465" s="77">
        <v>54.83148972342817</v>
      </c>
      <c r="F465" s="77">
        <v>103.30709107932721</v>
      </c>
      <c r="G465" s="76">
        <v>0.21807060185791666</v>
      </c>
    </row>
    <row r="466" spans="1:7" x14ac:dyDescent="0.25">
      <c r="A466" s="75">
        <v>6704501</v>
      </c>
      <c r="B466" s="73" t="s">
        <v>1349</v>
      </c>
      <c r="C466" s="68">
        <v>99</v>
      </c>
      <c r="D466" s="73" t="s">
        <v>2934</v>
      </c>
      <c r="E466" s="77">
        <v>40.2390725443923</v>
      </c>
      <c r="F466" s="77">
        <v>95.814563862238543</v>
      </c>
      <c r="G466" s="76">
        <v>0.17386091306026402</v>
      </c>
    </row>
    <row r="467" spans="1:7" x14ac:dyDescent="0.25">
      <c r="A467" s="75">
        <v>6704601</v>
      </c>
      <c r="B467" s="73" t="s">
        <v>2935</v>
      </c>
      <c r="C467" s="68">
        <v>4</v>
      </c>
      <c r="D467" s="73" t="s">
        <v>2936</v>
      </c>
      <c r="E467" s="77">
        <v>33</v>
      </c>
      <c r="F467" s="77">
        <v>184.19097858043023</v>
      </c>
      <c r="G467" s="76">
        <v>4.95</v>
      </c>
    </row>
    <row r="468" spans="1:7" x14ac:dyDescent="0.25">
      <c r="A468" s="75">
        <v>6704601</v>
      </c>
      <c r="B468" s="73" t="s">
        <v>2935</v>
      </c>
      <c r="C468" s="68">
        <v>6</v>
      </c>
      <c r="D468" s="73" t="s">
        <v>2936</v>
      </c>
      <c r="E468" s="77">
        <v>45.696666666666665</v>
      </c>
      <c r="F468" s="77">
        <v>184.19097858043023</v>
      </c>
      <c r="G468" s="76">
        <v>4.95</v>
      </c>
    </row>
    <row r="469" spans="1:7" x14ac:dyDescent="0.25">
      <c r="A469" s="75">
        <v>6704601</v>
      </c>
      <c r="B469" s="73" t="s">
        <v>2935</v>
      </c>
      <c r="C469" s="68">
        <v>7</v>
      </c>
      <c r="D469" s="73" t="s">
        <v>2936</v>
      </c>
      <c r="E469" s="77">
        <v>42.522500000000001</v>
      </c>
      <c r="F469" s="77">
        <v>184.19097858043023</v>
      </c>
      <c r="G469" s="76">
        <v>4.95</v>
      </c>
    </row>
    <row r="470" spans="1:7" x14ac:dyDescent="0.25">
      <c r="A470" s="75">
        <v>6704601</v>
      </c>
      <c r="B470" s="73" t="s">
        <v>2935</v>
      </c>
      <c r="C470" s="68">
        <v>9</v>
      </c>
      <c r="D470" s="73" t="s">
        <v>2936</v>
      </c>
      <c r="E470" s="77">
        <v>42.522500000000001</v>
      </c>
      <c r="F470" s="77">
        <v>184.19097858043023</v>
      </c>
      <c r="G470" s="76">
        <v>4.95</v>
      </c>
    </row>
    <row r="471" spans="1:7" x14ac:dyDescent="0.25">
      <c r="A471" s="75">
        <v>6704601</v>
      </c>
      <c r="B471" s="73" t="s">
        <v>2935</v>
      </c>
      <c r="C471" s="68">
        <v>99</v>
      </c>
      <c r="D471" s="73" t="s">
        <v>2936</v>
      </c>
      <c r="E471" s="77">
        <v>33</v>
      </c>
      <c r="F471" s="77">
        <v>184.19097858043023</v>
      </c>
      <c r="G471" s="76">
        <v>4.95</v>
      </c>
    </row>
    <row r="472" spans="1:7" x14ac:dyDescent="0.25">
      <c r="A472" s="75">
        <v>6705001</v>
      </c>
      <c r="B472" s="73" t="s">
        <v>843</v>
      </c>
      <c r="C472" s="68">
        <v>2</v>
      </c>
      <c r="D472" s="73" t="s">
        <v>2937</v>
      </c>
      <c r="E472" s="77">
        <v>56.36927062773082</v>
      </c>
      <c r="F472" s="77">
        <v>104.47334567890293</v>
      </c>
      <c r="G472" s="76">
        <v>0.25599262321152738</v>
      </c>
    </row>
    <row r="473" spans="1:7" x14ac:dyDescent="0.25">
      <c r="A473" s="75">
        <v>6705001</v>
      </c>
      <c r="B473" s="73" t="s">
        <v>843</v>
      </c>
      <c r="C473" s="68">
        <v>3</v>
      </c>
      <c r="D473" s="73" t="s">
        <v>2938</v>
      </c>
      <c r="E473" s="77">
        <v>53.804271375494707</v>
      </c>
      <c r="F473" s="77">
        <v>97.830551345640686</v>
      </c>
      <c r="G473" s="76">
        <v>0.18364038175107894</v>
      </c>
    </row>
    <row r="474" spans="1:7" x14ac:dyDescent="0.25">
      <c r="A474" s="75">
        <v>6705001</v>
      </c>
      <c r="B474" s="73" t="s">
        <v>843</v>
      </c>
      <c r="C474" s="68">
        <v>4</v>
      </c>
      <c r="D474" s="73" t="s">
        <v>2938</v>
      </c>
      <c r="E474" s="77">
        <v>40.423437963659445</v>
      </c>
      <c r="F474" s="77">
        <v>96.200042156546672</v>
      </c>
      <c r="G474" s="76">
        <v>0.1805797087218943</v>
      </c>
    </row>
    <row r="475" spans="1:7" x14ac:dyDescent="0.25">
      <c r="A475" s="75">
        <v>6705001</v>
      </c>
      <c r="B475" s="73" t="s">
        <v>843</v>
      </c>
      <c r="C475" s="68">
        <v>6</v>
      </c>
      <c r="D475" s="73" t="s">
        <v>2937</v>
      </c>
      <c r="E475" s="77">
        <v>57.638937294397486</v>
      </c>
      <c r="F475" s="77">
        <v>104.47334567890293</v>
      </c>
      <c r="G475" s="76">
        <v>0.25599262321152738</v>
      </c>
    </row>
    <row r="476" spans="1:7" x14ac:dyDescent="0.25">
      <c r="A476" s="75">
        <v>6705001</v>
      </c>
      <c r="B476" s="73" t="s">
        <v>843</v>
      </c>
      <c r="C476" s="68">
        <v>7</v>
      </c>
      <c r="D476" s="73" t="s">
        <v>2939</v>
      </c>
      <c r="E476" s="77">
        <v>55.079150522043449</v>
      </c>
      <c r="F476" s="77">
        <v>103.9778616542568</v>
      </c>
      <c r="G476" s="76">
        <v>0.22512170014773908</v>
      </c>
    </row>
    <row r="477" spans="1:7" x14ac:dyDescent="0.25">
      <c r="A477" s="75">
        <v>6705001</v>
      </c>
      <c r="B477" s="73" t="s">
        <v>843</v>
      </c>
      <c r="C477" s="68">
        <v>9</v>
      </c>
      <c r="D477" s="73" t="s">
        <v>2939</v>
      </c>
      <c r="E477" s="77">
        <v>55.079150522043449</v>
      </c>
      <c r="F477" s="77">
        <v>103.9778616542568</v>
      </c>
      <c r="G477" s="76">
        <v>0.22512170014773908</v>
      </c>
    </row>
    <row r="478" spans="1:7" x14ac:dyDescent="0.25">
      <c r="A478" s="75">
        <v>6705001</v>
      </c>
      <c r="B478" s="73" t="s">
        <v>843</v>
      </c>
      <c r="C478" s="68">
        <v>99</v>
      </c>
      <c r="D478" s="73" t="s">
        <v>2938</v>
      </c>
      <c r="E478" s="77">
        <v>53.804271375494707</v>
      </c>
      <c r="F478" s="77">
        <v>97.830551345640686</v>
      </c>
      <c r="G478" s="76">
        <v>0.18364038175107894</v>
      </c>
    </row>
    <row r="479" spans="1:7" x14ac:dyDescent="0.25">
      <c r="A479" s="75">
        <v>6705101</v>
      </c>
      <c r="B479" s="73" t="s">
        <v>844</v>
      </c>
      <c r="C479" s="68">
        <v>1</v>
      </c>
      <c r="D479" s="73" t="s">
        <v>2940</v>
      </c>
      <c r="E479" s="77">
        <v>104.17897361394535</v>
      </c>
      <c r="F479" s="77">
        <v>8.7539554406462088</v>
      </c>
      <c r="G479" s="76">
        <v>8.7438596713209055E-2</v>
      </c>
    </row>
    <row r="480" spans="1:7" x14ac:dyDescent="0.25">
      <c r="A480" s="75">
        <v>6705101</v>
      </c>
      <c r="B480" s="73" t="s">
        <v>844</v>
      </c>
      <c r="C480" s="68">
        <v>2</v>
      </c>
      <c r="D480" s="73" t="s">
        <v>2941</v>
      </c>
      <c r="E480" s="77">
        <v>94.246034892362076</v>
      </c>
      <c r="F480" s="77">
        <v>19.083433633924201</v>
      </c>
      <c r="G480" s="76">
        <v>0.13343661236064466</v>
      </c>
    </row>
    <row r="481" spans="1:7" x14ac:dyDescent="0.25">
      <c r="A481" s="75">
        <v>6705101</v>
      </c>
      <c r="B481" s="73" t="s">
        <v>844</v>
      </c>
      <c r="C481" s="68">
        <v>3</v>
      </c>
      <c r="D481" s="73" t="s">
        <v>2942</v>
      </c>
      <c r="E481" s="77">
        <v>94.900640280612009</v>
      </c>
      <c r="F481" s="77">
        <v>8.7539554406462088</v>
      </c>
      <c r="G481" s="76">
        <v>8.7438596713209055E-2</v>
      </c>
    </row>
    <row r="482" spans="1:7" x14ac:dyDescent="0.25">
      <c r="A482" s="75">
        <v>6705101</v>
      </c>
      <c r="B482" s="73" t="s">
        <v>844</v>
      </c>
      <c r="C482" s="68">
        <v>4</v>
      </c>
      <c r="D482" s="73" t="s">
        <v>2943</v>
      </c>
      <c r="E482" s="77">
        <v>82.410085637778096</v>
      </c>
      <c r="F482" s="77">
        <v>8.7820579994437136</v>
      </c>
      <c r="G482" s="76">
        <v>8.771929819975019E-2</v>
      </c>
    </row>
    <row r="483" spans="1:7" x14ac:dyDescent="0.25">
      <c r="A483" s="75">
        <v>6705101</v>
      </c>
      <c r="B483" s="73" t="s">
        <v>844</v>
      </c>
      <c r="C483" s="68">
        <v>5</v>
      </c>
      <c r="D483" s="73" t="s">
        <v>2941</v>
      </c>
      <c r="E483" s="77">
        <v>94.246034892362104</v>
      </c>
      <c r="F483" s="77">
        <v>19.083433633924201</v>
      </c>
      <c r="G483" s="76">
        <v>0.13343661236064466</v>
      </c>
    </row>
    <row r="484" spans="1:7" x14ac:dyDescent="0.25">
      <c r="A484" s="75">
        <v>6705101</v>
      </c>
      <c r="B484" s="73" t="s">
        <v>844</v>
      </c>
      <c r="C484" s="68">
        <v>6</v>
      </c>
      <c r="D484" s="73" t="s">
        <v>2941</v>
      </c>
      <c r="E484" s="77">
        <v>95.515701559028756</v>
      </c>
      <c r="F484" s="77">
        <v>19.083433633924201</v>
      </c>
      <c r="G484" s="76">
        <v>0.13343661236064466</v>
      </c>
    </row>
    <row r="485" spans="1:7" x14ac:dyDescent="0.25">
      <c r="A485" s="75">
        <v>6705101</v>
      </c>
      <c r="B485" s="73" t="s">
        <v>844</v>
      </c>
      <c r="C485" s="68">
        <v>7</v>
      </c>
      <c r="D485" s="73" t="s">
        <v>2941</v>
      </c>
      <c r="E485" s="77">
        <v>94.24603489236209</v>
      </c>
      <c r="F485" s="77">
        <v>19.083433633924201</v>
      </c>
      <c r="G485" s="76">
        <v>0.13343661236064466</v>
      </c>
    </row>
    <row r="486" spans="1:7" x14ac:dyDescent="0.25">
      <c r="A486" s="75">
        <v>6705101</v>
      </c>
      <c r="B486" s="73" t="s">
        <v>844</v>
      </c>
      <c r="C486" s="68">
        <v>9</v>
      </c>
      <c r="D486" s="73" t="s">
        <v>2941</v>
      </c>
      <c r="E486" s="77">
        <v>94.24603489236209</v>
      </c>
      <c r="F486" s="77">
        <v>19.083433633924201</v>
      </c>
      <c r="G486" s="76">
        <v>0.13343661236064466</v>
      </c>
    </row>
    <row r="487" spans="1:7" x14ac:dyDescent="0.25">
      <c r="A487" s="75">
        <v>6705101</v>
      </c>
      <c r="B487" s="73" t="s">
        <v>844</v>
      </c>
      <c r="C487" s="68">
        <v>99</v>
      </c>
      <c r="D487" s="73" t="s">
        <v>2943</v>
      </c>
      <c r="E487" s="77">
        <v>82.410085637778096</v>
      </c>
      <c r="F487" s="77">
        <v>8.7820579994437136</v>
      </c>
      <c r="G487" s="76">
        <v>8.771929819975019E-2</v>
      </c>
    </row>
    <row r="488" spans="1:7" x14ac:dyDescent="0.25">
      <c r="A488" s="75">
        <v>6705201</v>
      </c>
      <c r="B488" s="73" t="s">
        <v>853</v>
      </c>
      <c r="C488" s="68">
        <v>1</v>
      </c>
      <c r="D488" s="73" t="s">
        <v>2944</v>
      </c>
      <c r="E488" s="77">
        <v>79.152822972556592</v>
      </c>
      <c r="F488" s="77">
        <v>94.515786178429991</v>
      </c>
      <c r="G488" s="76">
        <v>2.9454028700658035</v>
      </c>
    </row>
    <row r="489" spans="1:7" x14ac:dyDescent="0.25">
      <c r="A489" s="75">
        <v>6705201</v>
      </c>
      <c r="B489" s="73" t="s">
        <v>853</v>
      </c>
      <c r="C489" s="68">
        <v>2</v>
      </c>
      <c r="D489" s="73" t="s">
        <v>2945</v>
      </c>
      <c r="E489" s="77">
        <v>72.112575402133245</v>
      </c>
      <c r="F489" s="77">
        <v>101.20584336697765</v>
      </c>
      <c r="G489" s="76">
        <v>2.9623175549158969</v>
      </c>
    </row>
    <row r="490" spans="1:7" x14ac:dyDescent="0.25">
      <c r="A490" s="75">
        <v>6705201</v>
      </c>
      <c r="B490" s="73" t="s">
        <v>853</v>
      </c>
      <c r="C490" s="68">
        <v>3</v>
      </c>
      <c r="D490" s="73" t="s">
        <v>2944</v>
      </c>
      <c r="E490" s="77">
        <v>69.874489639223256</v>
      </c>
      <c r="F490" s="77">
        <v>94.515786178429991</v>
      </c>
      <c r="G490" s="76">
        <v>2.9454028700658035</v>
      </c>
    </row>
    <row r="491" spans="1:7" x14ac:dyDescent="0.25">
      <c r="A491" s="75">
        <v>6705201</v>
      </c>
      <c r="B491" s="73" t="s">
        <v>853</v>
      </c>
      <c r="C491" s="68">
        <v>4</v>
      </c>
      <c r="D491" s="73" t="s">
        <v>2944</v>
      </c>
      <c r="E491" s="77">
        <v>56.225759256383093</v>
      </c>
      <c r="F491" s="77">
        <v>92.94052307545617</v>
      </c>
      <c r="G491" s="76">
        <v>2.8963128222313737</v>
      </c>
    </row>
    <row r="492" spans="1:7" x14ac:dyDescent="0.25">
      <c r="A492" s="75">
        <v>6705201</v>
      </c>
      <c r="B492" s="73" t="s">
        <v>853</v>
      </c>
      <c r="C492" s="68">
        <v>6</v>
      </c>
      <c r="D492" s="73" t="s">
        <v>2945</v>
      </c>
      <c r="E492" s="77">
        <v>73.382242068799911</v>
      </c>
      <c r="F492" s="77">
        <v>101.20584336697765</v>
      </c>
      <c r="G492" s="76">
        <v>2.9623175549158969</v>
      </c>
    </row>
    <row r="493" spans="1:7" x14ac:dyDescent="0.25">
      <c r="A493" s="75">
        <v>6705201</v>
      </c>
      <c r="B493" s="73" t="s">
        <v>853</v>
      </c>
      <c r="C493" s="68">
        <v>7</v>
      </c>
      <c r="D493" s="73" t="s">
        <v>2946</v>
      </c>
      <c r="E493" s="77">
        <v>70.322496443404347</v>
      </c>
      <c r="F493" s="77">
        <v>100.507380057864</v>
      </c>
      <c r="G493" s="76">
        <v>2.85529929342092</v>
      </c>
    </row>
    <row r="494" spans="1:7" x14ac:dyDescent="0.25">
      <c r="A494" s="75">
        <v>6705201</v>
      </c>
      <c r="B494" s="73" t="s">
        <v>853</v>
      </c>
      <c r="C494" s="68">
        <v>9</v>
      </c>
      <c r="D494" s="73" t="s">
        <v>2946</v>
      </c>
      <c r="E494" s="77">
        <v>70.322496443404361</v>
      </c>
      <c r="F494" s="77">
        <v>100.507380057864</v>
      </c>
      <c r="G494" s="76">
        <v>2.85529929342092</v>
      </c>
    </row>
    <row r="495" spans="1:7" x14ac:dyDescent="0.25">
      <c r="A495" s="75">
        <v>6705201</v>
      </c>
      <c r="B495" s="73" t="s">
        <v>853</v>
      </c>
      <c r="C495" s="68">
        <v>99</v>
      </c>
      <c r="D495" s="73" t="s">
        <v>2944</v>
      </c>
      <c r="E495" s="77">
        <v>69.874489639223256</v>
      </c>
      <c r="F495" s="77">
        <v>94.515786178429991</v>
      </c>
      <c r="G495" s="76">
        <v>2.9454028700658035</v>
      </c>
    </row>
    <row r="496" spans="1:7" x14ac:dyDescent="0.25">
      <c r="A496" s="75">
        <v>6705301</v>
      </c>
      <c r="B496" s="73" t="s">
        <v>854</v>
      </c>
      <c r="C496" s="68">
        <v>3</v>
      </c>
      <c r="D496" s="73" t="s">
        <v>2947</v>
      </c>
      <c r="E496" s="77">
        <v>60.928090270493115</v>
      </c>
      <c r="F496" s="77">
        <v>81.003697400526093</v>
      </c>
      <c r="G496" s="76">
        <v>0.14698576316186934</v>
      </c>
    </row>
    <row r="497" spans="1:7" x14ac:dyDescent="0.25">
      <c r="A497" s="75">
        <v>6705301</v>
      </c>
      <c r="B497" s="73" t="s">
        <v>854</v>
      </c>
      <c r="C497" s="68">
        <v>7</v>
      </c>
      <c r="D497" s="73" t="s">
        <v>2948</v>
      </c>
      <c r="E497" s="77">
        <v>118.5252921086815</v>
      </c>
      <c r="F497" s="77">
        <v>107.00418426835881</v>
      </c>
      <c r="G497" s="76">
        <v>0.91123387856402638</v>
      </c>
    </row>
    <row r="498" spans="1:7" x14ac:dyDescent="0.25">
      <c r="A498" s="75">
        <v>6705301</v>
      </c>
      <c r="B498" s="73" t="s">
        <v>854</v>
      </c>
      <c r="C498" s="68">
        <v>9</v>
      </c>
      <c r="D498" s="73" t="s">
        <v>2948</v>
      </c>
      <c r="E498" s="77">
        <v>118.5252921086815</v>
      </c>
      <c r="F498" s="77">
        <v>107.00418426835881</v>
      </c>
      <c r="G498" s="76">
        <v>0.91123387856402638</v>
      </c>
    </row>
    <row r="499" spans="1:7" x14ac:dyDescent="0.25">
      <c r="A499" s="75">
        <v>6705301</v>
      </c>
      <c r="B499" s="73" t="s">
        <v>854</v>
      </c>
      <c r="C499" s="68">
        <v>99</v>
      </c>
      <c r="D499" s="73" t="s">
        <v>2949</v>
      </c>
      <c r="E499" s="77">
        <v>47.523000000000003</v>
      </c>
      <c r="F499" s="77">
        <v>79.909345438723946</v>
      </c>
      <c r="G499" s="76">
        <v>0.14499999999999999</v>
      </c>
    </row>
    <row r="500" spans="1:7" x14ac:dyDescent="0.25">
      <c r="A500" s="75">
        <v>6705401</v>
      </c>
      <c r="B500" s="73" t="s">
        <v>856</v>
      </c>
      <c r="C500" s="68">
        <v>1</v>
      </c>
      <c r="D500" s="73" t="s">
        <v>2950</v>
      </c>
      <c r="E500" s="77">
        <v>81.445778205115971</v>
      </c>
      <c r="F500" s="77">
        <v>141.47065023021571</v>
      </c>
      <c r="G500" s="76">
        <v>0.25670644867328107</v>
      </c>
    </row>
    <row r="501" spans="1:7" x14ac:dyDescent="0.25">
      <c r="A501" s="75">
        <v>6705401</v>
      </c>
      <c r="B501" s="73" t="s">
        <v>856</v>
      </c>
      <c r="C501" s="68">
        <v>2</v>
      </c>
      <c r="D501" s="73" t="s">
        <v>2951</v>
      </c>
      <c r="E501" s="77">
        <v>74.367685445695216</v>
      </c>
      <c r="F501" s="77">
        <v>147.24659522535768</v>
      </c>
      <c r="G501" s="76">
        <v>0.32760733522461061</v>
      </c>
    </row>
    <row r="502" spans="1:7" x14ac:dyDescent="0.25">
      <c r="A502" s="75">
        <v>6705401</v>
      </c>
      <c r="B502" s="73" t="s">
        <v>856</v>
      </c>
      <c r="C502" s="68">
        <v>3</v>
      </c>
      <c r="D502" s="73" t="s">
        <v>2952</v>
      </c>
      <c r="E502" s="77">
        <v>72.167444871782635</v>
      </c>
      <c r="F502" s="77">
        <v>141.47065023021571</v>
      </c>
      <c r="G502" s="76">
        <v>0.25670644867328107</v>
      </c>
    </row>
    <row r="503" spans="1:7" x14ac:dyDescent="0.25">
      <c r="A503" s="75">
        <v>6705401</v>
      </c>
      <c r="B503" s="73" t="s">
        <v>856</v>
      </c>
      <c r="C503" s="68">
        <v>4</v>
      </c>
      <c r="D503" s="73" t="s">
        <v>2953</v>
      </c>
      <c r="E503" s="77">
        <v>40.530659165995758</v>
      </c>
      <c r="F503" s="77">
        <v>96.50887024681478</v>
      </c>
      <c r="G503" s="76">
        <v>0.17512077103070323</v>
      </c>
    </row>
    <row r="504" spans="1:7" x14ac:dyDescent="0.25">
      <c r="A504" s="75">
        <v>6705401</v>
      </c>
      <c r="B504" s="73" t="s">
        <v>856</v>
      </c>
      <c r="C504" s="68">
        <v>5</v>
      </c>
      <c r="D504" s="73" t="s">
        <v>2954</v>
      </c>
      <c r="E504" s="77">
        <v>150.32863586683263</v>
      </c>
      <c r="F504" s="77">
        <v>258.34096980199962</v>
      </c>
      <c r="G504" s="76">
        <v>0.88529331761973207</v>
      </c>
    </row>
    <row r="505" spans="1:7" x14ac:dyDescent="0.25">
      <c r="A505" s="75">
        <v>6705401</v>
      </c>
      <c r="B505" s="73" t="s">
        <v>856</v>
      </c>
      <c r="C505" s="68">
        <v>6</v>
      </c>
      <c r="D505" s="73" t="s">
        <v>2951</v>
      </c>
      <c r="E505" s="77">
        <v>75.637352112361881</v>
      </c>
      <c r="F505" s="77">
        <v>147.24659522535768</v>
      </c>
      <c r="G505" s="76">
        <v>0.32760733522461061</v>
      </c>
    </row>
    <row r="506" spans="1:7" x14ac:dyDescent="0.25">
      <c r="A506" s="75">
        <v>6705401</v>
      </c>
      <c r="B506" s="73" t="s">
        <v>856</v>
      </c>
      <c r="C506" s="68">
        <v>7</v>
      </c>
      <c r="D506" s="73" t="s">
        <v>2954</v>
      </c>
      <c r="E506" s="77">
        <v>153.50280253349931</v>
      </c>
      <c r="F506" s="77">
        <v>258.34096980199962</v>
      </c>
      <c r="G506" s="76">
        <v>0.88529331761973207</v>
      </c>
    </row>
    <row r="507" spans="1:7" x14ac:dyDescent="0.25">
      <c r="A507" s="75">
        <v>6705401</v>
      </c>
      <c r="B507" s="73" t="s">
        <v>856</v>
      </c>
      <c r="C507" s="68">
        <v>8</v>
      </c>
      <c r="D507" s="73" t="s">
        <v>2950</v>
      </c>
      <c r="E507" s="77">
        <v>59.47077820511597</v>
      </c>
      <c r="F507" s="77">
        <v>141.47065023021571</v>
      </c>
      <c r="G507" s="76">
        <v>0.25670644867328107</v>
      </c>
    </row>
    <row r="508" spans="1:7" x14ac:dyDescent="0.25">
      <c r="A508" s="75">
        <v>6705401</v>
      </c>
      <c r="B508" s="73" t="s">
        <v>856</v>
      </c>
      <c r="C508" s="68">
        <v>9</v>
      </c>
      <c r="D508" s="73" t="s">
        <v>2955</v>
      </c>
      <c r="E508" s="77">
        <v>72.580168547790493</v>
      </c>
      <c r="F508" s="77">
        <v>145.5690472616204</v>
      </c>
      <c r="G508" s="76">
        <v>0.29475729742259965</v>
      </c>
    </row>
    <row r="509" spans="1:7" x14ac:dyDescent="0.25">
      <c r="A509" s="75">
        <v>6705401</v>
      </c>
      <c r="B509" s="73" t="s">
        <v>856</v>
      </c>
      <c r="C509" s="68">
        <v>99</v>
      </c>
      <c r="D509" s="73" t="s">
        <v>2952</v>
      </c>
      <c r="E509" s="77">
        <v>72.167444871782635</v>
      </c>
      <c r="F509" s="77">
        <v>141.47065023021571</v>
      </c>
      <c r="G509" s="76">
        <v>0.25670644867328107</v>
      </c>
    </row>
    <row r="510" spans="1:7" x14ac:dyDescent="0.25">
      <c r="A510" s="75">
        <v>6705501</v>
      </c>
      <c r="B510" s="73" t="s">
        <v>1188</v>
      </c>
      <c r="C510" s="68">
        <v>3</v>
      </c>
      <c r="D510" s="73" t="s">
        <v>2956</v>
      </c>
      <c r="E510" s="77">
        <v>63.876487137779669</v>
      </c>
      <c r="F510" s="77">
        <v>84.59162682694928</v>
      </c>
      <c r="G510" s="76">
        <v>2.6361355125297927</v>
      </c>
    </row>
    <row r="511" spans="1:7" x14ac:dyDescent="0.25">
      <c r="A511" s="75">
        <v>6705501</v>
      </c>
      <c r="B511" s="73" t="s">
        <v>1188</v>
      </c>
      <c r="C511" s="68">
        <v>4</v>
      </c>
      <c r="D511" s="73" t="s">
        <v>2956</v>
      </c>
      <c r="E511" s="77">
        <v>50.327723463296884</v>
      </c>
      <c r="F511" s="77">
        <v>83.181766379833476</v>
      </c>
      <c r="G511" s="76">
        <v>2.5921999206542967</v>
      </c>
    </row>
    <row r="512" spans="1:7" x14ac:dyDescent="0.25">
      <c r="A512" s="75">
        <v>6705501</v>
      </c>
      <c r="B512" s="73" t="s">
        <v>1188</v>
      </c>
      <c r="C512" s="68">
        <v>9</v>
      </c>
      <c r="D512" s="73" t="s">
        <v>2957</v>
      </c>
      <c r="E512" s="77">
        <v>64.607248147730388</v>
      </c>
      <c r="F512" s="77">
        <v>91.05105942347015</v>
      </c>
      <c r="G512" s="76">
        <v>2.560611230580021</v>
      </c>
    </row>
    <row r="513" spans="1:7" x14ac:dyDescent="0.25">
      <c r="A513" s="75">
        <v>6705601</v>
      </c>
      <c r="B513" s="73" t="s">
        <v>2958</v>
      </c>
      <c r="C513" s="68">
        <v>2</v>
      </c>
      <c r="D513" s="73" t="s">
        <v>2906</v>
      </c>
      <c r="E513" s="77">
        <v>37.774248952596352</v>
      </c>
      <c r="F513" s="77">
        <v>111.69602794884328</v>
      </c>
      <c r="G513" s="76">
        <v>0.2695505160279793</v>
      </c>
    </row>
    <row r="514" spans="1:7" x14ac:dyDescent="0.25">
      <c r="A514" s="75">
        <v>6705701</v>
      </c>
      <c r="B514" s="73" t="s">
        <v>858</v>
      </c>
      <c r="C514" s="68">
        <v>1</v>
      </c>
      <c r="D514" s="73" t="s">
        <v>2959</v>
      </c>
      <c r="E514" s="77">
        <v>45.58974419771009</v>
      </c>
      <c r="F514" s="77">
        <v>52.428675145249692</v>
      </c>
      <c r="G514" s="76">
        <v>0.13515932602819533</v>
      </c>
    </row>
    <row r="515" spans="1:7" x14ac:dyDescent="0.25">
      <c r="A515" s="75">
        <v>6705701</v>
      </c>
      <c r="B515" s="73" t="s">
        <v>858</v>
      </c>
      <c r="C515" s="68">
        <v>2</v>
      </c>
      <c r="D515" s="73" t="s">
        <v>2960</v>
      </c>
      <c r="E515" s="77">
        <v>63.823072439637599</v>
      </c>
      <c r="F515" s="77">
        <v>60.808161797996576</v>
      </c>
      <c r="G515" s="76">
        <v>0.17904469398988082</v>
      </c>
    </row>
    <row r="516" spans="1:7" x14ac:dyDescent="0.25">
      <c r="A516" s="75">
        <v>6705701</v>
      </c>
      <c r="B516" s="73" t="s">
        <v>858</v>
      </c>
      <c r="C516" s="68">
        <v>3</v>
      </c>
      <c r="D516" s="73" t="s">
        <v>2961</v>
      </c>
      <c r="E516" s="77">
        <v>36.311410864376754</v>
      </c>
      <c r="F516" s="77">
        <v>52.428675145249692</v>
      </c>
      <c r="G516" s="76">
        <v>0.13515932602819533</v>
      </c>
    </row>
    <row r="517" spans="1:7" x14ac:dyDescent="0.25">
      <c r="A517" s="75">
        <v>6705701</v>
      </c>
      <c r="B517" s="73" t="s">
        <v>858</v>
      </c>
      <c r="C517" s="68">
        <v>4</v>
      </c>
      <c r="D517" s="73" t="s">
        <v>2962</v>
      </c>
      <c r="E517" s="77">
        <v>23.238889504509224</v>
      </c>
      <c r="F517" s="77">
        <v>51.720368915520481</v>
      </c>
      <c r="G517" s="76">
        <v>0.13333333686546051</v>
      </c>
    </row>
    <row r="518" spans="1:7" x14ac:dyDescent="0.25">
      <c r="A518" s="75">
        <v>6705701</v>
      </c>
      <c r="B518" s="73" t="s">
        <v>858</v>
      </c>
      <c r="C518" s="68">
        <v>5</v>
      </c>
      <c r="D518" s="73" t="s">
        <v>2960</v>
      </c>
      <c r="E518" s="77">
        <v>57.47473910630427</v>
      </c>
      <c r="F518" s="77">
        <v>60.808161797996576</v>
      </c>
      <c r="G518" s="76">
        <v>0.17904469398988082</v>
      </c>
    </row>
    <row r="519" spans="1:7" x14ac:dyDescent="0.25">
      <c r="A519" s="75">
        <v>6705701</v>
      </c>
      <c r="B519" s="73" t="s">
        <v>858</v>
      </c>
      <c r="C519" s="68">
        <v>6</v>
      </c>
      <c r="D519" s="73" t="s">
        <v>2960</v>
      </c>
      <c r="E519" s="77">
        <v>65.092739106304265</v>
      </c>
      <c r="F519" s="77">
        <v>60.808161797996576</v>
      </c>
      <c r="G519" s="76">
        <v>0.17904469398988082</v>
      </c>
    </row>
    <row r="520" spans="1:7" x14ac:dyDescent="0.25">
      <c r="A520" s="75">
        <v>6705701</v>
      </c>
      <c r="B520" s="73" t="s">
        <v>858</v>
      </c>
      <c r="C520" s="68">
        <v>7</v>
      </c>
      <c r="D520" s="73" t="s">
        <v>2960</v>
      </c>
      <c r="E520" s="77">
        <v>57.47473910630427</v>
      </c>
      <c r="F520" s="77">
        <v>60.808161797996576</v>
      </c>
      <c r="G520" s="76">
        <v>0.17904469398988082</v>
      </c>
    </row>
    <row r="521" spans="1:7" x14ac:dyDescent="0.25">
      <c r="A521" s="75">
        <v>6705701</v>
      </c>
      <c r="B521" s="73" t="s">
        <v>858</v>
      </c>
      <c r="C521" s="68">
        <v>8</v>
      </c>
      <c r="D521" s="73" t="s">
        <v>2959</v>
      </c>
      <c r="E521" s="77">
        <v>23.614744197710088</v>
      </c>
      <c r="F521" s="77">
        <v>52.428675145249692</v>
      </c>
      <c r="G521" s="76">
        <v>0.13515932602819533</v>
      </c>
    </row>
    <row r="522" spans="1:7" x14ac:dyDescent="0.25">
      <c r="A522" s="75">
        <v>6705701</v>
      </c>
      <c r="B522" s="73" t="s">
        <v>858</v>
      </c>
      <c r="C522" s="68">
        <v>9</v>
      </c>
      <c r="D522" s="73" t="s">
        <v>2960</v>
      </c>
      <c r="E522" s="77">
        <v>57.47473910630427</v>
      </c>
      <c r="F522" s="77">
        <v>60.808161797996576</v>
      </c>
      <c r="G522" s="76">
        <v>0.17904469398988082</v>
      </c>
    </row>
    <row r="523" spans="1:7" x14ac:dyDescent="0.25">
      <c r="A523" s="75">
        <v>6705701</v>
      </c>
      <c r="B523" s="73" t="s">
        <v>858</v>
      </c>
      <c r="C523" s="68">
        <v>99</v>
      </c>
      <c r="D523" s="73" t="s">
        <v>2962</v>
      </c>
      <c r="E523" s="77">
        <v>23.238889504509224</v>
      </c>
      <c r="F523" s="77">
        <v>51.720368915520481</v>
      </c>
      <c r="G523" s="76">
        <v>0.13333333686546051</v>
      </c>
    </row>
    <row r="524" spans="1:7" x14ac:dyDescent="0.25">
      <c r="A524" s="75">
        <v>6705704</v>
      </c>
      <c r="B524" s="73" t="s">
        <v>2963</v>
      </c>
      <c r="C524" s="68">
        <v>4</v>
      </c>
      <c r="D524" s="73" t="s">
        <v>2962</v>
      </c>
      <c r="E524" s="77">
        <v>23.238889504509224</v>
      </c>
      <c r="F524" s="77">
        <v>51.720368915520481</v>
      </c>
      <c r="G524" s="76">
        <v>0.13333333686546051</v>
      </c>
    </row>
    <row r="525" spans="1:7" x14ac:dyDescent="0.25">
      <c r="A525" s="75">
        <v>6706001</v>
      </c>
      <c r="B525" s="73" t="s">
        <v>2964</v>
      </c>
      <c r="C525" s="68">
        <v>9</v>
      </c>
      <c r="D525" s="73" t="s">
        <v>2871</v>
      </c>
      <c r="E525" s="77">
        <v>32.625131338762813</v>
      </c>
      <c r="F525" s="77">
        <v>178.87749751003233</v>
      </c>
      <c r="G525" s="76">
        <v>0.13222107390896642</v>
      </c>
    </row>
    <row r="526" spans="1:7" x14ac:dyDescent="0.25">
      <c r="A526" s="75">
        <v>6706101</v>
      </c>
      <c r="B526" s="73" t="s">
        <v>1350</v>
      </c>
      <c r="C526" s="68">
        <v>4</v>
      </c>
      <c r="D526" s="73" t="s">
        <v>2965</v>
      </c>
      <c r="E526" s="77">
        <v>173.04937285223366</v>
      </c>
      <c r="F526" s="77">
        <v>225.6485722150212</v>
      </c>
      <c r="G526" s="76">
        <v>0.5</v>
      </c>
    </row>
    <row r="527" spans="1:7" x14ac:dyDescent="0.25">
      <c r="A527" s="75">
        <v>6706102</v>
      </c>
      <c r="B527" s="73" t="s">
        <v>860</v>
      </c>
      <c r="C527" s="68">
        <v>3</v>
      </c>
      <c r="D527" s="73" t="s">
        <v>2965</v>
      </c>
      <c r="E527" s="77">
        <v>185.74603951890032</v>
      </c>
      <c r="F527" s="77">
        <v>225.6485722150212</v>
      </c>
      <c r="G527" s="76">
        <v>0.5</v>
      </c>
    </row>
    <row r="528" spans="1:7" x14ac:dyDescent="0.25">
      <c r="A528" s="75">
        <v>6706102</v>
      </c>
      <c r="B528" s="73" t="s">
        <v>860</v>
      </c>
      <c r="C528" s="68">
        <v>99</v>
      </c>
      <c r="D528" s="73" t="s">
        <v>2965</v>
      </c>
      <c r="E528" s="77">
        <v>173.04937285223366</v>
      </c>
      <c r="F528" s="77">
        <v>225.6485722150212</v>
      </c>
      <c r="G528" s="76">
        <v>0.5</v>
      </c>
    </row>
    <row r="529" spans="1:7" x14ac:dyDescent="0.25">
      <c r="A529" s="75">
        <v>6706201</v>
      </c>
      <c r="B529" s="73" t="s">
        <v>862</v>
      </c>
      <c r="C529" s="68">
        <v>2</v>
      </c>
      <c r="D529" s="73" t="s">
        <v>2966</v>
      </c>
      <c r="E529" s="77">
        <v>65.090568873127651</v>
      </c>
      <c r="F529" s="77">
        <v>324.78925214104112</v>
      </c>
      <c r="G529" s="76">
        <v>0.19266728825609938</v>
      </c>
    </row>
    <row r="530" spans="1:7" x14ac:dyDescent="0.25">
      <c r="A530" s="75">
        <v>6706201</v>
      </c>
      <c r="B530" s="73" t="s">
        <v>862</v>
      </c>
      <c r="C530" s="68">
        <v>4</v>
      </c>
      <c r="D530" s="73" t="s">
        <v>2967</v>
      </c>
      <c r="E530" s="77">
        <v>24.376457431897002</v>
      </c>
      <c r="F530" s="77">
        <v>324.17214561364864</v>
      </c>
      <c r="G530" s="76">
        <v>0.14374514702050986</v>
      </c>
    </row>
    <row r="531" spans="1:7" x14ac:dyDescent="0.25">
      <c r="A531" s="75">
        <v>6706201</v>
      </c>
      <c r="B531" s="73" t="s">
        <v>862</v>
      </c>
      <c r="C531" s="68">
        <v>7</v>
      </c>
      <c r="D531" s="73" t="s">
        <v>2966</v>
      </c>
      <c r="E531" s="77">
        <v>58.742235539794329</v>
      </c>
      <c r="F531" s="77">
        <v>324.78925214104117</v>
      </c>
      <c r="G531" s="76">
        <v>0.19266728825609938</v>
      </c>
    </row>
    <row r="532" spans="1:7" x14ac:dyDescent="0.25">
      <c r="A532" s="75">
        <v>6706201</v>
      </c>
      <c r="B532" s="73" t="s">
        <v>862</v>
      </c>
      <c r="C532" s="68">
        <v>9</v>
      </c>
      <c r="D532" s="73" t="s">
        <v>2966</v>
      </c>
      <c r="E532" s="77">
        <v>58.742235539794329</v>
      </c>
      <c r="F532" s="77">
        <v>324.78925214104112</v>
      </c>
      <c r="G532" s="76">
        <v>0.19266728825609938</v>
      </c>
    </row>
    <row r="533" spans="1:7" x14ac:dyDescent="0.25">
      <c r="A533" s="75">
        <v>6706201</v>
      </c>
      <c r="B533" s="73" t="s">
        <v>862</v>
      </c>
      <c r="C533" s="68">
        <v>99</v>
      </c>
      <c r="D533" s="73" t="s">
        <v>2967</v>
      </c>
      <c r="E533" s="77">
        <v>24.376457431897002</v>
      </c>
      <c r="F533" s="77">
        <v>324.17214561364864</v>
      </c>
      <c r="G533" s="76">
        <v>0.14374514702050986</v>
      </c>
    </row>
    <row r="534" spans="1:7" x14ac:dyDescent="0.25">
      <c r="A534" s="75">
        <v>6706301</v>
      </c>
      <c r="B534" s="73" t="s">
        <v>864</v>
      </c>
      <c r="C534" s="68">
        <v>4</v>
      </c>
      <c r="D534" s="73" t="s">
        <v>2968</v>
      </c>
      <c r="E534" s="77">
        <v>25.82098757831848</v>
      </c>
      <c r="F534" s="77">
        <v>200.42470644074041</v>
      </c>
      <c r="G534" s="76">
        <v>0.16049382668809004</v>
      </c>
    </row>
    <row r="535" spans="1:7" x14ac:dyDescent="0.25">
      <c r="A535" s="75">
        <v>6707301</v>
      </c>
      <c r="B535" s="73" t="s">
        <v>1351</v>
      </c>
      <c r="C535" s="68">
        <v>3</v>
      </c>
      <c r="D535" s="73" t="s">
        <v>2969</v>
      </c>
      <c r="E535" s="77">
        <v>148.24164572095791</v>
      </c>
      <c r="F535" s="77">
        <v>372.22153513725539</v>
      </c>
      <c r="G535" s="76">
        <v>0.5216126880359131</v>
      </c>
    </row>
    <row r="536" spans="1:7" x14ac:dyDescent="0.25">
      <c r="A536" s="75">
        <v>6707301</v>
      </c>
      <c r="B536" s="73" t="s">
        <v>1351</v>
      </c>
      <c r="C536" s="68">
        <v>4</v>
      </c>
      <c r="D536" s="73" t="s">
        <v>2970</v>
      </c>
      <c r="E536" s="77">
        <v>140</v>
      </c>
      <c r="F536" s="77">
        <v>384.61896069182296</v>
      </c>
      <c r="G536" s="76">
        <v>0.53898582166145304</v>
      </c>
    </row>
    <row r="537" spans="1:7" x14ac:dyDescent="0.25">
      <c r="A537" s="75">
        <v>6707301</v>
      </c>
      <c r="B537" s="73" t="s">
        <v>1351</v>
      </c>
      <c r="C537" s="68">
        <v>9</v>
      </c>
      <c r="D537" s="73" t="s">
        <v>2971</v>
      </c>
      <c r="E537" s="77">
        <v>149.79903996716112</v>
      </c>
      <c r="F537" s="77">
        <v>374.83702531596151</v>
      </c>
      <c r="G537" s="76">
        <v>0.67496283869859608</v>
      </c>
    </row>
    <row r="538" spans="1:7" x14ac:dyDescent="0.25">
      <c r="A538" s="75">
        <v>6709701</v>
      </c>
      <c r="B538" s="73" t="s">
        <v>1353</v>
      </c>
      <c r="C538" s="68">
        <v>1</v>
      </c>
      <c r="D538" s="73" t="s">
        <v>2972</v>
      </c>
      <c r="E538" s="77">
        <v>62.418352258865745</v>
      </c>
      <c r="F538" s="77">
        <v>49.871054496472389</v>
      </c>
      <c r="G538" s="76">
        <v>0.17979144139815909</v>
      </c>
    </row>
    <row r="539" spans="1:7" x14ac:dyDescent="0.25">
      <c r="A539" s="75">
        <v>6709701</v>
      </c>
      <c r="B539" s="73" t="s">
        <v>1353</v>
      </c>
      <c r="C539" s="68">
        <v>4</v>
      </c>
      <c r="D539" s="73" t="s">
        <v>2973</v>
      </c>
      <c r="E539" s="77">
        <v>41.656652826631714</v>
      </c>
      <c r="F539" s="77">
        <v>51.367186131366559</v>
      </c>
      <c r="G539" s="76">
        <v>0.18518518464010389</v>
      </c>
    </row>
    <row r="540" spans="1:7" x14ac:dyDescent="0.25">
      <c r="A540" s="75">
        <v>6709701</v>
      </c>
      <c r="B540" s="73" t="s">
        <v>1353</v>
      </c>
      <c r="C540" s="68">
        <v>7</v>
      </c>
      <c r="D540" s="73" t="s">
        <v>2972</v>
      </c>
      <c r="E540" s="77">
        <v>49.965852258865745</v>
      </c>
      <c r="F540" s="77">
        <v>49.871054496472389</v>
      </c>
      <c r="G540" s="76">
        <v>0.17979144139815909</v>
      </c>
    </row>
    <row r="541" spans="1:7" x14ac:dyDescent="0.25">
      <c r="A541" s="75">
        <v>6709701</v>
      </c>
      <c r="B541" s="73" t="s">
        <v>1353</v>
      </c>
      <c r="C541" s="68">
        <v>99</v>
      </c>
      <c r="D541" s="73" t="s">
        <v>2974</v>
      </c>
      <c r="E541" s="77">
        <v>33.741888888888887</v>
      </c>
      <c r="F541" s="77">
        <v>41.607420888875843</v>
      </c>
      <c r="G541" s="76">
        <v>0.19417910447761194</v>
      </c>
    </row>
    <row r="542" spans="1:7" x14ac:dyDescent="0.25">
      <c r="A542" s="75">
        <v>6709901</v>
      </c>
      <c r="B542" s="73" t="s">
        <v>2975</v>
      </c>
      <c r="C542" s="68">
        <v>8</v>
      </c>
      <c r="D542" s="73" t="s">
        <v>2976</v>
      </c>
      <c r="E542" s="77">
        <v>34.076579208911483</v>
      </c>
      <c r="F542" s="77">
        <v>81.003697400526093</v>
      </c>
      <c r="G542" s="76">
        <v>0.14698576316186934</v>
      </c>
    </row>
    <row r="543" spans="1:7" x14ac:dyDescent="0.25">
      <c r="A543" s="75">
        <v>6709901</v>
      </c>
      <c r="B543" s="73" t="s">
        <v>2975</v>
      </c>
      <c r="C543" s="68">
        <v>9</v>
      </c>
      <c r="D543" s="73" t="s">
        <v>2976</v>
      </c>
      <c r="E543" s="77">
        <v>43.599079208911483</v>
      </c>
      <c r="F543" s="77">
        <v>81.003697400526093</v>
      </c>
      <c r="G543" s="76">
        <v>0.14698576316186934</v>
      </c>
    </row>
    <row r="544" spans="1:7" x14ac:dyDescent="0.25">
      <c r="A544" s="75">
        <v>6709901</v>
      </c>
      <c r="B544" s="73" t="s">
        <v>2975</v>
      </c>
      <c r="C544" s="68">
        <v>99</v>
      </c>
      <c r="D544" s="73" t="s">
        <v>2976</v>
      </c>
      <c r="E544" s="77">
        <v>46.773245875578148</v>
      </c>
      <c r="F544" s="77">
        <v>81.003697400526093</v>
      </c>
      <c r="G544" s="76">
        <v>0.14698576316186934</v>
      </c>
    </row>
    <row r="545" spans="1:7" x14ac:dyDescent="0.25">
      <c r="A545" s="75">
        <v>6710101</v>
      </c>
      <c r="B545" s="73" t="s">
        <v>2977</v>
      </c>
      <c r="C545" s="68">
        <v>4</v>
      </c>
      <c r="D545" s="73" t="s">
        <v>2852</v>
      </c>
      <c r="E545" s="77">
        <v>48.867134659568684</v>
      </c>
      <c r="F545" s="77">
        <v>111.7613263913026</v>
      </c>
      <c r="G545" s="76">
        <v>0.18881119573674218</v>
      </c>
    </row>
    <row r="546" spans="1:7" x14ac:dyDescent="0.25">
      <c r="A546" s="75">
        <v>6710101</v>
      </c>
      <c r="B546" s="73" t="s">
        <v>2977</v>
      </c>
      <c r="C546" s="68">
        <v>99</v>
      </c>
      <c r="D546" s="73" t="s">
        <v>2850</v>
      </c>
      <c r="E546" s="77">
        <v>61.465026643167924</v>
      </c>
      <c r="F546" s="77">
        <v>111.40369048791895</v>
      </c>
      <c r="G546" s="76">
        <v>0.18820700048659067</v>
      </c>
    </row>
    <row r="547" spans="1:7" x14ac:dyDescent="0.25">
      <c r="A547" s="75">
        <v>6710701</v>
      </c>
      <c r="B547" s="73" t="s">
        <v>2978</v>
      </c>
      <c r="C547" s="68">
        <v>2</v>
      </c>
      <c r="D547" s="73" t="s">
        <v>2796</v>
      </c>
      <c r="E547" s="77">
        <v>108.9319187240875</v>
      </c>
      <c r="F547" s="77">
        <v>91.955239292720307</v>
      </c>
      <c r="G547" s="76">
        <v>0.22935518881937167</v>
      </c>
    </row>
    <row r="548" spans="1:7" x14ac:dyDescent="0.25">
      <c r="A548" s="75">
        <v>6710701</v>
      </c>
      <c r="B548" s="73" t="s">
        <v>2978</v>
      </c>
      <c r="C548" s="68">
        <v>3</v>
      </c>
      <c r="D548" s="73" t="s">
        <v>2796</v>
      </c>
      <c r="E548" s="77">
        <v>108.9319187240875</v>
      </c>
      <c r="F548" s="77">
        <v>91.955239292720307</v>
      </c>
      <c r="G548" s="76">
        <v>0.22935518881937167</v>
      </c>
    </row>
    <row r="549" spans="1:7" x14ac:dyDescent="0.25">
      <c r="A549" s="75">
        <v>6710701</v>
      </c>
      <c r="B549" s="73" t="s">
        <v>2978</v>
      </c>
      <c r="C549" s="68">
        <v>4</v>
      </c>
      <c r="D549" s="73" t="s">
        <v>2796</v>
      </c>
      <c r="E549" s="77">
        <v>231.19490351496202</v>
      </c>
      <c r="F549" s="77">
        <v>224.81334350373186</v>
      </c>
      <c r="G549" s="76">
        <v>0.5237468238003602</v>
      </c>
    </row>
    <row r="550" spans="1:7" x14ac:dyDescent="0.25">
      <c r="A550" s="75">
        <v>6710701</v>
      </c>
      <c r="B550" s="73" t="s">
        <v>2978</v>
      </c>
      <c r="C550" s="68">
        <v>9</v>
      </c>
      <c r="D550" s="73" t="s">
        <v>2796</v>
      </c>
      <c r="E550" s="77">
        <v>102.58358539075415</v>
      </c>
      <c r="F550" s="77">
        <v>91.955239292720307</v>
      </c>
      <c r="G550" s="76">
        <v>0.22935518881937167</v>
      </c>
    </row>
    <row r="551" spans="1:7" x14ac:dyDescent="0.25">
      <c r="A551" s="75">
        <v>6710701</v>
      </c>
      <c r="B551" s="73" t="s">
        <v>2978</v>
      </c>
      <c r="C551" s="68">
        <v>99</v>
      </c>
      <c r="D551" s="73" t="s">
        <v>2796</v>
      </c>
      <c r="E551" s="77">
        <v>102.58358539075415</v>
      </c>
      <c r="F551" s="77">
        <v>91.955239292720307</v>
      </c>
      <c r="G551" s="76">
        <v>0.22935518881937167</v>
      </c>
    </row>
    <row r="552" spans="1:7" x14ac:dyDescent="0.25">
      <c r="A552" s="75">
        <v>6711001</v>
      </c>
      <c r="B552" s="73" t="s">
        <v>2979</v>
      </c>
      <c r="C552" s="68">
        <v>4</v>
      </c>
      <c r="D552" s="73" t="s">
        <v>2864</v>
      </c>
      <c r="E552" s="77">
        <v>12.82973634306776</v>
      </c>
      <c r="F552" s="77">
        <v>95.814563862238543</v>
      </c>
      <c r="G552" s="76">
        <v>0.14988009746574485</v>
      </c>
    </row>
    <row r="553" spans="1:7" x14ac:dyDescent="0.25">
      <c r="A553" s="75">
        <v>6711101</v>
      </c>
      <c r="B553" s="73" t="s">
        <v>2980</v>
      </c>
      <c r="C553" s="68">
        <v>3</v>
      </c>
      <c r="D553" s="73" t="s">
        <v>2981</v>
      </c>
      <c r="E553" s="77">
        <v>108.72877480031237</v>
      </c>
      <c r="F553" s="77">
        <v>89.212559584037379</v>
      </c>
      <c r="G553" s="76">
        <v>0.71962661415577689</v>
      </c>
    </row>
    <row r="554" spans="1:7" x14ac:dyDescent="0.25">
      <c r="A554" s="75">
        <v>6711101</v>
      </c>
      <c r="B554" s="73" t="s">
        <v>2980</v>
      </c>
      <c r="C554" s="68">
        <v>9</v>
      </c>
      <c r="D554" s="73" t="s">
        <v>2982</v>
      </c>
      <c r="E554" s="77">
        <v>111.52227633184309</v>
      </c>
      <c r="F554" s="77">
        <v>88.459731983080559</v>
      </c>
      <c r="G554" s="76">
        <v>0.30571279765639697</v>
      </c>
    </row>
    <row r="555" spans="1:7" x14ac:dyDescent="0.25">
      <c r="A555" s="75">
        <v>6711201</v>
      </c>
      <c r="B555" s="73" t="s">
        <v>2983</v>
      </c>
      <c r="C555" s="68">
        <v>4</v>
      </c>
      <c r="D555" s="73" t="s">
        <v>2984</v>
      </c>
      <c r="E555" s="77">
        <v>173.04937285223366</v>
      </c>
      <c r="F555" s="77">
        <v>225.6485722150212</v>
      </c>
      <c r="G555" s="76">
        <v>0.5</v>
      </c>
    </row>
    <row r="556" spans="1:7" x14ac:dyDescent="0.25">
      <c r="A556" s="75">
        <v>6711201</v>
      </c>
      <c r="B556" s="73" t="s">
        <v>2983</v>
      </c>
      <c r="C556" s="68">
        <v>8</v>
      </c>
      <c r="D556" s="73" t="s">
        <v>2984</v>
      </c>
      <c r="E556" s="77">
        <v>175.98241307006813</v>
      </c>
      <c r="F556" s="77">
        <v>229.47312428646222</v>
      </c>
      <c r="G556" s="76">
        <v>0.50847457627118642</v>
      </c>
    </row>
    <row r="557" spans="1:7" x14ac:dyDescent="0.25">
      <c r="A557" s="75">
        <v>6711401</v>
      </c>
      <c r="B557" s="73" t="s">
        <v>2985</v>
      </c>
      <c r="C557" s="68">
        <v>3</v>
      </c>
      <c r="D557" s="73" t="s">
        <v>2986</v>
      </c>
      <c r="E557" s="77">
        <v>73.991165048543664</v>
      </c>
      <c r="F557" s="77">
        <v>315.76274980141727</v>
      </c>
      <c r="G557" s="76">
        <v>0.55837041124911191</v>
      </c>
    </row>
    <row r="558" spans="1:7" x14ac:dyDescent="0.25">
      <c r="A558" s="75">
        <v>6711401</v>
      </c>
      <c r="B558" s="73" t="s">
        <v>2985</v>
      </c>
      <c r="C558" s="68">
        <v>9</v>
      </c>
      <c r="D558" s="73" t="s">
        <v>2986</v>
      </c>
      <c r="E558" s="77">
        <v>70.816998381876999</v>
      </c>
      <c r="F558" s="77">
        <v>315.76274980141727</v>
      </c>
      <c r="G558" s="76">
        <v>0.55837041124911191</v>
      </c>
    </row>
    <row r="559" spans="1:7" x14ac:dyDescent="0.25">
      <c r="A559" s="75"/>
      <c r="B559" s="72" t="s">
        <v>13</v>
      </c>
      <c r="C559" s="68"/>
      <c r="D559" s="73"/>
      <c r="E559" s="77"/>
      <c r="F559" s="77"/>
      <c r="G559" s="76"/>
    </row>
    <row r="560" spans="1:7" x14ac:dyDescent="0.25">
      <c r="A560" s="75">
        <v>6800701</v>
      </c>
      <c r="B560" s="73" t="s">
        <v>2987</v>
      </c>
      <c r="C560" s="68">
        <v>3</v>
      </c>
      <c r="D560" s="73" t="s">
        <v>2988</v>
      </c>
      <c r="E560" s="77">
        <v>144.97478211384228</v>
      </c>
      <c r="F560" s="77">
        <v>145.83088863408989</v>
      </c>
      <c r="G560" s="76">
        <v>0.70868800268986676</v>
      </c>
    </row>
    <row r="561" spans="1:7" x14ac:dyDescent="0.25">
      <c r="A561" s="75">
        <v>6800701</v>
      </c>
      <c r="B561" s="73" t="s">
        <v>2987</v>
      </c>
      <c r="C561" s="68">
        <v>4</v>
      </c>
      <c r="D561" s="73" t="s">
        <v>2989</v>
      </c>
      <c r="E561" s="77">
        <v>138.62644878050895</v>
      </c>
      <c r="F561" s="77">
        <v>145.83088863408989</v>
      </c>
      <c r="G561" s="76">
        <v>0.70868800268986676</v>
      </c>
    </row>
    <row r="562" spans="1:7" x14ac:dyDescent="0.25">
      <c r="A562" s="75">
        <v>6800701</v>
      </c>
      <c r="B562" s="73" t="s">
        <v>2987</v>
      </c>
      <c r="C562" s="68">
        <v>99</v>
      </c>
      <c r="D562" s="73" t="s">
        <v>2988</v>
      </c>
      <c r="E562" s="77">
        <v>155.10769878050894</v>
      </c>
      <c r="F562" s="77">
        <v>145.83088863408989</v>
      </c>
      <c r="G562" s="76">
        <v>0.70868800268986676</v>
      </c>
    </row>
    <row r="563" spans="1:7" x14ac:dyDescent="0.25">
      <c r="A563" s="75">
        <v>6800901</v>
      </c>
      <c r="B563" s="73" t="s">
        <v>2990</v>
      </c>
      <c r="C563" s="68">
        <v>4</v>
      </c>
      <c r="D563" s="73" t="s">
        <v>2989</v>
      </c>
      <c r="E563" s="77">
        <v>138.62644878050895</v>
      </c>
      <c r="F563" s="77">
        <v>145.83088863408989</v>
      </c>
      <c r="G563" s="76">
        <v>0.70868800268986676</v>
      </c>
    </row>
    <row r="564" spans="1:7" x14ac:dyDescent="0.25">
      <c r="A564" s="75">
        <v>6801001</v>
      </c>
      <c r="B564" s="73" t="s">
        <v>2991</v>
      </c>
      <c r="C564" s="68">
        <v>1</v>
      </c>
      <c r="D564" s="73" t="s">
        <v>2988</v>
      </c>
      <c r="E564" s="77">
        <v>155.10769878050894</v>
      </c>
      <c r="F564" s="77">
        <v>145.83088863408989</v>
      </c>
      <c r="G564" s="76">
        <v>0.70868800268986676</v>
      </c>
    </row>
    <row r="565" spans="1:7" x14ac:dyDescent="0.25">
      <c r="A565" s="75">
        <v>6801001</v>
      </c>
      <c r="B565" s="73" t="s">
        <v>2991</v>
      </c>
      <c r="C565" s="68">
        <v>2</v>
      </c>
      <c r="D565" s="73" t="s">
        <v>2988</v>
      </c>
      <c r="E565" s="77">
        <v>144.97478211384228</v>
      </c>
      <c r="F565" s="77">
        <v>145.83088863408989</v>
      </c>
      <c r="G565" s="76">
        <v>0.70868800268986676</v>
      </c>
    </row>
    <row r="566" spans="1:7" x14ac:dyDescent="0.25">
      <c r="A566" s="75">
        <v>6801001</v>
      </c>
      <c r="B566" s="73" t="s">
        <v>2991</v>
      </c>
      <c r="C566" s="68">
        <v>3</v>
      </c>
      <c r="D566" s="73" t="s">
        <v>2988</v>
      </c>
      <c r="E566" s="77">
        <v>144.97478211384228</v>
      </c>
      <c r="F566" s="77">
        <v>145.83088863408989</v>
      </c>
      <c r="G566" s="76">
        <v>0.70868800268986676</v>
      </c>
    </row>
    <row r="567" spans="1:7" x14ac:dyDescent="0.25">
      <c r="A567" s="75">
        <v>6801001</v>
      </c>
      <c r="B567" s="73" t="s">
        <v>2991</v>
      </c>
      <c r="C567" s="68">
        <v>4</v>
      </c>
      <c r="D567" s="73" t="s">
        <v>2988</v>
      </c>
      <c r="E567" s="77">
        <v>138.62644878050895</v>
      </c>
      <c r="F567" s="77">
        <v>145.83088863408989</v>
      </c>
      <c r="G567" s="76">
        <v>0.70868800268986676</v>
      </c>
    </row>
    <row r="568" spans="1:7" x14ac:dyDescent="0.25">
      <c r="A568" s="75">
        <v>6801001</v>
      </c>
      <c r="B568" s="73" t="s">
        <v>2991</v>
      </c>
      <c r="C568" s="68">
        <v>5</v>
      </c>
      <c r="D568" s="73" t="s">
        <v>2992</v>
      </c>
      <c r="E568" s="77">
        <v>199.57647577575514</v>
      </c>
      <c r="F568" s="77">
        <v>228.87030733314839</v>
      </c>
      <c r="G568" s="76">
        <v>1.3424618410072848</v>
      </c>
    </row>
    <row r="569" spans="1:7" x14ac:dyDescent="0.25">
      <c r="A569" s="75">
        <v>6801001</v>
      </c>
      <c r="B569" s="73" t="s">
        <v>2991</v>
      </c>
      <c r="C569" s="68">
        <v>6</v>
      </c>
      <c r="D569" s="73" t="s">
        <v>2988</v>
      </c>
      <c r="E569" s="77">
        <v>138.62644878050895</v>
      </c>
      <c r="F569" s="77">
        <v>145.83088863408989</v>
      </c>
      <c r="G569" s="76">
        <v>0.70868800268986676</v>
      </c>
    </row>
    <row r="570" spans="1:7" x14ac:dyDescent="0.25">
      <c r="A570" s="75">
        <v>6801001</v>
      </c>
      <c r="B570" s="73" t="s">
        <v>2991</v>
      </c>
      <c r="C570" s="68">
        <v>7</v>
      </c>
      <c r="D570" s="73" t="s">
        <v>2993</v>
      </c>
      <c r="E570" s="77">
        <v>189.71597404880566</v>
      </c>
      <c r="F570" s="77">
        <v>212.17603189066946</v>
      </c>
      <c r="G570" s="76">
        <v>1.1853387232009416</v>
      </c>
    </row>
    <row r="571" spans="1:7" x14ac:dyDescent="0.25">
      <c r="A571" s="75">
        <v>6801001</v>
      </c>
      <c r="B571" s="73" t="s">
        <v>2991</v>
      </c>
      <c r="C571" s="68">
        <v>8</v>
      </c>
      <c r="D571" s="73" t="s">
        <v>2988</v>
      </c>
      <c r="E571" s="77">
        <v>138.62644878050895</v>
      </c>
      <c r="F571" s="77">
        <v>145.83088863408989</v>
      </c>
      <c r="G571" s="76">
        <v>0.70868800268986676</v>
      </c>
    </row>
    <row r="572" spans="1:7" x14ac:dyDescent="0.25">
      <c r="A572" s="75">
        <v>6801001</v>
      </c>
      <c r="B572" s="73" t="s">
        <v>2991</v>
      </c>
      <c r="C572" s="68">
        <v>9</v>
      </c>
      <c r="D572" s="73" t="s">
        <v>2988</v>
      </c>
      <c r="E572" s="77">
        <v>144.97478211384228</v>
      </c>
      <c r="F572" s="77">
        <v>145.83088863408989</v>
      </c>
      <c r="G572" s="76">
        <v>0.70868800268986676</v>
      </c>
    </row>
    <row r="573" spans="1:7" x14ac:dyDescent="0.25">
      <c r="A573" s="75">
        <v>6801001</v>
      </c>
      <c r="B573" s="73" t="s">
        <v>2991</v>
      </c>
      <c r="C573" s="68">
        <v>99</v>
      </c>
      <c r="D573" s="73" t="s">
        <v>2988</v>
      </c>
      <c r="E573" s="77">
        <v>155.10769878050894</v>
      </c>
      <c r="F573" s="77">
        <v>145.83088863408989</v>
      </c>
      <c r="G573" s="76">
        <v>0.70868800268986676</v>
      </c>
    </row>
    <row r="574" spans="1:7" x14ac:dyDescent="0.25">
      <c r="A574" s="75">
        <v>6801002</v>
      </c>
      <c r="B574" s="73" t="s">
        <v>2994</v>
      </c>
      <c r="C574" s="68">
        <v>1</v>
      </c>
      <c r="D574" s="73" t="s">
        <v>2988</v>
      </c>
      <c r="E574" s="77">
        <v>155.10769878050894</v>
      </c>
      <c r="F574" s="77">
        <v>145.83088863408989</v>
      </c>
      <c r="G574" s="76">
        <v>0.70868800268986676</v>
      </c>
    </row>
    <row r="575" spans="1:7" x14ac:dyDescent="0.25">
      <c r="A575" s="75">
        <v>6801002</v>
      </c>
      <c r="B575" s="73" t="s">
        <v>2994</v>
      </c>
      <c r="C575" s="68">
        <v>2</v>
      </c>
      <c r="D575" s="73" t="s">
        <v>2988</v>
      </c>
      <c r="E575" s="77">
        <v>144.97478211384228</v>
      </c>
      <c r="F575" s="77">
        <v>145.83088863408989</v>
      </c>
      <c r="G575" s="76">
        <v>0.70868800268986676</v>
      </c>
    </row>
    <row r="576" spans="1:7" x14ac:dyDescent="0.25">
      <c r="A576" s="75">
        <v>6801002</v>
      </c>
      <c r="B576" s="73" t="s">
        <v>2994</v>
      </c>
      <c r="C576" s="68">
        <v>3</v>
      </c>
      <c r="D576" s="73" t="s">
        <v>2988</v>
      </c>
      <c r="E576" s="77">
        <v>144.97478211384228</v>
      </c>
      <c r="F576" s="77">
        <v>145.83088863408989</v>
      </c>
      <c r="G576" s="76">
        <v>0.70868800268986676</v>
      </c>
    </row>
    <row r="577" spans="1:7" x14ac:dyDescent="0.25">
      <c r="A577" s="75">
        <v>6801002</v>
      </c>
      <c r="B577" s="73" t="s">
        <v>2994</v>
      </c>
      <c r="C577" s="68">
        <v>4</v>
      </c>
      <c r="D577" s="73" t="s">
        <v>2988</v>
      </c>
      <c r="E577" s="77">
        <v>138.62644878050895</v>
      </c>
      <c r="F577" s="77">
        <v>145.83088863408989</v>
      </c>
      <c r="G577" s="76">
        <v>0.70868800268986676</v>
      </c>
    </row>
    <row r="578" spans="1:7" x14ac:dyDescent="0.25">
      <c r="A578" s="75">
        <v>6801002</v>
      </c>
      <c r="B578" s="73" t="s">
        <v>2994</v>
      </c>
      <c r="C578" s="68">
        <v>7</v>
      </c>
      <c r="D578" s="73" t="s">
        <v>2993</v>
      </c>
      <c r="E578" s="77">
        <v>189.71597404880566</v>
      </c>
      <c r="F578" s="77">
        <v>212.17603189066946</v>
      </c>
      <c r="G578" s="76">
        <v>1.1853387232009416</v>
      </c>
    </row>
    <row r="579" spans="1:7" x14ac:dyDescent="0.25">
      <c r="A579" s="75">
        <v>6801002</v>
      </c>
      <c r="B579" s="73" t="s">
        <v>2994</v>
      </c>
      <c r="C579" s="68">
        <v>99</v>
      </c>
      <c r="D579" s="73" t="s">
        <v>2988</v>
      </c>
      <c r="E579" s="77">
        <v>155.10769878050894</v>
      </c>
      <c r="F579" s="77">
        <v>145.83088863408989</v>
      </c>
      <c r="G579" s="76">
        <v>0.70868800268986676</v>
      </c>
    </row>
    <row r="580" spans="1:7" x14ac:dyDescent="0.25">
      <c r="A580" s="75">
        <v>6801101</v>
      </c>
      <c r="B580" s="73" t="s">
        <v>2995</v>
      </c>
      <c r="C580" s="68">
        <v>99</v>
      </c>
      <c r="D580" s="73" t="s">
        <v>2996</v>
      </c>
      <c r="E580" s="77">
        <v>138.62644878050895</v>
      </c>
      <c r="F580" s="77">
        <v>145.83088863408989</v>
      </c>
      <c r="G580" s="76">
        <v>0.70868800268986676</v>
      </c>
    </row>
    <row r="581" spans="1:7" x14ac:dyDescent="0.25">
      <c r="A581" s="75">
        <v>6801801</v>
      </c>
      <c r="B581" s="73" t="s">
        <v>867</v>
      </c>
      <c r="C581" s="68">
        <v>99</v>
      </c>
      <c r="D581" s="73" t="s">
        <v>2997</v>
      </c>
      <c r="E581" s="77">
        <v>40.134993585692463</v>
      </c>
      <c r="F581" s="77">
        <v>61.555043755956852</v>
      </c>
      <c r="G581" s="76">
        <v>0.75946627346001061</v>
      </c>
    </row>
    <row r="582" spans="1:7" x14ac:dyDescent="0.25">
      <c r="A582" s="75">
        <v>6801901</v>
      </c>
      <c r="B582" s="73" t="s">
        <v>1354</v>
      </c>
      <c r="C582" s="68">
        <v>99</v>
      </c>
      <c r="D582" s="73" t="s">
        <v>2998</v>
      </c>
      <c r="E582" s="77">
        <v>12.461058810564282</v>
      </c>
      <c r="F582" s="77">
        <v>83.665441862169288</v>
      </c>
      <c r="G582" s="76">
        <v>0.75946627346001061</v>
      </c>
    </row>
    <row r="583" spans="1:7" x14ac:dyDescent="0.25">
      <c r="A583" s="75">
        <v>6802001</v>
      </c>
      <c r="B583" s="73" t="s">
        <v>869</v>
      </c>
      <c r="C583" s="68">
        <v>99</v>
      </c>
      <c r="D583" s="73" t="s">
        <v>2999</v>
      </c>
      <c r="E583" s="77">
        <v>17.582417075695343</v>
      </c>
      <c r="F583" s="77">
        <v>118.05101925976598</v>
      </c>
      <c r="G583" s="76">
        <v>1.0715985678181159</v>
      </c>
    </row>
    <row r="584" spans="1:7" x14ac:dyDescent="0.25">
      <c r="A584" s="75">
        <v>6802201</v>
      </c>
      <c r="B584" s="73" t="s">
        <v>871</v>
      </c>
      <c r="C584" s="68">
        <v>99</v>
      </c>
      <c r="D584" s="73" t="s">
        <v>3000</v>
      </c>
      <c r="E584" s="77">
        <v>78.309861521615957</v>
      </c>
      <c r="F584" s="77">
        <v>72.592650266657856</v>
      </c>
      <c r="G584" s="76">
        <v>0.68672870020385557</v>
      </c>
    </row>
    <row r="585" spans="1:7" x14ac:dyDescent="0.25">
      <c r="A585" s="75">
        <v>6802202</v>
      </c>
      <c r="B585" s="73" t="s">
        <v>873</v>
      </c>
      <c r="C585" s="68">
        <v>99</v>
      </c>
      <c r="D585" s="73" t="s">
        <v>3000</v>
      </c>
      <c r="E585" s="77">
        <v>78.309861521615957</v>
      </c>
      <c r="F585" s="77">
        <v>72.592650266657856</v>
      </c>
      <c r="G585" s="76">
        <v>0.68672870020385557</v>
      </c>
    </row>
    <row r="586" spans="1:7" x14ac:dyDescent="0.25">
      <c r="A586" s="75">
        <v>6802217</v>
      </c>
      <c r="B586" s="73" t="s">
        <v>1355</v>
      </c>
      <c r="C586" s="68">
        <v>99</v>
      </c>
      <c r="D586" s="73" t="s">
        <v>3000</v>
      </c>
      <c r="E586" s="77">
        <v>78.309861521615957</v>
      </c>
      <c r="F586" s="77">
        <v>72.592650266657856</v>
      </c>
      <c r="G586" s="76">
        <v>0.68672870020385557</v>
      </c>
    </row>
    <row r="587" spans="1:7" x14ac:dyDescent="0.25">
      <c r="A587" s="75">
        <v>6802218</v>
      </c>
      <c r="B587" s="73" t="s">
        <v>1356</v>
      </c>
      <c r="C587" s="68">
        <v>99</v>
      </c>
      <c r="D587" s="73" t="s">
        <v>3000</v>
      </c>
      <c r="E587" s="77">
        <v>78.309861521615957</v>
      </c>
      <c r="F587" s="77">
        <v>72.592650266657856</v>
      </c>
      <c r="G587" s="76">
        <v>0.68672870020385557</v>
      </c>
    </row>
    <row r="588" spans="1:7" x14ac:dyDescent="0.25">
      <c r="A588" s="75">
        <v>6802223</v>
      </c>
      <c r="B588" s="73" t="s">
        <v>1357</v>
      </c>
      <c r="C588" s="68">
        <v>99</v>
      </c>
      <c r="D588" s="73" t="s">
        <v>3000</v>
      </c>
      <c r="E588" s="77">
        <v>78.309861521615957</v>
      </c>
      <c r="F588" s="77">
        <v>72.592650266657856</v>
      </c>
      <c r="G588" s="76">
        <v>0.68672870020385557</v>
      </c>
    </row>
    <row r="589" spans="1:7" x14ac:dyDescent="0.25">
      <c r="A589" s="75">
        <v>6802227</v>
      </c>
      <c r="B589" s="73" t="s">
        <v>1358</v>
      </c>
      <c r="C589" s="68">
        <v>99</v>
      </c>
      <c r="D589" s="73" t="s">
        <v>3000</v>
      </c>
      <c r="E589" s="77">
        <v>78.309861521615957</v>
      </c>
      <c r="F589" s="77">
        <v>72.592650266657856</v>
      </c>
      <c r="G589" s="76">
        <v>0.68672870020385557</v>
      </c>
    </row>
    <row r="590" spans="1:7" x14ac:dyDescent="0.25">
      <c r="A590" s="75">
        <v>6802305</v>
      </c>
      <c r="B590" s="73" t="s">
        <v>3001</v>
      </c>
      <c r="C590" s="68">
        <v>99</v>
      </c>
      <c r="D590" s="73" t="s">
        <v>2997</v>
      </c>
      <c r="E590" s="77">
        <v>40.134993585692463</v>
      </c>
      <c r="F590" s="77">
        <v>61.555043755956852</v>
      </c>
      <c r="G590" s="76">
        <v>0.75946627346001061</v>
      </c>
    </row>
    <row r="591" spans="1:7" x14ac:dyDescent="0.25">
      <c r="A591" s="75">
        <v>6802407</v>
      </c>
      <c r="B591" s="73" t="s">
        <v>1359</v>
      </c>
      <c r="C591" s="68">
        <v>99</v>
      </c>
      <c r="D591" s="73" t="s">
        <v>2997</v>
      </c>
      <c r="E591" s="77">
        <v>40.134993585692463</v>
      </c>
      <c r="F591" s="77">
        <v>61.555043755956852</v>
      </c>
      <c r="G591" s="76">
        <v>0.75946627346001061</v>
      </c>
    </row>
    <row r="592" spans="1:7" x14ac:dyDescent="0.25">
      <c r="A592" s="75">
        <v>6802501</v>
      </c>
      <c r="B592" s="73" t="s">
        <v>874</v>
      </c>
      <c r="C592" s="68">
        <v>99</v>
      </c>
      <c r="D592" s="73" t="s">
        <v>3002</v>
      </c>
      <c r="E592" s="77">
        <v>98.290708733486838</v>
      </c>
      <c r="F592" s="77">
        <v>17.595330474337111</v>
      </c>
      <c r="G592" s="76">
        <v>0.48457619739041813</v>
      </c>
    </row>
    <row r="593" spans="1:7" x14ac:dyDescent="0.25">
      <c r="A593" s="75">
        <v>6802601</v>
      </c>
      <c r="B593" s="73" t="s">
        <v>875</v>
      </c>
      <c r="C593" s="68">
        <v>1</v>
      </c>
      <c r="D593" s="73" t="s">
        <v>3003</v>
      </c>
      <c r="E593" s="77">
        <v>57.245810368199841</v>
      </c>
      <c r="F593" s="77">
        <v>35.632491640053658</v>
      </c>
      <c r="G593" s="76">
        <v>0.66056511996515854</v>
      </c>
    </row>
    <row r="594" spans="1:7" x14ac:dyDescent="0.25">
      <c r="A594" s="75">
        <v>6802601</v>
      </c>
      <c r="B594" s="73" t="s">
        <v>875</v>
      </c>
      <c r="C594" s="68">
        <v>2</v>
      </c>
      <c r="D594" s="73" t="s">
        <v>3003</v>
      </c>
      <c r="E594" s="77">
        <v>47.112893701533167</v>
      </c>
      <c r="F594" s="77">
        <v>35.632491640053658</v>
      </c>
      <c r="G594" s="76">
        <v>0.66056511996515854</v>
      </c>
    </row>
    <row r="595" spans="1:7" x14ac:dyDescent="0.25">
      <c r="A595" s="75">
        <v>6802601</v>
      </c>
      <c r="B595" s="73" t="s">
        <v>875</v>
      </c>
      <c r="C595" s="68">
        <v>3</v>
      </c>
      <c r="D595" s="73" t="s">
        <v>3003</v>
      </c>
      <c r="E595" s="77">
        <v>47.112893701533167</v>
      </c>
      <c r="F595" s="77">
        <v>35.632491640053658</v>
      </c>
      <c r="G595" s="76">
        <v>0.66056511996515854</v>
      </c>
    </row>
    <row r="596" spans="1:7" x14ac:dyDescent="0.25">
      <c r="A596" s="75">
        <v>6802601</v>
      </c>
      <c r="B596" s="73" t="s">
        <v>875</v>
      </c>
      <c r="C596" s="68">
        <v>4</v>
      </c>
      <c r="D596" s="73" t="s">
        <v>3004</v>
      </c>
      <c r="E596" s="77">
        <v>40.278636046488671</v>
      </c>
      <c r="F596" s="77">
        <v>24.697451451991984</v>
      </c>
      <c r="G596" s="76">
        <v>0.75476368658664805</v>
      </c>
    </row>
    <row r="597" spans="1:7" x14ac:dyDescent="0.25">
      <c r="A597" s="75">
        <v>6802601</v>
      </c>
      <c r="B597" s="73" t="s">
        <v>875</v>
      </c>
      <c r="C597" s="68">
        <v>8</v>
      </c>
      <c r="D597" s="73" t="s">
        <v>3003</v>
      </c>
      <c r="E597" s="77">
        <v>40.764560368199838</v>
      </c>
      <c r="F597" s="77">
        <v>35.632491640053658</v>
      </c>
      <c r="G597" s="76">
        <v>0.66056511996515854</v>
      </c>
    </row>
    <row r="598" spans="1:7" x14ac:dyDescent="0.25">
      <c r="A598" s="75">
        <v>6802601</v>
      </c>
      <c r="B598" s="73" t="s">
        <v>875</v>
      </c>
      <c r="C598" s="68">
        <v>99</v>
      </c>
      <c r="D598" s="73" t="s">
        <v>3004</v>
      </c>
      <c r="E598" s="77">
        <v>40.278636046488671</v>
      </c>
      <c r="F598" s="77">
        <v>24.697451451991984</v>
      </c>
      <c r="G598" s="76">
        <v>0.75476368658664805</v>
      </c>
    </row>
    <row r="599" spans="1:7" x14ac:dyDescent="0.25">
      <c r="A599" s="75">
        <v>6802701</v>
      </c>
      <c r="B599" s="73" t="s">
        <v>879</v>
      </c>
      <c r="C599" s="68">
        <v>99</v>
      </c>
      <c r="D599" s="73" t="s">
        <v>3005</v>
      </c>
      <c r="E599" s="77">
        <v>51.223242822675537</v>
      </c>
      <c r="F599" s="77">
        <v>145.42981821932395</v>
      </c>
      <c r="G599" s="76">
        <v>0.74553115312008833</v>
      </c>
    </row>
    <row r="600" spans="1:7" x14ac:dyDescent="0.25">
      <c r="A600" s="75">
        <v>6802801</v>
      </c>
      <c r="B600" s="73" t="s">
        <v>1360</v>
      </c>
      <c r="C600" s="68">
        <v>99</v>
      </c>
      <c r="D600" s="73" t="s">
        <v>3006</v>
      </c>
      <c r="E600" s="77">
        <v>66.27118715481501</v>
      </c>
      <c r="F600" s="77">
        <v>443.0641955096263</v>
      </c>
      <c r="G600" s="76">
        <v>0.45534623208438524</v>
      </c>
    </row>
    <row r="601" spans="1:7" x14ac:dyDescent="0.25">
      <c r="A601" s="75">
        <v>6802901</v>
      </c>
      <c r="B601" s="73" t="s">
        <v>881</v>
      </c>
      <c r="C601" s="68">
        <v>99</v>
      </c>
      <c r="D601" s="73" t="s">
        <v>3007</v>
      </c>
      <c r="E601" s="77">
        <v>26.993095080582037</v>
      </c>
      <c r="F601" s="77">
        <v>136.90665770300581</v>
      </c>
      <c r="G601" s="76">
        <v>0.55093487871555102</v>
      </c>
    </row>
    <row r="602" spans="1:7" x14ac:dyDescent="0.25">
      <c r="A602" s="75">
        <v>6803001</v>
      </c>
      <c r="B602" s="73" t="s">
        <v>883</v>
      </c>
      <c r="C602" s="68">
        <v>1</v>
      </c>
      <c r="D602" s="73" t="s">
        <v>3008</v>
      </c>
      <c r="E602" s="77">
        <v>43.568073379095999</v>
      </c>
      <c r="F602" s="77">
        <v>19.806527269920899</v>
      </c>
      <c r="G602" s="76">
        <v>0.11383814845031878</v>
      </c>
    </row>
    <row r="603" spans="1:7" x14ac:dyDescent="0.25">
      <c r="A603" s="75">
        <v>6803001</v>
      </c>
      <c r="B603" s="73" t="s">
        <v>883</v>
      </c>
      <c r="C603" s="68">
        <v>3</v>
      </c>
      <c r="D603" s="73" t="s">
        <v>3008</v>
      </c>
      <c r="E603" s="77">
        <v>33.435156712429333</v>
      </c>
      <c r="F603" s="77">
        <v>19.806527269920899</v>
      </c>
      <c r="G603" s="76">
        <v>0.11383814845031878</v>
      </c>
    </row>
    <row r="604" spans="1:7" x14ac:dyDescent="0.25">
      <c r="A604" s="75">
        <v>6803001</v>
      </c>
      <c r="B604" s="73" t="s">
        <v>883</v>
      </c>
      <c r="C604" s="68">
        <v>4</v>
      </c>
      <c r="D604" s="73" t="s">
        <v>3008</v>
      </c>
      <c r="E604" s="77">
        <v>27.086823379096</v>
      </c>
      <c r="F604" s="77">
        <v>19.806527269920899</v>
      </c>
      <c r="G604" s="76">
        <v>0.11383814845031878</v>
      </c>
    </row>
    <row r="605" spans="1:7" x14ac:dyDescent="0.25">
      <c r="A605" s="75">
        <v>6803001</v>
      </c>
      <c r="B605" s="73" t="s">
        <v>883</v>
      </c>
      <c r="C605" s="68">
        <v>6</v>
      </c>
      <c r="D605" s="73" t="s">
        <v>3008</v>
      </c>
      <c r="E605" s="77">
        <v>27.086823379096</v>
      </c>
      <c r="F605" s="77">
        <v>19.806527269920899</v>
      </c>
      <c r="G605" s="76">
        <v>0.11383814845031878</v>
      </c>
    </row>
    <row r="606" spans="1:7" x14ac:dyDescent="0.25">
      <c r="A606" s="75">
        <v>6803001</v>
      </c>
      <c r="B606" s="73" t="s">
        <v>883</v>
      </c>
      <c r="C606" s="68">
        <v>7</v>
      </c>
      <c r="D606" s="73" t="s">
        <v>3008</v>
      </c>
      <c r="E606" s="77">
        <v>33.435156712429333</v>
      </c>
      <c r="F606" s="77">
        <v>19.806527269920899</v>
      </c>
      <c r="G606" s="76">
        <v>0.11383814845031878</v>
      </c>
    </row>
    <row r="607" spans="1:7" x14ac:dyDescent="0.25">
      <c r="A607" s="75">
        <v>6803001</v>
      </c>
      <c r="B607" s="73" t="s">
        <v>883</v>
      </c>
      <c r="C607" s="68">
        <v>99</v>
      </c>
      <c r="D607" s="73" t="s">
        <v>3008</v>
      </c>
      <c r="E607" s="77">
        <v>27.086823379096</v>
      </c>
      <c r="F607" s="77">
        <v>19.806527269920899</v>
      </c>
      <c r="G607" s="76">
        <v>0.11383814845031878</v>
      </c>
    </row>
    <row r="608" spans="1:7" x14ac:dyDescent="0.25">
      <c r="A608" s="75">
        <v>6803101</v>
      </c>
      <c r="B608" s="73" t="s">
        <v>1361</v>
      </c>
      <c r="C608" s="68">
        <v>99</v>
      </c>
      <c r="D608" s="73" t="s">
        <v>3009</v>
      </c>
      <c r="E608" s="77">
        <v>100.14104493584976</v>
      </c>
      <c r="F608" s="77">
        <v>33.555464465442988</v>
      </c>
      <c r="G608" s="76">
        <v>0.68769727547488169</v>
      </c>
    </row>
    <row r="609" spans="1:7" x14ac:dyDescent="0.25">
      <c r="A609" s="75">
        <v>6803108</v>
      </c>
      <c r="B609" s="73" t="s">
        <v>886</v>
      </c>
      <c r="C609" s="68">
        <v>99</v>
      </c>
      <c r="D609" s="73" t="s">
        <v>3010</v>
      </c>
      <c r="E609" s="77">
        <v>100.14104493584976</v>
      </c>
      <c r="F609" s="77">
        <v>33.555464465442988</v>
      </c>
      <c r="G609" s="76">
        <v>0.68769727547488169</v>
      </c>
    </row>
    <row r="610" spans="1:7" x14ac:dyDescent="0.25">
      <c r="A610" s="75">
        <v>6803201</v>
      </c>
      <c r="B610" s="73" t="s">
        <v>888</v>
      </c>
      <c r="C610" s="68">
        <v>99</v>
      </c>
      <c r="D610" s="73" t="s">
        <v>3011</v>
      </c>
      <c r="E610" s="77">
        <v>14.842454758541381</v>
      </c>
      <c r="F610" s="77">
        <v>154.73551385113288</v>
      </c>
      <c r="G610" s="76">
        <v>0.80858602713369476</v>
      </c>
    </row>
    <row r="611" spans="1:7" x14ac:dyDescent="0.25">
      <c r="A611" s="75">
        <v>6803301</v>
      </c>
      <c r="B611" s="73" t="s">
        <v>890</v>
      </c>
      <c r="C611" s="68">
        <v>99</v>
      </c>
      <c r="D611" s="73" t="s">
        <v>3012</v>
      </c>
      <c r="E611" s="77">
        <v>24.590163658108004</v>
      </c>
      <c r="F611" s="77">
        <v>803.50779589035346</v>
      </c>
      <c r="G611" s="76">
        <v>0.82578157074566083</v>
      </c>
    </row>
    <row r="612" spans="1:7" x14ac:dyDescent="0.25">
      <c r="A612" s="75">
        <v>6803401</v>
      </c>
      <c r="B612" s="73" t="s">
        <v>891</v>
      </c>
      <c r="C612" s="68">
        <v>99</v>
      </c>
      <c r="D612" s="73" t="s">
        <v>3013</v>
      </c>
      <c r="E612" s="77">
        <v>120.95400085253932</v>
      </c>
      <c r="F612" s="77">
        <v>38.387627642478719</v>
      </c>
      <c r="G612" s="76">
        <v>0.8306258127959687</v>
      </c>
    </row>
    <row r="613" spans="1:7" x14ac:dyDescent="0.25">
      <c r="A613" s="75">
        <v>6803501</v>
      </c>
      <c r="B613" s="73" t="s">
        <v>893</v>
      </c>
      <c r="C613" s="68">
        <v>99</v>
      </c>
      <c r="D613" s="73" t="s">
        <v>3014</v>
      </c>
      <c r="E613" s="77">
        <v>101.42857315588974</v>
      </c>
      <c r="F613" s="77">
        <v>26.566957242099811</v>
      </c>
      <c r="G613" s="76">
        <v>0.69653910101790184</v>
      </c>
    </row>
    <row r="614" spans="1:7" x14ac:dyDescent="0.25">
      <c r="A614" s="75">
        <v>6803601</v>
      </c>
      <c r="B614" s="73" t="s">
        <v>895</v>
      </c>
      <c r="C614" s="68">
        <v>4</v>
      </c>
      <c r="D614" s="73" t="s">
        <v>3015</v>
      </c>
      <c r="E614" s="77">
        <v>13.912918368584405</v>
      </c>
      <c r="F614" s="77">
        <v>129.21968727742995</v>
      </c>
      <c r="G614" s="76">
        <v>0.21558926337451015</v>
      </c>
    </row>
    <row r="615" spans="1:7" x14ac:dyDescent="0.25">
      <c r="A615" s="75">
        <v>6803601</v>
      </c>
      <c r="B615" s="73" t="s">
        <v>895</v>
      </c>
      <c r="C615" s="68">
        <v>99</v>
      </c>
      <c r="D615" s="73" t="s">
        <v>3015</v>
      </c>
      <c r="E615" s="77">
        <v>13.912918368584405</v>
      </c>
      <c r="F615" s="77">
        <v>129.21968727742995</v>
      </c>
      <c r="G615" s="76">
        <v>0.21558926337451015</v>
      </c>
    </row>
    <row r="616" spans="1:7" x14ac:dyDescent="0.25">
      <c r="A616" s="75">
        <v>6803701</v>
      </c>
      <c r="B616" s="73" t="s">
        <v>897</v>
      </c>
      <c r="C616" s="68">
        <v>99</v>
      </c>
      <c r="D616" s="73" t="s">
        <v>3016</v>
      </c>
      <c r="E616" s="77">
        <v>42.523540947875041</v>
      </c>
      <c r="F616" s="77">
        <v>156.46589345237811</v>
      </c>
      <c r="G616" s="76">
        <v>0.66663147311809956</v>
      </c>
    </row>
    <row r="617" spans="1:7" x14ac:dyDescent="0.25">
      <c r="A617" s="75">
        <v>6803801</v>
      </c>
      <c r="B617" s="73" t="s">
        <v>1362</v>
      </c>
      <c r="C617" s="68">
        <v>99</v>
      </c>
      <c r="D617" s="73" t="s">
        <v>3017</v>
      </c>
      <c r="E617" s="77">
        <v>120.18442487900288</v>
      </c>
      <c r="F617" s="77">
        <v>803.50779589035346</v>
      </c>
      <c r="G617" s="76">
        <v>0.82578157074566083</v>
      </c>
    </row>
    <row r="618" spans="1:7" x14ac:dyDescent="0.25">
      <c r="A618" s="75">
        <v>6803802</v>
      </c>
      <c r="B618" s="73" t="s">
        <v>1363</v>
      </c>
      <c r="C618" s="68">
        <v>99</v>
      </c>
      <c r="D618" s="73" t="s">
        <v>3017</v>
      </c>
      <c r="E618" s="77">
        <v>120.18442487900288</v>
      </c>
      <c r="F618" s="77">
        <v>803.50779589035346</v>
      </c>
      <c r="G618" s="76">
        <v>0.82578157074566083</v>
      </c>
    </row>
    <row r="619" spans="1:7" x14ac:dyDescent="0.25">
      <c r="A619" s="75">
        <v>6803803</v>
      </c>
      <c r="B619" s="73" t="s">
        <v>1364</v>
      </c>
      <c r="C619" s="68">
        <v>99</v>
      </c>
      <c r="D619" s="73" t="s">
        <v>3017</v>
      </c>
      <c r="E619" s="77">
        <v>120.18442487900288</v>
      </c>
      <c r="F619" s="77">
        <v>803.50779589035346</v>
      </c>
      <c r="G619" s="76">
        <v>0.82578157074566083</v>
      </c>
    </row>
    <row r="620" spans="1:7" x14ac:dyDescent="0.25">
      <c r="A620" s="75">
        <v>6803901</v>
      </c>
      <c r="B620" s="73" t="s">
        <v>899</v>
      </c>
      <c r="C620" s="68">
        <v>99</v>
      </c>
      <c r="D620" s="73" t="s">
        <v>3018</v>
      </c>
      <c r="E620" s="77">
        <v>24.430641604875902</v>
      </c>
      <c r="F620" s="77">
        <v>43.766945866422347</v>
      </c>
      <c r="G620" s="76">
        <v>0.60568615910178036</v>
      </c>
    </row>
    <row r="621" spans="1:7" x14ac:dyDescent="0.25">
      <c r="A621" s="75">
        <v>6803912</v>
      </c>
      <c r="B621" s="73" t="s">
        <v>1365</v>
      </c>
      <c r="C621" s="68">
        <v>99</v>
      </c>
      <c r="D621" s="73" t="s">
        <v>3019</v>
      </c>
      <c r="E621" s="77">
        <v>84.906831543725488</v>
      </c>
      <c r="F621" s="77">
        <v>175.06778346568939</v>
      </c>
      <c r="G621" s="76">
        <v>0.60568615910178036</v>
      </c>
    </row>
    <row r="622" spans="1:7" x14ac:dyDescent="0.25">
      <c r="A622" s="75">
        <v>6804001</v>
      </c>
      <c r="B622" s="73" t="s">
        <v>1366</v>
      </c>
      <c r="C622" s="68">
        <v>99</v>
      </c>
      <c r="D622" s="73" t="s">
        <v>3020</v>
      </c>
      <c r="E622" s="77">
        <v>89.678901240296142</v>
      </c>
      <c r="F622" s="77">
        <v>599.55935509949802</v>
      </c>
      <c r="G622" s="76">
        <v>0.61617954242833617</v>
      </c>
    </row>
    <row r="623" spans="1:7" x14ac:dyDescent="0.25">
      <c r="A623" s="75">
        <v>6804101</v>
      </c>
      <c r="B623" s="73" t="s">
        <v>1367</v>
      </c>
      <c r="C623" s="68">
        <v>99</v>
      </c>
      <c r="D623" s="73" t="s">
        <v>3021</v>
      </c>
      <c r="E623" s="77">
        <v>102.89473813326406</v>
      </c>
      <c r="F623" s="77">
        <v>687.91546266839407</v>
      </c>
      <c r="G623" s="76">
        <v>0.70698494054194949</v>
      </c>
    </row>
    <row r="624" spans="1:7" x14ac:dyDescent="0.25">
      <c r="A624" s="75">
        <v>6804201</v>
      </c>
      <c r="B624" s="73" t="s">
        <v>901</v>
      </c>
      <c r="C624" s="68">
        <v>99</v>
      </c>
      <c r="D624" s="73" t="s">
        <v>3022</v>
      </c>
      <c r="E624" s="77">
        <v>10.170454600564211</v>
      </c>
      <c r="F624" s="77">
        <v>106.02899212559753</v>
      </c>
      <c r="G624" s="76">
        <v>0.55406518755809864</v>
      </c>
    </row>
    <row r="625" spans="1:7" x14ac:dyDescent="0.25">
      <c r="A625" s="75">
        <v>6804203</v>
      </c>
      <c r="B625" s="73" t="s">
        <v>1368</v>
      </c>
      <c r="C625" s="68">
        <v>99</v>
      </c>
      <c r="D625" s="73" t="s">
        <v>3022</v>
      </c>
      <c r="E625" s="77">
        <v>10.170454600564211</v>
      </c>
      <c r="F625" s="77">
        <v>106.02899212559753</v>
      </c>
      <c r="G625" s="76">
        <v>0.55406518755809864</v>
      </c>
    </row>
    <row r="626" spans="1:7" x14ac:dyDescent="0.25">
      <c r="A626" s="75">
        <v>6804301</v>
      </c>
      <c r="B626" s="73" t="s">
        <v>902</v>
      </c>
      <c r="C626" s="68">
        <v>99</v>
      </c>
      <c r="D626" s="73" t="s">
        <v>3023</v>
      </c>
      <c r="E626" s="77">
        <v>41.559322481740786</v>
      </c>
      <c r="F626" s="77">
        <v>156.46589345237811</v>
      </c>
      <c r="G626" s="76">
        <v>0.25344527439277198</v>
      </c>
    </row>
    <row r="627" spans="1:7" x14ac:dyDescent="0.25">
      <c r="A627" s="75">
        <v>6804401</v>
      </c>
      <c r="B627" s="73" t="s">
        <v>904</v>
      </c>
      <c r="C627" s="68">
        <v>99</v>
      </c>
      <c r="D627" s="73" t="s">
        <v>3024</v>
      </c>
      <c r="E627" s="77">
        <v>162.71186616015964</v>
      </c>
      <c r="F627" s="77">
        <v>443.0641955096263</v>
      </c>
      <c r="G627" s="76">
        <v>0.45534623208438524</v>
      </c>
    </row>
    <row r="628" spans="1:7" x14ac:dyDescent="0.25">
      <c r="A628" s="75">
        <v>6804501</v>
      </c>
      <c r="B628" s="73" t="s">
        <v>905</v>
      </c>
      <c r="C628" s="68">
        <v>99</v>
      </c>
      <c r="D628" s="73" t="s">
        <v>3025</v>
      </c>
      <c r="E628" s="77">
        <v>40.340909309500503</v>
      </c>
      <c r="F628" s="77">
        <v>157.35490336762072</v>
      </c>
      <c r="G628" s="76">
        <v>0.56653568701205848</v>
      </c>
    </row>
    <row r="629" spans="1:7" x14ac:dyDescent="0.25">
      <c r="A629" s="75">
        <v>6804601</v>
      </c>
      <c r="B629" s="73" t="s">
        <v>1369</v>
      </c>
      <c r="C629" s="68">
        <v>99</v>
      </c>
      <c r="D629" s="73" t="s">
        <v>3026</v>
      </c>
      <c r="E629" s="77">
        <v>66.27118715481501</v>
      </c>
      <c r="F629" s="77">
        <v>443.0641955096263</v>
      </c>
      <c r="G629" s="76">
        <v>0.45534623208438524</v>
      </c>
    </row>
    <row r="630" spans="1:7" x14ac:dyDescent="0.25">
      <c r="A630" s="75">
        <v>6804602</v>
      </c>
      <c r="B630" s="73" t="s">
        <v>1370</v>
      </c>
      <c r="C630" s="68">
        <v>99</v>
      </c>
      <c r="D630" s="73" t="s">
        <v>3026</v>
      </c>
      <c r="E630" s="77">
        <v>66.27118715481501</v>
      </c>
      <c r="F630" s="77">
        <v>443.0641955096263</v>
      </c>
      <c r="G630" s="76">
        <v>0.45534623208438524</v>
      </c>
    </row>
    <row r="631" spans="1:7" x14ac:dyDescent="0.25">
      <c r="A631" s="75">
        <v>6804701</v>
      </c>
      <c r="B631" s="73" t="s">
        <v>1371</v>
      </c>
      <c r="C631" s="68">
        <v>99</v>
      </c>
      <c r="D631" s="73" t="s">
        <v>3026</v>
      </c>
      <c r="E631" s="77">
        <v>66.27118715481501</v>
      </c>
      <c r="F631" s="77">
        <v>443.0641955096263</v>
      </c>
      <c r="G631" s="76">
        <v>0.45534623208438524</v>
      </c>
    </row>
    <row r="632" spans="1:7" x14ac:dyDescent="0.25">
      <c r="A632" s="75">
        <v>6804705</v>
      </c>
      <c r="B632" s="73" t="s">
        <v>3027</v>
      </c>
      <c r="C632" s="68">
        <v>99</v>
      </c>
      <c r="D632" s="73" t="s">
        <v>3026</v>
      </c>
      <c r="E632" s="77">
        <v>66.27118715481501</v>
      </c>
      <c r="F632" s="77">
        <v>443.0641955096263</v>
      </c>
      <c r="G632" s="76">
        <v>0.45534623208438524</v>
      </c>
    </row>
    <row r="633" spans="1:7" x14ac:dyDescent="0.25">
      <c r="A633" s="75">
        <v>6804801</v>
      </c>
      <c r="B633" s="73" t="s">
        <v>1372</v>
      </c>
      <c r="C633" s="68">
        <v>99</v>
      </c>
      <c r="D633" s="73" t="s">
        <v>3028</v>
      </c>
      <c r="E633" s="77">
        <v>66.27118715481501</v>
      </c>
      <c r="F633" s="77">
        <v>443.0641955096263</v>
      </c>
      <c r="G633" s="76">
        <v>0.45534623208438524</v>
      </c>
    </row>
    <row r="634" spans="1:7" x14ac:dyDescent="0.25">
      <c r="A634" s="75">
        <v>6804908</v>
      </c>
      <c r="B634" s="73" t="s">
        <v>3029</v>
      </c>
      <c r="C634" s="68">
        <v>99</v>
      </c>
      <c r="D634" s="73" t="s">
        <v>3030</v>
      </c>
      <c r="E634" s="77">
        <v>66.27118715481501</v>
      </c>
      <c r="F634" s="77">
        <v>443.0641955096263</v>
      </c>
      <c r="G634" s="76">
        <v>0.45534623208438524</v>
      </c>
    </row>
    <row r="635" spans="1:7" x14ac:dyDescent="0.25">
      <c r="A635" s="75">
        <v>6805001</v>
      </c>
      <c r="B635" s="73" t="s">
        <v>1373</v>
      </c>
      <c r="C635" s="68">
        <v>99</v>
      </c>
      <c r="D635" s="73" t="s">
        <v>3031</v>
      </c>
      <c r="E635" s="77">
        <v>97.263683976363353</v>
      </c>
      <c r="F635" s="77">
        <v>650.26835557689105</v>
      </c>
      <c r="G635" s="76">
        <v>0.66829423039942637</v>
      </c>
    </row>
    <row r="636" spans="1:7" x14ac:dyDescent="0.25">
      <c r="A636" s="75">
        <v>6805101</v>
      </c>
      <c r="B636" s="73" t="s">
        <v>3032</v>
      </c>
      <c r="C636" s="68">
        <v>99</v>
      </c>
      <c r="D636" s="73" t="s">
        <v>3017</v>
      </c>
      <c r="E636" s="77">
        <v>120.18442487900288</v>
      </c>
      <c r="F636" s="77">
        <v>803.50779589035346</v>
      </c>
      <c r="G636" s="76">
        <v>0.82578157074566083</v>
      </c>
    </row>
    <row r="637" spans="1:7" x14ac:dyDescent="0.25">
      <c r="A637" s="75">
        <v>6805201</v>
      </c>
      <c r="B637" s="73" t="s">
        <v>907</v>
      </c>
      <c r="C637" s="68">
        <v>99</v>
      </c>
      <c r="D637" s="73" t="s">
        <v>3033</v>
      </c>
      <c r="E637" s="77">
        <v>64.382591817582608</v>
      </c>
      <c r="F637" s="77">
        <v>58.825495976847115</v>
      </c>
      <c r="G637" s="76">
        <v>0.18079096240017742</v>
      </c>
    </row>
    <row r="638" spans="1:7" x14ac:dyDescent="0.25">
      <c r="A638" s="75">
        <v>6805301</v>
      </c>
      <c r="B638" s="73" t="s">
        <v>1374</v>
      </c>
      <c r="C638" s="68">
        <v>99</v>
      </c>
      <c r="D638" s="73" t="s">
        <v>3034</v>
      </c>
      <c r="E638" s="77">
        <v>66.27118715481501</v>
      </c>
      <c r="F638" s="77">
        <v>443.0641955096263</v>
      </c>
      <c r="G638" s="76">
        <v>0.45534623208438524</v>
      </c>
    </row>
    <row r="639" spans="1:7" x14ac:dyDescent="0.25">
      <c r="A639" s="75">
        <v>6805401</v>
      </c>
      <c r="B639" s="73" t="s">
        <v>1375</v>
      </c>
      <c r="C639" s="68">
        <v>99</v>
      </c>
      <c r="D639" s="73" t="s">
        <v>3035</v>
      </c>
      <c r="E639" s="77">
        <v>120.18442487900288</v>
      </c>
      <c r="F639" s="77">
        <v>803.50779589035346</v>
      </c>
      <c r="G639" s="76">
        <v>0.82578157074566083</v>
      </c>
    </row>
    <row r="640" spans="1:7" x14ac:dyDescent="0.25">
      <c r="A640" s="75">
        <v>6805501</v>
      </c>
      <c r="B640" s="73" t="s">
        <v>3036</v>
      </c>
      <c r="C640" s="68">
        <v>99</v>
      </c>
      <c r="D640" s="73" t="s">
        <v>3025</v>
      </c>
      <c r="E640" s="77">
        <v>40.340909309500503</v>
      </c>
      <c r="F640" s="77">
        <v>157.35490336762072</v>
      </c>
      <c r="G640" s="76">
        <v>0.56653568701205848</v>
      </c>
    </row>
    <row r="641" spans="1:7" x14ac:dyDescent="0.25">
      <c r="A641" s="75">
        <v>6805601</v>
      </c>
      <c r="B641" s="73" t="s">
        <v>1376</v>
      </c>
      <c r="C641" s="68">
        <v>99</v>
      </c>
      <c r="D641" s="73" t="s">
        <v>3037</v>
      </c>
      <c r="E641" s="77">
        <v>66.27118715481501</v>
      </c>
      <c r="F641" s="77">
        <v>443.0641955096263</v>
      </c>
      <c r="G641" s="76">
        <v>0.45534623208438524</v>
      </c>
    </row>
    <row r="642" spans="1:7" x14ac:dyDescent="0.25">
      <c r="A642" s="75">
        <v>6805701</v>
      </c>
      <c r="B642" s="73" t="s">
        <v>1377</v>
      </c>
      <c r="C642" s="68">
        <v>99</v>
      </c>
      <c r="D642" s="73" t="s">
        <v>3022</v>
      </c>
      <c r="E642" s="77">
        <v>10.170454600564211</v>
      </c>
      <c r="F642" s="77">
        <v>106.02899212559753</v>
      </c>
      <c r="G642" s="76">
        <v>0.55406518755809864</v>
      </c>
    </row>
    <row r="643" spans="1:7" x14ac:dyDescent="0.25">
      <c r="A643" s="75">
        <v>6805901</v>
      </c>
      <c r="B643" s="73" t="s">
        <v>1378</v>
      </c>
      <c r="C643" s="68">
        <v>3</v>
      </c>
      <c r="D643" s="73" t="s">
        <v>3038</v>
      </c>
      <c r="E643" s="77">
        <v>64.998333333333335</v>
      </c>
      <c r="F643" s="77">
        <v>392.11180880062983</v>
      </c>
      <c r="G643" s="76">
        <v>0.4029814110521609</v>
      </c>
    </row>
    <row r="644" spans="1:7" x14ac:dyDescent="0.25">
      <c r="A644" s="75">
        <v>6805901</v>
      </c>
      <c r="B644" s="73" t="s">
        <v>1378</v>
      </c>
      <c r="C644" s="68">
        <v>99</v>
      </c>
      <c r="D644" s="73" t="s">
        <v>3038</v>
      </c>
      <c r="E644" s="77">
        <v>58.65</v>
      </c>
      <c r="F644" s="77">
        <v>392.11180880062983</v>
      </c>
      <c r="G644" s="76">
        <v>0.4029814110521609</v>
      </c>
    </row>
    <row r="645" spans="1:7" x14ac:dyDescent="0.25">
      <c r="A645" s="75">
        <v>6806001</v>
      </c>
      <c r="B645" s="73" t="s">
        <v>1379</v>
      </c>
      <c r="C645" s="68">
        <v>99</v>
      </c>
      <c r="D645" s="73" t="s">
        <v>3016</v>
      </c>
      <c r="E645" s="77">
        <v>42.523540947875041</v>
      </c>
      <c r="F645" s="77">
        <v>156.46589345237811</v>
      </c>
      <c r="G645" s="76">
        <v>0.66663147311809956</v>
      </c>
    </row>
    <row r="646" spans="1:7" x14ac:dyDescent="0.25">
      <c r="A646" s="75">
        <v>6806101</v>
      </c>
      <c r="B646" s="73" t="s">
        <v>1380</v>
      </c>
      <c r="C646" s="68">
        <v>99</v>
      </c>
      <c r="D646" s="73" t="s">
        <v>2830</v>
      </c>
      <c r="E646" s="77">
        <v>1782.0512452833289</v>
      </c>
      <c r="F646" s="77">
        <v>892.48131395142991</v>
      </c>
      <c r="G646" s="76">
        <v>4.6882437725890238</v>
      </c>
    </row>
    <row r="647" spans="1:7" x14ac:dyDescent="0.25">
      <c r="A647" s="75">
        <v>6806201</v>
      </c>
      <c r="B647" s="73" t="s">
        <v>1381</v>
      </c>
      <c r="C647" s="68">
        <v>99</v>
      </c>
      <c r="D647" s="73" t="s">
        <v>3039</v>
      </c>
      <c r="E647" s="77">
        <v>66.647727633864918</v>
      </c>
      <c r="F647" s="77">
        <v>445.58160332423688</v>
      </c>
      <c r="G647" s="76">
        <v>0.45793342413154275</v>
      </c>
    </row>
    <row r="648" spans="1:7" x14ac:dyDescent="0.25">
      <c r="A648" s="75">
        <v>6806301</v>
      </c>
      <c r="B648" s="73" t="s">
        <v>909</v>
      </c>
      <c r="C648" s="68">
        <v>99</v>
      </c>
      <c r="D648" s="73" t="s">
        <v>3020</v>
      </c>
      <c r="E648" s="77">
        <v>89.678901240296142</v>
      </c>
      <c r="F648" s="77">
        <v>599.55935509949802</v>
      </c>
      <c r="G648" s="76">
        <v>0.61617954242833617</v>
      </c>
    </row>
    <row r="649" spans="1:7" x14ac:dyDescent="0.25">
      <c r="A649" s="75">
        <v>6806401</v>
      </c>
      <c r="B649" s="73" t="s">
        <v>1382</v>
      </c>
      <c r="C649" s="68">
        <v>99</v>
      </c>
      <c r="D649" s="73" t="s">
        <v>3030</v>
      </c>
      <c r="E649" s="77">
        <v>66.27118715481501</v>
      </c>
      <c r="F649" s="77">
        <v>443.0641955096263</v>
      </c>
      <c r="G649" s="76">
        <v>0.45534623208438524</v>
      </c>
    </row>
    <row r="650" spans="1:7" x14ac:dyDescent="0.25">
      <c r="A650" s="75">
        <v>6806501</v>
      </c>
      <c r="B650" s="73" t="s">
        <v>1383</v>
      </c>
      <c r="C650" s="68">
        <v>99</v>
      </c>
      <c r="D650" s="73" t="s">
        <v>3037</v>
      </c>
      <c r="E650" s="77">
        <v>66.27118715481501</v>
      </c>
      <c r="F650" s="77">
        <v>443.0641955096263</v>
      </c>
      <c r="G650" s="76">
        <v>0.45534623208438524</v>
      </c>
    </row>
    <row r="651" spans="1:7" x14ac:dyDescent="0.25">
      <c r="A651" s="75">
        <v>6806601</v>
      </c>
      <c r="B651" s="73" t="s">
        <v>1384</v>
      </c>
      <c r="C651" s="68">
        <v>99</v>
      </c>
      <c r="D651" s="73" t="s">
        <v>2832</v>
      </c>
      <c r="E651" s="77">
        <v>1782.0512452833289</v>
      </c>
      <c r="F651" s="77">
        <v>892.48131395142991</v>
      </c>
      <c r="G651" s="76">
        <v>4.6882437725890238</v>
      </c>
    </row>
    <row r="652" spans="1:7" x14ac:dyDescent="0.25">
      <c r="A652" s="75">
        <v>6806701</v>
      </c>
      <c r="B652" s="73" t="s">
        <v>1385</v>
      </c>
      <c r="C652" s="68">
        <v>2</v>
      </c>
      <c r="D652" s="73" t="s">
        <v>3040</v>
      </c>
      <c r="E652" s="77">
        <v>72.840388440875131</v>
      </c>
      <c r="F652" s="77">
        <v>444.15574355340641</v>
      </c>
      <c r="G652" s="76">
        <v>0.45646803857182372</v>
      </c>
    </row>
    <row r="653" spans="1:7" x14ac:dyDescent="0.25">
      <c r="A653" s="75">
        <v>6806701</v>
      </c>
      <c r="B653" s="73" t="s">
        <v>1385</v>
      </c>
      <c r="C653" s="68">
        <v>3</v>
      </c>
      <c r="D653" s="73" t="s">
        <v>3040</v>
      </c>
      <c r="E653" s="77">
        <v>72.840388440875131</v>
      </c>
      <c r="F653" s="77">
        <v>444.15574355340641</v>
      </c>
      <c r="G653" s="76">
        <v>0.45646803857182372</v>
      </c>
    </row>
    <row r="654" spans="1:7" x14ac:dyDescent="0.25">
      <c r="A654" s="75">
        <v>6806701</v>
      </c>
      <c r="B654" s="73" t="s">
        <v>1385</v>
      </c>
      <c r="C654" s="68">
        <v>4</v>
      </c>
      <c r="D654" s="73" t="s">
        <v>3041</v>
      </c>
      <c r="E654" s="77">
        <v>66.647727633864918</v>
      </c>
      <c r="F654" s="77">
        <v>445.58160332423688</v>
      </c>
      <c r="G654" s="76">
        <v>0.45793342413154275</v>
      </c>
    </row>
    <row r="655" spans="1:7" x14ac:dyDescent="0.25">
      <c r="A655" s="75">
        <v>6806701</v>
      </c>
      <c r="B655" s="73" t="s">
        <v>1385</v>
      </c>
      <c r="C655" s="68">
        <v>9</v>
      </c>
      <c r="D655" s="73" t="s">
        <v>3040</v>
      </c>
      <c r="E655" s="77">
        <v>72.840388440875131</v>
      </c>
      <c r="F655" s="77">
        <v>444.15574355340641</v>
      </c>
      <c r="G655" s="76">
        <v>0.45646803857182372</v>
      </c>
    </row>
    <row r="656" spans="1:7" x14ac:dyDescent="0.25">
      <c r="A656" s="75">
        <v>6806701</v>
      </c>
      <c r="B656" s="73" t="s">
        <v>1385</v>
      </c>
      <c r="C656" s="68">
        <v>99</v>
      </c>
      <c r="D656" s="73" t="s">
        <v>3040</v>
      </c>
      <c r="E656" s="77">
        <v>72.840388440875131</v>
      </c>
      <c r="F656" s="77">
        <v>444.15574355340641</v>
      </c>
      <c r="G656" s="76">
        <v>0.45646803857182372</v>
      </c>
    </row>
    <row r="657" spans="1:7" x14ac:dyDescent="0.25">
      <c r="A657" s="75">
        <v>6806704</v>
      </c>
      <c r="B657" s="73" t="s">
        <v>3042</v>
      </c>
      <c r="C657" s="68">
        <v>2</v>
      </c>
      <c r="D657" s="73" t="s">
        <v>3040</v>
      </c>
      <c r="E657" s="77">
        <v>72.840388440875131</v>
      </c>
      <c r="F657" s="77">
        <v>444.15574355340641</v>
      </c>
      <c r="G657" s="76">
        <v>0.45646803857182372</v>
      </c>
    </row>
    <row r="658" spans="1:7" x14ac:dyDescent="0.25">
      <c r="A658" s="75">
        <v>6806704</v>
      </c>
      <c r="B658" s="73" t="s">
        <v>3042</v>
      </c>
      <c r="C658" s="68">
        <v>3</v>
      </c>
      <c r="D658" s="73" t="s">
        <v>3040</v>
      </c>
      <c r="E658" s="77">
        <v>72.840388440875131</v>
      </c>
      <c r="F658" s="77">
        <v>444.15574355340641</v>
      </c>
      <c r="G658" s="76">
        <v>0.45646803857182372</v>
      </c>
    </row>
    <row r="659" spans="1:7" x14ac:dyDescent="0.25">
      <c r="A659" s="75">
        <v>6806801</v>
      </c>
      <c r="B659" s="73" t="s">
        <v>1386</v>
      </c>
      <c r="C659" s="68">
        <v>99</v>
      </c>
      <c r="D659" s="73" t="s">
        <v>3043</v>
      </c>
      <c r="E659" s="77">
        <v>69.821430751357013</v>
      </c>
      <c r="F659" s="77">
        <v>466.79978695588261</v>
      </c>
      <c r="G659" s="76">
        <v>0.47973979004028278</v>
      </c>
    </row>
    <row r="660" spans="1:7" x14ac:dyDescent="0.25">
      <c r="A660" s="75">
        <v>6806901</v>
      </c>
      <c r="B660" s="73" t="s">
        <v>1387</v>
      </c>
      <c r="C660" s="68">
        <v>99</v>
      </c>
      <c r="D660" s="73" t="s">
        <v>3044</v>
      </c>
      <c r="E660" s="77">
        <v>66.27118715481501</v>
      </c>
      <c r="F660" s="77">
        <v>443.0641955096263</v>
      </c>
      <c r="G660" s="76">
        <v>0.45534623208438524</v>
      </c>
    </row>
    <row r="661" spans="1:7" x14ac:dyDescent="0.25">
      <c r="A661" s="75">
        <v>6806902</v>
      </c>
      <c r="B661" s="73" t="s">
        <v>3045</v>
      </c>
      <c r="C661" s="68">
        <v>99</v>
      </c>
      <c r="D661" s="73" t="s">
        <v>3044</v>
      </c>
      <c r="E661" s="77">
        <v>66.27118715481501</v>
      </c>
      <c r="F661" s="77">
        <v>443.0641955096263</v>
      </c>
      <c r="G661" s="76">
        <v>0.45534623208438524</v>
      </c>
    </row>
    <row r="662" spans="1:7" x14ac:dyDescent="0.25">
      <c r="A662" s="75">
        <v>6807001</v>
      </c>
      <c r="B662" s="73" t="s">
        <v>1388</v>
      </c>
      <c r="C662" s="68">
        <v>99</v>
      </c>
      <c r="D662" s="73" t="s">
        <v>3044</v>
      </c>
      <c r="E662" s="77">
        <v>66.27118715481501</v>
      </c>
      <c r="F662" s="77">
        <v>443.0641955096263</v>
      </c>
      <c r="G662" s="76">
        <v>0.45534623208438524</v>
      </c>
    </row>
    <row r="663" spans="1:7" x14ac:dyDescent="0.25">
      <c r="A663" s="75">
        <v>6807101</v>
      </c>
      <c r="B663" s="73" t="s">
        <v>1389</v>
      </c>
      <c r="C663" s="68">
        <v>99</v>
      </c>
      <c r="D663" s="73" t="s">
        <v>3046</v>
      </c>
      <c r="E663" s="77">
        <v>66.27118715481501</v>
      </c>
      <c r="F663" s="77">
        <v>443.0641955096263</v>
      </c>
      <c r="G663" s="76">
        <v>0.45534623208438524</v>
      </c>
    </row>
    <row r="664" spans="1:7" x14ac:dyDescent="0.25">
      <c r="A664" s="75">
        <v>6807202</v>
      </c>
      <c r="B664" s="73" t="s">
        <v>1390</v>
      </c>
      <c r="C664" s="68">
        <v>99</v>
      </c>
      <c r="D664" s="73" t="s">
        <v>3017</v>
      </c>
      <c r="E664" s="77">
        <v>120.18442487900288</v>
      </c>
      <c r="F664" s="77">
        <v>803.50779589035346</v>
      </c>
      <c r="G664" s="76">
        <v>0.82578157074566083</v>
      </c>
    </row>
    <row r="665" spans="1:7" x14ac:dyDescent="0.25">
      <c r="A665" s="75">
        <v>6807301</v>
      </c>
      <c r="B665" s="73" t="s">
        <v>1391</v>
      </c>
      <c r="C665" s="68">
        <v>99</v>
      </c>
      <c r="D665" s="73" t="s">
        <v>3047</v>
      </c>
      <c r="E665" s="77">
        <v>89.678901240296142</v>
      </c>
      <c r="F665" s="77">
        <v>599.55935509949802</v>
      </c>
      <c r="G665" s="76">
        <v>0.61617954242833617</v>
      </c>
    </row>
    <row r="666" spans="1:7" x14ac:dyDescent="0.25">
      <c r="A666" s="75">
        <v>6807401</v>
      </c>
      <c r="B666" s="73" t="s">
        <v>1392</v>
      </c>
      <c r="C666" s="68">
        <v>99</v>
      </c>
      <c r="D666" s="73" t="s">
        <v>3016</v>
      </c>
      <c r="E666" s="77">
        <v>42.523540947875041</v>
      </c>
      <c r="F666" s="77">
        <v>156.46589345237811</v>
      </c>
      <c r="G666" s="76">
        <v>0.66663147311809956</v>
      </c>
    </row>
    <row r="667" spans="1:7" x14ac:dyDescent="0.25">
      <c r="A667" s="75">
        <v>6807501</v>
      </c>
      <c r="B667" s="73" t="s">
        <v>1393</v>
      </c>
      <c r="C667" s="68">
        <v>99</v>
      </c>
      <c r="D667" s="73" t="s">
        <v>2830</v>
      </c>
      <c r="E667" s="77">
        <v>1782.0512452833289</v>
      </c>
      <c r="F667" s="77">
        <v>892.48131395142991</v>
      </c>
      <c r="G667" s="76">
        <v>4.6882437725890238</v>
      </c>
    </row>
    <row r="668" spans="1:7" x14ac:dyDescent="0.25">
      <c r="A668" s="75">
        <v>6807701</v>
      </c>
      <c r="B668" s="73" t="s">
        <v>1394</v>
      </c>
      <c r="C668" s="68">
        <v>99</v>
      </c>
      <c r="D668" s="73" t="s">
        <v>3048</v>
      </c>
      <c r="E668" s="77">
        <v>66.27118715481501</v>
      </c>
      <c r="F668" s="77">
        <v>443.0641955096263</v>
      </c>
      <c r="G668" s="76">
        <v>0.45534623208438524</v>
      </c>
    </row>
    <row r="669" spans="1:7" x14ac:dyDescent="0.25">
      <c r="A669" s="75">
        <v>6807801</v>
      </c>
      <c r="B669" s="73" t="s">
        <v>911</v>
      </c>
      <c r="C669" s="68">
        <v>99</v>
      </c>
      <c r="D669" s="73" t="s">
        <v>3049</v>
      </c>
      <c r="E669" s="77">
        <v>150.08474738002224</v>
      </c>
      <c r="F669" s="77">
        <v>135.67323588340292</v>
      </c>
      <c r="G669" s="76">
        <v>0.2816569014986175</v>
      </c>
    </row>
    <row r="670" spans="1:7" x14ac:dyDescent="0.25">
      <c r="A670" s="75">
        <v>6808001</v>
      </c>
      <c r="B670" s="73" t="s">
        <v>1395</v>
      </c>
      <c r="C670" s="68">
        <v>99</v>
      </c>
      <c r="D670" s="73" t="s">
        <v>3037</v>
      </c>
      <c r="E670" s="77">
        <v>66.27118715481501</v>
      </c>
      <c r="F670" s="77">
        <v>443.0641955096263</v>
      </c>
      <c r="G670" s="76">
        <v>0.45534623208438524</v>
      </c>
    </row>
    <row r="671" spans="1:7" x14ac:dyDescent="0.25">
      <c r="A671" s="75">
        <v>6808101</v>
      </c>
      <c r="B671" s="73" t="s">
        <v>3050</v>
      </c>
      <c r="C671" s="68">
        <v>99</v>
      </c>
      <c r="D671" s="73" t="s">
        <v>3044</v>
      </c>
      <c r="E671" s="77">
        <v>66.27118715481501</v>
      </c>
      <c r="F671" s="77">
        <v>443.0641955096263</v>
      </c>
      <c r="G671" s="76">
        <v>0.45534623208438524</v>
      </c>
    </row>
    <row r="672" spans="1:7" x14ac:dyDescent="0.25">
      <c r="A672" s="75">
        <v>6808201</v>
      </c>
      <c r="B672" s="73" t="s">
        <v>1396</v>
      </c>
      <c r="C672" s="68">
        <v>99</v>
      </c>
      <c r="D672" s="73" t="s">
        <v>3051</v>
      </c>
      <c r="E672" s="77">
        <v>63.749998843540332</v>
      </c>
      <c r="F672" s="77">
        <v>426.20848009511775</v>
      </c>
      <c r="G672" s="76">
        <v>0.43802326493680327</v>
      </c>
    </row>
    <row r="673" spans="1:7" x14ac:dyDescent="0.25">
      <c r="A673" s="75">
        <v>6809901</v>
      </c>
      <c r="B673" s="73" t="s">
        <v>914</v>
      </c>
      <c r="C673" s="68">
        <v>99</v>
      </c>
      <c r="D673" s="73" t="s">
        <v>3052</v>
      </c>
      <c r="E673" s="77">
        <v>19.318181922859399</v>
      </c>
      <c r="F673" s="77">
        <v>445.58160332423688</v>
      </c>
      <c r="G673" s="76">
        <v>0.45793342413154275</v>
      </c>
    </row>
    <row r="674" spans="1:7" x14ac:dyDescent="0.25">
      <c r="A674" s="75">
        <v>6810001</v>
      </c>
      <c r="B674" s="73" t="s">
        <v>3053</v>
      </c>
      <c r="C674" s="68">
        <v>99</v>
      </c>
      <c r="D674" s="73" t="s">
        <v>3030</v>
      </c>
      <c r="E674" s="77">
        <v>66.27118715481501</v>
      </c>
      <c r="F674" s="77">
        <v>443.0641955096263</v>
      </c>
      <c r="G674" s="76">
        <v>0.45534623208438524</v>
      </c>
    </row>
    <row r="675" spans="1:7" x14ac:dyDescent="0.25">
      <c r="A675" s="75">
        <v>6810201</v>
      </c>
      <c r="B675" s="73" t="s">
        <v>1397</v>
      </c>
      <c r="C675" s="68">
        <v>99</v>
      </c>
      <c r="D675" s="73" t="s">
        <v>3054</v>
      </c>
      <c r="E675" s="77">
        <v>67.413792733960904</v>
      </c>
      <c r="F675" s="77">
        <v>450.7032260362177</v>
      </c>
      <c r="G675" s="76">
        <v>0.46319702165915561</v>
      </c>
    </row>
    <row r="676" spans="1:7" x14ac:dyDescent="0.25">
      <c r="A676" s="75">
        <v>6810402</v>
      </c>
      <c r="B676" s="73" t="s">
        <v>3055</v>
      </c>
      <c r="C676" s="68">
        <v>99</v>
      </c>
      <c r="D676" s="73" t="s">
        <v>3026</v>
      </c>
      <c r="E676" s="77">
        <v>66.27118715481501</v>
      </c>
      <c r="F676" s="77">
        <v>443.0641955096263</v>
      </c>
      <c r="G676" s="76">
        <v>0.45534623208438524</v>
      </c>
    </row>
    <row r="677" spans="1:7" x14ac:dyDescent="0.25">
      <c r="A677" s="75">
        <v>6810501</v>
      </c>
      <c r="B677" s="73" t="s">
        <v>3056</v>
      </c>
      <c r="C677" s="68">
        <v>99</v>
      </c>
      <c r="D677" s="73" t="s">
        <v>3025</v>
      </c>
      <c r="E677" s="77">
        <v>40.340909309500503</v>
      </c>
      <c r="F677" s="77">
        <v>157.35490336762072</v>
      </c>
      <c r="G677" s="76">
        <v>0.56653568701205848</v>
      </c>
    </row>
    <row r="678" spans="1:7" x14ac:dyDescent="0.25">
      <c r="A678" s="75">
        <v>6810901</v>
      </c>
      <c r="B678" s="73" t="s">
        <v>3057</v>
      </c>
      <c r="C678" s="68">
        <v>99</v>
      </c>
      <c r="D678" s="73" t="s">
        <v>3039</v>
      </c>
      <c r="E678" s="77">
        <v>66.647727633864918</v>
      </c>
      <c r="F678" s="77">
        <v>445.58160332423688</v>
      </c>
      <c r="G678" s="76">
        <v>0.45793342413154275</v>
      </c>
    </row>
    <row r="679" spans="1:7" x14ac:dyDescent="0.25">
      <c r="A679" s="75">
        <v>6811001</v>
      </c>
      <c r="B679" s="73" t="s">
        <v>3058</v>
      </c>
      <c r="C679" s="68">
        <v>99</v>
      </c>
      <c r="D679" s="73" t="s">
        <v>3016</v>
      </c>
      <c r="E679" s="77">
        <v>42.523540947875041</v>
      </c>
      <c r="F679" s="77">
        <v>156.46589345237811</v>
      </c>
      <c r="G679" s="76">
        <v>0.66663147311809956</v>
      </c>
    </row>
    <row r="680" spans="1:7" x14ac:dyDescent="0.25">
      <c r="A680" s="75"/>
      <c r="B680" s="72" t="s">
        <v>19</v>
      </c>
      <c r="C680" s="68"/>
      <c r="D680" s="73"/>
      <c r="E680" s="77"/>
      <c r="F680" s="77"/>
      <c r="G680" s="76"/>
    </row>
    <row r="681" spans="1:7" x14ac:dyDescent="0.25">
      <c r="A681" s="75">
        <v>6900301</v>
      </c>
      <c r="B681" s="73" t="s">
        <v>3059</v>
      </c>
      <c r="C681" s="68">
        <v>99</v>
      </c>
      <c r="D681" s="73" t="s">
        <v>3060</v>
      </c>
      <c r="E681" s="77">
        <v>42.222333333333339</v>
      </c>
      <c r="F681" s="77">
        <v>68.43761220423869</v>
      </c>
      <c r="G681" s="76">
        <v>0.3779694201006899</v>
      </c>
    </row>
    <row r="682" spans="1:7" x14ac:dyDescent="0.25">
      <c r="A682" s="75">
        <v>6900304</v>
      </c>
      <c r="B682" s="73" t="s">
        <v>915</v>
      </c>
      <c r="C682" s="68">
        <v>99</v>
      </c>
      <c r="D682" s="73" t="s">
        <v>3061</v>
      </c>
      <c r="E682" s="77">
        <v>42.222333333333339</v>
      </c>
      <c r="F682" s="77">
        <v>68.43761220423869</v>
      </c>
      <c r="G682" s="76">
        <v>0.3779694201006899</v>
      </c>
    </row>
    <row r="683" spans="1:7" x14ac:dyDescent="0.25">
      <c r="A683" s="75">
        <v>6900401</v>
      </c>
      <c r="B683" s="73" t="s">
        <v>1398</v>
      </c>
      <c r="C683" s="68">
        <v>99</v>
      </c>
      <c r="D683" s="73" t="s">
        <v>1</v>
      </c>
      <c r="E683" s="77">
        <v>76.666750000000008</v>
      </c>
      <c r="F683" s="77">
        <v>34.486208723291995</v>
      </c>
      <c r="G683" s="76">
        <v>0.3779694201006899</v>
      </c>
    </row>
    <row r="684" spans="1:7" x14ac:dyDescent="0.25">
      <c r="A684" s="75">
        <v>6900402</v>
      </c>
      <c r="B684" s="73" t="s">
        <v>1399</v>
      </c>
      <c r="C684" s="68">
        <v>99</v>
      </c>
      <c r="D684" s="73" t="s">
        <v>1</v>
      </c>
      <c r="E684" s="77">
        <v>76.666750000000008</v>
      </c>
      <c r="F684" s="77">
        <v>34.486208723291995</v>
      </c>
      <c r="G684" s="76">
        <v>0.3779694201006899</v>
      </c>
    </row>
    <row r="685" spans="1:7" x14ac:dyDescent="0.25">
      <c r="A685" s="75">
        <v>6900403</v>
      </c>
      <c r="B685" s="73" t="s">
        <v>1400</v>
      </c>
      <c r="C685" s="68">
        <v>99</v>
      </c>
      <c r="D685" s="73" t="s">
        <v>1</v>
      </c>
      <c r="E685" s="77">
        <v>76.666750000000008</v>
      </c>
      <c r="F685" s="77">
        <v>34.486208723291995</v>
      </c>
      <c r="G685" s="76">
        <v>0.3779694201006899</v>
      </c>
    </row>
    <row r="686" spans="1:7" x14ac:dyDescent="0.25">
      <c r="A686" s="75">
        <v>6900501</v>
      </c>
      <c r="B686" s="73" t="s">
        <v>916</v>
      </c>
      <c r="C686" s="68">
        <v>99</v>
      </c>
      <c r="D686" s="73" t="s">
        <v>3062</v>
      </c>
      <c r="E686" s="77">
        <v>235</v>
      </c>
      <c r="F686" s="77">
        <v>611.49086447857417</v>
      </c>
      <c r="G686" s="76">
        <v>3.35</v>
      </c>
    </row>
    <row r="687" spans="1:7" x14ac:dyDescent="0.25">
      <c r="A687" s="75">
        <v>6900502</v>
      </c>
      <c r="B687" s="73" t="s">
        <v>1401</v>
      </c>
      <c r="C687" s="68">
        <v>99</v>
      </c>
      <c r="D687" s="73" t="s">
        <v>3063</v>
      </c>
      <c r="E687" s="77">
        <v>235</v>
      </c>
      <c r="F687" s="77">
        <v>611.49086447857417</v>
      </c>
      <c r="G687" s="76">
        <v>3.35</v>
      </c>
    </row>
    <row r="688" spans="1:7" x14ac:dyDescent="0.25">
      <c r="A688" s="75">
        <v>6900507</v>
      </c>
      <c r="B688" s="73" t="s">
        <v>3064</v>
      </c>
      <c r="C688" s="68">
        <v>99</v>
      </c>
      <c r="D688" s="73" t="s">
        <v>3063</v>
      </c>
      <c r="E688" s="77">
        <v>235</v>
      </c>
      <c r="F688" s="77">
        <v>611.49086447857417</v>
      </c>
      <c r="G688" s="76">
        <v>3.35</v>
      </c>
    </row>
    <row r="689" spans="1:7" x14ac:dyDescent="0.25">
      <c r="A689" s="75">
        <v>6900601</v>
      </c>
      <c r="B689" s="73" t="s">
        <v>1402</v>
      </c>
      <c r="C689" s="68">
        <v>99</v>
      </c>
      <c r="D689" s="73" t="s">
        <v>3065</v>
      </c>
      <c r="E689" s="77">
        <v>329.5</v>
      </c>
      <c r="F689" s="77">
        <v>58.835425044054446</v>
      </c>
      <c r="G689" s="76">
        <v>0.3779694201006899</v>
      </c>
    </row>
    <row r="690" spans="1:7" x14ac:dyDescent="0.25">
      <c r="A690" s="75">
        <v>6900603</v>
      </c>
      <c r="B690" s="73" t="s">
        <v>918</v>
      </c>
      <c r="C690" s="68">
        <v>99</v>
      </c>
      <c r="D690" s="73" t="s">
        <v>3066</v>
      </c>
      <c r="E690" s="77">
        <v>400</v>
      </c>
      <c r="F690" s="77">
        <v>58.835425044054446</v>
      </c>
      <c r="G690" s="76">
        <v>0.3779694201006899</v>
      </c>
    </row>
    <row r="691" spans="1:7" x14ac:dyDescent="0.25">
      <c r="A691" s="75">
        <v>6900604</v>
      </c>
      <c r="B691" s="73" t="s">
        <v>1403</v>
      </c>
      <c r="C691" s="68">
        <v>99</v>
      </c>
      <c r="D691" s="73" t="s">
        <v>3067</v>
      </c>
      <c r="E691" s="77">
        <v>329.5</v>
      </c>
      <c r="F691" s="77">
        <v>58.835425044054446</v>
      </c>
      <c r="G691" s="76">
        <v>0.3779694201006899</v>
      </c>
    </row>
    <row r="692" spans="1:7" x14ac:dyDescent="0.25">
      <c r="A692" s="75">
        <v>6900605</v>
      </c>
      <c r="B692" s="73" t="s">
        <v>1404</v>
      </c>
      <c r="C692" s="68">
        <v>99</v>
      </c>
      <c r="D692" s="73" t="s">
        <v>3066</v>
      </c>
      <c r="E692" s="77">
        <v>400</v>
      </c>
      <c r="F692" s="77">
        <v>58.835425044054446</v>
      </c>
      <c r="G692" s="76">
        <v>0.3779694201006899</v>
      </c>
    </row>
    <row r="693" spans="1:7" x14ac:dyDescent="0.25">
      <c r="A693" s="75">
        <v>6900606</v>
      </c>
      <c r="B693" s="73" t="s">
        <v>1405</v>
      </c>
      <c r="C693" s="68">
        <v>99</v>
      </c>
      <c r="D693" s="73" t="s">
        <v>3065</v>
      </c>
      <c r="E693" s="77">
        <v>329.5</v>
      </c>
      <c r="F693" s="77">
        <v>58.835425044054446</v>
      </c>
      <c r="G693" s="76">
        <v>0.3779694201006899</v>
      </c>
    </row>
    <row r="694" spans="1:7" x14ac:dyDescent="0.25">
      <c r="A694" s="75">
        <v>6900607</v>
      </c>
      <c r="B694" s="73" t="s">
        <v>1406</v>
      </c>
      <c r="C694" s="68">
        <v>99</v>
      </c>
      <c r="D694" s="73" t="s">
        <v>3066</v>
      </c>
      <c r="E694" s="77">
        <v>400</v>
      </c>
      <c r="F694" s="77">
        <v>58.835425044054446</v>
      </c>
      <c r="G694" s="76">
        <v>0.3779694201006899</v>
      </c>
    </row>
    <row r="695" spans="1:7" x14ac:dyDescent="0.25">
      <c r="A695" s="75">
        <v>6900609</v>
      </c>
      <c r="B695" s="73" t="s">
        <v>1407</v>
      </c>
      <c r="C695" s="68">
        <v>99</v>
      </c>
      <c r="D695" s="73" t="s">
        <v>3065</v>
      </c>
      <c r="E695" s="77">
        <v>329.5</v>
      </c>
      <c r="F695" s="77">
        <v>58.835425044054446</v>
      </c>
      <c r="G695" s="76">
        <v>0.3779694201006899</v>
      </c>
    </row>
    <row r="696" spans="1:7" x14ac:dyDescent="0.25">
      <c r="A696" s="75">
        <v>6900610</v>
      </c>
      <c r="B696" s="73" t="s">
        <v>919</v>
      </c>
      <c r="C696" s="68">
        <v>99</v>
      </c>
      <c r="D696" s="73" t="s">
        <v>3065</v>
      </c>
      <c r="E696" s="77">
        <v>329.5</v>
      </c>
      <c r="F696" s="77">
        <v>58.835425044054446</v>
      </c>
      <c r="G696" s="76">
        <v>0.3779694201006899</v>
      </c>
    </row>
    <row r="697" spans="1:7" x14ac:dyDescent="0.25">
      <c r="A697" s="75">
        <v>6900615</v>
      </c>
      <c r="B697" s="73" t="s">
        <v>3068</v>
      </c>
      <c r="C697" s="68">
        <v>99</v>
      </c>
      <c r="D697" s="73" t="s">
        <v>3066</v>
      </c>
      <c r="E697" s="77">
        <v>400</v>
      </c>
      <c r="F697" s="77">
        <v>58.835425044054446</v>
      </c>
      <c r="G697" s="76">
        <v>0.3779694201006899</v>
      </c>
    </row>
    <row r="698" spans="1:7" x14ac:dyDescent="0.25">
      <c r="A698" s="75">
        <v>6900616</v>
      </c>
      <c r="B698" s="73" t="s">
        <v>3069</v>
      </c>
      <c r="C698" s="68">
        <v>99</v>
      </c>
      <c r="D698" s="73" t="s">
        <v>3065</v>
      </c>
      <c r="E698" s="77">
        <v>329.5</v>
      </c>
      <c r="F698" s="77">
        <v>58.835425044054446</v>
      </c>
      <c r="G698" s="76">
        <v>0.3779694201006899</v>
      </c>
    </row>
    <row r="699" spans="1:7" x14ac:dyDescent="0.25">
      <c r="A699" s="75">
        <v>6900617</v>
      </c>
      <c r="B699" s="73" t="s">
        <v>3070</v>
      </c>
      <c r="C699" s="68">
        <v>99</v>
      </c>
      <c r="D699" s="73" t="s">
        <v>3066</v>
      </c>
      <c r="E699" s="77">
        <v>400</v>
      </c>
      <c r="F699" s="77">
        <v>58.835425044054446</v>
      </c>
      <c r="G699" s="76">
        <v>0.3779694201006899</v>
      </c>
    </row>
    <row r="700" spans="1:7" x14ac:dyDescent="0.25">
      <c r="A700" s="75">
        <v>6900701</v>
      </c>
      <c r="B700" s="73" t="s">
        <v>1408</v>
      </c>
      <c r="C700" s="68">
        <v>99</v>
      </c>
      <c r="D700" s="73" t="s">
        <v>3071</v>
      </c>
      <c r="E700" s="77">
        <v>233.33333333333337</v>
      </c>
      <c r="F700" s="77">
        <v>3098.9752514303609</v>
      </c>
      <c r="G700" s="76">
        <v>4.5999999999999996</v>
      </c>
    </row>
    <row r="701" spans="1:7" x14ac:dyDescent="0.25">
      <c r="A701" s="75">
        <v>6900702</v>
      </c>
      <c r="B701" s="73" t="s">
        <v>1409</v>
      </c>
      <c r="C701" s="68">
        <v>99</v>
      </c>
      <c r="D701" s="73" t="s">
        <v>3071</v>
      </c>
      <c r="E701" s="77">
        <v>233.33333333333337</v>
      </c>
      <c r="F701" s="77">
        <v>3098.9752514303609</v>
      </c>
      <c r="G701" s="76">
        <v>4.5999999999999996</v>
      </c>
    </row>
    <row r="702" spans="1:7" x14ac:dyDescent="0.25">
      <c r="A702" s="75">
        <v>6900703</v>
      </c>
      <c r="B702" s="73" t="s">
        <v>3072</v>
      </c>
      <c r="C702" s="68">
        <v>99</v>
      </c>
      <c r="D702" s="73" t="s">
        <v>3071</v>
      </c>
      <c r="E702" s="77">
        <v>233.33333333333337</v>
      </c>
      <c r="F702" s="77">
        <v>3098.9752514303609</v>
      </c>
      <c r="G702" s="76">
        <v>4.5999999999999996</v>
      </c>
    </row>
    <row r="703" spans="1:7" x14ac:dyDescent="0.25">
      <c r="A703" s="75">
        <v>6900706</v>
      </c>
      <c r="B703" s="73" t="s">
        <v>1410</v>
      </c>
      <c r="C703" s="68">
        <v>99</v>
      </c>
      <c r="D703" s="73" t="s">
        <v>3071</v>
      </c>
      <c r="E703" s="77">
        <v>233.33333333333337</v>
      </c>
      <c r="F703" s="77">
        <v>3098.9752514303609</v>
      </c>
      <c r="G703" s="76">
        <v>4.5999999999999996</v>
      </c>
    </row>
    <row r="704" spans="1:7" x14ac:dyDescent="0.25">
      <c r="A704" s="75">
        <v>6900710</v>
      </c>
      <c r="B704" s="73" t="s">
        <v>3073</v>
      </c>
      <c r="C704" s="68">
        <v>99</v>
      </c>
      <c r="D704" s="73" t="s">
        <v>3071</v>
      </c>
      <c r="E704" s="77">
        <v>233.33333333333337</v>
      </c>
      <c r="F704" s="77">
        <v>3098.9752514303609</v>
      </c>
      <c r="G704" s="76">
        <v>4.5999999999999996</v>
      </c>
    </row>
    <row r="705" spans="1:7" x14ac:dyDescent="0.25">
      <c r="A705" s="75">
        <v>6900711</v>
      </c>
      <c r="B705" s="73" t="s">
        <v>3074</v>
      </c>
      <c r="C705" s="68">
        <v>99</v>
      </c>
      <c r="D705" s="73" t="s">
        <v>3071</v>
      </c>
      <c r="E705" s="77">
        <v>233.33333333333337</v>
      </c>
      <c r="F705" s="77">
        <v>3098.9752514303609</v>
      </c>
      <c r="G705" s="76">
        <v>4.5999999999999996</v>
      </c>
    </row>
    <row r="706" spans="1:7" x14ac:dyDescent="0.25">
      <c r="A706" s="75">
        <v>6900712</v>
      </c>
      <c r="B706" s="73" t="s">
        <v>3075</v>
      </c>
      <c r="C706" s="68">
        <v>99</v>
      </c>
      <c r="D706" s="73" t="s">
        <v>3076</v>
      </c>
      <c r="E706" s="77">
        <v>233.33333333333337</v>
      </c>
      <c r="F706" s="77">
        <v>3098.9752514303609</v>
      </c>
      <c r="G706" s="76">
        <v>4.5999999999999996</v>
      </c>
    </row>
    <row r="707" spans="1:7" x14ac:dyDescent="0.25">
      <c r="A707" s="75">
        <v>6900713</v>
      </c>
      <c r="B707" s="73" t="s">
        <v>3077</v>
      </c>
      <c r="C707" s="68">
        <v>99</v>
      </c>
      <c r="D707" s="73" t="s">
        <v>3076</v>
      </c>
      <c r="E707" s="77">
        <v>233.33333333333337</v>
      </c>
      <c r="F707" s="77">
        <v>3098.9752514303609</v>
      </c>
      <c r="G707" s="76">
        <v>4.5999999999999996</v>
      </c>
    </row>
    <row r="708" spans="1:7" x14ac:dyDescent="0.25">
      <c r="A708" s="75">
        <v>6900714</v>
      </c>
      <c r="B708" s="73" t="s">
        <v>3078</v>
      </c>
      <c r="C708" s="68">
        <v>99</v>
      </c>
      <c r="D708" s="73" t="s">
        <v>3079</v>
      </c>
      <c r="E708" s="77">
        <v>233.33333333333337</v>
      </c>
      <c r="F708" s="77">
        <v>3098.9752514303609</v>
      </c>
      <c r="G708" s="76">
        <v>4.5999999999999996</v>
      </c>
    </row>
    <row r="709" spans="1:7" x14ac:dyDescent="0.25">
      <c r="A709" s="75">
        <v>6900716</v>
      </c>
      <c r="B709" s="73" t="s">
        <v>3080</v>
      </c>
      <c r="C709" s="68">
        <v>99</v>
      </c>
      <c r="D709" s="73" t="s">
        <v>3071</v>
      </c>
      <c r="E709" s="77">
        <v>233.33333333333337</v>
      </c>
      <c r="F709" s="77">
        <v>3098.9752514303609</v>
      </c>
      <c r="G709" s="76">
        <v>4.5999999999999996</v>
      </c>
    </row>
    <row r="710" spans="1:7" x14ac:dyDescent="0.25">
      <c r="A710" s="75">
        <v>6900801</v>
      </c>
      <c r="B710" s="73" t="s">
        <v>922</v>
      </c>
      <c r="C710" s="68">
        <v>99</v>
      </c>
      <c r="D710" s="73" t="s">
        <v>3081</v>
      </c>
      <c r="E710" s="77">
        <v>79.444444444444443</v>
      </c>
      <c r="F710" s="77">
        <v>2491.0222435404589</v>
      </c>
      <c r="G710" s="76">
        <v>5.75</v>
      </c>
    </row>
    <row r="711" spans="1:7" x14ac:dyDescent="0.25">
      <c r="A711" s="75">
        <v>6900818</v>
      </c>
      <c r="B711" s="73" t="s">
        <v>1411</v>
      </c>
      <c r="C711" s="68">
        <v>99</v>
      </c>
      <c r="D711" s="73" t="s">
        <v>3082</v>
      </c>
      <c r="E711" s="77">
        <v>79.444444444444443</v>
      </c>
      <c r="F711" s="77">
        <v>1154.3725015272823</v>
      </c>
      <c r="G711" s="76">
        <v>5.75</v>
      </c>
    </row>
    <row r="712" spans="1:7" x14ac:dyDescent="0.25">
      <c r="A712" s="75">
        <v>6900819</v>
      </c>
      <c r="B712" s="73" t="s">
        <v>3083</v>
      </c>
      <c r="C712" s="68">
        <v>99</v>
      </c>
      <c r="D712" s="73" t="s">
        <v>3082</v>
      </c>
      <c r="E712" s="77">
        <v>79.444444444444443</v>
      </c>
      <c r="F712" s="77">
        <v>1154.3725015272823</v>
      </c>
      <c r="G712" s="76">
        <v>5.75</v>
      </c>
    </row>
    <row r="713" spans="1:7" x14ac:dyDescent="0.25">
      <c r="A713" s="75">
        <v>6900821</v>
      </c>
      <c r="B713" s="73" t="s">
        <v>1412</v>
      </c>
      <c r="C713" s="68">
        <v>99</v>
      </c>
      <c r="D713" s="73" t="s">
        <v>3084</v>
      </c>
      <c r="E713" s="77">
        <v>79.444444444444443</v>
      </c>
      <c r="F713" s="77">
        <v>1154.3725015272823</v>
      </c>
      <c r="G713" s="76">
        <v>5.75</v>
      </c>
    </row>
    <row r="714" spans="1:7" x14ac:dyDescent="0.25">
      <c r="A714" s="75">
        <v>6900822</v>
      </c>
      <c r="B714" s="73" t="s">
        <v>1413</v>
      </c>
      <c r="C714" s="68">
        <v>99</v>
      </c>
      <c r="D714" s="73" t="s">
        <v>3085</v>
      </c>
      <c r="E714" s="77">
        <v>79.444444444444443</v>
      </c>
      <c r="F714" s="77">
        <v>1154.3725015272823</v>
      </c>
      <c r="G714" s="76">
        <v>5.75</v>
      </c>
    </row>
    <row r="715" spans="1:7" x14ac:dyDescent="0.25">
      <c r="A715" s="75">
        <v>6900901</v>
      </c>
      <c r="B715" s="73" t="s">
        <v>1414</v>
      </c>
      <c r="C715" s="68">
        <v>99</v>
      </c>
      <c r="D715" s="73" t="s">
        <v>3071</v>
      </c>
      <c r="E715" s="77">
        <v>233.33333333333337</v>
      </c>
      <c r="F715" s="77">
        <v>3098.9752514303609</v>
      </c>
      <c r="G715" s="76">
        <v>4.5999999999999996</v>
      </c>
    </row>
    <row r="716" spans="1:7" x14ac:dyDescent="0.25">
      <c r="A716" s="75">
        <v>6900904</v>
      </c>
      <c r="B716" s="73" t="s">
        <v>1415</v>
      </c>
      <c r="C716" s="68">
        <v>99</v>
      </c>
      <c r="D716" s="73" t="s">
        <v>3071</v>
      </c>
      <c r="E716" s="77">
        <v>233.33333333333337</v>
      </c>
      <c r="F716" s="77">
        <v>3098.9752514303609</v>
      </c>
      <c r="G716" s="76">
        <v>4.5999999999999996</v>
      </c>
    </row>
    <row r="717" spans="1:7" x14ac:dyDescent="0.25">
      <c r="A717" s="75">
        <v>6901001</v>
      </c>
      <c r="B717" s="73" t="s">
        <v>924</v>
      </c>
      <c r="C717" s="68">
        <v>99</v>
      </c>
      <c r="D717" s="73" t="s">
        <v>3086</v>
      </c>
      <c r="E717" s="77">
        <v>349.5</v>
      </c>
      <c r="F717" s="77">
        <v>147.14151641407616</v>
      </c>
      <c r="G717" s="76">
        <v>0.55199999999999994</v>
      </c>
    </row>
    <row r="718" spans="1:7" x14ac:dyDescent="0.25">
      <c r="A718" s="75">
        <v>6901002</v>
      </c>
      <c r="B718" s="73" t="s">
        <v>3087</v>
      </c>
      <c r="C718" s="68">
        <v>99</v>
      </c>
      <c r="D718" s="73" t="s">
        <v>3088</v>
      </c>
      <c r="E718" s="77">
        <v>294.75</v>
      </c>
      <c r="F718" s="77">
        <v>147.14151641407616</v>
      </c>
      <c r="G718" s="76">
        <v>0.55199999999999994</v>
      </c>
    </row>
    <row r="719" spans="1:7" x14ac:dyDescent="0.25">
      <c r="A719" s="75">
        <v>6901101</v>
      </c>
      <c r="B719" s="73" t="s">
        <v>1416</v>
      </c>
      <c r="C719" s="68">
        <v>99</v>
      </c>
      <c r="D719" s="73" t="s">
        <v>3089</v>
      </c>
      <c r="E719" s="77">
        <v>294.75</v>
      </c>
      <c r="F719" s="77">
        <v>147.14151641407616</v>
      </c>
      <c r="G719" s="76">
        <v>0.55199999999999994</v>
      </c>
    </row>
    <row r="720" spans="1:7" x14ac:dyDescent="0.25">
      <c r="A720" s="75">
        <v>6901201</v>
      </c>
      <c r="B720" s="73" t="s">
        <v>1417</v>
      </c>
      <c r="C720" s="68">
        <v>99</v>
      </c>
      <c r="D720" s="73" t="s">
        <v>3090</v>
      </c>
      <c r="E720" s="77">
        <v>294.75</v>
      </c>
      <c r="F720" s="77">
        <v>147.14151641407616</v>
      </c>
      <c r="G720" s="76">
        <v>0.55199999999999994</v>
      </c>
    </row>
    <row r="721" spans="1:7" x14ac:dyDescent="0.25">
      <c r="A721" s="75">
        <v>6901203</v>
      </c>
      <c r="B721" s="73" t="s">
        <v>1418</v>
      </c>
      <c r="C721" s="68">
        <v>99</v>
      </c>
      <c r="D721" s="73" t="s">
        <v>2797</v>
      </c>
      <c r="E721" s="77">
        <v>133.33333333333331</v>
      </c>
      <c r="F721" s="77">
        <v>270.42217653304613</v>
      </c>
      <c r="G721" s="76">
        <v>0.57512152358658519</v>
      </c>
    </row>
    <row r="722" spans="1:7" x14ac:dyDescent="0.25">
      <c r="A722" s="75">
        <v>6901204</v>
      </c>
      <c r="B722" s="73" t="s">
        <v>1419</v>
      </c>
      <c r="C722" s="68">
        <v>99</v>
      </c>
      <c r="D722" s="73" t="s">
        <v>2</v>
      </c>
      <c r="E722" s="77">
        <v>240</v>
      </c>
      <c r="F722" s="77">
        <v>147.14151641407616</v>
      </c>
      <c r="G722" s="76">
        <v>0.55199999999999994</v>
      </c>
    </row>
    <row r="723" spans="1:7" x14ac:dyDescent="0.25">
      <c r="A723" s="75">
        <v>6901206</v>
      </c>
      <c r="B723" s="73" t="s">
        <v>925</v>
      </c>
      <c r="C723" s="68">
        <v>99</v>
      </c>
      <c r="D723" s="73" t="s">
        <v>2</v>
      </c>
      <c r="E723" s="77">
        <v>240</v>
      </c>
      <c r="F723" s="77">
        <v>147.14151641407616</v>
      </c>
      <c r="G723" s="76">
        <v>0.55199999999999994</v>
      </c>
    </row>
    <row r="724" spans="1:7" x14ac:dyDescent="0.25">
      <c r="A724" s="75">
        <v>6901209</v>
      </c>
      <c r="B724" s="73" t="s">
        <v>1420</v>
      </c>
      <c r="C724" s="68">
        <v>99</v>
      </c>
      <c r="D724" s="73" t="s">
        <v>2</v>
      </c>
      <c r="E724" s="77">
        <v>240</v>
      </c>
      <c r="F724" s="77">
        <v>147.14151641407616</v>
      </c>
      <c r="G724" s="76">
        <v>0.55199999999999994</v>
      </c>
    </row>
    <row r="725" spans="1:7" x14ac:dyDescent="0.25">
      <c r="A725" s="75">
        <v>6901211</v>
      </c>
      <c r="B725" s="73" t="s">
        <v>1421</v>
      </c>
      <c r="C725" s="68">
        <v>99</v>
      </c>
      <c r="D725" s="73" t="s">
        <v>3091</v>
      </c>
      <c r="E725" s="77">
        <v>294.75</v>
      </c>
      <c r="F725" s="77">
        <v>147.14151641407616</v>
      </c>
      <c r="G725" s="76">
        <v>0.55199999999999994</v>
      </c>
    </row>
    <row r="726" spans="1:7" x14ac:dyDescent="0.25">
      <c r="A726" s="75">
        <v>6901224</v>
      </c>
      <c r="B726" s="73" t="s">
        <v>1422</v>
      </c>
      <c r="C726" s="68">
        <v>99</v>
      </c>
      <c r="D726" s="73" t="s">
        <v>3092</v>
      </c>
      <c r="E726" s="77">
        <v>138.62644878050895</v>
      </c>
      <c r="F726" s="77">
        <v>145.83088863408989</v>
      </c>
      <c r="G726" s="76">
        <v>0.70868800268986676</v>
      </c>
    </row>
    <row r="727" spans="1:7" x14ac:dyDescent="0.25">
      <c r="A727" s="75">
        <v>6901231</v>
      </c>
      <c r="B727" s="73" t="s">
        <v>3093</v>
      </c>
      <c r="C727" s="68">
        <v>99</v>
      </c>
      <c r="D727" s="73" t="s">
        <v>3092</v>
      </c>
      <c r="E727" s="77">
        <v>138.62644878050895</v>
      </c>
      <c r="F727" s="77">
        <v>145.83088863408989</v>
      </c>
      <c r="G727" s="76">
        <v>0.70868800268986676</v>
      </c>
    </row>
    <row r="728" spans="1:7" x14ac:dyDescent="0.25">
      <c r="A728" s="75">
        <v>6901240</v>
      </c>
      <c r="B728" s="73" t="s">
        <v>3094</v>
      </c>
      <c r="C728" s="68">
        <v>99</v>
      </c>
      <c r="D728" s="73" t="s">
        <v>3092</v>
      </c>
      <c r="E728" s="77">
        <v>138.62644878050895</v>
      </c>
      <c r="F728" s="77">
        <v>145.83088863408989</v>
      </c>
      <c r="G728" s="76">
        <v>0.70868800268986676</v>
      </c>
    </row>
    <row r="729" spans="1:7" x14ac:dyDescent="0.25">
      <c r="A729" s="75">
        <v>6901301</v>
      </c>
      <c r="B729" s="73" t="s">
        <v>926</v>
      </c>
      <c r="C729" s="68">
        <v>99</v>
      </c>
      <c r="D729" s="73" t="s">
        <v>3095</v>
      </c>
      <c r="E729" s="77">
        <v>160</v>
      </c>
      <c r="F729" s="77">
        <v>147.14151641407616</v>
      </c>
      <c r="G729" s="76">
        <v>0.55199999999999994</v>
      </c>
    </row>
    <row r="730" spans="1:7" x14ac:dyDescent="0.25">
      <c r="A730" s="75">
        <v>6901401</v>
      </c>
      <c r="B730" s="73" t="s">
        <v>1423</v>
      </c>
      <c r="C730" s="68">
        <v>99</v>
      </c>
      <c r="D730" s="73" t="s">
        <v>3091</v>
      </c>
      <c r="E730" s="77">
        <v>294.75</v>
      </c>
      <c r="F730" s="77">
        <v>147.14151641407616</v>
      </c>
      <c r="G730" s="76">
        <v>0.55199999999999994</v>
      </c>
    </row>
    <row r="731" spans="1:7" x14ac:dyDescent="0.25">
      <c r="A731" s="75">
        <v>6901501</v>
      </c>
      <c r="B731" s="73" t="s">
        <v>927</v>
      </c>
      <c r="C731" s="68">
        <v>99</v>
      </c>
      <c r="D731" s="73" t="s">
        <v>3096</v>
      </c>
      <c r="E731" s="77">
        <v>76.666750000000008</v>
      </c>
      <c r="F731" s="77">
        <v>34.486208723291995</v>
      </c>
      <c r="G731" s="76">
        <v>0.3779694201006899</v>
      </c>
    </row>
    <row r="732" spans="1:7" x14ac:dyDescent="0.25">
      <c r="A732" s="75">
        <v>6901602</v>
      </c>
      <c r="B732" s="73" t="s">
        <v>928</v>
      </c>
      <c r="C732" s="68">
        <v>99</v>
      </c>
      <c r="D732" s="73" t="s">
        <v>3097</v>
      </c>
      <c r="E732" s="77">
        <v>199.75</v>
      </c>
      <c r="F732" s="77">
        <v>397.75725722325876</v>
      </c>
      <c r="G732" s="76">
        <v>0.9</v>
      </c>
    </row>
    <row r="733" spans="1:7" x14ac:dyDescent="0.25">
      <c r="A733" s="75">
        <v>6901701</v>
      </c>
      <c r="B733" s="73" t="s">
        <v>1424</v>
      </c>
      <c r="C733" s="68">
        <v>99</v>
      </c>
      <c r="D733" s="73" t="s">
        <v>3098</v>
      </c>
      <c r="E733" s="77">
        <v>294.75</v>
      </c>
      <c r="F733" s="77">
        <v>147.14151641407616</v>
      </c>
      <c r="G733" s="76">
        <v>0.55199999999999994</v>
      </c>
    </row>
    <row r="734" spans="1:7" x14ac:dyDescent="0.25">
      <c r="A734" s="75">
        <v>6901801</v>
      </c>
      <c r="B734" s="73" t="s">
        <v>930</v>
      </c>
      <c r="C734" s="68">
        <v>99</v>
      </c>
      <c r="D734" s="73" t="s">
        <v>3099</v>
      </c>
      <c r="E734" s="77">
        <v>4457</v>
      </c>
      <c r="F734" s="77">
        <v>1748.1</v>
      </c>
      <c r="G734" s="76">
        <v>3.35</v>
      </c>
    </row>
    <row r="735" spans="1:7" x14ac:dyDescent="0.25">
      <c r="A735" s="75">
        <v>6902004</v>
      </c>
      <c r="B735" s="73" t="s">
        <v>1425</v>
      </c>
      <c r="C735" s="68">
        <v>99</v>
      </c>
      <c r="D735" s="73" t="s">
        <v>3100</v>
      </c>
      <c r="E735" s="77">
        <v>329.5</v>
      </c>
      <c r="F735" s="77">
        <v>58.835425044054446</v>
      </c>
      <c r="G735" s="76">
        <v>0.3779694201006899</v>
      </c>
    </row>
    <row r="736" spans="1:7" x14ac:dyDescent="0.25">
      <c r="A736" s="75">
        <v>6902209</v>
      </c>
      <c r="B736" s="73" t="s">
        <v>3101</v>
      </c>
      <c r="C736" s="68">
        <v>99</v>
      </c>
      <c r="D736" s="73" t="s">
        <v>3102</v>
      </c>
      <c r="E736" s="77">
        <v>329.5</v>
      </c>
      <c r="F736" s="77">
        <v>58.835425044054446</v>
      </c>
      <c r="G736" s="76">
        <v>0.3779694201006899</v>
      </c>
    </row>
    <row r="737" spans="1:7" x14ac:dyDescent="0.25">
      <c r="A737" s="75">
        <v>6902301</v>
      </c>
      <c r="B737" s="73" t="s">
        <v>1426</v>
      </c>
      <c r="C737" s="68">
        <v>99</v>
      </c>
      <c r="D737" s="73" t="s">
        <v>3096</v>
      </c>
      <c r="E737" s="77">
        <v>76.666750000000008</v>
      </c>
      <c r="F737" s="77">
        <v>34.486208723291995</v>
      </c>
      <c r="G737" s="76">
        <v>0.3779694201006899</v>
      </c>
    </row>
    <row r="738" spans="1:7" x14ac:dyDescent="0.25">
      <c r="A738" s="75">
        <v>6902401</v>
      </c>
      <c r="B738" s="73" t="s">
        <v>931</v>
      </c>
      <c r="C738" s="68">
        <v>99</v>
      </c>
      <c r="D738" s="73" t="s">
        <v>3103</v>
      </c>
      <c r="E738" s="77">
        <v>71.903072599531612</v>
      </c>
      <c r="F738" s="77">
        <v>308.24359757713785</v>
      </c>
      <c r="G738" s="76">
        <v>0.34182457517703763</v>
      </c>
    </row>
    <row r="739" spans="1:7" x14ac:dyDescent="0.25">
      <c r="A739" s="75">
        <v>6902402</v>
      </c>
      <c r="B739" s="73" t="s">
        <v>933</v>
      </c>
      <c r="C739" s="68">
        <v>99</v>
      </c>
      <c r="D739" s="73" t="s">
        <v>3019</v>
      </c>
      <c r="E739" s="77">
        <v>84.906831543725488</v>
      </c>
      <c r="F739" s="77">
        <v>175.06778346568939</v>
      </c>
      <c r="G739" s="76">
        <v>0.60568615910178036</v>
      </c>
    </row>
    <row r="740" spans="1:7" x14ac:dyDescent="0.25">
      <c r="A740" s="75">
        <v>6902601</v>
      </c>
      <c r="B740" s="73" t="s">
        <v>1427</v>
      </c>
      <c r="C740" s="68">
        <v>99</v>
      </c>
      <c r="D740" s="73" t="s">
        <v>3104</v>
      </c>
      <c r="E740" s="77">
        <v>243.60029449579258</v>
      </c>
      <c r="F740" s="77">
        <v>186.1935439482028</v>
      </c>
      <c r="G740" s="76">
        <v>0.94404812727907439</v>
      </c>
    </row>
    <row r="741" spans="1:7" x14ac:dyDescent="0.25">
      <c r="A741" s="75">
        <v>6902607</v>
      </c>
      <c r="B741" s="73" t="s">
        <v>935</v>
      </c>
      <c r="C741" s="68">
        <v>99</v>
      </c>
      <c r="D741" s="73" t="s">
        <v>3105</v>
      </c>
      <c r="E741" s="77">
        <v>320</v>
      </c>
      <c r="F741" s="77">
        <v>187.01099089032613</v>
      </c>
      <c r="G741" s="76">
        <v>0.5</v>
      </c>
    </row>
    <row r="742" spans="1:7" x14ac:dyDescent="0.25">
      <c r="A742" s="75">
        <v>6902701</v>
      </c>
      <c r="B742" s="73" t="s">
        <v>3106</v>
      </c>
      <c r="C742" s="68">
        <v>99</v>
      </c>
      <c r="D742" s="73" t="s">
        <v>3107</v>
      </c>
      <c r="E742" s="77">
        <v>179.07262399228006</v>
      </c>
      <c r="F742" s="77">
        <v>213.57649989603513</v>
      </c>
      <c r="G742" s="76">
        <v>0.91493677625790271</v>
      </c>
    </row>
    <row r="743" spans="1:7" x14ac:dyDescent="0.25">
      <c r="A743" s="75">
        <v>6902901</v>
      </c>
      <c r="B743" s="73" t="s">
        <v>1428</v>
      </c>
      <c r="C743" s="68">
        <v>99</v>
      </c>
      <c r="D743" s="73" t="s">
        <v>2776</v>
      </c>
      <c r="E743" s="77">
        <v>425.54639720479867</v>
      </c>
      <c r="F743" s="77">
        <v>251.95308691489848</v>
      </c>
      <c r="G743" s="76">
        <v>1.4694492120331031</v>
      </c>
    </row>
    <row r="744" spans="1:7" x14ac:dyDescent="0.25">
      <c r="A744" s="75">
        <v>6902902</v>
      </c>
      <c r="B744" s="73" t="s">
        <v>1429</v>
      </c>
      <c r="C744" s="68">
        <v>99</v>
      </c>
      <c r="D744" s="73" t="s">
        <v>3108</v>
      </c>
      <c r="E744" s="77">
        <v>152.08610127535474</v>
      </c>
      <c r="F744" s="77">
        <v>132.95383282284382</v>
      </c>
      <c r="G744" s="76">
        <v>0.69211820119630052</v>
      </c>
    </row>
    <row r="745" spans="1:7" x14ac:dyDescent="0.25">
      <c r="A745" s="75">
        <v>6902910</v>
      </c>
      <c r="B745" s="73" t="s">
        <v>3109</v>
      </c>
      <c r="C745" s="68">
        <v>99</v>
      </c>
      <c r="D745" s="73" t="s">
        <v>3110</v>
      </c>
      <c r="E745" s="77">
        <v>307.45325518907708</v>
      </c>
      <c r="F745" s="77">
        <v>199.74019252728476</v>
      </c>
      <c r="G745" s="76">
        <v>1.1828364956933948</v>
      </c>
    </row>
    <row r="746" spans="1:7" x14ac:dyDescent="0.25">
      <c r="A746" s="75">
        <v>6902911</v>
      </c>
      <c r="B746" s="73" t="s">
        <v>3111</v>
      </c>
      <c r="C746" s="68">
        <v>99</v>
      </c>
      <c r="D746" s="73" t="s">
        <v>3112</v>
      </c>
      <c r="E746" s="77">
        <v>338.09269946591348</v>
      </c>
      <c r="F746" s="77">
        <v>229.65716158654891</v>
      </c>
      <c r="G746" s="76">
        <v>1.3193244626328828</v>
      </c>
    </row>
    <row r="747" spans="1:7" x14ac:dyDescent="0.25">
      <c r="A747" s="75">
        <v>6903001</v>
      </c>
      <c r="B747" s="73" t="s">
        <v>1430</v>
      </c>
      <c r="C747" s="68">
        <v>99</v>
      </c>
      <c r="D747" s="73" t="s">
        <v>3113</v>
      </c>
      <c r="E747" s="77">
        <v>294.75</v>
      </c>
      <c r="F747" s="77">
        <v>147.14151641407616</v>
      </c>
      <c r="G747" s="76">
        <v>0.55199999999999994</v>
      </c>
    </row>
    <row r="748" spans="1:7" x14ac:dyDescent="0.25">
      <c r="A748" s="75">
        <v>6903002</v>
      </c>
      <c r="B748" s="73" t="s">
        <v>3114</v>
      </c>
      <c r="C748" s="68">
        <v>99</v>
      </c>
      <c r="D748" s="73" t="s">
        <v>3115</v>
      </c>
      <c r="E748" s="77">
        <v>220.59458907007962</v>
      </c>
      <c r="F748" s="77">
        <v>201.56691794273621</v>
      </c>
      <c r="G748" s="76">
        <v>1.1072757841318361</v>
      </c>
    </row>
    <row r="749" spans="1:7" x14ac:dyDescent="0.25">
      <c r="A749" s="75">
        <v>6903101</v>
      </c>
      <c r="B749" s="73" t="s">
        <v>1431</v>
      </c>
      <c r="C749" s="68">
        <v>99</v>
      </c>
      <c r="D749" s="73" t="s">
        <v>3116</v>
      </c>
      <c r="E749" s="77">
        <v>184.03250126347203</v>
      </c>
      <c r="F749" s="77">
        <v>147.14151641407616</v>
      </c>
      <c r="G749" s="76">
        <v>0.55199999999999994</v>
      </c>
    </row>
    <row r="750" spans="1:7" x14ac:dyDescent="0.25">
      <c r="A750" s="75">
        <v>6903102</v>
      </c>
      <c r="B750" s="73" t="s">
        <v>3117</v>
      </c>
      <c r="C750" s="68">
        <v>99</v>
      </c>
      <c r="D750" s="73" t="s">
        <v>3116</v>
      </c>
      <c r="E750" s="77">
        <v>184.03250126347203</v>
      </c>
      <c r="F750" s="77">
        <v>147.14151641407616</v>
      </c>
      <c r="G750" s="76">
        <v>0.55199999999999994</v>
      </c>
    </row>
    <row r="751" spans="1:7" x14ac:dyDescent="0.25">
      <c r="A751" s="75">
        <v>6903201</v>
      </c>
      <c r="B751" s="73" t="s">
        <v>1432</v>
      </c>
      <c r="C751" s="68">
        <v>99</v>
      </c>
      <c r="D751" s="73" t="s">
        <v>3118</v>
      </c>
      <c r="E751" s="77">
        <v>184.03250126347203</v>
      </c>
      <c r="F751" s="77">
        <v>147.14151641407616</v>
      </c>
      <c r="G751" s="76">
        <v>0.55199999999999994</v>
      </c>
    </row>
    <row r="752" spans="1:7" x14ac:dyDescent="0.25">
      <c r="A752" s="75">
        <v>6903202</v>
      </c>
      <c r="B752" s="73" t="s">
        <v>1433</v>
      </c>
      <c r="C752" s="68">
        <v>99</v>
      </c>
      <c r="D752" s="73" t="s">
        <v>3119</v>
      </c>
      <c r="E752" s="77">
        <v>184.03250126347203</v>
      </c>
      <c r="F752" s="77">
        <v>147.14151641407616</v>
      </c>
      <c r="G752" s="76">
        <v>0.55199999999999994</v>
      </c>
    </row>
    <row r="753" spans="1:7" x14ac:dyDescent="0.25">
      <c r="A753" s="75">
        <v>6903203</v>
      </c>
      <c r="B753" s="73" t="s">
        <v>1434</v>
      </c>
      <c r="C753" s="68">
        <v>99</v>
      </c>
      <c r="D753" s="73" t="s">
        <v>3118</v>
      </c>
      <c r="E753" s="77">
        <v>184.03250126347203</v>
      </c>
      <c r="F753" s="77">
        <v>147.14151641407616</v>
      </c>
      <c r="G753" s="76">
        <v>0.55199999999999994</v>
      </c>
    </row>
    <row r="754" spans="1:7" x14ac:dyDescent="0.25">
      <c r="A754" s="75">
        <v>6903204</v>
      </c>
      <c r="B754" s="73" t="s">
        <v>1925</v>
      </c>
      <c r="C754" s="68">
        <v>99</v>
      </c>
      <c r="D754" s="73" t="s">
        <v>3119</v>
      </c>
      <c r="E754" s="77">
        <v>184.03250126347203</v>
      </c>
      <c r="F754" s="77">
        <v>147.14151641407616</v>
      </c>
      <c r="G754" s="76">
        <v>0.55199999999999994</v>
      </c>
    </row>
    <row r="755" spans="1:7" x14ac:dyDescent="0.25">
      <c r="A755" s="75">
        <v>6903205</v>
      </c>
      <c r="B755" s="73" t="s">
        <v>1435</v>
      </c>
      <c r="C755" s="68">
        <v>99</v>
      </c>
      <c r="D755" s="73" t="s">
        <v>3118</v>
      </c>
      <c r="E755" s="77">
        <v>184.03250126347203</v>
      </c>
      <c r="F755" s="77">
        <v>147.14151641407616</v>
      </c>
      <c r="G755" s="76">
        <v>0.55199999999999994</v>
      </c>
    </row>
    <row r="756" spans="1:7" x14ac:dyDescent="0.25">
      <c r="A756" s="75">
        <v>6903207</v>
      </c>
      <c r="B756" s="73" t="s">
        <v>1436</v>
      </c>
      <c r="C756" s="68">
        <v>99</v>
      </c>
      <c r="D756" s="73" t="s">
        <v>3120</v>
      </c>
      <c r="E756" s="77">
        <v>110.55558333333332</v>
      </c>
      <c r="F756" s="77">
        <v>219.9260354508443</v>
      </c>
      <c r="G756" s="76">
        <v>0.52583349771511134</v>
      </c>
    </row>
    <row r="757" spans="1:7" x14ac:dyDescent="0.25">
      <c r="A757" s="75">
        <v>6903208</v>
      </c>
      <c r="B757" s="73" t="s">
        <v>1437</v>
      </c>
      <c r="C757" s="68">
        <v>99</v>
      </c>
      <c r="D757" s="73" t="s">
        <v>3120</v>
      </c>
      <c r="E757" s="77">
        <v>110.55558333333332</v>
      </c>
      <c r="F757" s="77">
        <v>219.9260354508443</v>
      </c>
      <c r="G757" s="76">
        <v>0.52583349771511134</v>
      </c>
    </row>
    <row r="758" spans="1:7" x14ac:dyDescent="0.25">
      <c r="A758" s="75">
        <v>6903209</v>
      </c>
      <c r="B758" s="73" t="s">
        <v>1438</v>
      </c>
      <c r="C758" s="68">
        <v>99</v>
      </c>
      <c r="D758" s="73" t="s">
        <v>3120</v>
      </c>
      <c r="E758" s="77">
        <v>110.55558333333332</v>
      </c>
      <c r="F758" s="77">
        <v>219.9260354508443</v>
      </c>
      <c r="G758" s="76">
        <v>0.52583349771511134</v>
      </c>
    </row>
    <row r="759" spans="1:7" x14ac:dyDescent="0.25">
      <c r="A759" s="75">
        <v>6903303</v>
      </c>
      <c r="B759" s="73" t="s">
        <v>1439</v>
      </c>
      <c r="C759" s="68">
        <v>99</v>
      </c>
      <c r="D759" s="73" t="s">
        <v>2797</v>
      </c>
      <c r="E759" s="77">
        <v>133.33333333333331</v>
      </c>
      <c r="F759" s="77">
        <v>270.42217653304613</v>
      </c>
      <c r="G759" s="76">
        <v>0.57512152358658519</v>
      </c>
    </row>
    <row r="760" spans="1:7" x14ac:dyDescent="0.25">
      <c r="A760" s="75">
        <v>6903304</v>
      </c>
      <c r="B760" s="73" t="s">
        <v>1440</v>
      </c>
      <c r="C760" s="68">
        <v>99</v>
      </c>
      <c r="D760" s="73" t="s">
        <v>2701</v>
      </c>
      <c r="E760" s="77">
        <v>133.33333333333331</v>
      </c>
      <c r="F760" s="77">
        <v>270.42217653304613</v>
      </c>
      <c r="G760" s="76">
        <v>0.57512152358658519</v>
      </c>
    </row>
    <row r="761" spans="1:7" x14ac:dyDescent="0.25">
      <c r="A761" s="75">
        <v>6903601</v>
      </c>
      <c r="B761" s="73" t="s">
        <v>1441</v>
      </c>
      <c r="C761" s="68">
        <v>99</v>
      </c>
      <c r="D761" s="73" t="s">
        <v>3121</v>
      </c>
      <c r="E761" s="77">
        <v>233.33333333333337</v>
      </c>
      <c r="F761" s="77">
        <v>3098.9752514303609</v>
      </c>
      <c r="G761" s="76">
        <v>4.5999999999999996</v>
      </c>
    </row>
    <row r="762" spans="1:7" x14ac:dyDescent="0.25">
      <c r="A762" s="75">
        <v>6903701</v>
      </c>
      <c r="B762" s="73" t="s">
        <v>1442</v>
      </c>
      <c r="C762" s="68">
        <v>99</v>
      </c>
      <c r="D762" s="73" t="s">
        <v>3122</v>
      </c>
      <c r="E762" s="77">
        <v>301.94893123379995</v>
      </c>
      <c r="F762" s="77">
        <v>984.65420437356261</v>
      </c>
      <c r="G762" s="76">
        <v>3.2615427086267927</v>
      </c>
    </row>
    <row r="763" spans="1:7" x14ac:dyDescent="0.25">
      <c r="A763" s="75">
        <v>6903801</v>
      </c>
      <c r="B763" s="73" t="s">
        <v>1443</v>
      </c>
      <c r="C763" s="68">
        <v>99</v>
      </c>
      <c r="D763" s="73" t="s">
        <v>3123</v>
      </c>
      <c r="E763" s="77">
        <v>284.52357907904332</v>
      </c>
      <c r="F763" s="77">
        <v>192.21779338984479</v>
      </c>
      <c r="G763" s="76">
        <v>1.0638903708599881</v>
      </c>
    </row>
    <row r="764" spans="1:7" x14ac:dyDescent="0.25">
      <c r="A764" s="75">
        <v>6903802</v>
      </c>
      <c r="B764" s="73" t="s">
        <v>3124</v>
      </c>
      <c r="C764" s="68">
        <v>99</v>
      </c>
      <c r="D764" s="73" t="s">
        <v>3123</v>
      </c>
      <c r="E764" s="77">
        <v>284.52357907904332</v>
      </c>
      <c r="F764" s="77">
        <v>192.21779338984476</v>
      </c>
      <c r="G764" s="76">
        <v>1.0638903708599878</v>
      </c>
    </row>
    <row r="765" spans="1:7" x14ac:dyDescent="0.25">
      <c r="A765" s="75">
        <v>6903901</v>
      </c>
      <c r="B765" s="73" t="s">
        <v>1444</v>
      </c>
      <c r="C765" s="68">
        <v>99</v>
      </c>
      <c r="D765" s="73" t="s">
        <v>3125</v>
      </c>
      <c r="E765" s="77">
        <v>359.46736999530896</v>
      </c>
      <c r="F765" s="77">
        <v>254.47151074082285</v>
      </c>
      <c r="G765" s="76">
        <v>2.0929253042248859</v>
      </c>
    </row>
    <row r="766" spans="1:7" x14ac:dyDescent="0.25">
      <c r="A766" s="75">
        <v>6904101</v>
      </c>
      <c r="B766" s="73" t="s">
        <v>1445</v>
      </c>
      <c r="C766" s="68">
        <v>99</v>
      </c>
      <c r="D766" s="73" t="s">
        <v>3126</v>
      </c>
      <c r="E766" s="77">
        <v>329.5</v>
      </c>
      <c r="F766" s="77">
        <v>58.835425044054446</v>
      </c>
      <c r="G766" s="76">
        <v>0.3779694201006899</v>
      </c>
    </row>
    <row r="767" spans="1:7" x14ac:dyDescent="0.25">
      <c r="A767" s="75">
        <v>6904104</v>
      </c>
      <c r="B767" s="73" t="s">
        <v>1446</v>
      </c>
      <c r="C767" s="68">
        <v>99</v>
      </c>
      <c r="D767" s="73" t="s">
        <v>3104</v>
      </c>
      <c r="E767" s="77">
        <v>243.60029449579258</v>
      </c>
      <c r="F767" s="77">
        <v>186.1935439482028</v>
      </c>
      <c r="G767" s="76">
        <v>0.94404812727907439</v>
      </c>
    </row>
    <row r="768" spans="1:7" x14ac:dyDescent="0.25">
      <c r="A768" s="75">
        <v>6904105</v>
      </c>
      <c r="B768" s="73" t="s">
        <v>1934</v>
      </c>
      <c r="C768" s="68">
        <v>99</v>
      </c>
      <c r="D768" s="73" t="s">
        <v>3126</v>
      </c>
      <c r="E768" s="77">
        <v>329.5</v>
      </c>
      <c r="F768" s="77">
        <v>58.835425044054446</v>
      </c>
      <c r="G768" s="76">
        <v>0.3779694201006899</v>
      </c>
    </row>
    <row r="769" spans="1:7" x14ac:dyDescent="0.25">
      <c r="A769" s="75">
        <v>6904201</v>
      </c>
      <c r="B769" s="73" t="s">
        <v>1926</v>
      </c>
      <c r="C769" s="68">
        <v>99</v>
      </c>
      <c r="D769" s="73" t="s">
        <v>3127</v>
      </c>
      <c r="E769" s="77">
        <v>320</v>
      </c>
      <c r="F769" s="77">
        <v>187.01099089032613</v>
      </c>
      <c r="G769" s="76">
        <v>0.5</v>
      </c>
    </row>
    <row r="770" spans="1:7" x14ac:dyDescent="0.25">
      <c r="A770" s="75">
        <v>6904202</v>
      </c>
      <c r="B770" s="73" t="s">
        <v>1447</v>
      </c>
      <c r="C770" s="68">
        <v>99</v>
      </c>
      <c r="D770" s="73" t="s">
        <v>3128</v>
      </c>
      <c r="E770" s="77">
        <v>382.37883469898395</v>
      </c>
      <c r="F770" s="77">
        <v>334.70876582567359</v>
      </c>
      <c r="G770" s="76">
        <v>2.2104983965846579</v>
      </c>
    </row>
    <row r="771" spans="1:7" x14ac:dyDescent="0.25">
      <c r="A771" s="75">
        <v>6904203</v>
      </c>
      <c r="B771" s="73" t="s">
        <v>1448</v>
      </c>
      <c r="C771" s="68">
        <v>99</v>
      </c>
      <c r="D771" s="73" t="s">
        <v>3126</v>
      </c>
      <c r="E771" s="77">
        <v>329.5</v>
      </c>
      <c r="F771" s="77">
        <v>58.835425044054446</v>
      </c>
      <c r="G771" s="76">
        <v>0.3779694201006899</v>
      </c>
    </row>
    <row r="772" spans="1:7" x14ac:dyDescent="0.25">
      <c r="A772" s="75">
        <v>6904204</v>
      </c>
      <c r="B772" s="73" t="s">
        <v>1449</v>
      </c>
      <c r="C772" s="68">
        <v>99</v>
      </c>
      <c r="D772" s="73" t="s">
        <v>3129</v>
      </c>
      <c r="E772" s="77">
        <v>196.30406738666792</v>
      </c>
      <c r="F772" s="77">
        <v>198.31579183143481</v>
      </c>
      <c r="G772" s="76">
        <v>1.2823646678017946</v>
      </c>
    </row>
    <row r="773" spans="1:7" x14ac:dyDescent="0.25">
      <c r="A773" s="75">
        <v>6904205</v>
      </c>
      <c r="B773" s="73" t="s">
        <v>1450</v>
      </c>
      <c r="C773" s="68">
        <v>99</v>
      </c>
      <c r="D773" s="73" t="s">
        <v>3105</v>
      </c>
      <c r="E773" s="77">
        <v>320</v>
      </c>
      <c r="F773" s="77">
        <v>187.01099089032613</v>
      </c>
      <c r="G773" s="76">
        <v>0.5</v>
      </c>
    </row>
    <row r="774" spans="1:7" x14ac:dyDescent="0.25">
      <c r="A774" s="75">
        <v>6904301</v>
      </c>
      <c r="B774" s="73" t="s">
        <v>3130</v>
      </c>
      <c r="C774" s="68">
        <v>99</v>
      </c>
      <c r="D774" s="73" t="s">
        <v>3127</v>
      </c>
      <c r="E774" s="77">
        <v>320</v>
      </c>
      <c r="F774" s="77">
        <v>187.01099089032613</v>
      </c>
      <c r="G774" s="76">
        <v>0.5</v>
      </c>
    </row>
    <row r="775" spans="1:7" x14ac:dyDescent="0.25">
      <c r="A775" s="75">
        <v>6904302</v>
      </c>
      <c r="B775" s="73" t="s">
        <v>1451</v>
      </c>
      <c r="C775" s="68">
        <v>99</v>
      </c>
      <c r="D775" s="73" t="s">
        <v>3127</v>
      </c>
      <c r="E775" s="77">
        <v>320</v>
      </c>
      <c r="F775" s="77">
        <v>187.01099089032613</v>
      </c>
      <c r="G775" s="76">
        <v>0.5</v>
      </c>
    </row>
    <row r="776" spans="1:7" x14ac:dyDescent="0.25">
      <c r="A776" s="75">
        <v>6904401</v>
      </c>
      <c r="B776" s="73" t="s">
        <v>1452</v>
      </c>
      <c r="C776" s="68">
        <v>99</v>
      </c>
      <c r="D776" s="73" t="s">
        <v>3131</v>
      </c>
      <c r="E776" s="77">
        <v>300.00123055360348</v>
      </c>
      <c r="F776" s="77">
        <v>230.15951206623518</v>
      </c>
      <c r="G776" s="76">
        <v>1.1675382753362145</v>
      </c>
    </row>
    <row r="777" spans="1:7" x14ac:dyDescent="0.25">
      <c r="A777" s="75">
        <v>6904501</v>
      </c>
      <c r="B777" s="73" t="s">
        <v>1453</v>
      </c>
      <c r="C777" s="68">
        <v>99</v>
      </c>
      <c r="D777" s="73" t="s">
        <v>3132</v>
      </c>
      <c r="E777" s="77">
        <v>349.75968679249934</v>
      </c>
      <c r="F777" s="77">
        <v>269.47616172160036</v>
      </c>
      <c r="G777" s="76">
        <v>1.2712365658883535</v>
      </c>
    </row>
    <row r="778" spans="1:7" x14ac:dyDescent="0.25">
      <c r="A778" s="75">
        <v>6904502</v>
      </c>
      <c r="B778" s="73" t="s">
        <v>1454</v>
      </c>
      <c r="C778" s="68">
        <v>99</v>
      </c>
      <c r="D778" s="73" t="s">
        <v>3132</v>
      </c>
      <c r="E778" s="77">
        <v>349.75968679249934</v>
      </c>
      <c r="F778" s="77">
        <v>269.47616172160036</v>
      </c>
      <c r="G778" s="76">
        <v>1.2712365658883535</v>
      </c>
    </row>
    <row r="779" spans="1:7" x14ac:dyDescent="0.25">
      <c r="A779" s="75">
        <v>6904601</v>
      </c>
      <c r="B779" s="73" t="s">
        <v>1455</v>
      </c>
      <c r="C779" s="68">
        <v>99</v>
      </c>
      <c r="D779" s="73" t="s">
        <v>3086</v>
      </c>
      <c r="E779" s="77">
        <v>349.5</v>
      </c>
      <c r="F779" s="77">
        <v>147.14151641407616</v>
      </c>
      <c r="G779" s="76">
        <v>0.55199999999999994</v>
      </c>
    </row>
    <row r="780" spans="1:7" x14ac:dyDescent="0.25">
      <c r="A780" s="75">
        <v>6904701</v>
      </c>
      <c r="B780" s="73" t="s">
        <v>1456</v>
      </c>
      <c r="C780" s="68">
        <v>99</v>
      </c>
      <c r="D780" s="73" t="s">
        <v>5</v>
      </c>
      <c r="E780" s="77">
        <v>320</v>
      </c>
      <c r="F780" s="77">
        <v>187.01099089032613</v>
      </c>
      <c r="G780" s="76">
        <v>0.5</v>
      </c>
    </row>
    <row r="781" spans="1:7" x14ac:dyDescent="0.25">
      <c r="A781" s="75">
        <v>6904801</v>
      </c>
      <c r="B781" s="73" t="s">
        <v>1457</v>
      </c>
      <c r="C781" s="68">
        <v>99</v>
      </c>
      <c r="D781" s="73" t="s">
        <v>3063</v>
      </c>
      <c r="E781" s="77">
        <v>235</v>
      </c>
      <c r="F781" s="77">
        <v>611.49086447857417</v>
      </c>
      <c r="G781" s="76">
        <v>3.35</v>
      </c>
    </row>
    <row r="782" spans="1:7" x14ac:dyDescent="0.25">
      <c r="A782" s="75">
        <v>6904802</v>
      </c>
      <c r="B782" s="73" t="s">
        <v>3133</v>
      </c>
      <c r="C782" s="68">
        <v>99</v>
      </c>
      <c r="D782" s="73" t="s">
        <v>3063</v>
      </c>
      <c r="E782" s="77">
        <v>235</v>
      </c>
      <c r="F782" s="77">
        <v>611.49086447857417</v>
      </c>
      <c r="G782" s="76">
        <v>3.35</v>
      </c>
    </row>
    <row r="783" spans="1:7" x14ac:dyDescent="0.25">
      <c r="A783" s="75">
        <v>6904804</v>
      </c>
      <c r="B783" s="73" t="s">
        <v>3134</v>
      </c>
      <c r="C783" s="68">
        <v>99</v>
      </c>
      <c r="D783" s="73" t="s">
        <v>3063</v>
      </c>
      <c r="E783" s="77">
        <v>235</v>
      </c>
      <c r="F783" s="77">
        <v>611.49086447857417</v>
      </c>
      <c r="G783" s="76">
        <v>3.35</v>
      </c>
    </row>
    <row r="784" spans="1:7" x14ac:dyDescent="0.25">
      <c r="A784" s="75">
        <v>6904807</v>
      </c>
      <c r="B784" s="73" t="s">
        <v>1458</v>
      </c>
      <c r="C784" s="68">
        <v>99</v>
      </c>
      <c r="D784" s="73" t="s">
        <v>3063</v>
      </c>
      <c r="E784" s="77">
        <v>235</v>
      </c>
      <c r="F784" s="77">
        <v>611.49086447857417</v>
      </c>
      <c r="G784" s="76">
        <v>3.35</v>
      </c>
    </row>
    <row r="785" spans="1:7" x14ac:dyDescent="0.25">
      <c r="A785" s="75">
        <v>6905001</v>
      </c>
      <c r="B785" s="73" t="s">
        <v>1459</v>
      </c>
      <c r="C785" s="68">
        <v>99</v>
      </c>
      <c r="D785" s="73" t="s">
        <v>3135</v>
      </c>
      <c r="E785" s="77">
        <v>287.08737775041101</v>
      </c>
      <c r="F785" s="77">
        <v>260.24157845106646</v>
      </c>
      <c r="G785" s="76">
        <v>2.1547206248578203</v>
      </c>
    </row>
    <row r="786" spans="1:7" x14ac:dyDescent="0.25">
      <c r="A786" s="75">
        <v>6905101</v>
      </c>
      <c r="B786" s="73" t="s">
        <v>1460</v>
      </c>
      <c r="C786" s="68">
        <v>99</v>
      </c>
      <c r="D786" s="73" t="s">
        <v>3136</v>
      </c>
      <c r="E786" s="77">
        <v>320</v>
      </c>
      <c r="F786" s="77">
        <v>187.01099089032613</v>
      </c>
      <c r="G786" s="76">
        <v>0.5</v>
      </c>
    </row>
    <row r="787" spans="1:7" x14ac:dyDescent="0.25">
      <c r="A787" s="75">
        <v>6905603</v>
      </c>
      <c r="B787" s="73" t="s">
        <v>1461</v>
      </c>
      <c r="C787" s="68">
        <v>99</v>
      </c>
      <c r="D787" s="73" t="s">
        <v>3137</v>
      </c>
      <c r="E787" s="77">
        <v>252.5</v>
      </c>
      <c r="F787" s="77">
        <v>3098.9752514303609</v>
      </c>
      <c r="G787" s="76">
        <v>4.5999999999999996</v>
      </c>
    </row>
    <row r="788" spans="1:7" x14ac:dyDescent="0.25">
      <c r="A788" s="75">
        <v>6905606</v>
      </c>
      <c r="B788" s="73" t="s">
        <v>3138</v>
      </c>
      <c r="C788" s="68">
        <v>99</v>
      </c>
      <c r="D788" s="73" t="s">
        <v>3137</v>
      </c>
      <c r="E788" s="77">
        <v>252.5</v>
      </c>
      <c r="F788" s="77">
        <v>3098.9752514303609</v>
      </c>
      <c r="G788" s="76">
        <v>4.5999999999999996</v>
      </c>
    </row>
    <row r="789" spans="1:7" x14ac:dyDescent="0.25">
      <c r="A789" s="75">
        <v>6905702</v>
      </c>
      <c r="B789" s="73" t="s">
        <v>3139</v>
      </c>
      <c r="C789" s="68">
        <v>99</v>
      </c>
      <c r="D789" s="73" t="s">
        <v>3140</v>
      </c>
      <c r="E789" s="77">
        <v>252.5</v>
      </c>
      <c r="F789" s="77">
        <v>3098.9752514303609</v>
      </c>
      <c r="G789" s="76">
        <v>4.5999999999999996</v>
      </c>
    </row>
    <row r="790" spans="1:7" x14ac:dyDescent="0.25">
      <c r="A790" s="75">
        <v>6905801</v>
      </c>
      <c r="B790" s="73" t="s">
        <v>1462</v>
      </c>
      <c r="C790" s="68">
        <v>99</v>
      </c>
      <c r="D790" s="73" t="s">
        <v>3071</v>
      </c>
      <c r="E790" s="77">
        <v>233.33333333333337</v>
      </c>
      <c r="F790" s="77">
        <v>3098.9752514303609</v>
      </c>
      <c r="G790" s="76">
        <v>4.5999999999999996</v>
      </c>
    </row>
    <row r="791" spans="1:7" x14ac:dyDescent="0.25">
      <c r="A791" s="75">
        <v>6905804</v>
      </c>
      <c r="B791" s="73" t="s">
        <v>1463</v>
      </c>
      <c r="C791" s="68">
        <v>99</v>
      </c>
      <c r="D791" s="73" t="s">
        <v>3071</v>
      </c>
      <c r="E791" s="77">
        <v>233.33333333333337</v>
      </c>
      <c r="F791" s="77">
        <v>3098.9752514303609</v>
      </c>
      <c r="G791" s="76">
        <v>4.5999999999999996</v>
      </c>
    </row>
    <row r="792" spans="1:7" x14ac:dyDescent="0.25">
      <c r="A792" s="75">
        <v>6905901</v>
      </c>
      <c r="B792" s="73" t="s">
        <v>1464</v>
      </c>
      <c r="C792" s="68">
        <v>99</v>
      </c>
      <c r="D792" s="73" t="s">
        <v>3141</v>
      </c>
      <c r="E792" s="77">
        <v>329.5</v>
      </c>
      <c r="F792" s="77">
        <v>58.835425044054446</v>
      </c>
      <c r="G792" s="76">
        <v>0.3779694201006899</v>
      </c>
    </row>
    <row r="793" spans="1:7" x14ac:dyDescent="0.25">
      <c r="A793" s="75">
        <v>6906001</v>
      </c>
      <c r="B793" s="73" t="s">
        <v>3142</v>
      </c>
      <c r="C793" s="68">
        <v>99</v>
      </c>
      <c r="D793" s="73" t="s">
        <v>3143</v>
      </c>
      <c r="E793" s="77">
        <v>108.55233824160811</v>
      </c>
      <c r="F793" s="77">
        <v>76.483817058708439</v>
      </c>
      <c r="G793" s="76">
        <v>0.51750906974186861</v>
      </c>
    </row>
    <row r="794" spans="1:7" x14ac:dyDescent="0.25">
      <c r="A794" s="75">
        <v>6906404</v>
      </c>
      <c r="B794" s="73" t="s">
        <v>1465</v>
      </c>
      <c r="C794" s="68">
        <v>99</v>
      </c>
      <c r="D794" s="73" t="s">
        <v>2816</v>
      </c>
      <c r="E794" s="77">
        <v>1782.0512452833289</v>
      </c>
      <c r="F794" s="77">
        <v>892.48131395142991</v>
      </c>
      <c r="G794" s="76">
        <v>4.6882437725890238</v>
      </c>
    </row>
    <row r="795" spans="1:7" x14ac:dyDescent="0.25">
      <c r="A795" s="75">
        <v>6906501</v>
      </c>
      <c r="B795" s="73" t="s">
        <v>1466</v>
      </c>
      <c r="C795" s="68">
        <v>99</v>
      </c>
      <c r="D795" s="73" t="s">
        <v>3144</v>
      </c>
      <c r="E795" s="77">
        <v>79.444444444444443</v>
      </c>
      <c r="F795" s="77">
        <v>1154.3725015272823</v>
      </c>
      <c r="G795" s="76">
        <v>5.75</v>
      </c>
    </row>
    <row r="796" spans="1:7" x14ac:dyDescent="0.25">
      <c r="A796" s="75">
        <v>6906502</v>
      </c>
      <c r="B796" s="73" t="s">
        <v>1467</v>
      </c>
      <c r="C796" s="68">
        <v>99</v>
      </c>
      <c r="D796" s="73" t="s">
        <v>3144</v>
      </c>
      <c r="E796" s="77">
        <v>79.444444444444443</v>
      </c>
      <c r="F796" s="77">
        <v>1154.3725015272823</v>
      </c>
      <c r="G796" s="76">
        <v>5.75</v>
      </c>
    </row>
    <row r="797" spans="1:7" x14ac:dyDescent="0.25">
      <c r="A797" s="75">
        <v>6906503</v>
      </c>
      <c r="B797" s="73" t="s">
        <v>3145</v>
      </c>
      <c r="C797" s="68">
        <v>99</v>
      </c>
      <c r="D797" s="73" t="s">
        <v>3144</v>
      </c>
      <c r="E797" s="77">
        <v>79.444444444444443</v>
      </c>
      <c r="F797" s="77">
        <v>1154.3725015272823</v>
      </c>
      <c r="G797" s="76">
        <v>5.75</v>
      </c>
    </row>
    <row r="798" spans="1:7" x14ac:dyDescent="0.25">
      <c r="A798" s="75">
        <v>6906602</v>
      </c>
      <c r="B798" s="73" t="s">
        <v>937</v>
      </c>
      <c r="C798" s="68">
        <v>99</v>
      </c>
      <c r="D798" s="73" t="s">
        <v>3060</v>
      </c>
      <c r="E798" s="77">
        <v>42.222333333333339</v>
      </c>
      <c r="F798" s="77">
        <v>68.43761220423869</v>
      </c>
      <c r="G798" s="76">
        <v>0.3779694201006899</v>
      </c>
    </row>
    <row r="799" spans="1:7" x14ac:dyDescent="0.25">
      <c r="A799" s="75">
        <v>6907001</v>
      </c>
      <c r="B799" s="73" t="s">
        <v>1468</v>
      </c>
      <c r="C799" s="68">
        <v>99</v>
      </c>
      <c r="D799" s="73" t="s">
        <v>3060</v>
      </c>
      <c r="E799" s="77">
        <v>42.222333333333339</v>
      </c>
      <c r="F799" s="77">
        <v>68.43761220423869</v>
      </c>
      <c r="G799" s="76">
        <v>0.3779694201006899</v>
      </c>
    </row>
    <row r="800" spans="1:7" x14ac:dyDescent="0.25">
      <c r="A800" s="75">
        <v>6907201</v>
      </c>
      <c r="B800" s="73" t="s">
        <v>1469</v>
      </c>
      <c r="C800" s="68">
        <v>99</v>
      </c>
      <c r="D800" s="73" t="s">
        <v>3146</v>
      </c>
      <c r="E800" s="77">
        <v>290.3</v>
      </c>
      <c r="F800" s="77">
        <v>177.2</v>
      </c>
      <c r="G800" s="76">
        <v>1.0334717607973423</v>
      </c>
    </row>
    <row r="801" spans="1:7" x14ac:dyDescent="0.25">
      <c r="A801" s="75">
        <v>6907203</v>
      </c>
      <c r="B801" s="73" t="s">
        <v>1470</v>
      </c>
      <c r="C801" s="68">
        <v>99</v>
      </c>
      <c r="D801" s="73" t="s">
        <v>3146</v>
      </c>
      <c r="E801" s="77">
        <v>290.3</v>
      </c>
      <c r="F801" s="77">
        <v>177.2</v>
      </c>
      <c r="G801" s="76">
        <v>1.0334717607973423</v>
      </c>
    </row>
    <row r="802" spans="1:7" x14ac:dyDescent="0.25">
      <c r="A802" s="75">
        <v>6907401</v>
      </c>
      <c r="B802" s="73" t="s">
        <v>1471</v>
      </c>
      <c r="C802" s="68">
        <v>99</v>
      </c>
      <c r="D802" s="73" t="s">
        <v>3147</v>
      </c>
      <c r="E802" s="77">
        <v>172.27231310881103</v>
      </c>
      <c r="F802" s="77">
        <v>242.94610040527783</v>
      </c>
      <c r="G802" s="76">
        <v>1.5013979823055108</v>
      </c>
    </row>
    <row r="803" spans="1:7" x14ac:dyDescent="0.25">
      <c r="A803" s="75">
        <v>6907501</v>
      </c>
      <c r="B803" s="73" t="s">
        <v>1472</v>
      </c>
      <c r="C803" s="68">
        <v>99</v>
      </c>
      <c r="D803" s="73" t="s">
        <v>3148</v>
      </c>
      <c r="E803" s="77">
        <v>201.04081254098358</v>
      </c>
      <c r="F803" s="77">
        <v>331.88120439801122</v>
      </c>
      <c r="G803" s="76">
        <v>1.8319945054945055</v>
      </c>
    </row>
    <row r="804" spans="1:7" x14ac:dyDescent="0.25">
      <c r="A804" s="75">
        <v>6907901</v>
      </c>
      <c r="B804" s="73" t="s">
        <v>1473</v>
      </c>
      <c r="C804" s="68">
        <v>99</v>
      </c>
      <c r="D804" s="73" t="s">
        <v>3149</v>
      </c>
      <c r="E804" s="77">
        <v>294.75</v>
      </c>
      <c r="F804" s="77">
        <v>147.14151641407616</v>
      </c>
      <c r="G804" s="76">
        <v>0.55199999999999994</v>
      </c>
    </row>
    <row r="805" spans="1:7" x14ac:dyDescent="0.25">
      <c r="A805" s="75">
        <v>6908001</v>
      </c>
      <c r="B805" s="73" t="s">
        <v>1474</v>
      </c>
      <c r="C805" s="68">
        <v>99</v>
      </c>
      <c r="D805" s="73" t="s">
        <v>3150</v>
      </c>
      <c r="E805" s="77">
        <v>294.75</v>
      </c>
      <c r="F805" s="77">
        <v>147.14151641407616</v>
      </c>
      <c r="G805" s="76">
        <v>0.55199999999999994</v>
      </c>
    </row>
    <row r="806" spans="1:7" x14ac:dyDescent="0.25">
      <c r="A806" s="75">
        <v>6908501</v>
      </c>
      <c r="B806" s="73" t="s">
        <v>1475</v>
      </c>
      <c r="C806" s="68">
        <v>99</v>
      </c>
      <c r="D806" s="73" t="s">
        <v>3100</v>
      </c>
      <c r="E806" s="77">
        <v>329.5</v>
      </c>
      <c r="F806" s="77">
        <v>58.835425044054446</v>
      </c>
      <c r="G806" s="76">
        <v>0.3779694201006899</v>
      </c>
    </row>
    <row r="807" spans="1:7" x14ac:dyDescent="0.25">
      <c r="A807" s="75">
        <v>6909601</v>
      </c>
      <c r="B807" s="73" t="s">
        <v>1476</v>
      </c>
      <c r="C807" s="68">
        <v>99</v>
      </c>
      <c r="D807" s="73" t="s">
        <v>3151</v>
      </c>
      <c r="E807" s="77">
        <v>235</v>
      </c>
      <c r="F807" s="77">
        <v>611.49086447857417</v>
      </c>
      <c r="G807" s="76">
        <v>3.35</v>
      </c>
    </row>
    <row r="808" spans="1:7" x14ac:dyDescent="0.25">
      <c r="A808" s="75">
        <v>6909701</v>
      </c>
      <c r="B808" s="73" t="s">
        <v>1477</v>
      </c>
      <c r="C808" s="68">
        <v>99</v>
      </c>
      <c r="D808" s="73" t="s">
        <v>3151</v>
      </c>
      <c r="E808" s="77">
        <v>235</v>
      </c>
      <c r="F808" s="77">
        <v>611.49086447857417</v>
      </c>
      <c r="G808" s="76">
        <v>3.35</v>
      </c>
    </row>
    <row r="809" spans="1:7" x14ac:dyDescent="0.25">
      <c r="A809" s="75">
        <v>6909901</v>
      </c>
      <c r="B809" s="73" t="s">
        <v>1478</v>
      </c>
      <c r="C809" s="68">
        <v>99</v>
      </c>
      <c r="D809" s="73" t="s">
        <v>3152</v>
      </c>
      <c r="E809" s="77">
        <v>329.5</v>
      </c>
      <c r="F809" s="77">
        <v>58.835425044054446</v>
      </c>
      <c r="G809" s="76">
        <v>0.3779694201006899</v>
      </c>
    </row>
    <row r="810" spans="1:7" x14ac:dyDescent="0.25">
      <c r="A810" s="75">
        <v>6910002</v>
      </c>
      <c r="B810" s="73" t="s">
        <v>1479</v>
      </c>
      <c r="C810" s="68">
        <v>99</v>
      </c>
      <c r="D810" s="73" t="s">
        <v>3153</v>
      </c>
      <c r="E810" s="77">
        <v>233.33333333333337</v>
      </c>
      <c r="F810" s="77">
        <v>3098.9752514303609</v>
      </c>
      <c r="G810" s="76">
        <v>4.5999999999999996</v>
      </c>
    </row>
    <row r="811" spans="1:7" x14ac:dyDescent="0.25">
      <c r="A811" s="75">
        <v>6910102</v>
      </c>
      <c r="B811" s="73" t="s">
        <v>1480</v>
      </c>
      <c r="C811" s="68">
        <v>99</v>
      </c>
      <c r="D811" s="73" t="s">
        <v>3153</v>
      </c>
      <c r="E811" s="77">
        <v>233.33333333333337</v>
      </c>
      <c r="F811" s="77">
        <v>3098.9752514303609</v>
      </c>
      <c r="G811" s="76">
        <v>4.5999999999999996</v>
      </c>
    </row>
    <row r="812" spans="1:7" x14ac:dyDescent="0.25">
      <c r="A812" s="75">
        <v>6910221</v>
      </c>
      <c r="B812" s="73" t="s">
        <v>1481</v>
      </c>
      <c r="C812" s="68">
        <v>99</v>
      </c>
      <c r="D812" s="73" t="s">
        <v>3084</v>
      </c>
      <c r="E812" s="77">
        <v>79.444444444444443</v>
      </c>
      <c r="F812" s="77">
        <v>1154.3725015272823</v>
      </c>
      <c r="G812" s="76">
        <v>5.75</v>
      </c>
    </row>
    <row r="813" spans="1:7" x14ac:dyDescent="0.25">
      <c r="A813" s="75">
        <v>6910321</v>
      </c>
      <c r="B813" s="73" t="s">
        <v>1482</v>
      </c>
      <c r="C813" s="68">
        <v>99</v>
      </c>
      <c r="D813" s="73" t="s">
        <v>3084</v>
      </c>
      <c r="E813" s="77">
        <v>80.23888888888888</v>
      </c>
      <c r="F813" s="77">
        <v>1165.9162265425553</v>
      </c>
      <c r="G813" s="76">
        <v>5.8075000000000001</v>
      </c>
    </row>
    <row r="814" spans="1:7" x14ac:dyDescent="0.25">
      <c r="A814" s="75">
        <v>6910322</v>
      </c>
      <c r="B814" s="73" t="s">
        <v>1483</v>
      </c>
      <c r="C814" s="68">
        <v>99</v>
      </c>
      <c r="D814" s="73" t="s">
        <v>3154</v>
      </c>
      <c r="E814" s="77">
        <v>79.444444444444443</v>
      </c>
      <c r="F814" s="77">
        <v>1154.3725015272823</v>
      </c>
      <c r="G814" s="76">
        <v>5.75</v>
      </c>
    </row>
    <row r="815" spans="1:7" x14ac:dyDescent="0.25">
      <c r="A815" s="75">
        <v>6910601</v>
      </c>
      <c r="B815" s="73" t="s">
        <v>1484</v>
      </c>
      <c r="C815" s="68">
        <v>99</v>
      </c>
      <c r="D815" s="73" t="s">
        <v>3149</v>
      </c>
      <c r="E815" s="77">
        <v>294.75</v>
      </c>
      <c r="F815" s="77">
        <v>147.14151641407616</v>
      </c>
      <c r="G815" s="76">
        <v>0.55199999999999994</v>
      </c>
    </row>
    <row r="816" spans="1:7" x14ac:dyDescent="0.25">
      <c r="A816" s="75">
        <v>6910604</v>
      </c>
      <c r="B816" s="73" t="s">
        <v>1485</v>
      </c>
      <c r="C816" s="68">
        <v>99</v>
      </c>
      <c r="D816" s="73" t="s">
        <v>3149</v>
      </c>
      <c r="E816" s="77">
        <v>294.75</v>
      </c>
      <c r="F816" s="77">
        <v>147.14151641407616</v>
      </c>
      <c r="G816" s="76">
        <v>0.55199999999999994</v>
      </c>
    </row>
    <row r="817" spans="1:7" x14ac:dyDescent="0.25">
      <c r="A817" s="75">
        <v>6910605</v>
      </c>
      <c r="B817" s="73" t="s">
        <v>1486</v>
      </c>
      <c r="C817" s="68">
        <v>99</v>
      </c>
      <c r="D817" s="73" t="s">
        <v>3149</v>
      </c>
      <c r="E817" s="77">
        <v>294.75</v>
      </c>
      <c r="F817" s="77">
        <v>147.14151641407616</v>
      </c>
      <c r="G817" s="76">
        <v>0.55199999999999994</v>
      </c>
    </row>
    <row r="818" spans="1:7" x14ac:dyDescent="0.25">
      <c r="A818" s="75">
        <v>6910701</v>
      </c>
      <c r="B818" s="73" t="s">
        <v>1487</v>
      </c>
      <c r="C818" s="68">
        <v>99</v>
      </c>
      <c r="D818" s="73" t="s">
        <v>3150</v>
      </c>
      <c r="E818" s="77">
        <v>294.75</v>
      </c>
      <c r="F818" s="77">
        <v>147.14151641407616</v>
      </c>
      <c r="G818" s="76">
        <v>0.55199999999999994</v>
      </c>
    </row>
    <row r="819" spans="1:7" x14ac:dyDescent="0.25">
      <c r="A819" s="75">
        <v>6910702</v>
      </c>
      <c r="B819" s="73" t="s">
        <v>1488</v>
      </c>
      <c r="C819" s="68">
        <v>99</v>
      </c>
      <c r="D819" s="73" t="s">
        <v>3150</v>
      </c>
      <c r="E819" s="77">
        <v>294.75</v>
      </c>
      <c r="F819" s="77">
        <v>147.14151641407616</v>
      </c>
      <c r="G819" s="76">
        <v>0.55199999999999994</v>
      </c>
    </row>
    <row r="820" spans="1:7" x14ac:dyDescent="0.25">
      <c r="A820" s="75">
        <v>6911301</v>
      </c>
      <c r="B820" s="73" t="s">
        <v>1489</v>
      </c>
      <c r="C820" s="68">
        <v>99</v>
      </c>
      <c r="D820" s="73" t="s">
        <v>3155</v>
      </c>
      <c r="E820" s="77">
        <v>320</v>
      </c>
      <c r="F820" s="77">
        <v>187.01099089032613</v>
      </c>
      <c r="G820" s="76">
        <v>0.5</v>
      </c>
    </row>
    <row r="821" spans="1:7" x14ac:dyDescent="0.25">
      <c r="A821" s="75">
        <v>6912501</v>
      </c>
      <c r="B821" s="73" t="s">
        <v>1490</v>
      </c>
      <c r="C821" s="68">
        <v>99</v>
      </c>
      <c r="D821" s="73" t="s">
        <v>3156</v>
      </c>
      <c r="E821" s="77">
        <v>290.3</v>
      </c>
      <c r="F821" s="77">
        <v>177.2</v>
      </c>
      <c r="G821" s="76">
        <v>1.0334717607973423</v>
      </c>
    </row>
    <row r="822" spans="1:7" x14ac:dyDescent="0.25">
      <c r="A822" s="75">
        <v>6912502</v>
      </c>
      <c r="B822" s="73" t="s">
        <v>1491</v>
      </c>
      <c r="C822" s="68">
        <v>99</v>
      </c>
      <c r="D822" s="73" t="s">
        <v>3156</v>
      </c>
      <c r="E822" s="77">
        <v>290.3</v>
      </c>
      <c r="F822" s="77">
        <v>177.2</v>
      </c>
      <c r="G822" s="76">
        <v>1.0334717607973423</v>
      </c>
    </row>
    <row r="823" spans="1:7" x14ac:dyDescent="0.25">
      <c r="A823" s="75">
        <v>6912801</v>
      </c>
      <c r="B823" s="73" t="s">
        <v>1492</v>
      </c>
      <c r="C823" s="68">
        <v>99</v>
      </c>
      <c r="D823" s="73" t="s">
        <v>3151</v>
      </c>
      <c r="E823" s="77">
        <v>235</v>
      </c>
      <c r="F823" s="77">
        <v>611.49086447857417</v>
      </c>
      <c r="G823" s="76">
        <v>3.35</v>
      </c>
    </row>
    <row r="824" spans="1:7" x14ac:dyDescent="0.25">
      <c r="A824" s="75">
        <v>6913001</v>
      </c>
      <c r="B824" s="73" t="s">
        <v>1493</v>
      </c>
      <c r="C824" s="68">
        <v>99</v>
      </c>
      <c r="D824" s="73" t="s">
        <v>3116</v>
      </c>
      <c r="E824" s="77">
        <v>184.03250126347203</v>
      </c>
      <c r="F824" s="77">
        <v>147.14151641407616</v>
      </c>
      <c r="G824" s="76">
        <v>0.55199999999999994</v>
      </c>
    </row>
    <row r="825" spans="1:7" x14ac:dyDescent="0.25">
      <c r="A825" s="75">
        <v>6913103</v>
      </c>
      <c r="B825" s="73" t="s">
        <v>1494</v>
      </c>
      <c r="C825" s="68">
        <v>99</v>
      </c>
      <c r="D825" s="73" t="s">
        <v>3157</v>
      </c>
      <c r="E825" s="77">
        <v>294.75</v>
      </c>
      <c r="F825" s="77">
        <v>147.14151641407616</v>
      </c>
      <c r="G825" s="76">
        <v>0.55199999999999994</v>
      </c>
    </row>
    <row r="826" spans="1:7" x14ac:dyDescent="0.25">
      <c r="A826" s="75">
        <v>6913801</v>
      </c>
      <c r="B826" s="73" t="s">
        <v>1495</v>
      </c>
      <c r="C826" s="68">
        <v>99</v>
      </c>
      <c r="D826" s="73" t="s">
        <v>3155</v>
      </c>
      <c r="E826" s="77">
        <v>320</v>
      </c>
      <c r="F826" s="77">
        <v>187.01099089032613</v>
      </c>
      <c r="G826" s="76">
        <v>0.5</v>
      </c>
    </row>
    <row r="827" spans="1:7" x14ac:dyDescent="0.25">
      <c r="A827" s="75">
        <v>6913901</v>
      </c>
      <c r="B827" s="73" t="s">
        <v>1496</v>
      </c>
      <c r="C827" s="68">
        <v>99</v>
      </c>
      <c r="D827" s="73" t="s">
        <v>3158</v>
      </c>
      <c r="E827" s="77">
        <v>294.75</v>
      </c>
      <c r="F827" s="77">
        <v>147.14151641407616</v>
      </c>
      <c r="G827" s="76">
        <v>0.55199999999999994</v>
      </c>
    </row>
    <row r="828" spans="1:7" x14ac:dyDescent="0.25">
      <c r="A828" s="75">
        <v>6914002</v>
      </c>
      <c r="B828" s="73" t="s">
        <v>1497</v>
      </c>
      <c r="C828" s="68">
        <v>99</v>
      </c>
      <c r="D828" s="73" t="s">
        <v>3099</v>
      </c>
      <c r="E828" s="77">
        <v>4457</v>
      </c>
      <c r="F828" s="77">
        <v>1748.1</v>
      </c>
      <c r="G828" s="76">
        <v>3.35</v>
      </c>
    </row>
    <row r="829" spans="1:7" x14ac:dyDescent="0.25">
      <c r="A829" s="75">
        <v>6914003</v>
      </c>
      <c r="B829" s="73" t="s">
        <v>1498</v>
      </c>
      <c r="C829" s="68">
        <v>99</v>
      </c>
      <c r="D829" s="73" t="s">
        <v>3099</v>
      </c>
      <c r="E829" s="77">
        <v>4457</v>
      </c>
      <c r="F829" s="77">
        <v>1748.1</v>
      </c>
      <c r="G829" s="76">
        <v>3.35</v>
      </c>
    </row>
    <row r="830" spans="1:7" x14ac:dyDescent="0.25">
      <c r="A830" s="75">
        <v>6914901</v>
      </c>
      <c r="B830" s="73" t="s">
        <v>3159</v>
      </c>
      <c r="C830" s="68">
        <v>99</v>
      </c>
      <c r="D830" s="73" t="s">
        <v>3062</v>
      </c>
      <c r="E830" s="77">
        <v>235</v>
      </c>
      <c r="F830" s="77">
        <v>611.49086447857417</v>
      </c>
      <c r="G830" s="76">
        <v>3.35</v>
      </c>
    </row>
    <row r="831" spans="1:7" x14ac:dyDescent="0.25">
      <c r="A831" s="75">
        <v>6915001</v>
      </c>
      <c r="B831" s="73" t="s">
        <v>3160</v>
      </c>
      <c r="C831" s="68">
        <v>99</v>
      </c>
      <c r="D831" s="73" t="s">
        <v>3161</v>
      </c>
      <c r="E831" s="77">
        <v>235</v>
      </c>
      <c r="F831" s="77">
        <v>611.49086447857417</v>
      </c>
      <c r="G831" s="76">
        <v>3.35</v>
      </c>
    </row>
    <row r="832" spans="1:7" x14ac:dyDescent="0.25">
      <c r="A832" s="75">
        <v>6915101</v>
      </c>
      <c r="B832" s="73" t="s">
        <v>3162</v>
      </c>
      <c r="C832" s="68">
        <v>99</v>
      </c>
      <c r="D832" s="73" t="s">
        <v>3163</v>
      </c>
      <c r="E832" s="77">
        <v>306.17169163478309</v>
      </c>
      <c r="F832" s="77">
        <v>622.39996435616592</v>
      </c>
      <c r="G832" s="76">
        <v>2.9665084968818958</v>
      </c>
    </row>
    <row r="833" spans="1:7" x14ac:dyDescent="0.25">
      <c r="A833" s="75">
        <v>6915302</v>
      </c>
      <c r="B833" s="73" t="s">
        <v>3164</v>
      </c>
      <c r="C833" s="68">
        <v>99</v>
      </c>
      <c r="D833" s="73" t="s">
        <v>3165</v>
      </c>
      <c r="E833" s="77">
        <v>320</v>
      </c>
      <c r="F833" s="77">
        <v>187.01099089032613</v>
      </c>
      <c r="G833" s="76">
        <v>0.5</v>
      </c>
    </row>
    <row r="834" spans="1:7" x14ac:dyDescent="0.25">
      <c r="A834" s="75">
        <v>6915304</v>
      </c>
      <c r="B834" s="73" t="s">
        <v>3166</v>
      </c>
      <c r="C834" s="68">
        <v>99</v>
      </c>
      <c r="D834" s="73" t="s">
        <v>3104</v>
      </c>
      <c r="E834" s="77">
        <v>243.60029449579258</v>
      </c>
      <c r="F834" s="77">
        <v>186.1935439482028</v>
      </c>
      <c r="G834" s="76">
        <v>0.94404812727907439</v>
      </c>
    </row>
    <row r="835" spans="1:7" x14ac:dyDescent="0.25">
      <c r="A835" s="75">
        <v>6915306</v>
      </c>
      <c r="B835" s="73" t="s">
        <v>3167</v>
      </c>
      <c r="C835" s="68">
        <v>99</v>
      </c>
      <c r="D835" s="73" t="s">
        <v>3168</v>
      </c>
      <c r="E835" s="77">
        <v>190.81188795593624</v>
      </c>
      <c r="F835" s="77">
        <v>163.33612563592845</v>
      </c>
      <c r="G835" s="76">
        <v>0.8249688416712404</v>
      </c>
    </row>
    <row r="836" spans="1:7" x14ac:dyDescent="0.25">
      <c r="A836" s="75">
        <v>6915308</v>
      </c>
      <c r="B836" s="73" t="s">
        <v>3169</v>
      </c>
      <c r="C836" s="68">
        <v>99</v>
      </c>
      <c r="D836" s="73" t="s">
        <v>3170</v>
      </c>
      <c r="E836" s="77">
        <v>329.19872117475006</v>
      </c>
      <c r="F836" s="77">
        <v>320.72353032857524</v>
      </c>
      <c r="G836" s="76">
        <v>2.2993681222782882</v>
      </c>
    </row>
    <row r="837" spans="1:7" x14ac:dyDescent="0.25">
      <c r="A837" s="75">
        <v>6915310</v>
      </c>
      <c r="B837" s="73" t="s">
        <v>3171</v>
      </c>
      <c r="C837" s="68">
        <v>99</v>
      </c>
      <c r="D837" s="73" t="s">
        <v>3129</v>
      </c>
      <c r="E837" s="77">
        <v>196.30406738666792</v>
      </c>
      <c r="F837" s="77">
        <v>198.31579183143481</v>
      </c>
      <c r="G837" s="76">
        <v>1.2823646678017946</v>
      </c>
    </row>
    <row r="838" spans="1:7" x14ac:dyDescent="0.25">
      <c r="A838" s="75">
        <v>6915602</v>
      </c>
      <c r="B838" s="73" t="s">
        <v>3172</v>
      </c>
      <c r="C838" s="68">
        <v>99</v>
      </c>
      <c r="D838" s="73" t="s">
        <v>3173</v>
      </c>
      <c r="E838" s="77">
        <v>114.52541991871504</v>
      </c>
      <c r="F838" s="77">
        <v>126.48256952662709</v>
      </c>
      <c r="G838" s="76">
        <v>0.62600835704257263</v>
      </c>
    </row>
    <row r="839" spans="1:7" x14ac:dyDescent="0.25">
      <c r="A839" s="75">
        <v>6915603</v>
      </c>
      <c r="B839" s="73" t="s">
        <v>3174</v>
      </c>
      <c r="C839" s="68">
        <v>99</v>
      </c>
      <c r="D839" s="73" t="s">
        <v>3175</v>
      </c>
      <c r="E839" s="77">
        <v>137.39605017724648</v>
      </c>
      <c r="F839" s="77">
        <v>140.68213123780319</v>
      </c>
      <c r="G839" s="76">
        <v>1.4769908935550853</v>
      </c>
    </row>
    <row r="840" spans="1:7" x14ac:dyDescent="0.25">
      <c r="A840" s="75">
        <v>6915702</v>
      </c>
      <c r="B840" s="73" t="s">
        <v>3176</v>
      </c>
      <c r="C840" s="68">
        <v>99</v>
      </c>
      <c r="D840" s="73" t="s">
        <v>3177</v>
      </c>
      <c r="E840" s="77">
        <v>129.43478208060785</v>
      </c>
      <c r="F840" s="77">
        <v>1052.2400238550908</v>
      </c>
      <c r="G840" s="76">
        <v>1.8039803113712463</v>
      </c>
    </row>
    <row r="841" spans="1:7" x14ac:dyDescent="0.25">
      <c r="A841" s="75">
        <v>6915801</v>
      </c>
      <c r="B841" s="73" t="s">
        <v>3178</v>
      </c>
      <c r="C841" s="68">
        <v>99</v>
      </c>
      <c r="D841" s="73" t="s">
        <v>3179</v>
      </c>
      <c r="E841" s="77">
        <v>236.22223333333332</v>
      </c>
      <c r="F841" s="77">
        <v>200.17700871453343</v>
      </c>
      <c r="G841" s="76">
        <v>0.51033339908604458</v>
      </c>
    </row>
    <row r="842" spans="1:7" x14ac:dyDescent="0.25">
      <c r="A842" s="75">
        <v>6915902</v>
      </c>
      <c r="B842" s="73" t="s">
        <v>3180</v>
      </c>
      <c r="C842" s="68">
        <v>99</v>
      </c>
      <c r="D842" s="73" t="s">
        <v>3181</v>
      </c>
      <c r="E842" s="77">
        <v>320</v>
      </c>
      <c r="F842" s="77">
        <v>187.01099089032613</v>
      </c>
      <c r="G842" s="76">
        <v>0.5</v>
      </c>
    </row>
    <row r="843" spans="1:7" x14ac:dyDescent="0.25">
      <c r="A843" s="75">
        <v>6915904</v>
      </c>
      <c r="B843" s="73" t="s">
        <v>3182</v>
      </c>
      <c r="C843" s="68">
        <v>99</v>
      </c>
      <c r="D843" s="73" t="s">
        <v>3183</v>
      </c>
      <c r="E843" s="77">
        <v>320</v>
      </c>
      <c r="F843" s="77">
        <v>187.01099089032613</v>
      </c>
      <c r="G843" s="76">
        <v>0.5</v>
      </c>
    </row>
    <row r="844" spans="1:7" x14ac:dyDescent="0.25">
      <c r="A844" s="75">
        <v>6915905</v>
      </c>
      <c r="B844" s="73" t="s">
        <v>3184</v>
      </c>
      <c r="C844" s="68">
        <v>99</v>
      </c>
      <c r="D844" s="73" t="s">
        <v>3185</v>
      </c>
      <c r="E844" s="77">
        <v>320</v>
      </c>
      <c r="F844" s="77">
        <v>187.01099089032613</v>
      </c>
      <c r="G844" s="76">
        <v>0.5</v>
      </c>
    </row>
    <row r="845" spans="1:7" x14ac:dyDescent="0.25">
      <c r="A845" s="75">
        <v>6916101</v>
      </c>
      <c r="B845" s="73" t="s">
        <v>3186</v>
      </c>
      <c r="C845" s="68">
        <v>99</v>
      </c>
      <c r="D845" s="73" t="s">
        <v>3187</v>
      </c>
      <c r="E845" s="77">
        <v>448.81680629295914</v>
      </c>
      <c r="F845" s="77">
        <v>358.03676875507574</v>
      </c>
      <c r="G845" s="76">
        <v>3.1060258765863873</v>
      </c>
    </row>
    <row r="846" spans="1:7" x14ac:dyDescent="0.25">
      <c r="A846" s="75">
        <v>6916201</v>
      </c>
      <c r="B846" s="73" t="s">
        <v>3188</v>
      </c>
      <c r="C846" s="68">
        <v>99</v>
      </c>
      <c r="D846" s="73" t="s">
        <v>3189</v>
      </c>
      <c r="E846" s="77">
        <v>144.36163105999398</v>
      </c>
      <c r="F846" s="77">
        <v>646.97600123497659</v>
      </c>
      <c r="G846" s="76">
        <v>1.5545326239810691</v>
      </c>
    </row>
    <row r="847" spans="1:7" x14ac:dyDescent="0.25">
      <c r="A847" s="75">
        <v>6916401</v>
      </c>
      <c r="B847" s="73" t="s">
        <v>3190</v>
      </c>
      <c r="C847" s="68">
        <v>99</v>
      </c>
      <c r="D847" s="73" t="s">
        <v>3191</v>
      </c>
      <c r="E847" s="77">
        <v>314.84948290617143</v>
      </c>
      <c r="F847" s="77">
        <v>1101.7817021760122</v>
      </c>
      <c r="G847" s="76">
        <v>3.8228523962944929</v>
      </c>
    </row>
    <row r="848" spans="1:7" x14ac:dyDescent="0.25">
      <c r="A848" s="75">
        <v>6916501</v>
      </c>
      <c r="B848" s="73" t="s">
        <v>3192</v>
      </c>
      <c r="C848" s="68">
        <v>99</v>
      </c>
      <c r="D848" s="73" t="s">
        <v>3193</v>
      </c>
      <c r="E848" s="77">
        <v>29.357149872231599</v>
      </c>
      <c r="F848" s="77">
        <v>27.101190010068567</v>
      </c>
      <c r="G848" s="76">
        <v>0.15345783919787448</v>
      </c>
    </row>
    <row r="849" spans="1:7" x14ac:dyDescent="0.25">
      <c r="A849" s="75">
        <v>6916601</v>
      </c>
      <c r="B849" s="73" t="s">
        <v>3194</v>
      </c>
      <c r="C849" s="68">
        <v>99</v>
      </c>
      <c r="D849" s="73" t="s">
        <v>3195</v>
      </c>
      <c r="E849" s="77">
        <v>320</v>
      </c>
      <c r="F849" s="77">
        <v>187.01099089032613</v>
      </c>
      <c r="G849" s="76">
        <v>0.5</v>
      </c>
    </row>
    <row r="850" spans="1:7" x14ac:dyDescent="0.25">
      <c r="A850" s="75">
        <v>6916801</v>
      </c>
      <c r="B850" s="73" t="s">
        <v>3196</v>
      </c>
      <c r="C850" s="68">
        <v>99</v>
      </c>
      <c r="D850" s="73" t="s">
        <v>3197</v>
      </c>
      <c r="E850" s="77">
        <v>217.7931551131928</v>
      </c>
      <c r="F850" s="77">
        <v>211.52343502776091</v>
      </c>
      <c r="G850" s="76">
        <v>0.44034431456318029</v>
      </c>
    </row>
    <row r="851" spans="1:7" x14ac:dyDescent="0.25">
      <c r="A851" s="75">
        <v>6916901</v>
      </c>
      <c r="B851" s="73" t="s">
        <v>3198</v>
      </c>
      <c r="C851" s="68">
        <v>99</v>
      </c>
      <c r="D851" s="73" t="s">
        <v>3199</v>
      </c>
      <c r="E851" s="77">
        <v>347.34066666666666</v>
      </c>
      <c r="F851" s="77">
        <v>195.15723861723205</v>
      </c>
      <c r="G851" s="76">
        <v>1.0775000000000001</v>
      </c>
    </row>
    <row r="852" spans="1:7" x14ac:dyDescent="0.25">
      <c r="A852" s="75">
        <v>6917001</v>
      </c>
      <c r="B852" s="73" t="s">
        <v>3200</v>
      </c>
      <c r="C852" s="68">
        <v>99</v>
      </c>
      <c r="D852" s="73" t="s">
        <v>3201</v>
      </c>
      <c r="E852" s="77">
        <v>333.23104250006782</v>
      </c>
      <c r="F852" s="77">
        <v>248.64613459166955</v>
      </c>
      <c r="G852" s="76">
        <v>1.9223455050935903</v>
      </c>
    </row>
    <row r="853" spans="1:7" x14ac:dyDescent="0.25">
      <c r="A853" s="75">
        <v>6917301</v>
      </c>
      <c r="B853" s="73" t="s">
        <v>3202</v>
      </c>
      <c r="C853" s="68">
        <v>99</v>
      </c>
      <c r="D853" s="73" t="s">
        <v>3203</v>
      </c>
      <c r="E853" s="77">
        <v>317.46003465377777</v>
      </c>
      <c r="F853" s="77">
        <v>210.67145075195708</v>
      </c>
      <c r="G853" s="76">
        <v>1.0004327214041577</v>
      </c>
    </row>
    <row r="854" spans="1:7" x14ac:dyDescent="0.25">
      <c r="A854" s="75">
        <v>6917401</v>
      </c>
      <c r="B854" s="73" t="s">
        <v>3204</v>
      </c>
      <c r="C854" s="68">
        <v>99</v>
      </c>
      <c r="D854" s="73" t="s">
        <v>3205</v>
      </c>
      <c r="E854" s="77">
        <v>223.79192535634422</v>
      </c>
      <c r="F854" s="77">
        <v>197.92856377291019</v>
      </c>
      <c r="G854" s="76">
        <v>2.084408142354496</v>
      </c>
    </row>
    <row r="855" spans="1:7" x14ac:dyDescent="0.25">
      <c r="A855" s="75">
        <v>6980001</v>
      </c>
      <c r="B855" s="73" t="s">
        <v>3206</v>
      </c>
      <c r="C855" s="68">
        <v>99</v>
      </c>
      <c r="D855" s="73" t="s">
        <v>3207</v>
      </c>
      <c r="E855" s="77">
        <v>320</v>
      </c>
      <c r="F855" s="77">
        <v>187.01099089032613</v>
      </c>
      <c r="G855" s="76">
        <v>0.5</v>
      </c>
    </row>
    <row r="856" spans="1:7" x14ac:dyDescent="0.25">
      <c r="A856" s="75">
        <v>6980101</v>
      </c>
      <c r="B856" s="73" t="s">
        <v>3208</v>
      </c>
      <c r="C856" s="68">
        <v>99</v>
      </c>
      <c r="D856" s="73" t="s">
        <v>3209</v>
      </c>
      <c r="E856" s="77">
        <v>283.5448171343254</v>
      </c>
      <c r="F856" s="77">
        <v>207.73995934647081</v>
      </c>
      <c r="G856" s="76">
        <v>1.5890251786949869</v>
      </c>
    </row>
    <row r="857" spans="1:7" x14ac:dyDescent="0.25">
      <c r="A857" s="75"/>
      <c r="B857" s="72" t="s">
        <v>20</v>
      </c>
      <c r="C857" s="68"/>
      <c r="D857" s="73"/>
      <c r="E857" s="77"/>
      <c r="F857" s="77"/>
      <c r="G857" s="76"/>
    </row>
    <row r="858" spans="1:7" x14ac:dyDescent="0.25">
      <c r="A858" s="75">
        <v>7001001</v>
      </c>
      <c r="B858" s="73" t="s">
        <v>3210</v>
      </c>
      <c r="C858" s="68">
        <v>99</v>
      </c>
      <c r="D858" s="73" t="s">
        <v>3211</v>
      </c>
      <c r="E858" s="77">
        <v>33</v>
      </c>
      <c r="F858" s="77">
        <v>815.88851894663992</v>
      </c>
      <c r="G858" s="76">
        <v>4.95</v>
      </c>
    </row>
    <row r="859" spans="1:7" x14ac:dyDescent="0.25">
      <c r="A859" s="75">
        <v>7001501</v>
      </c>
      <c r="B859" s="73" t="s">
        <v>1499</v>
      </c>
      <c r="C859" s="68">
        <v>99</v>
      </c>
      <c r="D859" s="73" t="s">
        <v>3212</v>
      </c>
      <c r="E859" s="77">
        <v>472.02067782250401</v>
      </c>
      <c r="F859" s="77">
        <v>366.65737195849192</v>
      </c>
      <c r="G859" s="76">
        <v>3.946301863942721</v>
      </c>
    </row>
    <row r="860" spans="1:7" x14ac:dyDescent="0.25">
      <c r="A860" s="75">
        <v>7002304</v>
      </c>
      <c r="B860" s="73" t="s">
        <v>938</v>
      </c>
      <c r="C860" s="68">
        <v>99</v>
      </c>
      <c r="D860" s="73" t="s">
        <v>3213</v>
      </c>
      <c r="E860" s="77">
        <v>46.226877439500392</v>
      </c>
      <c r="F860" s="77">
        <v>79.909345438723946</v>
      </c>
      <c r="G860" s="76">
        <v>0.15</v>
      </c>
    </row>
    <row r="861" spans="1:7" x14ac:dyDescent="0.25">
      <c r="A861" s="75">
        <v>7002601</v>
      </c>
      <c r="B861" s="73" t="s">
        <v>939</v>
      </c>
      <c r="C861" s="68">
        <v>99</v>
      </c>
      <c r="D861" s="73" t="s">
        <v>3214</v>
      </c>
      <c r="E861" s="77">
        <v>33.741888888888887</v>
      </c>
      <c r="F861" s="77">
        <v>41.607420888875843</v>
      </c>
      <c r="G861" s="76">
        <v>0.13</v>
      </c>
    </row>
    <row r="862" spans="1:7" x14ac:dyDescent="0.25">
      <c r="A862" s="75">
        <v>7003604</v>
      </c>
      <c r="B862" s="73" t="s">
        <v>1500</v>
      </c>
      <c r="C862" s="68">
        <v>99</v>
      </c>
      <c r="D862" s="73" t="s">
        <v>3215</v>
      </c>
      <c r="E862" s="77">
        <v>156</v>
      </c>
      <c r="F862" s="77">
        <v>62.780224438919817</v>
      </c>
      <c r="G862" s="76">
        <v>3.35</v>
      </c>
    </row>
    <row r="863" spans="1:7" x14ac:dyDescent="0.25">
      <c r="A863" s="75">
        <v>7003801</v>
      </c>
      <c r="B863" s="73" t="s">
        <v>942</v>
      </c>
      <c r="C863" s="68">
        <v>99</v>
      </c>
      <c r="D863" s="73" t="s">
        <v>3216</v>
      </c>
      <c r="E863" s="77">
        <v>72.829107237189646</v>
      </c>
      <c r="F863" s="77">
        <v>207.16080837668224</v>
      </c>
      <c r="G863" s="76">
        <v>1.1000000000000001</v>
      </c>
    </row>
    <row r="864" spans="1:7" x14ac:dyDescent="0.25">
      <c r="A864" s="75">
        <v>7003901</v>
      </c>
      <c r="B864" s="73" t="s">
        <v>3217</v>
      </c>
      <c r="C864" s="68">
        <v>99</v>
      </c>
      <c r="D864" s="73" t="s">
        <v>3218</v>
      </c>
      <c r="E864" s="77">
        <v>131.93210937617965</v>
      </c>
      <c r="F864" s="77">
        <v>378.93908891195974</v>
      </c>
      <c r="G864" s="76">
        <v>1.8162417370380211</v>
      </c>
    </row>
    <row r="865" spans="1:7" x14ac:dyDescent="0.25">
      <c r="A865" s="75">
        <v>7004301</v>
      </c>
      <c r="B865" s="73" t="s">
        <v>1501</v>
      </c>
      <c r="C865" s="68">
        <v>99</v>
      </c>
      <c r="D865" s="73" t="s">
        <v>3219</v>
      </c>
      <c r="E865" s="77">
        <v>156</v>
      </c>
      <c r="F865" s="77">
        <v>43.186296717861296</v>
      </c>
      <c r="G865" s="76">
        <v>3.35</v>
      </c>
    </row>
    <row r="866" spans="1:7" x14ac:dyDescent="0.25">
      <c r="A866" s="75">
        <v>7004801</v>
      </c>
      <c r="B866" s="73" t="s">
        <v>945</v>
      </c>
      <c r="C866" s="68">
        <v>99</v>
      </c>
      <c r="D866" s="73" t="s">
        <v>3220</v>
      </c>
      <c r="E866" s="77">
        <v>129.96666666666667</v>
      </c>
      <c r="F866" s="77">
        <v>32.22824599786852</v>
      </c>
      <c r="G866" s="76">
        <v>0.53499999999999992</v>
      </c>
    </row>
    <row r="867" spans="1:7" x14ac:dyDescent="0.25">
      <c r="A867" s="75">
        <v>7004802</v>
      </c>
      <c r="B867" s="73" t="s">
        <v>947</v>
      </c>
      <c r="C867" s="68">
        <v>99</v>
      </c>
      <c r="D867" s="73" t="s">
        <v>3221</v>
      </c>
      <c r="E867" s="77">
        <v>156</v>
      </c>
      <c r="F867" s="77">
        <v>23.592368996802783</v>
      </c>
      <c r="G867" s="76">
        <v>3.35</v>
      </c>
    </row>
    <row r="868" spans="1:7" x14ac:dyDescent="0.25">
      <c r="A868" s="75">
        <v>7004803</v>
      </c>
      <c r="B868" s="73" t="s">
        <v>1502</v>
      </c>
      <c r="C868" s="68">
        <v>99</v>
      </c>
      <c r="D868" s="73" t="s">
        <v>3221</v>
      </c>
      <c r="E868" s="77">
        <v>156</v>
      </c>
      <c r="F868" s="77">
        <v>23.592368996802783</v>
      </c>
      <c r="G868" s="76">
        <v>3.35</v>
      </c>
    </row>
    <row r="869" spans="1:7" x14ac:dyDescent="0.25">
      <c r="A869" s="75">
        <v>7006101</v>
      </c>
      <c r="B869" s="73" t="s">
        <v>949</v>
      </c>
      <c r="C869" s="68">
        <v>99</v>
      </c>
      <c r="D869" s="73" t="s">
        <v>3222</v>
      </c>
      <c r="E869" s="77">
        <v>33</v>
      </c>
      <c r="F869" s="77">
        <v>184.19097858043023</v>
      </c>
      <c r="G869" s="76">
        <v>4.95</v>
      </c>
    </row>
    <row r="870" spans="1:7" x14ac:dyDescent="0.25">
      <c r="A870" s="75">
        <v>7007101</v>
      </c>
      <c r="B870" s="73" t="s">
        <v>1503</v>
      </c>
      <c r="C870" s="68">
        <v>99</v>
      </c>
      <c r="D870" s="73" t="s">
        <v>3223</v>
      </c>
      <c r="E870" s="77">
        <v>290</v>
      </c>
      <c r="F870" s="77">
        <v>611.49086447857417</v>
      </c>
      <c r="G870" s="76">
        <v>3.35</v>
      </c>
    </row>
    <row r="871" spans="1:7" x14ac:dyDescent="0.25">
      <c r="A871" s="75">
        <v>7007502</v>
      </c>
      <c r="B871" s="73" t="s">
        <v>1504</v>
      </c>
      <c r="C871" s="68">
        <v>99</v>
      </c>
      <c r="D871" s="73" t="s">
        <v>3224</v>
      </c>
      <c r="E871" s="77">
        <v>306.20277781674423</v>
      </c>
      <c r="F871" s="77">
        <v>253.28403733350046</v>
      </c>
      <c r="G871" s="76">
        <v>2.0009886948552942</v>
      </c>
    </row>
    <row r="872" spans="1:7" x14ac:dyDescent="0.25">
      <c r="A872" s="75">
        <v>7007701</v>
      </c>
      <c r="B872" s="73" t="s">
        <v>1505</v>
      </c>
      <c r="C872" s="68">
        <v>99</v>
      </c>
      <c r="D872" s="73" t="s">
        <v>3</v>
      </c>
      <c r="E872" s="77">
        <v>90.018059829822263</v>
      </c>
      <c r="F872" s="77">
        <v>16.501762160767967</v>
      </c>
      <c r="G872" s="76">
        <v>1.2935693048702972</v>
      </c>
    </row>
    <row r="873" spans="1:7" x14ac:dyDescent="0.25">
      <c r="A873" s="75">
        <v>7009102</v>
      </c>
      <c r="B873" s="73" t="s">
        <v>951</v>
      </c>
      <c r="C873" s="68">
        <v>99</v>
      </c>
      <c r="D873" s="73" t="s">
        <v>3225</v>
      </c>
      <c r="E873" s="77">
        <v>63.133333333333319</v>
      </c>
      <c r="F873" s="77">
        <v>684.87837130653247</v>
      </c>
      <c r="G873" s="76">
        <v>0.57512152358658519</v>
      </c>
    </row>
    <row r="874" spans="1:7" x14ac:dyDescent="0.25">
      <c r="A874" s="75">
        <v>7010301</v>
      </c>
      <c r="B874" s="73" t="s">
        <v>953</v>
      </c>
      <c r="C874" s="68">
        <v>99</v>
      </c>
      <c r="D874" s="73" t="s">
        <v>3226</v>
      </c>
      <c r="E874" s="77">
        <v>186.20978427197173</v>
      </c>
      <c r="F874" s="77">
        <v>170.90780181240788</v>
      </c>
      <c r="G874" s="76">
        <v>1.4413695690541322</v>
      </c>
    </row>
    <row r="875" spans="1:7" x14ac:dyDescent="0.25">
      <c r="A875" s="75">
        <v>7010401</v>
      </c>
      <c r="B875" s="73" t="s">
        <v>1506</v>
      </c>
      <c r="C875" s="68">
        <v>99</v>
      </c>
      <c r="D875" s="73" t="s">
        <v>3219</v>
      </c>
      <c r="E875" s="77">
        <v>156</v>
      </c>
      <c r="F875" s="77">
        <v>43.186296717861296</v>
      </c>
      <c r="G875" s="76">
        <v>3.35</v>
      </c>
    </row>
    <row r="876" spans="1:7" x14ac:dyDescent="0.25">
      <c r="A876" s="75">
        <v>7079202</v>
      </c>
      <c r="B876" s="73" t="s">
        <v>1507</v>
      </c>
      <c r="C876" s="68">
        <v>99</v>
      </c>
      <c r="D876" s="73" t="s">
        <v>3227</v>
      </c>
      <c r="E876" s="77">
        <v>139.2606683882471</v>
      </c>
      <c r="F876" s="77">
        <v>113.65005888762667</v>
      </c>
      <c r="G876" s="76">
        <v>1.1093752340357053</v>
      </c>
    </row>
    <row r="877" spans="1:7" x14ac:dyDescent="0.25">
      <c r="A877" s="75">
        <v>7080001</v>
      </c>
      <c r="B877" s="73" t="s">
        <v>1924</v>
      </c>
      <c r="C877" s="68">
        <v>99</v>
      </c>
      <c r="D877" s="73" t="s">
        <v>3228</v>
      </c>
      <c r="E877" s="77">
        <v>224</v>
      </c>
      <c r="F877" s="77">
        <v>101.1</v>
      </c>
      <c r="G877" s="76">
        <v>1.1499999999999999</v>
      </c>
    </row>
    <row r="878" spans="1:7" x14ac:dyDescent="0.25">
      <c r="A878" s="75">
        <v>7080101</v>
      </c>
      <c r="B878" s="73" t="s">
        <v>3229</v>
      </c>
      <c r="C878" s="68">
        <v>99</v>
      </c>
      <c r="D878" s="73" t="s">
        <v>3230</v>
      </c>
      <c r="E878" s="77">
        <v>18</v>
      </c>
      <c r="F878" s="77">
        <v>0</v>
      </c>
      <c r="G878" s="76">
        <v>0</v>
      </c>
    </row>
    <row r="879" spans="1:7" x14ac:dyDescent="0.25">
      <c r="A879" s="75">
        <v>7080301</v>
      </c>
      <c r="B879" s="73" t="s">
        <v>3231</v>
      </c>
      <c r="C879" s="68">
        <v>99</v>
      </c>
      <c r="D879" s="73" t="s">
        <v>3232</v>
      </c>
      <c r="E879" s="77">
        <v>181.17491706807823</v>
      </c>
      <c r="F879" s="77">
        <v>286.61949933335211</v>
      </c>
      <c r="G879" s="76">
        <v>2.8636722582365532</v>
      </c>
    </row>
    <row r="880" spans="1:7" x14ac:dyDescent="0.25">
      <c r="A880" s="75">
        <v>7080401</v>
      </c>
      <c r="B880" s="73" t="s">
        <v>3233</v>
      </c>
      <c r="C880" s="68">
        <v>99</v>
      </c>
      <c r="D880" s="73" t="s">
        <v>3234</v>
      </c>
      <c r="E880" s="77">
        <v>149.38627654369031</v>
      </c>
      <c r="F880" s="77">
        <v>227.05383123944196</v>
      </c>
      <c r="G880" s="76">
        <v>1.4809939050970311</v>
      </c>
    </row>
    <row r="881" spans="1:7" x14ac:dyDescent="0.25">
      <c r="A881" s="75"/>
      <c r="B881" s="72" t="s">
        <v>21</v>
      </c>
      <c r="C881" s="68"/>
      <c r="D881" s="73"/>
      <c r="E881" s="77"/>
      <c r="F881" s="77"/>
      <c r="G881" s="76"/>
    </row>
    <row r="882" spans="1:7" x14ac:dyDescent="0.25">
      <c r="A882" s="75">
        <v>7100101</v>
      </c>
      <c r="B882" s="73" t="s">
        <v>1189</v>
      </c>
      <c r="C882" s="68">
        <v>1</v>
      </c>
      <c r="D882" s="73" t="s">
        <v>3235</v>
      </c>
      <c r="E882" s="77">
        <v>4720.8253518772563</v>
      </c>
      <c r="F882" s="77">
        <v>3133.9254366051191</v>
      </c>
      <c r="G882" s="76">
        <v>19.399724520759033</v>
      </c>
    </row>
    <row r="883" spans="1:7" x14ac:dyDescent="0.25">
      <c r="A883" s="75">
        <v>7100101</v>
      </c>
      <c r="B883" s="73" t="s">
        <v>1189</v>
      </c>
      <c r="C883" s="68">
        <v>2</v>
      </c>
      <c r="D883" s="73" t="s">
        <v>3236</v>
      </c>
      <c r="E883" s="77">
        <v>4483.352456226452</v>
      </c>
      <c r="F883" s="77">
        <v>3001.1343656516806</v>
      </c>
      <c r="G883" s="76">
        <v>18.561793262522357</v>
      </c>
    </row>
    <row r="884" spans="1:7" x14ac:dyDescent="0.25">
      <c r="A884" s="75">
        <v>7100101</v>
      </c>
      <c r="B884" s="73" t="s">
        <v>1189</v>
      </c>
      <c r="C884" s="68">
        <v>5</v>
      </c>
      <c r="D884" s="73" t="s">
        <v>3237</v>
      </c>
      <c r="E884" s="77">
        <v>5181.6528133665106</v>
      </c>
      <c r="F884" s="77">
        <v>3517.490312018956</v>
      </c>
      <c r="G884" s="76">
        <v>21.876457462073478</v>
      </c>
    </row>
    <row r="885" spans="1:7" x14ac:dyDescent="0.25">
      <c r="A885" s="75">
        <v>7100101</v>
      </c>
      <c r="B885" s="73" t="s">
        <v>1189</v>
      </c>
      <c r="C885" s="68">
        <v>7</v>
      </c>
      <c r="D885" s="73" t="s">
        <v>3238</v>
      </c>
      <c r="E885" s="77">
        <v>4308.6863590000667</v>
      </c>
      <c r="F885" s="77">
        <v>2917.4009629696989</v>
      </c>
      <c r="G885" s="76">
        <v>18.150377735058569</v>
      </c>
    </row>
    <row r="886" spans="1:7" x14ac:dyDescent="0.25">
      <c r="A886" s="75">
        <v>7100101</v>
      </c>
      <c r="B886" s="73" t="s">
        <v>1189</v>
      </c>
      <c r="C886" s="68">
        <v>8</v>
      </c>
      <c r="D886" s="73" t="s">
        <v>3235</v>
      </c>
      <c r="E886" s="77">
        <v>4654.9003518772561</v>
      </c>
      <c r="F886" s="77">
        <v>3133.9254366051191</v>
      </c>
      <c r="G886" s="76">
        <v>19.399724520759033</v>
      </c>
    </row>
    <row r="887" spans="1:7" x14ac:dyDescent="0.25">
      <c r="A887" s="75">
        <v>7100101</v>
      </c>
      <c r="B887" s="73" t="s">
        <v>1189</v>
      </c>
      <c r="C887" s="68">
        <v>9</v>
      </c>
      <c r="D887" s="73" t="s">
        <v>3236</v>
      </c>
      <c r="E887" s="77">
        <v>4477.0041228931186</v>
      </c>
      <c r="F887" s="77">
        <v>3001.134365651681</v>
      </c>
      <c r="G887" s="76">
        <v>18.561793262522354</v>
      </c>
    </row>
    <row r="888" spans="1:7" x14ac:dyDescent="0.25">
      <c r="A888" s="75">
        <v>7100101</v>
      </c>
      <c r="B888" s="73" t="s">
        <v>1189</v>
      </c>
      <c r="C888" s="68">
        <v>99</v>
      </c>
      <c r="D888" s="73" t="s">
        <v>3235</v>
      </c>
      <c r="E888" s="77">
        <v>4720.8253518772563</v>
      </c>
      <c r="F888" s="77">
        <v>3133.9254366051191</v>
      </c>
      <c r="G888" s="76">
        <v>19.399724520759033</v>
      </c>
    </row>
    <row r="889" spans="1:7" x14ac:dyDescent="0.25">
      <c r="A889" s="75">
        <v>7100201</v>
      </c>
      <c r="B889" s="73" t="s">
        <v>1190</v>
      </c>
      <c r="C889" s="68">
        <v>1</v>
      </c>
      <c r="D889" s="73" t="s">
        <v>3239</v>
      </c>
      <c r="E889" s="77">
        <v>4720.8253518772563</v>
      </c>
      <c r="F889" s="77">
        <v>3133.9254366051191</v>
      </c>
      <c r="G889" s="76">
        <v>19.399724520759033</v>
      </c>
    </row>
    <row r="890" spans="1:7" x14ac:dyDescent="0.25">
      <c r="A890" s="75">
        <v>7100201</v>
      </c>
      <c r="B890" s="73" t="s">
        <v>1190</v>
      </c>
      <c r="C890" s="68">
        <v>3</v>
      </c>
      <c r="D890" s="73" t="s">
        <v>3239</v>
      </c>
      <c r="E890" s="77">
        <v>4692.9903518772562</v>
      </c>
      <c r="F890" s="77">
        <v>3133.9254366051191</v>
      </c>
      <c r="G890" s="76">
        <v>19.399724520759033</v>
      </c>
    </row>
    <row r="891" spans="1:7" x14ac:dyDescent="0.25">
      <c r="A891" s="75">
        <v>7100201</v>
      </c>
      <c r="B891" s="73" t="s">
        <v>1190</v>
      </c>
      <c r="C891" s="68">
        <v>5</v>
      </c>
      <c r="D891" s="73" t="s">
        <v>3240</v>
      </c>
      <c r="E891" s="77">
        <v>5181.6528133665106</v>
      </c>
      <c r="F891" s="77">
        <v>3517.490312018956</v>
      </c>
      <c r="G891" s="76">
        <v>21.876457462073482</v>
      </c>
    </row>
    <row r="892" spans="1:7" x14ac:dyDescent="0.25">
      <c r="A892" s="75">
        <v>7100201</v>
      </c>
      <c r="B892" s="73" t="s">
        <v>1190</v>
      </c>
      <c r="C892" s="68">
        <v>7</v>
      </c>
      <c r="D892" s="73" t="s">
        <v>3241</v>
      </c>
      <c r="E892" s="77">
        <v>4308.6863590000667</v>
      </c>
      <c r="F892" s="77">
        <v>2917.4009629696989</v>
      </c>
      <c r="G892" s="76">
        <v>18.150377735058569</v>
      </c>
    </row>
    <row r="893" spans="1:7" x14ac:dyDescent="0.25">
      <c r="A893" s="75">
        <v>7100201</v>
      </c>
      <c r="B893" s="73" t="s">
        <v>1190</v>
      </c>
      <c r="C893" s="68">
        <v>8</v>
      </c>
      <c r="D893" s="73" t="s">
        <v>3239</v>
      </c>
      <c r="E893" s="77">
        <v>4654.9003518772561</v>
      </c>
      <c r="F893" s="77">
        <v>3133.9254366051191</v>
      </c>
      <c r="G893" s="76">
        <v>19.399724520759033</v>
      </c>
    </row>
    <row r="894" spans="1:7" x14ac:dyDescent="0.25">
      <c r="A894" s="75">
        <v>7100205</v>
      </c>
      <c r="B894" s="73" t="s">
        <v>1191</v>
      </c>
      <c r="C894" s="68">
        <v>1</v>
      </c>
      <c r="D894" s="73" t="s">
        <v>3242</v>
      </c>
      <c r="E894" s="77">
        <v>4652.3562918856005</v>
      </c>
      <c r="F894" s="77">
        <v>3012.3543369618828</v>
      </c>
      <c r="G894" s="76">
        <v>18.411003169811053</v>
      </c>
    </row>
    <row r="895" spans="1:7" x14ac:dyDescent="0.25">
      <c r="A895" s="75">
        <v>7100205</v>
      </c>
      <c r="B895" s="73" t="s">
        <v>1191</v>
      </c>
      <c r="C895" s="68">
        <v>2</v>
      </c>
      <c r="D895" s="73" t="s">
        <v>3243</v>
      </c>
      <c r="E895" s="77">
        <v>4422.5975196839363</v>
      </c>
      <c r="F895" s="77">
        <v>2894.2058484522136</v>
      </c>
      <c r="G895" s="76">
        <v>17.742415301212212</v>
      </c>
    </row>
    <row r="896" spans="1:7" x14ac:dyDescent="0.25">
      <c r="A896" s="75">
        <v>7100205</v>
      </c>
      <c r="B896" s="73" t="s">
        <v>1191</v>
      </c>
      <c r="C896" s="68">
        <v>3</v>
      </c>
      <c r="D896" s="73" t="s">
        <v>3242</v>
      </c>
      <c r="E896" s="77">
        <v>4624.5212918856005</v>
      </c>
      <c r="F896" s="77">
        <v>3012.3543369618828</v>
      </c>
      <c r="G896" s="76">
        <v>18.411003169811053</v>
      </c>
    </row>
    <row r="897" spans="1:7" x14ac:dyDescent="0.25">
      <c r="A897" s="75">
        <v>7100205</v>
      </c>
      <c r="B897" s="73" t="s">
        <v>1191</v>
      </c>
      <c r="C897" s="68">
        <v>5</v>
      </c>
      <c r="D897" s="73" t="s">
        <v>3242</v>
      </c>
      <c r="E897" s="77">
        <v>4599.127958552267</v>
      </c>
      <c r="F897" s="77">
        <v>3012.3543369618828</v>
      </c>
      <c r="G897" s="76">
        <v>18.411003169811053</v>
      </c>
    </row>
    <row r="898" spans="1:7" x14ac:dyDescent="0.25">
      <c r="A898" s="75">
        <v>7100205</v>
      </c>
      <c r="B898" s="73" t="s">
        <v>1191</v>
      </c>
      <c r="C898" s="68">
        <v>6</v>
      </c>
      <c r="D898" s="73" t="s">
        <v>3244</v>
      </c>
      <c r="E898" s="77">
        <v>4147.3892887255543</v>
      </c>
      <c r="F898" s="77">
        <v>2719.8271781886524</v>
      </c>
      <c r="G898" s="76">
        <v>16.606603510895049</v>
      </c>
    </row>
    <row r="899" spans="1:7" x14ac:dyDescent="0.25">
      <c r="A899" s="75">
        <v>7100205</v>
      </c>
      <c r="B899" s="73" t="s">
        <v>1191</v>
      </c>
      <c r="C899" s="68">
        <v>7</v>
      </c>
      <c r="D899" s="73" t="s">
        <v>3242</v>
      </c>
      <c r="E899" s="77">
        <v>4595.9537918856004</v>
      </c>
      <c r="F899" s="77">
        <v>3012.3543369618828</v>
      </c>
      <c r="G899" s="76">
        <v>18.411003169811053</v>
      </c>
    </row>
    <row r="900" spans="1:7" x14ac:dyDescent="0.25">
      <c r="A900" s="75">
        <v>7100205</v>
      </c>
      <c r="B900" s="73" t="s">
        <v>1191</v>
      </c>
      <c r="C900" s="68">
        <v>8</v>
      </c>
      <c r="D900" s="73" t="s">
        <v>3242</v>
      </c>
      <c r="E900" s="77">
        <v>4586.4312918856003</v>
      </c>
      <c r="F900" s="77">
        <v>3012.3543369618828</v>
      </c>
      <c r="G900" s="76">
        <v>18.411003169811053</v>
      </c>
    </row>
    <row r="901" spans="1:7" x14ac:dyDescent="0.25">
      <c r="A901" s="75">
        <v>7100205</v>
      </c>
      <c r="B901" s="73" t="s">
        <v>1191</v>
      </c>
      <c r="C901" s="68">
        <v>9</v>
      </c>
      <c r="D901" s="73" t="s">
        <v>3244</v>
      </c>
      <c r="E901" s="77">
        <v>4158.8162887255548</v>
      </c>
      <c r="F901" s="77">
        <v>2719.8271781886519</v>
      </c>
      <c r="G901" s="76">
        <v>16.606603510895049</v>
      </c>
    </row>
    <row r="902" spans="1:7" x14ac:dyDescent="0.25">
      <c r="A902" s="75">
        <v>7100205</v>
      </c>
      <c r="B902" s="73" t="s">
        <v>1191</v>
      </c>
      <c r="C902" s="68">
        <v>99</v>
      </c>
      <c r="D902" s="73" t="s">
        <v>3242</v>
      </c>
      <c r="E902" s="77">
        <v>4652.3562918856005</v>
      </c>
      <c r="F902" s="77">
        <v>3012.3543369618828</v>
      </c>
      <c r="G902" s="76">
        <v>18.411003169811053</v>
      </c>
    </row>
    <row r="903" spans="1:7" x14ac:dyDescent="0.25">
      <c r="A903" s="75">
        <v>7100301</v>
      </c>
      <c r="B903" s="73" t="s">
        <v>1192</v>
      </c>
      <c r="C903" s="68">
        <v>1</v>
      </c>
      <c r="D903" s="73" t="s">
        <v>3245</v>
      </c>
      <c r="E903" s="77">
        <v>4720.8253518772563</v>
      </c>
      <c r="F903" s="77">
        <v>3133.9254366051191</v>
      </c>
      <c r="G903" s="76">
        <v>19.399724520759033</v>
      </c>
    </row>
    <row r="904" spans="1:7" x14ac:dyDescent="0.25">
      <c r="A904" s="75">
        <v>7100301</v>
      </c>
      <c r="B904" s="73" t="s">
        <v>1192</v>
      </c>
      <c r="C904" s="68">
        <v>2</v>
      </c>
      <c r="D904" s="73" t="s">
        <v>3246</v>
      </c>
      <c r="E904" s="77">
        <v>4483.3524562264529</v>
      </c>
      <c r="F904" s="77">
        <v>3001.134365651681</v>
      </c>
      <c r="G904" s="76">
        <v>18.561793262522354</v>
      </c>
    </row>
    <row r="905" spans="1:7" x14ac:dyDescent="0.25">
      <c r="A905" s="75">
        <v>7100301</v>
      </c>
      <c r="B905" s="73" t="s">
        <v>1192</v>
      </c>
      <c r="C905" s="68">
        <v>3</v>
      </c>
      <c r="D905" s="73" t="s">
        <v>3245</v>
      </c>
      <c r="E905" s="77">
        <v>4692.9903518772562</v>
      </c>
      <c r="F905" s="77">
        <v>3133.9254366051191</v>
      </c>
      <c r="G905" s="76">
        <v>19.399724520759033</v>
      </c>
    </row>
    <row r="906" spans="1:7" x14ac:dyDescent="0.25">
      <c r="A906" s="75">
        <v>7100301</v>
      </c>
      <c r="B906" s="73" t="s">
        <v>1192</v>
      </c>
      <c r="C906" s="68">
        <v>5</v>
      </c>
      <c r="D906" s="73" t="s">
        <v>3247</v>
      </c>
      <c r="E906" s="77">
        <v>5181.6528133665115</v>
      </c>
      <c r="F906" s="77">
        <v>3517.4903120189565</v>
      </c>
      <c r="G906" s="76">
        <v>21.876457462073478</v>
      </c>
    </row>
    <row r="907" spans="1:7" x14ac:dyDescent="0.25">
      <c r="A907" s="75">
        <v>7100301</v>
      </c>
      <c r="B907" s="73" t="s">
        <v>1192</v>
      </c>
      <c r="C907" s="68">
        <v>7</v>
      </c>
      <c r="D907" s="73" t="s">
        <v>3248</v>
      </c>
      <c r="E907" s="77">
        <v>4308.6863590000676</v>
      </c>
      <c r="F907" s="77">
        <v>2917.4009629696989</v>
      </c>
      <c r="G907" s="76">
        <v>18.150377735058569</v>
      </c>
    </row>
    <row r="908" spans="1:7" x14ac:dyDescent="0.25">
      <c r="A908" s="75">
        <v>7100301</v>
      </c>
      <c r="B908" s="73" t="s">
        <v>1192</v>
      </c>
      <c r="C908" s="68">
        <v>8</v>
      </c>
      <c r="D908" s="73" t="s">
        <v>3245</v>
      </c>
      <c r="E908" s="77">
        <v>4654.9003518772561</v>
      </c>
      <c r="F908" s="77">
        <v>3133.9254366051191</v>
      </c>
      <c r="G908" s="76">
        <v>19.399724520759033</v>
      </c>
    </row>
    <row r="909" spans="1:7" x14ac:dyDescent="0.25">
      <c r="A909" s="75">
        <v>7100301</v>
      </c>
      <c r="B909" s="73" t="s">
        <v>1192</v>
      </c>
      <c r="C909" s="68">
        <v>99</v>
      </c>
      <c r="D909" s="73" t="s">
        <v>3245</v>
      </c>
      <c r="E909" s="77">
        <v>4720.8253518772563</v>
      </c>
      <c r="F909" s="77">
        <v>3133.9254366051191</v>
      </c>
      <c r="G909" s="76">
        <v>19.399724520759033</v>
      </c>
    </row>
    <row r="910" spans="1:7" x14ac:dyDescent="0.25">
      <c r="A910" s="75">
        <v>7100303</v>
      </c>
      <c r="B910" s="73" t="s">
        <v>1193</v>
      </c>
      <c r="C910" s="68">
        <v>1</v>
      </c>
      <c r="D910" s="73" t="s">
        <v>3249</v>
      </c>
      <c r="E910" s="77">
        <v>4720.8253518772563</v>
      </c>
      <c r="F910" s="77">
        <v>3133.9254366051191</v>
      </c>
      <c r="G910" s="76">
        <v>19.399724520759033</v>
      </c>
    </row>
    <row r="911" spans="1:7" x14ac:dyDescent="0.25">
      <c r="A911" s="75">
        <v>7100303</v>
      </c>
      <c r="B911" s="73" t="s">
        <v>1193</v>
      </c>
      <c r="C911" s="68">
        <v>7</v>
      </c>
      <c r="D911" s="73" t="s">
        <v>3250</v>
      </c>
      <c r="E911" s="77">
        <v>4308.6863590000667</v>
      </c>
      <c r="F911" s="77">
        <v>2917.4009629696989</v>
      </c>
      <c r="G911" s="76">
        <v>18.150377735058569</v>
      </c>
    </row>
    <row r="912" spans="1:7" x14ac:dyDescent="0.25">
      <c r="A912" s="75">
        <v>7100303</v>
      </c>
      <c r="B912" s="73" t="s">
        <v>1193</v>
      </c>
      <c r="C912" s="68">
        <v>8</v>
      </c>
      <c r="D912" s="73" t="s">
        <v>3249</v>
      </c>
      <c r="E912" s="77">
        <v>4654.9003518772561</v>
      </c>
      <c r="F912" s="77">
        <v>3133.9254366051191</v>
      </c>
      <c r="G912" s="76">
        <v>19.399724520759033</v>
      </c>
    </row>
    <row r="913" spans="1:7" x14ac:dyDescent="0.25">
      <c r="A913" s="75">
        <v>7100303</v>
      </c>
      <c r="B913" s="73" t="s">
        <v>1193</v>
      </c>
      <c r="C913" s="68">
        <v>99</v>
      </c>
      <c r="D913" s="73" t="s">
        <v>3249</v>
      </c>
      <c r="E913" s="77">
        <v>4720.8253518772563</v>
      </c>
      <c r="F913" s="77">
        <v>3133.9254366051191</v>
      </c>
      <c r="G913" s="76">
        <v>19.399724520759033</v>
      </c>
    </row>
    <row r="914" spans="1:7" x14ac:dyDescent="0.25">
      <c r="A914" s="75">
        <v>7100304</v>
      </c>
      <c r="B914" s="73" t="s">
        <v>1194</v>
      </c>
      <c r="C914" s="68">
        <v>1</v>
      </c>
      <c r="D914" s="73" t="s">
        <v>3251</v>
      </c>
      <c r="E914" s="77">
        <v>4511.187456226452</v>
      </c>
      <c r="F914" s="77">
        <v>3001.134365651681</v>
      </c>
      <c r="G914" s="76">
        <v>18.561793262522354</v>
      </c>
    </row>
    <row r="915" spans="1:7" x14ac:dyDescent="0.25">
      <c r="A915" s="75">
        <v>7100304</v>
      </c>
      <c r="B915" s="73" t="s">
        <v>1194</v>
      </c>
      <c r="C915" s="68">
        <v>7</v>
      </c>
      <c r="D915" s="73" t="s">
        <v>3251</v>
      </c>
      <c r="E915" s="77">
        <v>4457.9591228931185</v>
      </c>
      <c r="F915" s="77">
        <v>3001.1343656516806</v>
      </c>
      <c r="G915" s="76">
        <v>18.561793262522357</v>
      </c>
    </row>
    <row r="916" spans="1:7" x14ac:dyDescent="0.25">
      <c r="A916" s="75">
        <v>7100304</v>
      </c>
      <c r="B916" s="73" t="s">
        <v>1194</v>
      </c>
      <c r="C916" s="68">
        <v>8</v>
      </c>
      <c r="D916" s="73" t="s">
        <v>3251</v>
      </c>
      <c r="E916" s="77">
        <v>4445.2624562264518</v>
      </c>
      <c r="F916" s="77">
        <v>3001.134365651681</v>
      </c>
      <c r="G916" s="76">
        <v>18.561793262522354</v>
      </c>
    </row>
    <row r="917" spans="1:7" x14ac:dyDescent="0.25">
      <c r="A917" s="75">
        <v>7100304</v>
      </c>
      <c r="B917" s="73" t="s">
        <v>1194</v>
      </c>
      <c r="C917" s="68">
        <v>9</v>
      </c>
      <c r="D917" s="73" t="s">
        <v>3251</v>
      </c>
      <c r="E917" s="77">
        <v>4477.0041228931186</v>
      </c>
      <c r="F917" s="77">
        <v>3001.134365651681</v>
      </c>
      <c r="G917" s="76">
        <v>18.561793262522354</v>
      </c>
    </row>
    <row r="918" spans="1:7" x14ac:dyDescent="0.25">
      <c r="A918" s="75">
        <v>7100304</v>
      </c>
      <c r="B918" s="73" t="s">
        <v>1194</v>
      </c>
      <c r="C918" s="68">
        <v>99</v>
      </c>
      <c r="D918" s="73" t="s">
        <v>3251</v>
      </c>
      <c r="E918" s="77">
        <v>4445.2624562264518</v>
      </c>
      <c r="F918" s="77">
        <v>3001.1343656516806</v>
      </c>
      <c r="G918" s="76">
        <v>18.561793262522357</v>
      </c>
    </row>
    <row r="919" spans="1:7" x14ac:dyDescent="0.25">
      <c r="A919" s="75">
        <v>7100502</v>
      </c>
      <c r="B919" s="73" t="s">
        <v>1195</v>
      </c>
      <c r="C919" s="68">
        <v>1</v>
      </c>
      <c r="D919" s="73" t="s">
        <v>3252</v>
      </c>
      <c r="E919" s="77">
        <v>4243.4079824537275</v>
      </c>
      <c r="F919" s="77">
        <v>2812.4971866969013</v>
      </c>
      <c r="G919" s="76">
        <v>17.41000918529657</v>
      </c>
    </row>
    <row r="920" spans="1:7" x14ac:dyDescent="0.25">
      <c r="A920" s="75">
        <v>7100606</v>
      </c>
      <c r="B920" s="73" t="s">
        <v>1196</v>
      </c>
      <c r="C920" s="68">
        <v>1</v>
      </c>
      <c r="D920" s="73" t="s">
        <v>3253</v>
      </c>
      <c r="E920" s="77">
        <v>4720.8253518772563</v>
      </c>
      <c r="F920" s="77">
        <v>3133.9254366051191</v>
      </c>
      <c r="G920" s="76">
        <v>19.399724520759033</v>
      </c>
    </row>
    <row r="921" spans="1:7" x14ac:dyDescent="0.25">
      <c r="A921" s="75">
        <v>7100606</v>
      </c>
      <c r="B921" s="73" t="s">
        <v>1196</v>
      </c>
      <c r="C921" s="68">
        <v>2</v>
      </c>
      <c r="D921" s="73" t="s">
        <v>3254</v>
      </c>
      <c r="E921" s="77">
        <v>4483.3524562264529</v>
      </c>
      <c r="F921" s="77">
        <v>3001.134365651681</v>
      </c>
      <c r="G921" s="76">
        <v>18.561793262522354</v>
      </c>
    </row>
    <row r="922" spans="1:7" x14ac:dyDescent="0.25">
      <c r="A922" s="75">
        <v>7100606</v>
      </c>
      <c r="B922" s="73" t="s">
        <v>1196</v>
      </c>
      <c r="C922" s="68">
        <v>3</v>
      </c>
      <c r="D922" s="73" t="s">
        <v>3253</v>
      </c>
      <c r="E922" s="77">
        <v>4692.9903518772562</v>
      </c>
      <c r="F922" s="77">
        <v>3133.9254366051191</v>
      </c>
      <c r="G922" s="76">
        <v>19.399724520759033</v>
      </c>
    </row>
    <row r="923" spans="1:7" x14ac:dyDescent="0.25">
      <c r="A923" s="75">
        <v>7100606</v>
      </c>
      <c r="B923" s="73" t="s">
        <v>1196</v>
      </c>
      <c r="C923" s="68">
        <v>7</v>
      </c>
      <c r="D923" s="73" t="s">
        <v>3255</v>
      </c>
      <c r="E923" s="77">
        <v>4308.6863590000676</v>
      </c>
      <c r="F923" s="77">
        <v>2917.4009629696989</v>
      </c>
      <c r="G923" s="76">
        <v>18.150377735058569</v>
      </c>
    </row>
    <row r="924" spans="1:7" x14ac:dyDescent="0.25">
      <c r="A924" s="75">
        <v>7100607</v>
      </c>
      <c r="B924" s="73" t="s">
        <v>1197</v>
      </c>
      <c r="C924" s="68">
        <v>1</v>
      </c>
      <c r="D924" s="73" t="s">
        <v>3253</v>
      </c>
      <c r="E924" s="77">
        <v>4720.8253518772563</v>
      </c>
      <c r="F924" s="77">
        <v>3133.9254366051191</v>
      </c>
      <c r="G924" s="76">
        <v>19.399724520759033</v>
      </c>
    </row>
    <row r="925" spans="1:7" x14ac:dyDescent="0.25">
      <c r="A925" s="75">
        <v>7100608</v>
      </c>
      <c r="B925" s="73" t="s">
        <v>1198</v>
      </c>
      <c r="C925" s="68">
        <v>1</v>
      </c>
      <c r="D925" s="73" t="s">
        <v>3253</v>
      </c>
      <c r="E925" s="77">
        <v>4720.8253518772563</v>
      </c>
      <c r="F925" s="77">
        <v>3133.9254366051191</v>
      </c>
      <c r="G925" s="76">
        <v>19.399724520759033</v>
      </c>
    </row>
    <row r="926" spans="1:7" x14ac:dyDescent="0.25">
      <c r="A926" s="75">
        <v>7100608</v>
      </c>
      <c r="B926" s="73" t="s">
        <v>1198</v>
      </c>
      <c r="C926" s="68">
        <v>2</v>
      </c>
      <c r="D926" s="73" t="s">
        <v>3254</v>
      </c>
      <c r="E926" s="77">
        <v>4483.352456226452</v>
      </c>
      <c r="F926" s="77">
        <v>3001.134365651681</v>
      </c>
      <c r="G926" s="76">
        <v>18.561793262522354</v>
      </c>
    </row>
    <row r="927" spans="1:7" x14ac:dyDescent="0.25">
      <c r="A927" s="75">
        <v>7100608</v>
      </c>
      <c r="B927" s="73" t="s">
        <v>1198</v>
      </c>
      <c r="C927" s="68">
        <v>3</v>
      </c>
      <c r="D927" s="73" t="s">
        <v>3253</v>
      </c>
      <c r="E927" s="77">
        <v>4692.9903518772562</v>
      </c>
      <c r="F927" s="77">
        <v>3133.9254366051191</v>
      </c>
      <c r="G927" s="76">
        <v>19.399724520759033</v>
      </c>
    </row>
    <row r="928" spans="1:7" x14ac:dyDescent="0.25">
      <c r="A928" s="75">
        <v>7100608</v>
      </c>
      <c r="B928" s="73" t="s">
        <v>1198</v>
      </c>
      <c r="C928" s="68">
        <v>7</v>
      </c>
      <c r="D928" s="73" t="s">
        <v>3255</v>
      </c>
      <c r="E928" s="77">
        <v>4308.6863590000667</v>
      </c>
      <c r="F928" s="77">
        <v>2917.4009629696989</v>
      </c>
      <c r="G928" s="76">
        <v>18.150377735058569</v>
      </c>
    </row>
    <row r="929" spans="1:7" x14ac:dyDescent="0.25">
      <c r="A929" s="75">
        <v>7100608</v>
      </c>
      <c r="B929" s="73" t="s">
        <v>1198</v>
      </c>
      <c r="C929" s="68">
        <v>8</v>
      </c>
      <c r="D929" s="73" t="s">
        <v>3253</v>
      </c>
      <c r="E929" s="77">
        <v>4654.9003518772561</v>
      </c>
      <c r="F929" s="77">
        <v>3133.9254366051191</v>
      </c>
      <c r="G929" s="76">
        <v>19.399724520759033</v>
      </c>
    </row>
    <row r="930" spans="1:7" x14ac:dyDescent="0.25">
      <c r="A930" s="75">
        <v>7100608</v>
      </c>
      <c r="B930" s="73" t="s">
        <v>1198</v>
      </c>
      <c r="C930" s="68">
        <v>99</v>
      </c>
      <c r="D930" s="73" t="s">
        <v>3256</v>
      </c>
      <c r="E930" s="77">
        <v>4477.0041228931186</v>
      </c>
      <c r="F930" s="77">
        <v>3001.1343656516806</v>
      </c>
      <c r="G930" s="76">
        <v>18.561793262522354</v>
      </c>
    </row>
    <row r="931" spans="1:7" x14ac:dyDescent="0.25">
      <c r="A931" s="75">
        <v>7101001</v>
      </c>
      <c r="B931" s="73" t="s">
        <v>1199</v>
      </c>
      <c r="C931" s="68">
        <v>1</v>
      </c>
      <c r="D931" s="73" t="s">
        <v>3257</v>
      </c>
      <c r="E931" s="77">
        <v>4720.8253518772563</v>
      </c>
      <c r="F931" s="77">
        <v>3133.9254366051191</v>
      </c>
      <c r="G931" s="76">
        <v>19.399724520759033</v>
      </c>
    </row>
    <row r="932" spans="1:7" x14ac:dyDescent="0.25">
      <c r="A932" s="75">
        <v>7101001</v>
      </c>
      <c r="B932" s="73" t="s">
        <v>1199</v>
      </c>
      <c r="C932" s="68">
        <v>2</v>
      </c>
      <c r="D932" s="73" t="s">
        <v>3258</v>
      </c>
      <c r="E932" s="77">
        <v>4483.352456226452</v>
      </c>
      <c r="F932" s="77">
        <v>3001.1343656516806</v>
      </c>
      <c r="G932" s="76">
        <v>18.561793262522357</v>
      </c>
    </row>
    <row r="933" spans="1:7" x14ac:dyDescent="0.25">
      <c r="A933" s="75">
        <v>7101001</v>
      </c>
      <c r="B933" s="73" t="s">
        <v>1199</v>
      </c>
      <c r="C933" s="68">
        <v>3</v>
      </c>
      <c r="D933" s="73" t="s">
        <v>3257</v>
      </c>
      <c r="E933" s="77">
        <v>4692.9903518772562</v>
      </c>
      <c r="F933" s="77">
        <v>3133.9254366051191</v>
      </c>
      <c r="G933" s="76">
        <v>19.399724520759033</v>
      </c>
    </row>
    <row r="934" spans="1:7" x14ac:dyDescent="0.25">
      <c r="A934" s="75">
        <v>7101001</v>
      </c>
      <c r="B934" s="73" t="s">
        <v>1199</v>
      </c>
      <c r="C934" s="68">
        <v>6</v>
      </c>
      <c r="D934" s="73" t="s">
        <v>3259</v>
      </c>
      <c r="E934" s="77">
        <v>4465.5771228931189</v>
      </c>
      <c r="F934" s="77">
        <v>3001.134365651681</v>
      </c>
      <c r="G934" s="76">
        <v>18.561793262522354</v>
      </c>
    </row>
    <row r="935" spans="1:7" x14ac:dyDescent="0.25">
      <c r="A935" s="75">
        <v>7101001</v>
      </c>
      <c r="B935" s="73" t="s">
        <v>1199</v>
      </c>
      <c r="C935" s="68">
        <v>7</v>
      </c>
      <c r="D935" s="73" t="s">
        <v>3259</v>
      </c>
      <c r="E935" s="77">
        <v>4457.9591228931185</v>
      </c>
      <c r="F935" s="77">
        <v>3001.1343656516806</v>
      </c>
      <c r="G935" s="76">
        <v>18.561793262522357</v>
      </c>
    </row>
    <row r="936" spans="1:7" x14ac:dyDescent="0.25">
      <c r="A936" s="75">
        <v>7101001</v>
      </c>
      <c r="B936" s="73" t="s">
        <v>1199</v>
      </c>
      <c r="C936" s="68">
        <v>9</v>
      </c>
      <c r="D936" s="73" t="s">
        <v>3259</v>
      </c>
      <c r="E936" s="77">
        <v>4477.0041228931186</v>
      </c>
      <c r="F936" s="77">
        <v>3001.1343656516806</v>
      </c>
      <c r="G936" s="76">
        <v>18.561793262522357</v>
      </c>
    </row>
    <row r="937" spans="1:7" x14ac:dyDescent="0.25">
      <c r="A937" s="75">
        <v>7101001</v>
      </c>
      <c r="B937" s="73" t="s">
        <v>1199</v>
      </c>
      <c r="C937" s="68">
        <v>99</v>
      </c>
      <c r="D937" s="73" t="s">
        <v>3257</v>
      </c>
      <c r="E937" s="77">
        <v>4692.9903518772562</v>
      </c>
      <c r="F937" s="77">
        <v>3133.9254366051191</v>
      </c>
      <c r="G937" s="76">
        <v>19.399724520759033</v>
      </c>
    </row>
    <row r="938" spans="1:7" x14ac:dyDescent="0.25">
      <c r="A938" s="75">
        <v>7101006</v>
      </c>
      <c r="B938" s="73" t="s">
        <v>1200</v>
      </c>
      <c r="C938" s="68">
        <v>2</v>
      </c>
      <c r="D938" s="73" t="s">
        <v>3260</v>
      </c>
      <c r="E938" s="77">
        <v>4027.7557841534776</v>
      </c>
      <c r="F938" s="77">
        <v>2694.3972204463244</v>
      </c>
      <c r="G938" s="76">
        <v>16.663019268807275</v>
      </c>
    </row>
    <row r="939" spans="1:7" x14ac:dyDescent="0.25">
      <c r="A939" s="75">
        <v>7101006</v>
      </c>
      <c r="B939" s="73" t="s">
        <v>1200</v>
      </c>
      <c r="C939" s="68">
        <v>3</v>
      </c>
      <c r="D939" s="73" t="s">
        <v>3261</v>
      </c>
      <c r="E939" s="77">
        <v>4215.5729824537275</v>
      </c>
      <c r="F939" s="77">
        <v>2812.4971866969013</v>
      </c>
      <c r="G939" s="76">
        <v>17.41000918529657</v>
      </c>
    </row>
    <row r="940" spans="1:7" x14ac:dyDescent="0.25">
      <c r="A940" s="75">
        <v>7101006</v>
      </c>
      <c r="B940" s="73" t="s">
        <v>1200</v>
      </c>
      <c r="C940" s="68">
        <v>9</v>
      </c>
      <c r="D940" s="73" t="s">
        <v>3260</v>
      </c>
      <c r="E940" s="77">
        <v>4021.4074508201443</v>
      </c>
      <c r="F940" s="77">
        <v>2694.3972204463244</v>
      </c>
      <c r="G940" s="76">
        <v>16.663019268807279</v>
      </c>
    </row>
    <row r="941" spans="1:7" x14ac:dyDescent="0.25">
      <c r="A941" s="75">
        <v>7101009</v>
      </c>
      <c r="B941" s="73" t="s">
        <v>1201</v>
      </c>
      <c r="C941" s="68">
        <v>1</v>
      </c>
      <c r="D941" s="73" t="s">
        <v>3257</v>
      </c>
      <c r="E941" s="77">
        <v>4720.8253518772563</v>
      </c>
      <c r="F941" s="77">
        <v>3133.9254366051191</v>
      </c>
      <c r="G941" s="76">
        <v>19.399724520759033</v>
      </c>
    </row>
    <row r="942" spans="1:7" x14ac:dyDescent="0.25">
      <c r="A942" s="75">
        <v>7101009</v>
      </c>
      <c r="B942" s="73" t="s">
        <v>1201</v>
      </c>
      <c r="C942" s="68">
        <v>2</v>
      </c>
      <c r="D942" s="73" t="s">
        <v>3258</v>
      </c>
      <c r="E942" s="77">
        <v>4483.352456226452</v>
      </c>
      <c r="F942" s="77">
        <v>3001.134365651681</v>
      </c>
      <c r="G942" s="76">
        <v>18.561793262522354</v>
      </c>
    </row>
    <row r="943" spans="1:7" x14ac:dyDescent="0.25">
      <c r="A943" s="75">
        <v>7101009</v>
      </c>
      <c r="B943" s="73" t="s">
        <v>1201</v>
      </c>
      <c r="C943" s="68">
        <v>3</v>
      </c>
      <c r="D943" s="73" t="s">
        <v>3257</v>
      </c>
      <c r="E943" s="77">
        <v>4692.9903518772562</v>
      </c>
      <c r="F943" s="77">
        <v>3133.9254366051191</v>
      </c>
      <c r="G943" s="76">
        <v>19.399724520759033</v>
      </c>
    </row>
    <row r="944" spans="1:7" x14ac:dyDescent="0.25">
      <c r="A944" s="75">
        <v>7101009</v>
      </c>
      <c r="B944" s="73" t="s">
        <v>1201</v>
      </c>
      <c r="C944" s="68">
        <v>6</v>
      </c>
      <c r="D944" s="73" t="s">
        <v>3259</v>
      </c>
      <c r="E944" s="77">
        <v>4465.5771228931189</v>
      </c>
      <c r="F944" s="77">
        <v>3001.1343656516806</v>
      </c>
      <c r="G944" s="76">
        <v>18.561793262522357</v>
      </c>
    </row>
    <row r="945" spans="1:7" x14ac:dyDescent="0.25">
      <c r="A945" s="75">
        <v>7101009</v>
      </c>
      <c r="B945" s="73" t="s">
        <v>1201</v>
      </c>
      <c r="C945" s="68">
        <v>7</v>
      </c>
      <c r="D945" s="73" t="s">
        <v>3259</v>
      </c>
      <c r="E945" s="77">
        <v>4457.9591228931185</v>
      </c>
      <c r="F945" s="77">
        <v>3001.134365651681</v>
      </c>
      <c r="G945" s="76">
        <v>18.561793262522354</v>
      </c>
    </row>
    <row r="946" spans="1:7" x14ac:dyDescent="0.25">
      <c r="A946" s="75">
        <v>7101009</v>
      </c>
      <c r="B946" s="73" t="s">
        <v>1201</v>
      </c>
      <c r="C946" s="68">
        <v>8</v>
      </c>
      <c r="D946" s="73" t="s">
        <v>3257</v>
      </c>
      <c r="E946" s="77">
        <v>4654.9003518772561</v>
      </c>
      <c r="F946" s="77">
        <v>3133.9254366051191</v>
      </c>
      <c r="G946" s="76">
        <v>19.399724520759033</v>
      </c>
    </row>
    <row r="947" spans="1:7" x14ac:dyDescent="0.25">
      <c r="A947" s="75">
        <v>7101009</v>
      </c>
      <c r="B947" s="73" t="s">
        <v>1201</v>
      </c>
      <c r="C947" s="68">
        <v>9</v>
      </c>
      <c r="D947" s="73" t="s">
        <v>3259</v>
      </c>
      <c r="E947" s="77">
        <v>4477.0041228931186</v>
      </c>
      <c r="F947" s="77">
        <v>3001.134365651681</v>
      </c>
      <c r="G947" s="76">
        <v>18.561793262522354</v>
      </c>
    </row>
    <row r="948" spans="1:7" x14ac:dyDescent="0.25">
      <c r="A948" s="75">
        <v>7101009</v>
      </c>
      <c r="B948" s="73" t="s">
        <v>1201</v>
      </c>
      <c r="C948" s="68">
        <v>99</v>
      </c>
      <c r="D948" s="73" t="s">
        <v>3257</v>
      </c>
      <c r="E948" s="77">
        <v>4692.9903518772562</v>
      </c>
      <c r="F948" s="77">
        <v>3133.9254366051191</v>
      </c>
      <c r="G948" s="76">
        <v>19.399724520759033</v>
      </c>
    </row>
    <row r="949" spans="1:7" x14ac:dyDescent="0.25">
      <c r="A949" s="75">
        <v>7101011</v>
      </c>
      <c r="B949" s="73" t="s">
        <v>1202</v>
      </c>
      <c r="C949" s="68">
        <v>1</v>
      </c>
      <c r="D949" s="73" t="s">
        <v>3262</v>
      </c>
      <c r="E949" s="77">
        <v>4737.8552980229169</v>
      </c>
      <c r="F949" s="77">
        <v>3145.3910977565774</v>
      </c>
      <c r="G949" s="76">
        <v>19.470699619652144</v>
      </c>
    </row>
    <row r="950" spans="1:7" x14ac:dyDescent="0.25">
      <c r="A950" s="75">
        <v>7101011</v>
      </c>
      <c r="B950" s="73" t="s">
        <v>1202</v>
      </c>
      <c r="C950" s="68">
        <v>2</v>
      </c>
      <c r="D950" s="73" t="s">
        <v>3263</v>
      </c>
      <c r="E950" s="77">
        <v>4499.6040366809166</v>
      </c>
      <c r="F950" s="77">
        <v>3012.0759806792794</v>
      </c>
      <c r="G950" s="76">
        <v>18.629524394497707</v>
      </c>
    </row>
    <row r="951" spans="1:7" x14ac:dyDescent="0.25">
      <c r="A951" s="75">
        <v>7101011</v>
      </c>
      <c r="B951" s="73" t="s">
        <v>1202</v>
      </c>
      <c r="C951" s="68">
        <v>8</v>
      </c>
      <c r="D951" s="73" t="s">
        <v>3262</v>
      </c>
      <c r="E951" s="77">
        <v>4671.9302980229168</v>
      </c>
      <c r="F951" s="77">
        <v>3145.3910977565774</v>
      </c>
      <c r="G951" s="76">
        <v>19.470699619652144</v>
      </c>
    </row>
    <row r="952" spans="1:7" x14ac:dyDescent="0.25">
      <c r="A952" s="75">
        <v>7101014</v>
      </c>
      <c r="B952" s="73" t="s">
        <v>3264</v>
      </c>
      <c r="C952" s="68">
        <v>2</v>
      </c>
      <c r="D952" s="73" t="s">
        <v>3260</v>
      </c>
      <c r="E952" s="77">
        <v>4027.7557841534776</v>
      </c>
      <c r="F952" s="77">
        <v>2694.3972204463244</v>
      </c>
      <c r="G952" s="76">
        <v>16.663019268807279</v>
      </c>
    </row>
    <row r="953" spans="1:7" x14ac:dyDescent="0.25">
      <c r="A953" s="75">
        <v>7101014</v>
      </c>
      <c r="B953" s="73" t="s">
        <v>3264</v>
      </c>
      <c r="C953" s="68">
        <v>99</v>
      </c>
      <c r="D953" s="73" t="s">
        <v>3261</v>
      </c>
      <c r="E953" s="77">
        <v>4215.5729824537275</v>
      </c>
      <c r="F953" s="77">
        <v>2812.4971866969013</v>
      </c>
      <c r="G953" s="76">
        <v>17.41000918529657</v>
      </c>
    </row>
    <row r="954" spans="1:7" x14ac:dyDescent="0.25">
      <c r="A954" s="75">
        <v>7101202</v>
      </c>
      <c r="B954" s="73" t="s">
        <v>1203</v>
      </c>
      <c r="C954" s="68">
        <v>1</v>
      </c>
      <c r="D954" s="73" t="s">
        <v>3262</v>
      </c>
      <c r="E954" s="77">
        <v>4737.8552980229169</v>
      </c>
      <c r="F954" s="77">
        <v>3145.3910977565774</v>
      </c>
      <c r="G954" s="76">
        <v>19.470699619652144</v>
      </c>
    </row>
    <row r="955" spans="1:7" x14ac:dyDescent="0.25">
      <c r="A955" s="75">
        <v>7101202</v>
      </c>
      <c r="B955" s="73" t="s">
        <v>1203</v>
      </c>
      <c r="C955" s="68">
        <v>2</v>
      </c>
      <c r="D955" s="73" t="s">
        <v>3263</v>
      </c>
      <c r="E955" s="77">
        <v>4499.6040366809166</v>
      </c>
      <c r="F955" s="77">
        <v>3012.0759806792794</v>
      </c>
      <c r="G955" s="76">
        <v>18.629524394497707</v>
      </c>
    </row>
    <row r="956" spans="1:7" x14ac:dyDescent="0.25">
      <c r="A956" s="75">
        <v>7101202</v>
      </c>
      <c r="B956" s="73" t="s">
        <v>1203</v>
      </c>
      <c r="C956" s="68">
        <v>7</v>
      </c>
      <c r="D956" s="73" t="s">
        <v>3265</v>
      </c>
      <c r="E956" s="77">
        <v>4324.3539087231893</v>
      </c>
      <c r="F956" s="77">
        <v>2927.9493707369611</v>
      </c>
      <c r="G956" s="76">
        <v>18.215674822994139</v>
      </c>
    </row>
    <row r="957" spans="1:7" x14ac:dyDescent="0.25">
      <c r="A957" s="75">
        <v>7101202</v>
      </c>
      <c r="B957" s="73" t="s">
        <v>1203</v>
      </c>
      <c r="C957" s="68">
        <v>99</v>
      </c>
      <c r="D957" s="73" t="s">
        <v>3262</v>
      </c>
      <c r="E957" s="77">
        <v>4737.8552980229169</v>
      </c>
      <c r="F957" s="77">
        <v>3145.3910977565774</v>
      </c>
      <c r="G957" s="76">
        <v>19.470699619652144</v>
      </c>
    </row>
    <row r="958" spans="1:7" x14ac:dyDescent="0.25">
      <c r="A958" s="75">
        <v>7101301</v>
      </c>
      <c r="B958" s="73" t="s">
        <v>1204</v>
      </c>
      <c r="C958" s="68">
        <v>1</v>
      </c>
      <c r="D958" s="73" t="s">
        <v>3242</v>
      </c>
      <c r="E958" s="77">
        <v>4652.3562918856005</v>
      </c>
      <c r="F958" s="77">
        <v>3012.3543369618828</v>
      </c>
      <c r="G958" s="76">
        <v>18.411003169811053</v>
      </c>
    </row>
    <row r="959" spans="1:7" x14ac:dyDescent="0.25">
      <c r="A959" s="75">
        <v>7101301</v>
      </c>
      <c r="B959" s="73" t="s">
        <v>1204</v>
      </c>
      <c r="C959" s="68">
        <v>2</v>
      </c>
      <c r="D959" s="73" t="s">
        <v>3243</v>
      </c>
      <c r="E959" s="77">
        <v>4422.5975196839363</v>
      </c>
      <c r="F959" s="77">
        <v>2894.2058484522136</v>
      </c>
      <c r="G959" s="76">
        <v>17.742415301212212</v>
      </c>
    </row>
    <row r="960" spans="1:7" x14ac:dyDescent="0.25">
      <c r="A960" s="75">
        <v>7101301</v>
      </c>
      <c r="B960" s="73" t="s">
        <v>1204</v>
      </c>
      <c r="C960" s="68">
        <v>3</v>
      </c>
      <c r="D960" s="73" t="s">
        <v>3243</v>
      </c>
      <c r="E960" s="77">
        <v>4422.5975196839363</v>
      </c>
      <c r="F960" s="77">
        <v>2894.2058484522136</v>
      </c>
      <c r="G960" s="76">
        <v>17.742415301212212</v>
      </c>
    </row>
    <row r="961" spans="1:7" x14ac:dyDescent="0.25">
      <c r="A961" s="75">
        <v>7101301</v>
      </c>
      <c r="B961" s="73" t="s">
        <v>1204</v>
      </c>
      <c r="C961" s="68">
        <v>6</v>
      </c>
      <c r="D961" s="73" t="s">
        <v>3244</v>
      </c>
      <c r="E961" s="77">
        <v>4147.3892887255543</v>
      </c>
      <c r="F961" s="77">
        <v>2719.8271781886519</v>
      </c>
      <c r="G961" s="76">
        <v>16.606603510895049</v>
      </c>
    </row>
    <row r="962" spans="1:7" x14ac:dyDescent="0.25">
      <c r="A962" s="75">
        <v>7101301</v>
      </c>
      <c r="B962" s="73" t="s">
        <v>1204</v>
      </c>
      <c r="C962" s="68">
        <v>7</v>
      </c>
      <c r="D962" s="73" t="s">
        <v>3243</v>
      </c>
      <c r="E962" s="77">
        <v>4397.2041863506029</v>
      </c>
      <c r="F962" s="77">
        <v>2894.2058484522136</v>
      </c>
      <c r="G962" s="76">
        <v>17.742415301212212</v>
      </c>
    </row>
    <row r="963" spans="1:7" x14ac:dyDescent="0.25">
      <c r="A963" s="75">
        <v>7101301</v>
      </c>
      <c r="B963" s="73" t="s">
        <v>1204</v>
      </c>
      <c r="C963" s="68">
        <v>8</v>
      </c>
      <c r="D963" s="73" t="s">
        <v>3242</v>
      </c>
      <c r="E963" s="77">
        <v>4586.4312918856003</v>
      </c>
      <c r="F963" s="77">
        <v>3012.3543369618828</v>
      </c>
      <c r="G963" s="76">
        <v>18.411003169811053</v>
      </c>
    </row>
    <row r="964" spans="1:7" x14ac:dyDescent="0.25">
      <c r="A964" s="75">
        <v>7101301</v>
      </c>
      <c r="B964" s="73" t="s">
        <v>1204</v>
      </c>
      <c r="C964" s="68">
        <v>9</v>
      </c>
      <c r="D964" s="73" t="s">
        <v>3244</v>
      </c>
      <c r="E964" s="77">
        <v>4158.8162887255539</v>
      </c>
      <c r="F964" s="77">
        <v>2719.8271781886519</v>
      </c>
      <c r="G964" s="76">
        <v>16.606603510895049</v>
      </c>
    </row>
    <row r="965" spans="1:7" x14ac:dyDescent="0.25">
      <c r="A965" s="75">
        <v>7101301</v>
      </c>
      <c r="B965" s="73" t="s">
        <v>1204</v>
      </c>
      <c r="C965" s="68">
        <v>99</v>
      </c>
      <c r="D965" s="73" t="s">
        <v>3242</v>
      </c>
      <c r="E965" s="77">
        <v>4652.3562918856005</v>
      </c>
      <c r="F965" s="77">
        <v>3012.3543369618828</v>
      </c>
      <c r="G965" s="76">
        <v>18.411003169811053</v>
      </c>
    </row>
    <row r="966" spans="1:7" x14ac:dyDescent="0.25">
      <c r="A966" s="75">
        <v>7101801</v>
      </c>
      <c r="B966" s="73" t="s">
        <v>1205</v>
      </c>
      <c r="C966" s="68">
        <v>7</v>
      </c>
      <c r="D966" s="73" t="s">
        <v>3266</v>
      </c>
      <c r="E966" s="77">
        <v>1123.0069547970133</v>
      </c>
      <c r="F966" s="77">
        <v>162.68404287396211</v>
      </c>
      <c r="G966" s="76">
        <v>8.9654914284466507</v>
      </c>
    </row>
    <row r="967" spans="1:7" x14ac:dyDescent="0.25">
      <c r="A967" s="75">
        <v>7101801</v>
      </c>
      <c r="B967" s="73" t="s">
        <v>1205</v>
      </c>
      <c r="C967" s="68">
        <v>99</v>
      </c>
      <c r="D967" s="73" t="s">
        <v>3266</v>
      </c>
      <c r="E967" s="77">
        <v>1148.4002881303468</v>
      </c>
      <c r="F967" s="77">
        <v>162.68404287396211</v>
      </c>
      <c r="G967" s="76">
        <v>8.9654914284466507</v>
      </c>
    </row>
    <row r="968" spans="1:7" x14ac:dyDescent="0.25">
      <c r="A968" s="75">
        <v>7101806</v>
      </c>
      <c r="B968" s="73" t="s">
        <v>3267</v>
      </c>
      <c r="C968" s="68">
        <v>2</v>
      </c>
      <c r="D968" s="73" t="s">
        <v>3266</v>
      </c>
      <c r="E968" s="77">
        <v>1148.4002881303466</v>
      </c>
      <c r="F968" s="77">
        <v>162.68404287396211</v>
      </c>
      <c r="G968" s="76">
        <v>8.9654914284466507</v>
      </c>
    </row>
    <row r="969" spans="1:7" x14ac:dyDescent="0.25">
      <c r="A969" s="75">
        <v>7101806</v>
      </c>
      <c r="B969" s="73" t="s">
        <v>1206</v>
      </c>
      <c r="C969" s="68">
        <v>3</v>
      </c>
      <c r="D969" s="73" t="s">
        <v>3268</v>
      </c>
      <c r="E969" s="77">
        <v>1198.3114201779547</v>
      </c>
      <c r="F969" s="77">
        <v>159.52819139685778</v>
      </c>
      <c r="G969" s="76">
        <v>9.3438100274135056</v>
      </c>
    </row>
    <row r="970" spans="1:7" x14ac:dyDescent="0.25">
      <c r="A970" s="75">
        <v>7101806</v>
      </c>
      <c r="B970" s="73" t="s">
        <v>1206</v>
      </c>
      <c r="C970" s="68">
        <v>6</v>
      </c>
      <c r="D970" s="73" t="s">
        <v>3266</v>
      </c>
      <c r="E970" s="77">
        <v>1130.6249547970135</v>
      </c>
      <c r="F970" s="77">
        <v>162.68404287396211</v>
      </c>
      <c r="G970" s="76">
        <v>8.9654914284466507</v>
      </c>
    </row>
    <row r="971" spans="1:7" x14ac:dyDescent="0.25">
      <c r="A971" s="75">
        <v>7101806</v>
      </c>
      <c r="B971" s="73" t="s">
        <v>1206</v>
      </c>
      <c r="C971" s="68">
        <v>99</v>
      </c>
      <c r="D971" s="73" t="s">
        <v>3266</v>
      </c>
      <c r="E971" s="77">
        <v>1148.4002881303466</v>
      </c>
      <c r="F971" s="77">
        <v>162.68404287396211</v>
      </c>
      <c r="G971" s="76">
        <v>8.9654914284466507</v>
      </c>
    </row>
    <row r="972" spans="1:7" x14ac:dyDescent="0.25">
      <c r="A972" s="75">
        <v>7101901</v>
      </c>
      <c r="B972" s="73" t="s">
        <v>1208</v>
      </c>
      <c r="C972" s="68">
        <v>1</v>
      </c>
      <c r="D972" s="73" t="s">
        <v>3269</v>
      </c>
      <c r="E972" s="77">
        <v>1480.8114028022167</v>
      </c>
      <c r="F972" s="77">
        <v>194.5465765711748</v>
      </c>
      <c r="G972" s="76">
        <v>11.394890376726966</v>
      </c>
    </row>
    <row r="973" spans="1:7" x14ac:dyDescent="0.25">
      <c r="A973" s="75">
        <v>7101901</v>
      </c>
      <c r="B973" s="73" t="s">
        <v>1208</v>
      </c>
      <c r="C973" s="68">
        <v>2</v>
      </c>
      <c r="D973" s="73" t="s">
        <v>3270</v>
      </c>
      <c r="E973" s="77">
        <v>1452.9764028022166</v>
      </c>
      <c r="F973" s="77">
        <v>194.5465765711748</v>
      </c>
      <c r="G973" s="76">
        <v>11.394890376726966</v>
      </c>
    </row>
    <row r="974" spans="1:7" x14ac:dyDescent="0.25">
      <c r="A974" s="75">
        <v>7101901</v>
      </c>
      <c r="B974" s="73" t="s">
        <v>1208</v>
      </c>
      <c r="C974" s="68">
        <v>3</v>
      </c>
      <c r="D974" s="73" t="s">
        <v>3269</v>
      </c>
      <c r="E974" s="77">
        <v>1452.9764028022166</v>
      </c>
      <c r="F974" s="77">
        <v>194.5465765711748</v>
      </c>
      <c r="G974" s="76">
        <v>11.394890376726966</v>
      </c>
    </row>
    <row r="975" spans="1:7" x14ac:dyDescent="0.25">
      <c r="A975" s="75">
        <v>7101901</v>
      </c>
      <c r="B975" s="73" t="s">
        <v>1208</v>
      </c>
      <c r="C975" s="68">
        <v>7</v>
      </c>
      <c r="D975" s="73" t="s">
        <v>3270</v>
      </c>
      <c r="E975" s="77">
        <v>1424.4089028022167</v>
      </c>
      <c r="F975" s="77">
        <v>194.5465765711748</v>
      </c>
      <c r="G975" s="76">
        <v>11.394890376726966</v>
      </c>
    </row>
    <row r="976" spans="1:7" x14ac:dyDescent="0.25">
      <c r="A976" s="75">
        <v>7101901</v>
      </c>
      <c r="B976" s="73" t="s">
        <v>1208</v>
      </c>
      <c r="C976" s="68">
        <v>8</v>
      </c>
      <c r="D976" s="73" t="s">
        <v>3269</v>
      </c>
      <c r="E976" s="77">
        <v>1414.8864028022167</v>
      </c>
      <c r="F976" s="77">
        <v>194.5465765711748</v>
      </c>
      <c r="G976" s="76">
        <v>11.394890376726966</v>
      </c>
    </row>
    <row r="977" spans="1:7" x14ac:dyDescent="0.25">
      <c r="A977" s="75">
        <v>7101901</v>
      </c>
      <c r="B977" s="73" t="s">
        <v>1208</v>
      </c>
      <c r="C977" s="68">
        <v>99</v>
      </c>
      <c r="D977" s="73" t="s">
        <v>3269</v>
      </c>
      <c r="E977" s="77">
        <v>1452.9764028022166</v>
      </c>
      <c r="F977" s="77">
        <v>194.5465765711748</v>
      </c>
      <c r="G977" s="76">
        <v>11.394890376726966</v>
      </c>
    </row>
    <row r="978" spans="1:7" x14ac:dyDescent="0.25">
      <c r="A978" s="75">
        <v>7102001</v>
      </c>
      <c r="B978" s="73" t="s">
        <v>3271</v>
      </c>
      <c r="C978" s="68">
        <v>1</v>
      </c>
      <c r="D978" s="73" t="s">
        <v>3268</v>
      </c>
      <c r="E978" s="77">
        <v>1226.1464201779547</v>
      </c>
      <c r="F978" s="77">
        <v>159.52819139685778</v>
      </c>
      <c r="G978" s="76">
        <v>9.3438100274135056</v>
      </c>
    </row>
    <row r="979" spans="1:7" x14ac:dyDescent="0.25">
      <c r="A979" s="75">
        <v>7102001</v>
      </c>
      <c r="B979" s="73" t="s">
        <v>3271</v>
      </c>
      <c r="C979" s="68">
        <v>2</v>
      </c>
      <c r="D979" s="73" t="s">
        <v>3266</v>
      </c>
      <c r="E979" s="77">
        <v>1148.4002881303466</v>
      </c>
      <c r="F979" s="77">
        <v>162.68404287396211</v>
      </c>
      <c r="G979" s="76">
        <v>8.9654914284466507</v>
      </c>
    </row>
    <row r="980" spans="1:7" x14ac:dyDescent="0.25">
      <c r="A980" s="75">
        <v>7102001</v>
      </c>
      <c r="B980" s="73" t="s">
        <v>3271</v>
      </c>
      <c r="C980" s="68">
        <v>7</v>
      </c>
      <c r="D980" s="73" t="s">
        <v>3266</v>
      </c>
      <c r="E980" s="77">
        <v>1123.0069547970133</v>
      </c>
      <c r="F980" s="77">
        <v>162.68404287396211</v>
      </c>
      <c r="G980" s="76">
        <v>8.9654914284466507</v>
      </c>
    </row>
    <row r="981" spans="1:7" x14ac:dyDescent="0.25">
      <c r="A981" s="75">
        <v>7102102</v>
      </c>
      <c r="B981" s="73" t="s">
        <v>1209</v>
      </c>
      <c r="C981" s="68">
        <v>1</v>
      </c>
      <c r="D981" s="73" t="s">
        <v>3272</v>
      </c>
      <c r="E981" s="77">
        <v>1226.1464201779547</v>
      </c>
      <c r="F981" s="77">
        <v>159.52819139685778</v>
      </c>
      <c r="G981" s="76">
        <v>9.3438100274135056</v>
      </c>
    </row>
    <row r="982" spans="1:7" x14ac:dyDescent="0.25">
      <c r="A982" s="75">
        <v>7102102</v>
      </c>
      <c r="B982" s="73" t="s">
        <v>1209</v>
      </c>
      <c r="C982" s="68">
        <v>2</v>
      </c>
      <c r="D982" s="73" t="s">
        <v>3272</v>
      </c>
      <c r="E982" s="77">
        <v>1198.3114201779547</v>
      </c>
      <c r="F982" s="77">
        <v>159.52819139685778</v>
      </c>
      <c r="G982" s="76">
        <v>9.3438100274135056</v>
      </c>
    </row>
    <row r="983" spans="1:7" x14ac:dyDescent="0.25">
      <c r="A983" s="75">
        <v>7102102</v>
      </c>
      <c r="B983" s="73" t="s">
        <v>1209</v>
      </c>
      <c r="C983" s="68">
        <v>7</v>
      </c>
      <c r="D983" s="73" t="s">
        <v>3272</v>
      </c>
      <c r="E983" s="77">
        <v>1169.7439201779548</v>
      </c>
      <c r="F983" s="77">
        <v>159.52819139685778</v>
      </c>
      <c r="G983" s="76">
        <v>9.3438100274135056</v>
      </c>
    </row>
    <row r="984" spans="1:7" x14ac:dyDescent="0.25">
      <c r="A984" s="75">
        <v>7102401</v>
      </c>
      <c r="B984" s="73" t="s">
        <v>1210</v>
      </c>
      <c r="C984" s="68">
        <v>1</v>
      </c>
      <c r="D984" s="73" t="s">
        <v>3268</v>
      </c>
      <c r="E984" s="77">
        <v>1226.1464201779547</v>
      </c>
      <c r="F984" s="77">
        <v>159.52819139685778</v>
      </c>
      <c r="G984" s="76">
        <v>9.3438100274135056</v>
      </c>
    </row>
    <row r="985" spans="1:7" x14ac:dyDescent="0.25">
      <c r="A985" s="75">
        <v>7102401</v>
      </c>
      <c r="B985" s="73" t="s">
        <v>1210</v>
      </c>
      <c r="C985" s="68">
        <v>2</v>
      </c>
      <c r="D985" s="73" t="s">
        <v>3266</v>
      </c>
      <c r="E985" s="77">
        <v>1148.4002881303466</v>
      </c>
      <c r="F985" s="77">
        <v>162.68404287396211</v>
      </c>
      <c r="G985" s="76">
        <v>8.9654914284466507</v>
      </c>
    </row>
    <row r="986" spans="1:7" x14ac:dyDescent="0.25">
      <c r="A986" s="75">
        <v>7102401</v>
      </c>
      <c r="B986" s="73" t="s">
        <v>1210</v>
      </c>
      <c r="C986" s="68">
        <v>7</v>
      </c>
      <c r="D986" s="73" t="s">
        <v>3266</v>
      </c>
      <c r="E986" s="77">
        <v>1123.0069547970133</v>
      </c>
      <c r="F986" s="77">
        <v>162.68404287396211</v>
      </c>
      <c r="G986" s="76">
        <v>8.9654914284466507</v>
      </c>
    </row>
    <row r="987" spans="1:7" x14ac:dyDescent="0.25">
      <c r="A987" s="75">
        <v>7102401</v>
      </c>
      <c r="B987" s="73" t="s">
        <v>1210</v>
      </c>
      <c r="C987" s="68">
        <v>8</v>
      </c>
      <c r="D987" s="73" t="s">
        <v>3266</v>
      </c>
      <c r="E987" s="77">
        <v>1110.3102881303469</v>
      </c>
      <c r="F987" s="77">
        <v>162.68404287396211</v>
      </c>
      <c r="G987" s="76">
        <v>8.9654914284466507</v>
      </c>
    </row>
    <row r="988" spans="1:7" x14ac:dyDescent="0.25">
      <c r="A988" s="75">
        <v>7102402</v>
      </c>
      <c r="B988" s="73" t="s">
        <v>1211</v>
      </c>
      <c r="C988" s="68">
        <v>2</v>
      </c>
      <c r="D988" s="73" t="s">
        <v>3266</v>
      </c>
      <c r="E988" s="77">
        <v>1148.4002881303466</v>
      </c>
      <c r="F988" s="77">
        <v>162.68404287396211</v>
      </c>
      <c r="G988" s="76">
        <v>8.9654914284466507</v>
      </c>
    </row>
    <row r="989" spans="1:7" x14ac:dyDescent="0.25">
      <c r="A989" s="75">
        <v>7102402</v>
      </c>
      <c r="B989" s="73" t="s">
        <v>1211</v>
      </c>
      <c r="C989" s="68">
        <v>3</v>
      </c>
      <c r="D989" s="73" t="s">
        <v>3268</v>
      </c>
      <c r="E989" s="77">
        <v>1198.3114201779547</v>
      </c>
      <c r="F989" s="77">
        <v>159.52819139685778</v>
      </c>
      <c r="G989" s="76">
        <v>9.3438100274135056</v>
      </c>
    </row>
    <row r="990" spans="1:7" x14ac:dyDescent="0.25">
      <c r="A990" s="75">
        <v>7102402</v>
      </c>
      <c r="B990" s="73" t="s">
        <v>1211</v>
      </c>
      <c r="C990" s="68">
        <v>6</v>
      </c>
      <c r="D990" s="73" t="s">
        <v>3266</v>
      </c>
      <c r="E990" s="77">
        <v>1130.6249547970135</v>
      </c>
      <c r="F990" s="77">
        <v>162.68404287396211</v>
      </c>
      <c r="G990" s="76">
        <v>8.9654914284466507</v>
      </c>
    </row>
    <row r="991" spans="1:7" x14ac:dyDescent="0.25">
      <c r="A991" s="75">
        <v>7102403</v>
      </c>
      <c r="B991" s="73" t="s">
        <v>1212</v>
      </c>
      <c r="C991" s="68">
        <v>1</v>
      </c>
      <c r="D991" s="73" t="s">
        <v>3268</v>
      </c>
      <c r="E991" s="77">
        <v>1226.1464201779547</v>
      </c>
      <c r="F991" s="77">
        <v>159.52819139685778</v>
      </c>
      <c r="G991" s="76">
        <v>9.3438100274135056</v>
      </c>
    </row>
    <row r="992" spans="1:7" x14ac:dyDescent="0.25">
      <c r="A992" s="75">
        <v>7102403</v>
      </c>
      <c r="B992" s="73" t="s">
        <v>1212</v>
      </c>
      <c r="C992" s="68">
        <v>2</v>
      </c>
      <c r="D992" s="73" t="s">
        <v>3266</v>
      </c>
      <c r="E992" s="77">
        <v>1148.4002881303466</v>
      </c>
      <c r="F992" s="77">
        <v>162.68404287396211</v>
      </c>
      <c r="G992" s="76">
        <v>8.9654914284466507</v>
      </c>
    </row>
    <row r="993" spans="1:7" x14ac:dyDescent="0.25">
      <c r="A993" s="75">
        <v>7102403</v>
      </c>
      <c r="B993" s="73" t="s">
        <v>1212</v>
      </c>
      <c r="C993" s="68">
        <v>3</v>
      </c>
      <c r="D993" s="73" t="s">
        <v>3268</v>
      </c>
      <c r="E993" s="77">
        <v>1198.3114201779547</v>
      </c>
      <c r="F993" s="77">
        <v>159.52819139685778</v>
      </c>
      <c r="G993" s="76">
        <v>9.3438100274135056</v>
      </c>
    </row>
    <row r="994" spans="1:7" x14ac:dyDescent="0.25">
      <c r="A994" s="75">
        <v>7102403</v>
      </c>
      <c r="B994" s="73" t="s">
        <v>1212</v>
      </c>
      <c r="C994" s="68">
        <v>6</v>
      </c>
      <c r="D994" s="73" t="s">
        <v>3266</v>
      </c>
      <c r="E994" s="77">
        <v>1130.6249547970133</v>
      </c>
      <c r="F994" s="77">
        <v>162.68404287396211</v>
      </c>
      <c r="G994" s="76">
        <v>8.9654914284466507</v>
      </c>
    </row>
    <row r="995" spans="1:7" x14ac:dyDescent="0.25">
      <c r="A995" s="75">
        <v>7102403</v>
      </c>
      <c r="B995" s="73" t="s">
        <v>1212</v>
      </c>
      <c r="C995" s="68">
        <v>7</v>
      </c>
      <c r="D995" s="73" t="s">
        <v>3266</v>
      </c>
      <c r="E995" s="77">
        <v>1123.0069547970133</v>
      </c>
      <c r="F995" s="77">
        <v>162.68404287396211</v>
      </c>
      <c r="G995" s="76">
        <v>8.9654914284466507</v>
      </c>
    </row>
    <row r="996" spans="1:7" x14ac:dyDescent="0.25">
      <c r="A996" s="75">
        <v>7102404</v>
      </c>
      <c r="B996" s="73" t="s">
        <v>1213</v>
      </c>
      <c r="C996" s="68">
        <v>7</v>
      </c>
      <c r="D996" s="73" t="s">
        <v>3266</v>
      </c>
      <c r="E996" s="77">
        <v>1123.0069547970133</v>
      </c>
      <c r="F996" s="77">
        <v>162.68404287396211</v>
      </c>
      <c r="G996" s="76">
        <v>8.9654914284466507</v>
      </c>
    </row>
    <row r="997" spans="1:7" x14ac:dyDescent="0.25">
      <c r="A997" s="75">
        <v>7102501</v>
      </c>
      <c r="B997" s="73" t="s">
        <v>1214</v>
      </c>
      <c r="C997" s="68">
        <v>1</v>
      </c>
      <c r="D997" s="73" t="s">
        <v>3273</v>
      </c>
      <c r="E997" s="77">
        <v>1226.1464201779547</v>
      </c>
      <c r="F997" s="77">
        <v>159.52819139685778</v>
      </c>
      <c r="G997" s="76">
        <v>9.3438100274135056</v>
      </c>
    </row>
    <row r="998" spans="1:7" x14ac:dyDescent="0.25">
      <c r="A998" s="75">
        <v>7102501</v>
      </c>
      <c r="B998" s="73" t="s">
        <v>1214</v>
      </c>
      <c r="C998" s="68">
        <v>2</v>
      </c>
      <c r="D998" s="73" t="s">
        <v>3274</v>
      </c>
      <c r="E998" s="77">
        <v>1148.4002881303468</v>
      </c>
      <c r="F998" s="77">
        <v>162.68404287396211</v>
      </c>
      <c r="G998" s="76">
        <v>8.9654914284466507</v>
      </c>
    </row>
    <row r="999" spans="1:7" x14ac:dyDescent="0.25">
      <c r="A999" s="75">
        <v>7102501</v>
      </c>
      <c r="B999" s="73" t="s">
        <v>1214</v>
      </c>
      <c r="C999" s="68">
        <v>3</v>
      </c>
      <c r="D999" s="73" t="s">
        <v>3273</v>
      </c>
      <c r="E999" s="77">
        <v>1198.3114201779547</v>
      </c>
      <c r="F999" s="77">
        <v>159.52819139685778</v>
      </c>
      <c r="G999" s="76">
        <v>9.3438100274135056</v>
      </c>
    </row>
    <row r="1000" spans="1:7" x14ac:dyDescent="0.25">
      <c r="A1000" s="75">
        <v>7102501</v>
      </c>
      <c r="B1000" s="73" t="s">
        <v>1214</v>
      </c>
      <c r="C1000" s="68">
        <v>6</v>
      </c>
      <c r="D1000" s="73" t="s">
        <v>3274</v>
      </c>
      <c r="E1000" s="77">
        <v>1130.6249547970135</v>
      </c>
      <c r="F1000" s="77">
        <v>162.68404287396211</v>
      </c>
      <c r="G1000" s="76">
        <v>8.9654914284466507</v>
      </c>
    </row>
    <row r="1001" spans="1:7" x14ac:dyDescent="0.25">
      <c r="A1001" s="75">
        <v>7102501</v>
      </c>
      <c r="B1001" s="73" t="s">
        <v>1214</v>
      </c>
      <c r="C1001" s="68">
        <v>7</v>
      </c>
      <c r="D1001" s="73" t="s">
        <v>3275</v>
      </c>
      <c r="E1001" s="77">
        <v>1093.5818918204245</v>
      </c>
      <c r="F1001" s="77">
        <v>180.95562503250017</v>
      </c>
      <c r="G1001" s="76">
        <v>8.8989368327577889</v>
      </c>
    </row>
    <row r="1002" spans="1:7" x14ac:dyDescent="0.25">
      <c r="A1002" s="75">
        <v>7102501</v>
      </c>
      <c r="B1002" s="73" t="s">
        <v>1214</v>
      </c>
      <c r="C1002" s="68">
        <v>8</v>
      </c>
      <c r="D1002" s="73" t="s">
        <v>3273</v>
      </c>
      <c r="E1002" s="77">
        <v>1160.2214201779548</v>
      </c>
      <c r="F1002" s="77">
        <v>159.52819139685778</v>
      </c>
      <c r="G1002" s="76">
        <v>9.3438100274135056</v>
      </c>
    </row>
    <row r="1003" spans="1:7" x14ac:dyDescent="0.25">
      <c r="A1003" s="75">
        <v>7102501</v>
      </c>
      <c r="B1003" s="73" t="s">
        <v>1214</v>
      </c>
      <c r="C1003" s="68">
        <v>9</v>
      </c>
      <c r="D1003" s="73" t="s">
        <v>3274</v>
      </c>
      <c r="E1003" s="77">
        <v>1142.0519547970134</v>
      </c>
      <c r="F1003" s="77">
        <v>162.68404287396211</v>
      </c>
      <c r="G1003" s="76">
        <v>8.9654914284466507</v>
      </c>
    </row>
    <row r="1004" spans="1:7" x14ac:dyDescent="0.25">
      <c r="A1004" s="75">
        <v>7102501</v>
      </c>
      <c r="B1004" s="73" t="s">
        <v>1214</v>
      </c>
      <c r="C1004" s="68">
        <v>99</v>
      </c>
      <c r="D1004" s="73" t="s">
        <v>3273</v>
      </c>
      <c r="E1004" s="77">
        <v>1160.2214201779548</v>
      </c>
      <c r="F1004" s="77">
        <v>159.52819139685778</v>
      </c>
      <c r="G1004" s="76">
        <v>9.3438100274135056</v>
      </c>
    </row>
    <row r="1005" spans="1:7" x14ac:dyDescent="0.25">
      <c r="A1005" s="75">
        <v>7102502</v>
      </c>
      <c r="B1005" s="73" t="s">
        <v>3276</v>
      </c>
      <c r="C1005" s="68">
        <v>1</v>
      </c>
      <c r="D1005" s="73" t="s">
        <v>3273</v>
      </c>
      <c r="E1005" s="77">
        <v>1226.1464201779547</v>
      </c>
      <c r="F1005" s="77">
        <v>159.52819139685778</v>
      </c>
      <c r="G1005" s="76">
        <v>9.3438100274135056</v>
      </c>
    </row>
    <row r="1006" spans="1:7" x14ac:dyDescent="0.25">
      <c r="A1006" s="75">
        <v>7102502</v>
      </c>
      <c r="B1006" s="73" t="s">
        <v>3276</v>
      </c>
      <c r="C1006" s="68">
        <v>2</v>
      </c>
      <c r="D1006" s="73" t="s">
        <v>3274</v>
      </c>
      <c r="E1006" s="77">
        <v>1148.4002881303466</v>
      </c>
      <c r="F1006" s="77">
        <v>162.68404287396211</v>
      </c>
      <c r="G1006" s="76">
        <v>8.9654914284466507</v>
      </c>
    </row>
    <row r="1007" spans="1:7" x14ac:dyDescent="0.25">
      <c r="A1007" s="75">
        <v>7102502</v>
      </c>
      <c r="B1007" s="73" t="s">
        <v>3276</v>
      </c>
      <c r="C1007" s="68">
        <v>3</v>
      </c>
      <c r="D1007" s="73" t="s">
        <v>3273</v>
      </c>
      <c r="E1007" s="77">
        <v>1198.3114201779547</v>
      </c>
      <c r="F1007" s="77">
        <v>159.52819139685778</v>
      </c>
      <c r="G1007" s="76">
        <v>9.3438100274135056</v>
      </c>
    </row>
    <row r="1008" spans="1:7" x14ac:dyDescent="0.25">
      <c r="A1008" s="75">
        <v>7102502</v>
      </c>
      <c r="B1008" s="73" t="s">
        <v>3276</v>
      </c>
      <c r="C1008" s="68">
        <v>4</v>
      </c>
      <c r="D1008" s="73" t="s">
        <v>3273</v>
      </c>
      <c r="E1008" s="77">
        <v>1005.5360308206079</v>
      </c>
      <c r="F1008" s="77">
        <v>138.25776587727677</v>
      </c>
      <c r="G1008" s="76">
        <v>8.0979686904250396</v>
      </c>
    </row>
    <row r="1009" spans="1:7" x14ac:dyDescent="0.25">
      <c r="A1009" s="75">
        <v>7102502</v>
      </c>
      <c r="B1009" s="73" t="s">
        <v>3276</v>
      </c>
      <c r="C1009" s="68">
        <v>6</v>
      </c>
      <c r="D1009" s="73" t="s">
        <v>3274</v>
      </c>
      <c r="E1009" s="77">
        <v>1130.6249547970135</v>
      </c>
      <c r="F1009" s="77">
        <v>162.68404287396211</v>
      </c>
      <c r="G1009" s="76">
        <v>8.9654914284466507</v>
      </c>
    </row>
    <row r="1010" spans="1:7" x14ac:dyDescent="0.25">
      <c r="A1010" s="75">
        <v>7102502</v>
      </c>
      <c r="B1010" s="73" t="s">
        <v>3276</v>
      </c>
      <c r="C1010" s="68">
        <v>7</v>
      </c>
      <c r="D1010" s="73" t="s">
        <v>3275</v>
      </c>
      <c r="E1010" s="77">
        <v>1093.5818918204245</v>
      </c>
      <c r="F1010" s="77">
        <v>180.95562503250017</v>
      </c>
      <c r="G1010" s="76">
        <v>8.8989368327577889</v>
      </c>
    </row>
    <row r="1011" spans="1:7" x14ac:dyDescent="0.25">
      <c r="A1011" s="75">
        <v>7102502</v>
      </c>
      <c r="B1011" s="73" t="s">
        <v>3276</v>
      </c>
      <c r="C1011" s="68">
        <v>8</v>
      </c>
      <c r="D1011" s="73" t="s">
        <v>3273</v>
      </c>
      <c r="E1011" s="77">
        <v>1160.2214201779548</v>
      </c>
      <c r="F1011" s="77">
        <v>159.52819139685778</v>
      </c>
      <c r="G1011" s="76">
        <v>9.3438100274135056</v>
      </c>
    </row>
    <row r="1012" spans="1:7" x14ac:dyDescent="0.25">
      <c r="A1012" s="75">
        <v>7102502</v>
      </c>
      <c r="B1012" s="73" t="s">
        <v>3276</v>
      </c>
      <c r="C1012" s="68">
        <v>9</v>
      </c>
      <c r="D1012" s="73" t="s">
        <v>3274</v>
      </c>
      <c r="E1012" s="77">
        <v>1142.0519547970134</v>
      </c>
      <c r="F1012" s="77">
        <v>162.68404287396211</v>
      </c>
      <c r="G1012" s="76">
        <v>8.9654914284466507</v>
      </c>
    </row>
    <row r="1013" spans="1:7" x14ac:dyDescent="0.25">
      <c r="A1013" s="75">
        <v>7102502</v>
      </c>
      <c r="B1013" s="73" t="s">
        <v>3276</v>
      </c>
      <c r="C1013" s="68">
        <v>99</v>
      </c>
      <c r="D1013" s="73" t="s">
        <v>3273</v>
      </c>
      <c r="E1013" s="77">
        <v>1160.2214201779548</v>
      </c>
      <c r="F1013" s="77">
        <v>159.52819139685778</v>
      </c>
      <c r="G1013" s="76">
        <v>9.3438100274135056</v>
      </c>
    </row>
    <row r="1014" spans="1:7" x14ac:dyDescent="0.25">
      <c r="A1014" s="75">
        <v>7102601</v>
      </c>
      <c r="B1014" s="73" t="s">
        <v>3277</v>
      </c>
      <c r="C1014" s="68">
        <v>1</v>
      </c>
      <c r="D1014" s="73" t="s">
        <v>3278</v>
      </c>
      <c r="E1014" s="77">
        <v>4737.8552980229169</v>
      </c>
      <c r="F1014" s="77">
        <v>3145.3910977565774</v>
      </c>
      <c r="G1014" s="76">
        <v>19.470699619652144</v>
      </c>
    </row>
    <row r="1015" spans="1:7" x14ac:dyDescent="0.25">
      <c r="A1015" s="75">
        <v>7102601</v>
      </c>
      <c r="B1015" s="73" t="s">
        <v>3277</v>
      </c>
      <c r="C1015" s="68">
        <v>2</v>
      </c>
      <c r="D1015" s="73" t="s">
        <v>3279</v>
      </c>
      <c r="E1015" s="77">
        <v>4349.7472420565227</v>
      </c>
      <c r="F1015" s="77">
        <v>2927.9493707369611</v>
      </c>
      <c r="G1015" s="76">
        <v>18.215674822994139</v>
      </c>
    </row>
    <row r="1016" spans="1:7" x14ac:dyDescent="0.25">
      <c r="A1016" s="75">
        <v>7102601</v>
      </c>
      <c r="B1016" s="73" t="s">
        <v>3277</v>
      </c>
      <c r="C1016" s="68">
        <v>3</v>
      </c>
      <c r="D1016" s="73" t="s">
        <v>3278</v>
      </c>
      <c r="E1016" s="77">
        <v>4710.0202980229169</v>
      </c>
      <c r="F1016" s="77">
        <v>3145.3910977565774</v>
      </c>
      <c r="G1016" s="76">
        <v>19.470699619652144</v>
      </c>
    </row>
    <row r="1017" spans="1:7" x14ac:dyDescent="0.25">
      <c r="A1017" s="75">
        <v>7102601</v>
      </c>
      <c r="B1017" s="73" t="s">
        <v>3277</v>
      </c>
      <c r="C1017" s="68">
        <v>7</v>
      </c>
      <c r="D1017" s="73" t="s">
        <v>3279</v>
      </c>
      <c r="E1017" s="77">
        <v>4324.3539087231893</v>
      </c>
      <c r="F1017" s="77">
        <v>2927.9493707369611</v>
      </c>
      <c r="G1017" s="76">
        <v>18.215674822994139</v>
      </c>
    </row>
    <row r="1018" spans="1:7" x14ac:dyDescent="0.25">
      <c r="A1018" s="75">
        <v>7102601</v>
      </c>
      <c r="B1018" s="73" t="s">
        <v>3277</v>
      </c>
      <c r="C1018" s="68">
        <v>8</v>
      </c>
      <c r="D1018" s="73" t="s">
        <v>3278</v>
      </c>
      <c r="E1018" s="77">
        <v>4671.9302980229168</v>
      </c>
      <c r="F1018" s="77">
        <v>3145.3910977565774</v>
      </c>
      <c r="G1018" s="76">
        <v>19.470699619652144</v>
      </c>
    </row>
    <row r="1019" spans="1:7" x14ac:dyDescent="0.25">
      <c r="A1019" s="75">
        <v>7102701</v>
      </c>
      <c r="B1019" s="73" t="s">
        <v>1215</v>
      </c>
      <c r="C1019" s="68">
        <v>1</v>
      </c>
      <c r="D1019" s="73" t="s">
        <v>3280</v>
      </c>
      <c r="E1019" s="77">
        <v>1480.8114028022167</v>
      </c>
      <c r="F1019" s="77">
        <v>194.5465765711748</v>
      </c>
      <c r="G1019" s="76">
        <v>11.394890376726966</v>
      </c>
    </row>
    <row r="1020" spans="1:7" x14ac:dyDescent="0.25">
      <c r="A1020" s="75">
        <v>7102701</v>
      </c>
      <c r="B1020" s="73" t="s">
        <v>1215</v>
      </c>
      <c r="C1020" s="68">
        <v>2</v>
      </c>
      <c r="D1020" s="73" t="s">
        <v>3281</v>
      </c>
      <c r="E1020" s="77">
        <v>1391.4256282373319</v>
      </c>
      <c r="F1020" s="77">
        <v>196.10188807312787</v>
      </c>
      <c r="G1020" s="76">
        <v>10.92282570480495</v>
      </c>
    </row>
    <row r="1021" spans="1:7" x14ac:dyDescent="0.25">
      <c r="A1021" s="75">
        <v>7102701</v>
      </c>
      <c r="B1021" s="73" t="s">
        <v>1215</v>
      </c>
      <c r="C1021" s="68">
        <v>3</v>
      </c>
      <c r="D1021" s="73" t="s">
        <v>3280</v>
      </c>
      <c r="E1021" s="77">
        <v>1452.9764028022166</v>
      </c>
      <c r="F1021" s="77">
        <v>194.5465765711748</v>
      </c>
      <c r="G1021" s="76">
        <v>11.394890376726966</v>
      </c>
    </row>
    <row r="1022" spans="1:7" x14ac:dyDescent="0.25">
      <c r="A1022" s="75">
        <v>7102701</v>
      </c>
      <c r="B1022" s="73" t="s">
        <v>1215</v>
      </c>
      <c r="C1022" s="68">
        <v>6</v>
      </c>
      <c r="D1022" s="73" t="s">
        <v>3281</v>
      </c>
      <c r="E1022" s="77">
        <v>1373.6502949039987</v>
      </c>
      <c r="F1022" s="77">
        <v>196.10188807312787</v>
      </c>
      <c r="G1022" s="76">
        <v>10.92282570480495</v>
      </c>
    </row>
    <row r="1023" spans="1:7" x14ac:dyDescent="0.25">
      <c r="A1023" s="75">
        <v>7102701</v>
      </c>
      <c r="B1023" s="73" t="s">
        <v>1215</v>
      </c>
      <c r="C1023" s="68">
        <v>7</v>
      </c>
      <c r="D1023" s="73" t="s">
        <v>3281</v>
      </c>
      <c r="E1023" s="77">
        <v>1366.0322949039987</v>
      </c>
      <c r="F1023" s="77">
        <v>196.10188807312787</v>
      </c>
      <c r="G1023" s="76">
        <v>10.92282570480495</v>
      </c>
    </row>
    <row r="1024" spans="1:7" x14ac:dyDescent="0.25">
      <c r="A1024" s="75">
        <v>7102701</v>
      </c>
      <c r="B1024" s="73" t="s">
        <v>1215</v>
      </c>
      <c r="C1024" s="68">
        <v>99</v>
      </c>
      <c r="D1024" s="73" t="s">
        <v>3280</v>
      </c>
      <c r="E1024" s="77">
        <v>1452.9764028022166</v>
      </c>
      <c r="F1024" s="77">
        <v>194.5465765711748</v>
      </c>
      <c r="G1024" s="76">
        <v>11.394890376726966</v>
      </c>
    </row>
    <row r="1025" spans="1:7" x14ac:dyDescent="0.25">
      <c r="A1025" s="75">
        <v>7102801</v>
      </c>
      <c r="B1025" s="73" t="s">
        <v>3282</v>
      </c>
      <c r="C1025" s="68">
        <v>1</v>
      </c>
      <c r="D1025" s="73" t="s">
        <v>3283</v>
      </c>
      <c r="E1025" s="77">
        <v>4478.9697755533052</v>
      </c>
      <c r="F1025" s="77">
        <v>2898.4725810549821</v>
      </c>
      <c r="G1025" s="76">
        <v>17.71497702731541</v>
      </c>
    </row>
    <row r="1026" spans="1:7" x14ac:dyDescent="0.25">
      <c r="A1026" s="75">
        <v>7102801</v>
      </c>
      <c r="B1026" s="73" t="s">
        <v>3282</v>
      </c>
      <c r="C1026" s="68">
        <v>2</v>
      </c>
      <c r="D1026" s="73" t="s">
        <v>3283</v>
      </c>
      <c r="E1026" s="77">
        <v>4451.1347755533052</v>
      </c>
      <c r="F1026" s="77">
        <v>2898.4725810549821</v>
      </c>
      <c r="G1026" s="76">
        <v>17.71497702731541</v>
      </c>
    </row>
    <row r="1027" spans="1:7" x14ac:dyDescent="0.25">
      <c r="A1027" s="75">
        <v>7102801</v>
      </c>
      <c r="B1027" s="73" t="s">
        <v>1508</v>
      </c>
      <c r="C1027" s="68">
        <v>3</v>
      </c>
      <c r="D1027" s="73" t="s">
        <v>3283</v>
      </c>
      <c r="E1027" s="77">
        <v>4451.1347755533052</v>
      </c>
      <c r="F1027" s="77">
        <v>2898.4725810549821</v>
      </c>
      <c r="G1027" s="76">
        <v>17.71497702731541</v>
      </c>
    </row>
    <row r="1028" spans="1:7" x14ac:dyDescent="0.25">
      <c r="A1028" s="75">
        <v>7102801</v>
      </c>
      <c r="B1028" s="73" t="s">
        <v>3282</v>
      </c>
      <c r="C1028" s="68">
        <v>6</v>
      </c>
      <c r="D1028" s="73" t="s">
        <v>3283</v>
      </c>
      <c r="E1028" s="77">
        <v>4432.0897755533051</v>
      </c>
      <c r="F1028" s="77">
        <v>2898.4725810549821</v>
      </c>
      <c r="G1028" s="76">
        <v>17.71497702731541</v>
      </c>
    </row>
    <row r="1029" spans="1:7" x14ac:dyDescent="0.25">
      <c r="A1029" s="75">
        <v>7103101</v>
      </c>
      <c r="B1029" s="73" t="s">
        <v>1216</v>
      </c>
      <c r="C1029" s="68">
        <v>1</v>
      </c>
      <c r="D1029" s="73" t="s">
        <v>3284</v>
      </c>
      <c r="E1029" s="77">
        <v>386.55778806791454</v>
      </c>
      <c r="F1029" s="77">
        <v>86.962071705854797</v>
      </c>
      <c r="G1029" s="76">
        <v>2.1704200860386034</v>
      </c>
    </row>
    <row r="1030" spans="1:7" x14ac:dyDescent="0.25">
      <c r="A1030" s="75">
        <v>7103101</v>
      </c>
      <c r="B1030" s="73" t="s">
        <v>1216</v>
      </c>
      <c r="C1030" s="68">
        <v>2</v>
      </c>
      <c r="D1030" s="73" t="s">
        <v>3284</v>
      </c>
      <c r="E1030" s="77">
        <v>312.33112140124791</v>
      </c>
      <c r="F1030" s="77">
        <v>86.962071705854797</v>
      </c>
      <c r="G1030" s="76">
        <v>2.1704200860386043</v>
      </c>
    </row>
    <row r="1031" spans="1:7" x14ac:dyDescent="0.25">
      <c r="A1031" s="75">
        <v>7103101</v>
      </c>
      <c r="B1031" s="73" t="s">
        <v>1216</v>
      </c>
      <c r="C1031" s="68">
        <v>3</v>
      </c>
      <c r="D1031" s="73" t="s">
        <v>3284</v>
      </c>
      <c r="E1031" s="77">
        <v>312.33112140124791</v>
      </c>
      <c r="F1031" s="77">
        <v>86.962071705854797</v>
      </c>
      <c r="G1031" s="76">
        <v>2.1704200860386043</v>
      </c>
    </row>
    <row r="1032" spans="1:7" x14ac:dyDescent="0.25">
      <c r="A1032" s="75">
        <v>7103101</v>
      </c>
      <c r="B1032" s="73" t="s">
        <v>1216</v>
      </c>
      <c r="C1032" s="68">
        <v>6</v>
      </c>
      <c r="D1032" s="73" t="s">
        <v>3284</v>
      </c>
      <c r="E1032" s="77">
        <v>295.82545473458123</v>
      </c>
      <c r="F1032" s="77">
        <v>86.962071705854811</v>
      </c>
      <c r="G1032" s="76">
        <v>2.1704200860386034</v>
      </c>
    </row>
    <row r="1033" spans="1:7" x14ac:dyDescent="0.25">
      <c r="A1033" s="75">
        <v>7103101</v>
      </c>
      <c r="B1033" s="73" t="s">
        <v>1216</v>
      </c>
      <c r="C1033" s="68">
        <v>9</v>
      </c>
      <c r="D1033" s="73" t="s">
        <v>3284</v>
      </c>
      <c r="E1033" s="77">
        <v>293.28612140124784</v>
      </c>
      <c r="F1033" s="77">
        <v>86.962071705854811</v>
      </c>
      <c r="G1033" s="76">
        <v>2.1704200860386038</v>
      </c>
    </row>
    <row r="1034" spans="1:7" x14ac:dyDescent="0.25">
      <c r="A1034" s="75">
        <v>7103101</v>
      </c>
      <c r="B1034" s="73" t="s">
        <v>1216</v>
      </c>
      <c r="C1034" s="68">
        <v>99</v>
      </c>
      <c r="D1034" s="73" t="s">
        <v>3284</v>
      </c>
      <c r="E1034" s="77">
        <v>309.15695473458112</v>
      </c>
      <c r="F1034" s="77">
        <v>86.962071705854783</v>
      </c>
      <c r="G1034" s="76">
        <v>2.1704200860386038</v>
      </c>
    </row>
    <row r="1035" spans="1:7" x14ac:dyDescent="0.25">
      <c r="A1035" s="75">
        <v>7103301</v>
      </c>
      <c r="B1035" s="73" t="s">
        <v>1217</v>
      </c>
      <c r="C1035" s="68">
        <v>1</v>
      </c>
      <c r="D1035" s="73" t="s">
        <v>3285</v>
      </c>
      <c r="E1035" s="77">
        <v>741.38121994430264</v>
      </c>
      <c r="F1035" s="77">
        <v>1266.1381260659434</v>
      </c>
      <c r="G1035" s="76">
        <v>5.8804306679787741</v>
      </c>
    </row>
    <row r="1036" spans="1:7" x14ac:dyDescent="0.25">
      <c r="A1036" s="75">
        <v>7103301</v>
      </c>
      <c r="B1036" s="73" t="s">
        <v>1217</v>
      </c>
      <c r="C1036" s="68">
        <v>2</v>
      </c>
      <c r="D1036" s="73" t="s">
        <v>3286</v>
      </c>
      <c r="E1036" s="77">
        <v>685.79162303313581</v>
      </c>
      <c r="F1036" s="77">
        <v>1218.7155905465952</v>
      </c>
      <c r="G1036" s="76">
        <v>5.6604082636050004</v>
      </c>
    </row>
    <row r="1037" spans="1:7" x14ac:dyDescent="0.25">
      <c r="A1037" s="75">
        <v>7103301</v>
      </c>
      <c r="B1037" s="73" t="s">
        <v>1217</v>
      </c>
      <c r="C1037" s="68">
        <v>3</v>
      </c>
      <c r="D1037" s="73" t="s">
        <v>3285</v>
      </c>
      <c r="E1037" s="77">
        <v>713.54621994430272</v>
      </c>
      <c r="F1037" s="77">
        <v>1266.1381260659434</v>
      </c>
      <c r="G1037" s="76">
        <v>5.8804306679787741</v>
      </c>
    </row>
    <row r="1038" spans="1:7" x14ac:dyDescent="0.25">
      <c r="A1038" s="75">
        <v>7103301</v>
      </c>
      <c r="B1038" s="73" t="s">
        <v>1217</v>
      </c>
      <c r="C1038" s="68">
        <v>7</v>
      </c>
      <c r="D1038" s="73" t="s">
        <v>3287</v>
      </c>
      <c r="E1038" s="77">
        <v>647.59792841049034</v>
      </c>
      <c r="F1038" s="77">
        <v>1199.0367174348637</v>
      </c>
      <c r="G1038" s="76">
        <v>5.7126279707182412</v>
      </c>
    </row>
    <row r="1039" spans="1:7" x14ac:dyDescent="0.25">
      <c r="A1039" s="75">
        <v>7103301</v>
      </c>
      <c r="B1039" s="73" t="s">
        <v>1217</v>
      </c>
      <c r="C1039" s="68">
        <v>8</v>
      </c>
      <c r="D1039" s="73" t="s">
        <v>3285</v>
      </c>
      <c r="E1039" s="77">
        <v>675.45621994430269</v>
      </c>
      <c r="F1039" s="77">
        <v>1266.1381260659434</v>
      </c>
      <c r="G1039" s="76">
        <v>5.8804306679787741</v>
      </c>
    </row>
    <row r="1040" spans="1:7" x14ac:dyDescent="0.25">
      <c r="A1040" s="75">
        <v>7103301</v>
      </c>
      <c r="B1040" s="73" t="s">
        <v>1217</v>
      </c>
      <c r="C1040" s="68">
        <v>9</v>
      </c>
      <c r="D1040" s="73" t="s">
        <v>3286</v>
      </c>
      <c r="E1040" s="77">
        <v>679.44328969980234</v>
      </c>
      <c r="F1040" s="77">
        <v>1218.7155905465952</v>
      </c>
      <c r="G1040" s="76">
        <v>5.6604082636050004</v>
      </c>
    </row>
    <row r="1041" spans="1:7" x14ac:dyDescent="0.25">
      <c r="A1041" s="75">
        <v>7103301</v>
      </c>
      <c r="B1041" s="73" t="s">
        <v>1217</v>
      </c>
      <c r="C1041" s="68">
        <v>99</v>
      </c>
      <c r="D1041" s="73" t="s">
        <v>3286</v>
      </c>
      <c r="E1041" s="77">
        <v>679.44328969980234</v>
      </c>
      <c r="F1041" s="77">
        <v>1218.7155905465952</v>
      </c>
      <c r="G1041" s="76">
        <v>5.6604082636050004</v>
      </c>
    </row>
    <row r="1042" spans="1:7" x14ac:dyDescent="0.25">
      <c r="A1042" s="75">
        <v>7103303</v>
      </c>
      <c r="B1042" s="73" t="s">
        <v>3288</v>
      </c>
      <c r="C1042" s="68">
        <v>1</v>
      </c>
      <c r="D1042" s="73" t="s">
        <v>3242</v>
      </c>
      <c r="E1042" s="77">
        <v>4652.3562918856005</v>
      </c>
      <c r="F1042" s="77">
        <v>3012.3543369618828</v>
      </c>
      <c r="G1042" s="76">
        <v>18.411003169811053</v>
      </c>
    </row>
    <row r="1043" spans="1:7" x14ac:dyDescent="0.25">
      <c r="A1043" s="75">
        <v>7103303</v>
      </c>
      <c r="B1043" s="73" t="s">
        <v>3288</v>
      </c>
      <c r="C1043" s="68">
        <v>3</v>
      </c>
      <c r="D1043" s="73" t="s">
        <v>3242</v>
      </c>
      <c r="E1043" s="77">
        <v>4624.5212918856005</v>
      </c>
      <c r="F1043" s="77">
        <v>3012.3543369618828</v>
      </c>
      <c r="G1043" s="76">
        <v>18.411003169811053</v>
      </c>
    </row>
    <row r="1044" spans="1:7" x14ac:dyDescent="0.25">
      <c r="A1044" s="75">
        <v>7103303</v>
      </c>
      <c r="B1044" s="73" t="s">
        <v>3288</v>
      </c>
      <c r="C1044" s="68">
        <v>7</v>
      </c>
      <c r="D1044" s="73" t="s">
        <v>3242</v>
      </c>
      <c r="E1044" s="77">
        <v>4595.9537918856004</v>
      </c>
      <c r="F1044" s="77">
        <v>3012.3543369618828</v>
      </c>
      <c r="G1044" s="76">
        <v>18.411003169811053</v>
      </c>
    </row>
    <row r="1045" spans="1:7" x14ac:dyDescent="0.25">
      <c r="A1045" s="75">
        <v>7103303</v>
      </c>
      <c r="B1045" s="73" t="s">
        <v>3288</v>
      </c>
      <c r="C1045" s="68">
        <v>99</v>
      </c>
      <c r="D1045" s="73" t="s">
        <v>3242</v>
      </c>
      <c r="E1045" s="77">
        <v>4652.3562918856005</v>
      </c>
      <c r="F1045" s="77">
        <v>3012.3543369618828</v>
      </c>
      <c r="G1045" s="76">
        <v>18.411003169811053</v>
      </c>
    </row>
    <row r="1046" spans="1:7" x14ac:dyDescent="0.25">
      <c r="A1046" s="75">
        <v>7103305</v>
      </c>
      <c r="B1046" s="73" t="s">
        <v>1218</v>
      </c>
      <c r="C1046" s="68">
        <v>1</v>
      </c>
      <c r="D1046" s="73" t="s">
        <v>3285</v>
      </c>
      <c r="E1046" s="77">
        <v>741.38121994430264</v>
      </c>
      <c r="F1046" s="77">
        <v>1266.1381260659434</v>
      </c>
      <c r="G1046" s="76">
        <v>5.8804306679787741</v>
      </c>
    </row>
    <row r="1047" spans="1:7" x14ac:dyDescent="0.25">
      <c r="A1047" s="75">
        <v>7103305</v>
      </c>
      <c r="B1047" s="73" t="s">
        <v>3289</v>
      </c>
      <c r="C1047" s="68">
        <v>2</v>
      </c>
      <c r="D1047" s="73" t="s">
        <v>3286</v>
      </c>
      <c r="E1047" s="77">
        <v>685.79162303313569</v>
      </c>
      <c r="F1047" s="77">
        <v>1218.7155905465952</v>
      </c>
      <c r="G1047" s="76">
        <v>5.6604082636050004</v>
      </c>
    </row>
    <row r="1048" spans="1:7" x14ac:dyDescent="0.25">
      <c r="A1048" s="75">
        <v>7103305</v>
      </c>
      <c r="B1048" s="73" t="s">
        <v>1218</v>
      </c>
      <c r="C1048" s="68">
        <v>3</v>
      </c>
      <c r="D1048" s="73" t="s">
        <v>3285</v>
      </c>
      <c r="E1048" s="77">
        <v>713.54621994430272</v>
      </c>
      <c r="F1048" s="77">
        <v>1266.1381260659434</v>
      </c>
      <c r="G1048" s="76">
        <v>5.8804306679787741</v>
      </c>
    </row>
    <row r="1049" spans="1:7" x14ac:dyDescent="0.25">
      <c r="A1049" s="75">
        <v>7103305</v>
      </c>
      <c r="B1049" s="73" t="s">
        <v>1218</v>
      </c>
      <c r="C1049" s="68">
        <v>4</v>
      </c>
      <c r="D1049" s="73" t="s">
        <v>3285</v>
      </c>
      <c r="E1049" s="77">
        <v>461.58740029459398</v>
      </c>
      <c r="F1049" s="77">
        <v>865.19438614506146</v>
      </c>
      <c r="G1049" s="76">
        <v>4.0182942897854952</v>
      </c>
    </row>
    <row r="1050" spans="1:7" x14ac:dyDescent="0.25">
      <c r="A1050" s="75">
        <v>7103305</v>
      </c>
      <c r="B1050" s="73" t="s">
        <v>1218</v>
      </c>
      <c r="C1050" s="68">
        <v>5</v>
      </c>
      <c r="D1050" s="73" t="s">
        <v>3290</v>
      </c>
      <c r="E1050" s="77">
        <v>870.61322318825069</v>
      </c>
      <c r="F1050" s="77">
        <v>1609.5557374506832</v>
      </c>
      <c r="G1050" s="76">
        <v>7.6183516904317452</v>
      </c>
    </row>
    <row r="1051" spans="1:7" x14ac:dyDescent="0.25">
      <c r="A1051" s="75">
        <v>7103305</v>
      </c>
      <c r="B1051" s="73" t="s">
        <v>3289</v>
      </c>
      <c r="C1051" s="68">
        <v>6</v>
      </c>
      <c r="D1051" s="73" t="s">
        <v>3286</v>
      </c>
      <c r="E1051" s="77">
        <v>668.01628969980231</v>
      </c>
      <c r="F1051" s="77">
        <v>1218.7155905465952</v>
      </c>
      <c r="G1051" s="76">
        <v>5.6604082636050004</v>
      </c>
    </row>
    <row r="1052" spans="1:7" x14ac:dyDescent="0.25">
      <c r="A1052" s="75">
        <v>7103305</v>
      </c>
      <c r="B1052" s="73" t="s">
        <v>1218</v>
      </c>
      <c r="C1052" s="68">
        <v>7</v>
      </c>
      <c r="D1052" s="73" t="s">
        <v>3287</v>
      </c>
      <c r="E1052" s="77">
        <v>647.59792841049045</v>
      </c>
      <c r="F1052" s="77">
        <v>1199.0367174348637</v>
      </c>
      <c r="G1052" s="76">
        <v>5.7126279707182412</v>
      </c>
    </row>
    <row r="1053" spans="1:7" x14ac:dyDescent="0.25">
      <c r="A1053" s="75">
        <v>7103305</v>
      </c>
      <c r="B1053" s="73" t="s">
        <v>1218</v>
      </c>
      <c r="C1053" s="68">
        <v>8</v>
      </c>
      <c r="D1053" s="73" t="s">
        <v>3285</v>
      </c>
      <c r="E1053" s="77">
        <v>675.45621994430269</v>
      </c>
      <c r="F1053" s="77">
        <v>1266.1381260659434</v>
      </c>
      <c r="G1053" s="76">
        <v>5.8804306679787741</v>
      </c>
    </row>
    <row r="1054" spans="1:7" x14ac:dyDescent="0.25">
      <c r="A1054" s="75">
        <v>7103305</v>
      </c>
      <c r="B1054" s="73" t="s">
        <v>1218</v>
      </c>
      <c r="C1054" s="68">
        <v>99</v>
      </c>
      <c r="D1054" s="73" t="s">
        <v>3286</v>
      </c>
      <c r="E1054" s="77">
        <v>679.44328969980234</v>
      </c>
      <c r="F1054" s="77">
        <v>1218.7155905465952</v>
      </c>
      <c r="G1054" s="76">
        <v>5.6604082636050004</v>
      </c>
    </row>
    <row r="1055" spans="1:7" x14ac:dyDescent="0.25">
      <c r="A1055" s="75">
        <v>7103403</v>
      </c>
      <c r="B1055" s="73" t="s">
        <v>1219</v>
      </c>
      <c r="C1055" s="68">
        <v>1</v>
      </c>
      <c r="D1055" s="73" t="s">
        <v>3291</v>
      </c>
      <c r="E1055" s="77">
        <v>741.38121994430264</v>
      </c>
      <c r="F1055" s="77">
        <v>1266.1381260659434</v>
      </c>
      <c r="G1055" s="76">
        <v>5.8804306679787741</v>
      </c>
    </row>
    <row r="1056" spans="1:7" x14ac:dyDescent="0.25">
      <c r="A1056" s="75">
        <v>7103501</v>
      </c>
      <c r="B1056" s="73" t="s">
        <v>1220</v>
      </c>
      <c r="C1056" s="68">
        <v>1</v>
      </c>
      <c r="D1056" s="73" t="s">
        <v>3292</v>
      </c>
      <c r="E1056" s="77">
        <v>741.38121994430264</v>
      </c>
      <c r="F1056" s="77">
        <v>1266.1381260659434</v>
      </c>
      <c r="G1056" s="76">
        <v>5.8804306679787741</v>
      </c>
    </row>
    <row r="1057" spans="1:7" x14ac:dyDescent="0.25">
      <c r="A1057" s="75">
        <v>7103501</v>
      </c>
      <c r="B1057" s="73" t="s">
        <v>3293</v>
      </c>
      <c r="C1057" s="68">
        <v>2</v>
      </c>
      <c r="D1057" s="73" t="s">
        <v>3294</v>
      </c>
      <c r="E1057" s="77">
        <v>685.79162303313569</v>
      </c>
      <c r="F1057" s="77">
        <v>1218.7155905465952</v>
      </c>
      <c r="G1057" s="76">
        <v>5.6604082636050004</v>
      </c>
    </row>
    <row r="1058" spans="1:7" x14ac:dyDescent="0.25">
      <c r="A1058" s="75">
        <v>7103501</v>
      </c>
      <c r="B1058" s="73" t="s">
        <v>1220</v>
      </c>
      <c r="C1058" s="68">
        <v>3</v>
      </c>
      <c r="D1058" s="73" t="s">
        <v>3292</v>
      </c>
      <c r="E1058" s="77">
        <v>713.54621994430272</v>
      </c>
      <c r="F1058" s="77">
        <v>1266.1381260659434</v>
      </c>
      <c r="G1058" s="76">
        <v>5.8804306679787741</v>
      </c>
    </row>
    <row r="1059" spans="1:7" x14ac:dyDescent="0.25">
      <c r="A1059" s="75">
        <v>7103501</v>
      </c>
      <c r="B1059" s="73" t="s">
        <v>1220</v>
      </c>
      <c r="C1059" s="68">
        <v>4</v>
      </c>
      <c r="D1059" s="73" t="s">
        <v>3292</v>
      </c>
      <c r="E1059" s="77">
        <v>461.58740029459398</v>
      </c>
      <c r="F1059" s="77">
        <v>865.19438614506146</v>
      </c>
      <c r="G1059" s="76">
        <v>4.0182942897854952</v>
      </c>
    </row>
    <row r="1060" spans="1:7" x14ac:dyDescent="0.25">
      <c r="A1060" s="75">
        <v>7103501</v>
      </c>
      <c r="B1060" s="73" t="s">
        <v>1220</v>
      </c>
      <c r="C1060" s="68">
        <v>6</v>
      </c>
      <c r="D1060" s="73" t="s">
        <v>3294</v>
      </c>
      <c r="E1060" s="77">
        <v>668.01628969980231</v>
      </c>
      <c r="F1060" s="77">
        <v>1218.7155905465952</v>
      </c>
      <c r="G1060" s="76">
        <v>5.6604082636050004</v>
      </c>
    </row>
    <row r="1061" spans="1:7" x14ac:dyDescent="0.25">
      <c r="A1061" s="75">
        <v>7103501</v>
      </c>
      <c r="B1061" s="73" t="s">
        <v>1220</v>
      </c>
      <c r="C1061" s="68">
        <v>7</v>
      </c>
      <c r="D1061" s="73" t="s">
        <v>3295</v>
      </c>
      <c r="E1061" s="77">
        <v>647.59792841049034</v>
      </c>
      <c r="F1061" s="77">
        <v>1199.0367174348637</v>
      </c>
      <c r="G1061" s="76">
        <v>5.7126279707182412</v>
      </c>
    </row>
    <row r="1062" spans="1:7" x14ac:dyDescent="0.25">
      <c r="A1062" s="75">
        <v>7103501</v>
      </c>
      <c r="B1062" s="73" t="s">
        <v>1220</v>
      </c>
      <c r="C1062" s="68">
        <v>8</v>
      </c>
      <c r="D1062" s="73" t="s">
        <v>3292</v>
      </c>
      <c r="E1062" s="77">
        <v>675.45621994430269</v>
      </c>
      <c r="F1062" s="77">
        <v>1266.1381260659434</v>
      </c>
      <c r="G1062" s="76">
        <v>5.8804306679787741</v>
      </c>
    </row>
    <row r="1063" spans="1:7" x14ac:dyDescent="0.25">
      <c r="A1063" s="75">
        <v>7103501</v>
      </c>
      <c r="B1063" s="73" t="s">
        <v>1220</v>
      </c>
      <c r="C1063" s="68">
        <v>9</v>
      </c>
      <c r="D1063" s="73" t="s">
        <v>3294</v>
      </c>
      <c r="E1063" s="77">
        <v>679.44328969980234</v>
      </c>
      <c r="F1063" s="77">
        <v>1218.7155905465952</v>
      </c>
      <c r="G1063" s="76">
        <v>5.6604082636050004</v>
      </c>
    </row>
    <row r="1064" spans="1:7" x14ac:dyDescent="0.25">
      <c r="A1064" s="75">
        <v>7103501</v>
      </c>
      <c r="B1064" s="73" t="s">
        <v>1220</v>
      </c>
      <c r="C1064" s="68">
        <v>99</v>
      </c>
      <c r="D1064" s="73" t="s">
        <v>3292</v>
      </c>
      <c r="E1064" s="77">
        <v>741.38121994430264</v>
      </c>
      <c r="F1064" s="77">
        <v>1266.1381260659434</v>
      </c>
      <c r="G1064" s="76">
        <v>5.8804306679787741</v>
      </c>
    </row>
    <row r="1065" spans="1:7" x14ac:dyDescent="0.25">
      <c r="A1065" s="75">
        <v>7103701</v>
      </c>
      <c r="B1065" s="73" t="s">
        <v>954</v>
      </c>
      <c r="C1065" s="68">
        <v>1</v>
      </c>
      <c r="D1065" s="73" t="s">
        <v>3296</v>
      </c>
      <c r="E1065" s="77">
        <v>777.66711937517641</v>
      </c>
      <c r="F1065" s="77">
        <v>1093.9433692968353</v>
      </c>
      <c r="G1065" s="76">
        <v>5.0806922289220298</v>
      </c>
    </row>
    <row r="1066" spans="1:7" x14ac:dyDescent="0.25">
      <c r="A1066" s="75">
        <v>7103701</v>
      </c>
      <c r="B1066" s="73" t="s">
        <v>3297</v>
      </c>
      <c r="C1066" s="68">
        <v>2</v>
      </c>
      <c r="D1066" s="73" t="s">
        <v>3298</v>
      </c>
      <c r="E1066" s="77">
        <v>720.41904985642554</v>
      </c>
      <c r="F1066" s="77">
        <v>1054.3911164975066</v>
      </c>
      <c r="G1066" s="76">
        <v>4.8972224335564585</v>
      </c>
    </row>
    <row r="1067" spans="1:7" x14ac:dyDescent="0.25">
      <c r="A1067" s="75">
        <v>7103701</v>
      </c>
      <c r="B1067" s="73" t="s">
        <v>954</v>
      </c>
      <c r="C1067" s="68">
        <v>3</v>
      </c>
      <c r="D1067" s="73" t="s">
        <v>3296</v>
      </c>
      <c r="E1067" s="77">
        <v>749.83211937517649</v>
      </c>
      <c r="F1067" s="77">
        <v>1093.9433692968353</v>
      </c>
      <c r="G1067" s="76">
        <v>5.0806922289220298</v>
      </c>
    </row>
    <row r="1068" spans="1:7" x14ac:dyDescent="0.25">
      <c r="A1068" s="75">
        <v>7103701</v>
      </c>
      <c r="B1068" s="73" t="s">
        <v>954</v>
      </c>
      <c r="C1068" s="68">
        <v>7</v>
      </c>
      <c r="D1068" s="73" t="s">
        <v>3299</v>
      </c>
      <c r="E1068" s="77">
        <v>680.98095432958564</v>
      </c>
      <c r="F1068" s="77">
        <v>1040.6175485974939</v>
      </c>
      <c r="G1068" s="76">
        <v>4.976868641109002</v>
      </c>
    </row>
    <row r="1069" spans="1:7" x14ac:dyDescent="0.25">
      <c r="A1069" s="75">
        <v>7103701</v>
      </c>
      <c r="B1069" s="73" t="s">
        <v>954</v>
      </c>
      <c r="C1069" s="68">
        <v>8</v>
      </c>
      <c r="D1069" s="73" t="s">
        <v>3296</v>
      </c>
      <c r="E1069" s="77">
        <v>711.74211937517646</v>
      </c>
      <c r="F1069" s="77">
        <v>1093.9433692968353</v>
      </c>
      <c r="G1069" s="76">
        <v>5.0806922289220298</v>
      </c>
    </row>
    <row r="1070" spans="1:7" x14ac:dyDescent="0.25">
      <c r="A1070" s="75">
        <v>7103801</v>
      </c>
      <c r="B1070" s="73" t="s">
        <v>1509</v>
      </c>
      <c r="C1070" s="68">
        <v>1</v>
      </c>
      <c r="D1070" s="73" t="s">
        <v>3300</v>
      </c>
      <c r="E1070" s="77">
        <v>1000.8449999999999</v>
      </c>
      <c r="F1070" s="77">
        <v>705.28692703272895</v>
      </c>
      <c r="G1070" s="76">
        <v>2.09</v>
      </c>
    </row>
    <row r="1071" spans="1:7" x14ac:dyDescent="0.25">
      <c r="A1071" s="75">
        <v>7103801</v>
      </c>
      <c r="B1071" s="73" t="s">
        <v>1509</v>
      </c>
      <c r="C1071" s="68">
        <v>2</v>
      </c>
      <c r="D1071" s="73" t="s">
        <v>3300</v>
      </c>
      <c r="E1071" s="77">
        <v>973.01</v>
      </c>
      <c r="F1071" s="77">
        <v>705.28692703272895</v>
      </c>
      <c r="G1071" s="76">
        <v>2.09</v>
      </c>
    </row>
    <row r="1072" spans="1:7" x14ac:dyDescent="0.25">
      <c r="A1072" s="75">
        <v>7103801</v>
      </c>
      <c r="B1072" s="73" t="s">
        <v>1509</v>
      </c>
      <c r="C1072" s="68">
        <v>3</v>
      </c>
      <c r="D1072" s="73" t="s">
        <v>3300</v>
      </c>
      <c r="E1072" s="77">
        <v>973.01</v>
      </c>
      <c r="F1072" s="77">
        <v>705.28692703272895</v>
      </c>
      <c r="G1072" s="76">
        <v>2.09</v>
      </c>
    </row>
    <row r="1073" spans="1:7" x14ac:dyDescent="0.25">
      <c r="A1073" s="75">
        <v>7103801</v>
      </c>
      <c r="B1073" s="73" t="s">
        <v>1509</v>
      </c>
      <c r="C1073" s="68">
        <v>7</v>
      </c>
      <c r="D1073" s="73" t="s">
        <v>3300</v>
      </c>
      <c r="E1073" s="77">
        <v>947.61666666666667</v>
      </c>
      <c r="F1073" s="77">
        <v>705.28692703272895</v>
      </c>
      <c r="G1073" s="76">
        <v>2.09</v>
      </c>
    </row>
    <row r="1074" spans="1:7" x14ac:dyDescent="0.25">
      <c r="A1074" s="75">
        <v>7103801</v>
      </c>
      <c r="B1074" s="73" t="s">
        <v>1509</v>
      </c>
      <c r="C1074" s="68">
        <v>99</v>
      </c>
      <c r="D1074" s="73" t="s">
        <v>3300</v>
      </c>
      <c r="E1074" s="77">
        <v>947.61666666666667</v>
      </c>
      <c r="F1074" s="77">
        <v>705.28692703272895</v>
      </c>
      <c r="G1074" s="76">
        <v>2.09</v>
      </c>
    </row>
    <row r="1075" spans="1:7" x14ac:dyDescent="0.25">
      <c r="A1075" s="75">
        <v>7103903</v>
      </c>
      <c r="B1075" s="73" t="s">
        <v>3301</v>
      </c>
      <c r="C1075" s="68">
        <v>2</v>
      </c>
      <c r="D1075" s="73" t="s">
        <v>3266</v>
      </c>
      <c r="E1075" s="77">
        <v>1148.4002881303466</v>
      </c>
      <c r="F1075" s="77">
        <v>162.68404287396211</v>
      </c>
      <c r="G1075" s="76">
        <v>8.9654914284466507</v>
      </c>
    </row>
    <row r="1076" spans="1:7" x14ac:dyDescent="0.25">
      <c r="A1076" s="75">
        <v>7103903</v>
      </c>
      <c r="B1076" s="73" t="s">
        <v>956</v>
      </c>
      <c r="C1076" s="68">
        <v>99</v>
      </c>
      <c r="D1076" s="73" t="s">
        <v>3266</v>
      </c>
      <c r="E1076" s="77">
        <v>1148.4002881303466</v>
      </c>
      <c r="F1076" s="77">
        <v>162.68404287396211</v>
      </c>
      <c r="G1076" s="76">
        <v>8.9654914284466507</v>
      </c>
    </row>
    <row r="1077" spans="1:7" x14ac:dyDescent="0.25">
      <c r="A1077" s="75">
        <v>7103907</v>
      </c>
      <c r="B1077" s="73" t="s">
        <v>1510</v>
      </c>
      <c r="C1077" s="68">
        <v>2</v>
      </c>
      <c r="D1077" s="73" t="s">
        <v>3302</v>
      </c>
      <c r="E1077" s="77">
        <v>621.40493202331425</v>
      </c>
      <c r="F1077" s="77">
        <v>98.585309646077775</v>
      </c>
      <c r="G1077" s="76">
        <v>5.1485923465334915</v>
      </c>
    </row>
    <row r="1078" spans="1:7" x14ac:dyDescent="0.25">
      <c r="A1078" s="75">
        <v>7103907</v>
      </c>
      <c r="B1078" s="73" t="s">
        <v>1510</v>
      </c>
      <c r="C1078" s="68">
        <v>3</v>
      </c>
      <c r="D1078" s="73" t="s">
        <v>3302</v>
      </c>
      <c r="E1078" s="77">
        <v>621.40493202331425</v>
      </c>
      <c r="F1078" s="77">
        <v>98.585309646077775</v>
      </c>
      <c r="G1078" s="76">
        <v>5.1485923465334915</v>
      </c>
    </row>
    <row r="1079" spans="1:7" x14ac:dyDescent="0.25">
      <c r="A1079" s="75">
        <v>7103907</v>
      </c>
      <c r="B1079" s="73" t="s">
        <v>1510</v>
      </c>
      <c r="C1079" s="68">
        <v>6</v>
      </c>
      <c r="D1079" s="73" t="s">
        <v>3302</v>
      </c>
      <c r="E1079" s="77">
        <v>578.23626535664755</v>
      </c>
      <c r="F1079" s="77">
        <v>98.585309646077775</v>
      </c>
      <c r="G1079" s="76">
        <v>5.1485923465334906</v>
      </c>
    </row>
    <row r="1080" spans="1:7" x14ac:dyDescent="0.25">
      <c r="A1080" s="75">
        <v>7103907</v>
      </c>
      <c r="B1080" s="73" t="s">
        <v>1510</v>
      </c>
      <c r="C1080" s="68">
        <v>99</v>
      </c>
      <c r="D1080" s="73" t="s">
        <v>3302</v>
      </c>
      <c r="E1080" s="77">
        <v>574.99776511632149</v>
      </c>
      <c r="F1080" s="77">
        <v>94.752146075178445</v>
      </c>
      <c r="G1080" s="76">
        <v>4.924078096751864</v>
      </c>
    </row>
    <row r="1081" spans="1:7" x14ac:dyDescent="0.25">
      <c r="A1081" s="75">
        <v>7104101</v>
      </c>
      <c r="B1081" s="73" t="s">
        <v>957</v>
      </c>
      <c r="C1081" s="68">
        <v>1</v>
      </c>
      <c r="D1081" s="73" t="s">
        <v>3291</v>
      </c>
      <c r="E1081" s="77">
        <v>741.38121994430264</v>
      </c>
      <c r="F1081" s="77">
        <v>1266.1381260659434</v>
      </c>
      <c r="G1081" s="76">
        <v>5.8804306679787741</v>
      </c>
    </row>
    <row r="1082" spans="1:7" x14ac:dyDescent="0.25">
      <c r="A1082" s="75">
        <v>7104101</v>
      </c>
      <c r="B1082" s="73" t="s">
        <v>3303</v>
      </c>
      <c r="C1082" s="68">
        <v>2</v>
      </c>
      <c r="D1082" s="73" t="s">
        <v>3304</v>
      </c>
      <c r="E1082" s="77">
        <v>685.79162303313569</v>
      </c>
      <c r="F1082" s="77">
        <v>1218.7155905465952</v>
      </c>
      <c r="G1082" s="76">
        <v>5.6604082636050004</v>
      </c>
    </row>
    <row r="1083" spans="1:7" x14ac:dyDescent="0.25">
      <c r="A1083" s="75">
        <v>7104101</v>
      </c>
      <c r="B1083" s="73" t="s">
        <v>957</v>
      </c>
      <c r="C1083" s="68">
        <v>3</v>
      </c>
      <c r="D1083" s="73" t="s">
        <v>3291</v>
      </c>
      <c r="E1083" s="77">
        <v>713.54621994430272</v>
      </c>
      <c r="F1083" s="77">
        <v>1266.1381260659434</v>
      </c>
      <c r="G1083" s="76">
        <v>5.8804306679787741</v>
      </c>
    </row>
    <row r="1084" spans="1:7" x14ac:dyDescent="0.25">
      <c r="A1084" s="75">
        <v>7104101</v>
      </c>
      <c r="B1084" s="73" t="s">
        <v>957</v>
      </c>
      <c r="C1084" s="68">
        <v>5</v>
      </c>
      <c r="D1084" s="73" t="s">
        <v>3305</v>
      </c>
      <c r="E1084" s="77">
        <v>650.77209507715702</v>
      </c>
      <c r="F1084" s="77">
        <v>1199.0367174348637</v>
      </c>
      <c r="G1084" s="76">
        <v>5.7126279707182412</v>
      </c>
    </row>
    <row r="1085" spans="1:7" x14ac:dyDescent="0.25">
      <c r="A1085" s="75">
        <v>7104101</v>
      </c>
      <c r="B1085" s="73" t="s">
        <v>957</v>
      </c>
      <c r="C1085" s="68">
        <v>6</v>
      </c>
      <c r="D1085" s="73" t="s">
        <v>3304</v>
      </c>
      <c r="E1085" s="77">
        <v>668.01628969980231</v>
      </c>
      <c r="F1085" s="77">
        <v>1218.7155905465952</v>
      </c>
      <c r="G1085" s="76">
        <v>5.6604082636050004</v>
      </c>
    </row>
    <row r="1086" spans="1:7" x14ac:dyDescent="0.25">
      <c r="A1086" s="75">
        <v>7104101</v>
      </c>
      <c r="B1086" s="73" t="s">
        <v>957</v>
      </c>
      <c r="C1086" s="68">
        <v>7</v>
      </c>
      <c r="D1086" s="73" t="s">
        <v>3305</v>
      </c>
      <c r="E1086" s="77">
        <v>647.59792841049034</v>
      </c>
      <c r="F1086" s="77">
        <v>1199.0367174348637</v>
      </c>
      <c r="G1086" s="76">
        <v>5.7126279707182412</v>
      </c>
    </row>
    <row r="1087" spans="1:7" x14ac:dyDescent="0.25">
      <c r="A1087" s="75">
        <v>7104101</v>
      </c>
      <c r="B1087" s="73" t="s">
        <v>957</v>
      </c>
      <c r="C1087" s="68">
        <v>8</v>
      </c>
      <c r="D1087" s="73" t="s">
        <v>3291</v>
      </c>
      <c r="E1087" s="77">
        <v>675.45621994430269</v>
      </c>
      <c r="F1087" s="77">
        <v>1266.1381260659434</v>
      </c>
      <c r="G1087" s="76">
        <v>5.8804306679787741</v>
      </c>
    </row>
    <row r="1088" spans="1:7" x14ac:dyDescent="0.25">
      <c r="A1088" s="75">
        <v>7104101</v>
      </c>
      <c r="B1088" s="73" t="s">
        <v>957</v>
      </c>
      <c r="C1088" s="68">
        <v>9</v>
      </c>
      <c r="D1088" s="73" t="s">
        <v>3304</v>
      </c>
      <c r="E1088" s="77">
        <v>679.44328969980234</v>
      </c>
      <c r="F1088" s="77">
        <v>1218.7155905465952</v>
      </c>
      <c r="G1088" s="76">
        <v>5.6604082636050004</v>
      </c>
    </row>
    <row r="1089" spans="1:7" x14ac:dyDescent="0.25">
      <c r="A1089" s="75">
        <v>7104101</v>
      </c>
      <c r="B1089" s="73" t="s">
        <v>957</v>
      </c>
      <c r="C1089" s="68">
        <v>99</v>
      </c>
      <c r="D1089" s="73" t="s">
        <v>3291</v>
      </c>
      <c r="E1089" s="77">
        <v>741.38121994430264</v>
      </c>
      <c r="F1089" s="77">
        <v>1266.1381260659434</v>
      </c>
      <c r="G1089" s="76">
        <v>5.8804306679787741</v>
      </c>
    </row>
    <row r="1090" spans="1:7" x14ac:dyDescent="0.25">
      <c r="A1090" s="75">
        <v>7104102</v>
      </c>
      <c r="B1090" s="73" t="s">
        <v>3306</v>
      </c>
      <c r="C1090" s="68">
        <v>1</v>
      </c>
      <c r="D1090" s="73" t="s">
        <v>3291</v>
      </c>
      <c r="E1090" s="77">
        <v>741.38121994430264</v>
      </c>
      <c r="F1090" s="77">
        <v>1266.1381260659434</v>
      </c>
      <c r="G1090" s="76">
        <v>5.8804306679787741</v>
      </c>
    </row>
    <row r="1091" spans="1:7" x14ac:dyDescent="0.25">
      <c r="A1091" s="75">
        <v>7104102</v>
      </c>
      <c r="B1091" s="73" t="s">
        <v>3306</v>
      </c>
      <c r="C1091" s="68">
        <v>2</v>
      </c>
      <c r="D1091" s="73" t="s">
        <v>3304</v>
      </c>
      <c r="E1091" s="77">
        <v>685.79162303313569</v>
      </c>
      <c r="F1091" s="77">
        <v>1218.715590546595</v>
      </c>
      <c r="G1091" s="76">
        <v>5.6604082636050004</v>
      </c>
    </row>
    <row r="1092" spans="1:7" x14ac:dyDescent="0.25">
      <c r="A1092" s="75">
        <v>7104102</v>
      </c>
      <c r="B1092" s="73" t="s">
        <v>3306</v>
      </c>
      <c r="C1092" s="68">
        <v>3</v>
      </c>
      <c r="D1092" s="73" t="s">
        <v>3307</v>
      </c>
      <c r="E1092" s="77">
        <v>709.83855469882315</v>
      </c>
      <c r="F1092" s="77">
        <v>1266.1381260659434</v>
      </c>
      <c r="G1092" s="76">
        <v>5.8804306679787741</v>
      </c>
    </row>
    <row r="1093" spans="1:7" x14ac:dyDescent="0.25">
      <c r="A1093" s="75">
        <v>7104102</v>
      </c>
      <c r="B1093" s="73" t="s">
        <v>3306</v>
      </c>
      <c r="C1093" s="68">
        <v>4</v>
      </c>
      <c r="D1093" s="73" t="s">
        <v>3307</v>
      </c>
      <c r="E1093" s="77">
        <v>459.05382904351632</v>
      </c>
      <c r="F1093" s="77">
        <v>865.19438614506146</v>
      </c>
      <c r="G1093" s="76">
        <v>4.0182942897854952</v>
      </c>
    </row>
    <row r="1094" spans="1:7" x14ac:dyDescent="0.25">
      <c r="A1094" s="75">
        <v>7104102</v>
      </c>
      <c r="B1094" s="73" t="s">
        <v>3306</v>
      </c>
      <c r="C1094" s="68">
        <v>6</v>
      </c>
      <c r="D1094" s="73" t="s">
        <v>3304</v>
      </c>
      <c r="E1094" s="77">
        <v>668.01628969980231</v>
      </c>
      <c r="F1094" s="77">
        <v>1218.7155905465952</v>
      </c>
      <c r="G1094" s="76">
        <v>5.6604082636050004</v>
      </c>
    </row>
    <row r="1095" spans="1:7" x14ac:dyDescent="0.25">
      <c r="A1095" s="75">
        <v>7104102</v>
      </c>
      <c r="B1095" s="73" t="s">
        <v>3306</v>
      </c>
      <c r="C1095" s="68">
        <v>7</v>
      </c>
      <c r="D1095" s="73" t="s">
        <v>3305</v>
      </c>
      <c r="E1095" s="77">
        <v>647.59792841049034</v>
      </c>
      <c r="F1095" s="77">
        <v>1199.0367174348637</v>
      </c>
      <c r="G1095" s="76">
        <v>5.7126279707182412</v>
      </c>
    </row>
    <row r="1096" spans="1:7" x14ac:dyDescent="0.25">
      <c r="A1096" s="75">
        <v>7104102</v>
      </c>
      <c r="B1096" s="73" t="s">
        <v>3306</v>
      </c>
      <c r="C1096" s="68">
        <v>8</v>
      </c>
      <c r="D1096" s="73" t="s">
        <v>3291</v>
      </c>
      <c r="E1096" s="77">
        <v>675.45621994430269</v>
      </c>
      <c r="F1096" s="77">
        <v>1266.1381260659434</v>
      </c>
      <c r="G1096" s="76">
        <v>5.8804306679787741</v>
      </c>
    </row>
    <row r="1097" spans="1:7" x14ac:dyDescent="0.25">
      <c r="A1097" s="75">
        <v>7104102</v>
      </c>
      <c r="B1097" s="73" t="s">
        <v>3306</v>
      </c>
      <c r="C1097" s="68">
        <v>9</v>
      </c>
      <c r="D1097" s="73" t="s">
        <v>3304</v>
      </c>
      <c r="E1097" s="77">
        <v>679.44328969980234</v>
      </c>
      <c r="F1097" s="77">
        <v>1218.7155905465952</v>
      </c>
      <c r="G1097" s="76">
        <v>5.6604082636050004</v>
      </c>
    </row>
    <row r="1098" spans="1:7" x14ac:dyDescent="0.25">
      <c r="A1098" s="75">
        <v>7104102</v>
      </c>
      <c r="B1098" s="73" t="s">
        <v>3306</v>
      </c>
      <c r="C1098" s="68">
        <v>99</v>
      </c>
      <c r="D1098" s="73" t="s">
        <v>3307</v>
      </c>
      <c r="E1098" s="77">
        <v>709.83855469882315</v>
      </c>
      <c r="F1098" s="77">
        <v>1266.1381260659434</v>
      </c>
      <c r="G1098" s="76">
        <v>5.8804306679787741</v>
      </c>
    </row>
    <row r="1099" spans="1:7" x14ac:dyDescent="0.25">
      <c r="A1099" s="75">
        <v>7104301</v>
      </c>
      <c r="B1099" s="73" t="s">
        <v>1221</v>
      </c>
      <c r="C1099" s="68">
        <v>1</v>
      </c>
      <c r="D1099" s="73" t="s">
        <v>3308</v>
      </c>
      <c r="E1099" s="77">
        <v>4055.5907841534777</v>
      </c>
      <c r="F1099" s="77">
        <v>2694.3972204463248</v>
      </c>
      <c r="G1099" s="76">
        <v>16.663019268807275</v>
      </c>
    </row>
    <row r="1100" spans="1:7" x14ac:dyDescent="0.25">
      <c r="A1100" s="75">
        <v>7104301</v>
      </c>
      <c r="B1100" s="73" t="s">
        <v>1221</v>
      </c>
      <c r="C1100" s="68">
        <v>2</v>
      </c>
      <c r="D1100" s="73" t="s">
        <v>3309</v>
      </c>
      <c r="E1100" s="77">
        <v>4027.7557841534776</v>
      </c>
      <c r="F1100" s="77">
        <v>2694.3972204463248</v>
      </c>
      <c r="G1100" s="76">
        <v>16.663019268807275</v>
      </c>
    </row>
    <row r="1101" spans="1:7" x14ac:dyDescent="0.25">
      <c r="A1101" s="75">
        <v>7104301</v>
      </c>
      <c r="B1101" s="73" t="s">
        <v>1221</v>
      </c>
      <c r="C1101" s="68">
        <v>3</v>
      </c>
      <c r="D1101" s="73" t="s">
        <v>3308</v>
      </c>
      <c r="E1101" s="77">
        <v>4027.7557841534776</v>
      </c>
      <c r="F1101" s="77">
        <v>2694.3972204463244</v>
      </c>
      <c r="G1101" s="76">
        <v>16.663019268807279</v>
      </c>
    </row>
    <row r="1102" spans="1:7" x14ac:dyDescent="0.25">
      <c r="A1102" s="75">
        <v>7104301</v>
      </c>
      <c r="B1102" s="73" t="s">
        <v>1221</v>
      </c>
      <c r="C1102" s="68">
        <v>4</v>
      </c>
      <c r="D1102" s="73" t="s">
        <v>3309</v>
      </c>
      <c r="E1102" s="77">
        <v>3112.6421904130043</v>
      </c>
      <c r="F1102" s="77">
        <v>2103.9282159260151</v>
      </c>
      <c r="G1102" s="76">
        <v>13.007879330905757</v>
      </c>
    </row>
    <row r="1103" spans="1:7" x14ac:dyDescent="0.25">
      <c r="A1103" s="75">
        <v>7104301</v>
      </c>
      <c r="B1103" s="73" t="s">
        <v>1221</v>
      </c>
      <c r="C1103" s="68">
        <v>5</v>
      </c>
      <c r="D1103" s="73" t="s">
        <v>3310</v>
      </c>
      <c r="E1103" s="77">
        <v>3872.6365662867602</v>
      </c>
      <c r="F1103" s="77">
        <v>2621.6869868491126</v>
      </c>
      <c r="G1103" s="76">
        <v>16.319839711827182</v>
      </c>
    </row>
    <row r="1104" spans="1:7" x14ac:dyDescent="0.25">
      <c r="A1104" s="75">
        <v>7104301</v>
      </c>
      <c r="B1104" s="73" t="s">
        <v>1221</v>
      </c>
      <c r="C1104" s="68">
        <v>6</v>
      </c>
      <c r="D1104" s="73" t="s">
        <v>3309</v>
      </c>
      <c r="E1104" s="77">
        <v>4009.9804508201441</v>
      </c>
      <c r="F1104" s="77">
        <v>2694.3972204463248</v>
      </c>
      <c r="G1104" s="76">
        <v>16.663019268807275</v>
      </c>
    </row>
    <row r="1105" spans="1:7" x14ac:dyDescent="0.25">
      <c r="A1105" s="75">
        <v>7104301</v>
      </c>
      <c r="B1105" s="73" t="s">
        <v>1221</v>
      </c>
      <c r="C1105" s="68">
        <v>7</v>
      </c>
      <c r="D1105" s="73" t="s">
        <v>3310</v>
      </c>
      <c r="E1105" s="77">
        <v>3869.4623996200935</v>
      </c>
      <c r="F1105" s="77">
        <v>2621.6869868491126</v>
      </c>
      <c r="G1105" s="76">
        <v>16.319839711827182</v>
      </c>
    </row>
    <row r="1106" spans="1:7" x14ac:dyDescent="0.25">
      <c r="A1106" s="75">
        <v>7104301</v>
      </c>
      <c r="B1106" s="73" t="s">
        <v>1221</v>
      </c>
      <c r="C1106" s="68">
        <v>8</v>
      </c>
      <c r="D1106" s="73" t="s">
        <v>3308</v>
      </c>
      <c r="E1106" s="77">
        <v>3989.6657841534775</v>
      </c>
      <c r="F1106" s="77">
        <v>2694.3972204463248</v>
      </c>
      <c r="G1106" s="76">
        <v>16.663019268807275</v>
      </c>
    </row>
    <row r="1107" spans="1:7" x14ac:dyDescent="0.25">
      <c r="A1107" s="75">
        <v>7104301</v>
      </c>
      <c r="B1107" s="73" t="s">
        <v>1221</v>
      </c>
      <c r="C1107" s="68">
        <v>9</v>
      </c>
      <c r="D1107" s="73" t="s">
        <v>3309</v>
      </c>
      <c r="E1107" s="77">
        <v>4021.4074508201443</v>
      </c>
      <c r="F1107" s="77">
        <v>2694.3972204463244</v>
      </c>
      <c r="G1107" s="76">
        <v>16.663019268807275</v>
      </c>
    </row>
    <row r="1108" spans="1:7" x14ac:dyDescent="0.25">
      <c r="A1108" s="75">
        <v>7104301</v>
      </c>
      <c r="B1108" s="73" t="s">
        <v>1221</v>
      </c>
      <c r="C1108" s="68">
        <v>99</v>
      </c>
      <c r="D1108" s="73" t="s">
        <v>3309</v>
      </c>
      <c r="E1108" s="77">
        <v>4021.4074508201443</v>
      </c>
      <c r="F1108" s="77">
        <v>2694.3972204463244</v>
      </c>
      <c r="G1108" s="76">
        <v>16.663019268807279</v>
      </c>
    </row>
    <row r="1109" spans="1:7" x14ac:dyDescent="0.25">
      <c r="A1109" s="75">
        <v>7104302</v>
      </c>
      <c r="B1109" s="73" t="s">
        <v>3311</v>
      </c>
      <c r="C1109" s="68">
        <v>2</v>
      </c>
      <c r="D1109" s="73" t="s">
        <v>3309</v>
      </c>
      <c r="E1109" s="77">
        <v>4027.7557841534776</v>
      </c>
      <c r="F1109" s="77">
        <v>2694.3972204463244</v>
      </c>
      <c r="G1109" s="76">
        <v>16.663019268807279</v>
      </c>
    </row>
    <row r="1110" spans="1:7" x14ac:dyDescent="0.25">
      <c r="A1110" s="75">
        <v>7104302</v>
      </c>
      <c r="B1110" s="73" t="s">
        <v>1927</v>
      </c>
      <c r="C1110" s="68">
        <v>3</v>
      </c>
      <c r="D1110" s="73" t="s">
        <v>3308</v>
      </c>
      <c r="E1110" s="77">
        <v>4027.7557841534776</v>
      </c>
      <c r="F1110" s="77">
        <v>2694.3972204463244</v>
      </c>
      <c r="G1110" s="76">
        <v>16.663019268807279</v>
      </c>
    </row>
    <row r="1111" spans="1:7" x14ac:dyDescent="0.25">
      <c r="A1111" s="75">
        <v>7104302</v>
      </c>
      <c r="B1111" s="73" t="s">
        <v>1927</v>
      </c>
      <c r="C1111" s="68">
        <v>6</v>
      </c>
      <c r="D1111" s="73" t="s">
        <v>3308</v>
      </c>
      <c r="E1111" s="77">
        <v>4009.9804508201441</v>
      </c>
      <c r="F1111" s="77">
        <v>2694.3972204463248</v>
      </c>
      <c r="G1111" s="76">
        <v>16.663019268807275</v>
      </c>
    </row>
    <row r="1112" spans="1:7" x14ac:dyDescent="0.25">
      <c r="A1112" s="75">
        <v>7104302</v>
      </c>
      <c r="B1112" s="73" t="s">
        <v>1927</v>
      </c>
      <c r="C1112" s="68">
        <v>7</v>
      </c>
      <c r="D1112" s="73" t="s">
        <v>3310</v>
      </c>
      <c r="E1112" s="77">
        <v>3869.4623996200935</v>
      </c>
      <c r="F1112" s="77">
        <v>2621.6869868491126</v>
      </c>
      <c r="G1112" s="76">
        <v>16.319839711827182</v>
      </c>
    </row>
    <row r="1113" spans="1:7" x14ac:dyDescent="0.25">
      <c r="A1113" s="75">
        <v>7104302</v>
      </c>
      <c r="B1113" s="73" t="s">
        <v>1927</v>
      </c>
      <c r="C1113" s="68">
        <v>9</v>
      </c>
      <c r="D1113" s="73" t="s">
        <v>3309</v>
      </c>
      <c r="E1113" s="77">
        <v>4021.4074508201443</v>
      </c>
      <c r="F1113" s="77">
        <v>2694.3972204463244</v>
      </c>
      <c r="G1113" s="76">
        <v>16.663019268807279</v>
      </c>
    </row>
    <row r="1114" spans="1:7" x14ac:dyDescent="0.25">
      <c r="A1114" s="75">
        <v>7104302</v>
      </c>
      <c r="B1114" s="73" t="s">
        <v>1927</v>
      </c>
      <c r="C1114" s="68">
        <v>99</v>
      </c>
      <c r="D1114" s="73" t="s">
        <v>3309</v>
      </c>
      <c r="E1114" s="77">
        <v>4021.4074508201443</v>
      </c>
      <c r="F1114" s="77">
        <v>2694.3972204463244</v>
      </c>
      <c r="G1114" s="76">
        <v>16.663019268807279</v>
      </c>
    </row>
    <row r="1115" spans="1:7" x14ac:dyDescent="0.25">
      <c r="A1115" s="75">
        <v>7104501</v>
      </c>
      <c r="B1115" s="73" t="s">
        <v>1222</v>
      </c>
      <c r="C1115" s="68">
        <v>1</v>
      </c>
      <c r="D1115" s="73" t="s">
        <v>3268</v>
      </c>
      <c r="E1115" s="77">
        <v>1226.1464201779547</v>
      </c>
      <c r="F1115" s="77">
        <v>159.52819139685778</v>
      </c>
      <c r="G1115" s="76">
        <v>9.3438100274135056</v>
      </c>
    </row>
    <row r="1116" spans="1:7" x14ac:dyDescent="0.25">
      <c r="A1116" s="75">
        <v>7104501</v>
      </c>
      <c r="B1116" s="73" t="s">
        <v>1222</v>
      </c>
      <c r="C1116" s="68">
        <v>7</v>
      </c>
      <c r="D1116" s="73" t="s">
        <v>3266</v>
      </c>
      <c r="E1116" s="77">
        <v>1123.0069547970136</v>
      </c>
      <c r="F1116" s="77">
        <v>162.68404287396211</v>
      </c>
      <c r="G1116" s="76">
        <v>8.9654914284466507</v>
      </c>
    </row>
    <row r="1117" spans="1:7" x14ac:dyDescent="0.25">
      <c r="A1117" s="75">
        <v>7104601</v>
      </c>
      <c r="B1117" s="73" t="s">
        <v>3312</v>
      </c>
      <c r="C1117" s="68">
        <v>2</v>
      </c>
      <c r="D1117" s="73" t="s">
        <v>3274</v>
      </c>
      <c r="E1117" s="77">
        <v>1148.4002881303468</v>
      </c>
      <c r="F1117" s="77">
        <v>162.68404287396211</v>
      </c>
      <c r="G1117" s="76">
        <v>8.9654914284466507</v>
      </c>
    </row>
    <row r="1118" spans="1:7" x14ac:dyDescent="0.25">
      <c r="A1118" s="75">
        <v>7104601</v>
      </c>
      <c r="B1118" s="73" t="s">
        <v>1224</v>
      </c>
      <c r="C1118" s="68">
        <v>3</v>
      </c>
      <c r="D1118" s="73" t="s">
        <v>3273</v>
      </c>
      <c r="E1118" s="77">
        <v>1198.3114201779547</v>
      </c>
      <c r="F1118" s="77">
        <v>159.52819139685778</v>
      </c>
      <c r="G1118" s="76">
        <v>9.3438100274135056</v>
      </c>
    </row>
    <row r="1119" spans="1:7" x14ac:dyDescent="0.25">
      <c r="A1119" s="75">
        <v>7104601</v>
      </c>
      <c r="B1119" s="73" t="s">
        <v>1224</v>
      </c>
      <c r="C1119" s="68">
        <v>7</v>
      </c>
      <c r="D1119" s="73" t="s">
        <v>3275</v>
      </c>
      <c r="E1119" s="77">
        <v>1093.5818918204245</v>
      </c>
      <c r="F1119" s="77">
        <v>180.95562503250017</v>
      </c>
      <c r="G1119" s="76">
        <v>8.8989368327577889</v>
      </c>
    </row>
    <row r="1120" spans="1:7" x14ac:dyDescent="0.25">
      <c r="A1120" s="75">
        <v>7104602</v>
      </c>
      <c r="B1120" s="73" t="s">
        <v>3313</v>
      </c>
      <c r="C1120" s="68">
        <v>7</v>
      </c>
      <c r="D1120" s="73" t="s">
        <v>3275</v>
      </c>
      <c r="E1120" s="77">
        <v>1093.5818918204245</v>
      </c>
      <c r="F1120" s="77">
        <v>180.95562503250017</v>
      </c>
      <c r="G1120" s="76">
        <v>8.8989368327577889</v>
      </c>
    </row>
    <row r="1121" spans="1:7" x14ac:dyDescent="0.25">
      <c r="A1121" s="75">
        <v>7104701</v>
      </c>
      <c r="B1121" s="73" t="s">
        <v>1225</v>
      </c>
      <c r="C1121" s="68">
        <v>1</v>
      </c>
      <c r="D1121" s="73" t="s">
        <v>3280</v>
      </c>
      <c r="E1121" s="77">
        <v>1480.8114028022167</v>
      </c>
      <c r="F1121" s="77">
        <v>194.5465765711748</v>
      </c>
      <c r="G1121" s="76">
        <v>11.394890376726966</v>
      </c>
    </row>
    <row r="1122" spans="1:7" x14ac:dyDescent="0.25">
      <c r="A1122" s="75">
        <v>7104701</v>
      </c>
      <c r="B1122" s="73" t="s">
        <v>3314</v>
      </c>
      <c r="C1122" s="68">
        <v>2</v>
      </c>
      <c r="D1122" s="73" t="s">
        <v>3281</v>
      </c>
      <c r="E1122" s="77">
        <v>1391.4256282373319</v>
      </c>
      <c r="F1122" s="77">
        <v>196.10188807312787</v>
      </c>
      <c r="G1122" s="76">
        <v>10.92282570480495</v>
      </c>
    </row>
    <row r="1123" spans="1:7" x14ac:dyDescent="0.25">
      <c r="A1123" s="75">
        <v>7104701</v>
      </c>
      <c r="B1123" s="73" t="s">
        <v>1225</v>
      </c>
      <c r="C1123" s="68">
        <v>3</v>
      </c>
      <c r="D1123" s="73" t="s">
        <v>3280</v>
      </c>
      <c r="E1123" s="77">
        <v>1452.9764028022166</v>
      </c>
      <c r="F1123" s="77">
        <v>194.5465765711748</v>
      </c>
      <c r="G1123" s="76">
        <v>11.394890376726966</v>
      </c>
    </row>
    <row r="1124" spans="1:7" x14ac:dyDescent="0.25">
      <c r="A1124" s="75">
        <v>7104701</v>
      </c>
      <c r="B1124" s="73" t="s">
        <v>1225</v>
      </c>
      <c r="C1124" s="68">
        <v>4</v>
      </c>
      <c r="D1124" s="73" t="s">
        <v>3280</v>
      </c>
      <c r="E1124" s="77">
        <v>1226.2456824283017</v>
      </c>
      <c r="F1124" s="77">
        <v>168.60703302835151</v>
      </c>
      <c r="G1124" s="76">
        <v>9.8755716598300385</v>
      </c>
    </row>
    <row r="1125" spans="1:7" x14ac:dyDescent="0.25">
      <c r="A1125" s="75">
        <v>7104701</v>
      </c>
      <c r="B1125" s="73" t="s">
        <v>1225</v>
      </c>
      <c r="C1125" s="68">
        <v>7</v>
      </c>
      <c r="D1125" s="73" t="s">
        <v>3281</v>
      </c>
      <c r="E1125" s="77">
        <v>1366.0322949039989</v>
      </c>
      <c r="F1125" s="77">
        <v>196.10188807312787</v>
      </c>
      <c r="G1125" s="76">
        <v>10.92282570480495</v>
      </c>
    </row>
    <row r="1126" spans="1:7" x14ac:dyDescent="0.25">
      <c r="A1126" s="75">
        <v>7104701</v>
      </c>
      <c r="B1126" s="73" t="s">
        <v>1225</v>
      </c>
      <c r="C1126" s="68">
        <v>8</v>
      </c>
      <c r="D1126" s="73" t="s">
        <v>3280</v>
      </c>
      <c r="E1126" s="77">
        <v>1414.8864028022167</v>
      </c>
      <c r="F1126" s="77">
        <v>194.5465765711748</v>
      </c>
      <c r="G1126" s="76">
        <v>11.394890376726966</v>
      </c>
    </row>
    <row r="1127" spans="1:7" x14ac:dyDescent="0.25">
      <c r="A1127" s="75">
        <v>7104701</v>
      </c>
      <c r="B1127" s="73" t="s">
        <v>1225</v>
      </c>
      <c r="C1127" s="68">
        <v>99</v>
      </c>
      <c r="D1127" s="73" t="s">
        <v>3280</v>
      </c>
      <c r="E1127" s="77">
        <v>1452.9764028022166</v>
      </c>
      <c r="F1127" s="77">
        <v>194.5465765711748</v>
      </c>
      <c r="G1127" s="76">
        <v>11.394890376726966</v>
      </c>
    </row>
    <row r="1128" spans="1:7" x14ac:dyDescent="0.25">
      <c r="A1128" s="75">
        <v>7105001</v>
      </c>
      <c r="B1128" s="73" t="s">
        <v>1226</v>
      </c>
      <c r="C1128" s="68">
        <v>99</v>
      </c>
      <c r="D1128" s="73" t="s">
        <v>3315</v>
      </c>
      <c r="E1128" s="77">
        <v>536.55996436347607</v>
      </c>
      <c r="F1128" s="77">
        <v>236.64144252117919</v>
      </c>
      <c r="G1128" s="76">
        <v>13.860451022292123</v>
      </c>
    </row>
    <row r="1129" spans="1:7" x14ac:dyDescent="0.25">
      <c r="A1129" s="75">
        <v>7105103</v>
      </c>
      <c r="B1129" s="73" t="s">
        <v>1511</v>
      </c>
      <c r="C1129" s="68">
        <v>2</v>
      </c>
      <c r="D1129" s="73" t="s">
        <v>3302</v>
      </c>
      <c r="E1129" s="77">
        <v>621.40493202331413</v>
      </c>
      <c r="F1129" s="77">
        <v>98.585309646077789</v>
      </c>
      <c r="G1129" s="76">
        <v>5.1485923465334915</v>
      </c>
    </row>
    <row r="1130" spans="1:7" x14ac:dyDescent="0.25">
      <c r="A1130" s="75">
        <v>7105103</v>
      </c>
      <c r="B1130" s="73" t="s">
        <v>1511</v>
      </c>
      <c r="C1130" s="68">
        <v>3</v>
      </c>
      <c r="D1130" s="73" t="s">
        <v>3302</v>
      </c>
      <c r="E1130" s="77">
        <v>621.40493202331413</v>
      </c>
      <c r="F1130" s="77">
        <v>98.585309646077775</v>
      </c>
      <c r="G1130" s="76">
        <v>5.1485923465334906</v>
      </c>
    </row>
    <row r="1131" spans="1:7" x14ac:dyDescent="0.25">
      <c r="A1131" s="75">
        <v>7105203</v>
      </c>
      <c r="B1131" s="73" t="s">
        <v>3316</v>
      </c>
      <c r="C1131" s="68">
        <v>1</v>
      </c>
      <c r="D1131" s="73" t="s">
        <v>3317</v>
      </c>
      <c r="E1131" s="77">
        <v>481.98279846412788</v>
      </c>
      <c r="F1131" s="77">
        <v>197.51109411039536</v>
      </c>
      <c r="G1131" s="76">
        <v>11.568526700607199</v>
      </c>
    </row>
    <row r="1132" spans="1:7" x14ac:dyDescent="0.25">
      <c r="A1132" s="75">
        <v>7105203</v>
      </c>
      <c r="B1132" s="73" t="s">
        <v>3316</v>
      </c>
      <c r="C1132" s="68">
        <v>2</v>
      </c>
      <c r="D1132" s="73" t="s">
        <v>3317</v>
      </c>
      <c r="E1132" s="77">
        <v>454.14779846412785</v>
      </c>
      <c r="F1132" s="77">
        <v>197.51109411039536</v>
      </c>
      <c r="G1132" s="76">
        <v>11.568526700607199</v>
      </c>
    </row>
    <row r="1133" spans="1:7" x14ac:dyDescent="0.25">
      <c r="A1133" s="75">
        <v>7105203</v>
      </c>
      <c r="B1133" s="73" t="s">
        <v>1227</v>
      </c>
      <c r="C1133" s="68">
        <v>3</v>
      </c>
      <c r="D1133" s="73" t="s">
        <v>3317</v>
      </c>
      <c r="E1133" s="77">
        <v>454.14779846412785</v>
      </c>
      <c r="F1133" s="77">
        <v>197.51109411039536</v>
      </c>
      <c r="G1133" s="76">
        <v>11.568526700607199</v>
      </c>
    </row>
    <row r="1134" spans="1:7" x14ac:dyDescent="0.25">
      <c r="A1134" s="75">
        <v>7105401</v>
      </c>
      <c r="B1134" s="73" t="s">
        <v>1228</v>
      </c>
      <c r="C1134" s="68">
        <v>1</v>
      </c>
      <c r="D1134" s="73" t="s">
        <v>3318</v>
      </c>
      <c r="E1134" s="77">
        <v>2208.4416565130491</v>
      </c>
      <c r="F1134" s="77">
        <v>1162.1264807829823</v>
      </c>
      <c r="G1134" s="76">
        <v>11.630388473523711</v>
      </c>
    </row>
    <row r="1135" spans="1:7" x14ac:dyDescent="0.25">
      <c r="A1135" s="75">
        <v>7105401</v>
      </c>
      <c r="B1135" s="73" t="s">
        <v>1228</v>
      </c>
      <c r="C1135" s="68">
        <v>3</v>
      </c>
      <c r="D1135" s="73" t="s">
        <v>3319</v>
      </c>
      <c r="E1135" s="77">
        <v>2090.3837251782529</v>
      </c>
      <c r="F1135" s="77">
        <v>1128.5439604700632</v>
      </c>
      <c r="G1135" s="76">
        <v>11.271713378557441</v>
      </c>
    </row>
    <row r="1136" spans="1:7" x14ac:dyDescent="0.25">
      <c r="A1136" s="75">
        <v>7105401</v>
      </c>
      <c r="B1136" s="73" t="s">
        <v>1228</v>
      </c>
      <c r="C1136" s="68">
        <v>7</v>
      </c>
      <c r="D1136" s="73" t="s">
        <v>3319</v>
      </c>
      <c r="E1136" s="77">
        <v>2064.9903918449195</v>
      </c>
      <c r="F1136" s="77">
        <v>1128.5439604700632</v>
      </c>
      <c r="G1136" s="76">
        <v>11.271713378557441</v>
      </c>
    </row>
    <row r="1137" spans="1:7" x14ac:dyDescent="0.25">
      <c r="A1137" s="75">
        <v>7105401</v>
      </c>
      <c r="B1137" s="73" t="s">
        <v>1228</v>
      </c>
      <c r="C1137" s="68">
        <v>8</v>
      </c>
      <c r="D1137" s="73" t="s">
        <v>3318</v>
      </c>
      <c r="E1137" s="77">
        <v>2142.5166565130489</v>
      </c>
      <c r="F1137" s="77">
        <v>1162.1264807829823</v>
      </c>
      <c r="G1137" s="76">
        <v>11.630388473523711</v>
      </c>
    </row>
    <row r="1138" spans="1:7" x14ac:dyDescent="0.25">
      <c r="A1138" s="75">
        <v>7105402</v>
      </c>
      <c r="B1138" s="73" t="s">
        <v>1229</v>
      </c>
      <c r="C1138" s="68">
        <v>1</v>
      </c>
      <c r="D1138" s="73" t="s">
        <v>3318</v>
      </c>
      <c r="E1138" s="77">
        <v>2208.4416565130491</v>
      </c>
      <c r="F1138" s="77">
        <v>1162.1264807829823</v>
      </c>
      <c r="G1138" s="76">
        <v>11.630388473523711</v>
      </c>
    </row>
    <row r="1139" spans="1:7" x14ac:dyDescent="0.25">
      <c r="A1139" s="75">
        <v>7105402</v>
      </c>
      <c r="B1139" s="73" t="s">
        <v>1229</v>
      </c>
      <c r="C1139" s="68">
        <v>2</v>
      </c>
      <c r="D1139" s="73" t="s">
        <v>3319</v>
      </c>
      <c r="E1139" s="77">
        <v>2090.3837251782529</v>
      </c>
      <c r="F1139" s="77">
        <v>1128.5439604700632</v>
      </c>
      <c r="G1139" s="76">
        <v>11.271713378557441</v>
      </c>
    </row>
    <row r="1140" spans="1:7" x14ac:dyDescent="0.25">
      <c r="A1140" s="75">
        <v>7105402</v>
      </c>
      <c r="B1140" s="73" t="s">
        <v>1229</v>
      </c>
      <c r="C1140" s="68">
        <v>3</v>
      </c>
      <c r="D1140" s="73" t="s">
        <v>3319</v>
      </c>
      <c r="E1140" s="77">
        <v>2090.3837251782529</v>
      </c>
      <c r="F1140" s="77">
        <v>1128.5439604700632</v>
      </c>
      <c r="G1140" s="76">
        <v>11.271713378557441</v>
      </c>
    </row>
    <row r="1141" spans="1:7" x14ac:dyDescent="0.25">
      <c r="A1141" s="75">
        <v>7105402</v>
      </c>
      <c r="B1141" s="73" t="s">
        <v>1229</v>
      </c>
      <c r="C1141" s="68">
        <v>6</v>
      </c>
      <c r="D1141" s="73" t="s">
        <v>3319</v>
      </c>
      <c r="E1141" s="77">
        <v>2072.6083918449194</v>
      </c>
      <c r="F1141" s="77">
        <v>1128.5439604700632</v>
      </c>
      <c r="G1141" s="76">
        <v>11.271713378557441</v>
      </c>
    </row>
    <row r="1142" spans="1:7" x14ac:dyDescent="0.25">
      <c r="A1142" s="75">
        <v>7105402</v>
      </c>
      <c r="B1142" s="73" t="s">
        <v>1229</v>
      </c>
      <c r="C1142" s="68">
        <v>7</v>
      </c>
      <c r="D1142" s="73" t="s">
        <v>3318</v>
      </c>
      <c r="E1142" s="77">
        <v>2152.039156513049</v>
      </c>
      <c r="F1142" s="77">
        <v>1162.1264807829823</v>
      </c>
      <c r="G1142" s="76">
        <v>11.630388473523711</v>
      </c>
    </row>
    <row r="1143" spans="1:7" x14ac:dyDescent="0.25">
      <c r="A1143" s="75">
        <v>7105402</v>
      </c>
      <c r="B1143" s="73" t="s">
        <v>1229</v>
      </c>
      <c r="C1143" s="68">
        <v>8</v>
      </c>
      <c r="D1143" s="73" t="s">
        <v>3318</v>
      </c>
      <c r="E1143" s="77">
        <v>2142.5166565130489</v>
      </c>
      <c r="F1143" s="77">
        <v>1162.1264807829823</v>
      </c>
      <c r="G1143" s="76">
        <v>11.630388473523711</v>
      </c>
    </row>
    <row r="1144" spans="1:7" x14ac:dyDescent="0.25">
      <c r="A1144" s="75">
        <v>7105402</v>
      </c>
      <c r="B1144" s="73" t="s">
        <v>1229</v>
      </c>
      <c r="C1144" s="68">
        <v>99</v>
      </c>
      <c r="D1144" s="73" t="s">
        <v>3320</v>
      </c>
      <c r="E1144" s="77">
        <v>2180.6066565130491</v>
      </c>
      <c r="F1144" s="77">
        <v>1162.1264807829823</v>
      </c>
      <c r="G1144" s="76">
        <v>11.630388473523711</v>
      </c>
    </row>
    <row r="1145" spans="1:7" x14ac:dyDescent="0.25">
      <c r="A1145" s="75">
        <v>7105403</v>
      </c>
      <c r="B1145" s="73" t="s">
        <v>963</v>
      </c>
      <c r="C1145" s="68">
        <v>1</v>
      </c>
      <c r="D1145" s="73" t="s">
        <v>3318</v>
      </c>
      <c r="E1145" s="77">
        <v>2208.4416565130491</v>
      </c>
      <c r="F1145" s="77">
        <v>1162.1264807829823</v>
      </c>
      <c r="G1145" s="76">
        <v>11.630388473523711</v>
      </c>
    </row>
    <row r="1146" spans="1:7" x14ac:dyDescent="0.25">
      <c r="A1146" s="75">
        <v>7105403</v>
      </c>
      <c r="B1146" s="73" t="s">
        <v>963</v>
      </c>
      <c r="C1146" s="68">
        <v>2</v>
      </c>
      <c r="D1146" s="73" t="s">
        <v>3319</v>
      </c>
      <c r="E1146" s="77">
        <v>2090.3837251782529</v>
      </c>
      <c r="F1146" s="77">
        <v>1128.5439604700632</v>
      </c>
      <c r="G1146" s="76">
        <v>11.271713378557441</v>
      </c>
    </row>
    <row r="1147" spans="1:7" x14ac:dyDescent="0.25">
      <c r="A1147" s="75">
        <v>7105403</v>
      </c>
      <c r="B1147" s="73" t="s">
        <v>963</v>
      </c>
      <c r="C1147" s="68">
        <v>3</v>
      </c>
      <c r="D1147" s="73" t="s">
        <v>3319</v>
      </c>
      <c r="E1147" s="77">
        <v>2090.3837251782529</v>
      </c>
      <c r="F1147" s="77">
        <v>1128.5439604700632</v>
      </c>
      <c r="G1147" s="76">
        <v>11.271713378557441</v>
      </c>
    </row>
    <row r="1148" spans="1:7" x14ac:dyDescent="0.25">
      <c r="A1148" s="75">
        <v>7105403</v>
      </c>
      <c r="B1148" s="73" t="s">
        <v>963</v>
      </c>
      <c r="C1148" s="68">
        <v>7</v>
      </c>
      <c r="D1148" s="73" t="s">
        <v>3318</v>
      </c>
      <c r="E1148" s="77">
        <v>2152.039156513049</v>
      </c>
      <c r="F1148" s="77">
        <v>1162.1264807829823</v>
      </c>
      <c r="G1148" s="76">
        <v>11.630388473523711</v>
      </c>
    </row>
    <row r="1149" spans="1:7" x14ac:dyDescent="0.25">
      <c r="A1149" s="75">
        <v>7105403</v>
      </c>
      <c r="B1149" s="73" t="s">
        <v>963</v>
      </c>
      <c r="C1149" s="68">
        <v>8</v>
      </c>
      <c r="D1149" s="73" t="s">
        <v>3318</v>
      </c>
      <c r="E1149" s="77">
        <v>2142.5166565130489</v>
      </c>
      <c r="F1149" s="77">
        <v>1162.1264807829823</v>
      </c>
      <c r="G1149" s="76">
        <v>11.630388473523711</v>
      </c>
    </row>
    <row r="1150" spans="1:7" x14ac:dyDescent="0.25">
      <c r="A1150" s="75">
        <v>7105403</v>
      </c>
      <c r="B1150" s="73" t="s">
        <v>963</v>
      </c>
      <c r="C1150" s="68">
        <v>99</v>
      </c>
      <c r="D1150" s="73" t="s">
        <v>3320</v>
      </c>
      <c r="E1150" s="77">
        <v>2180.6066565130491</v>
      </c>
      <c r="F1150" s="77">
        <v>1162.1264807829823</v>
      </c>
      <c r="G1150" s="76">
        <v>11.630388473523711</v>
      </c>
    </row>
    <row r="1151" spans="1:7" x14ac:dyDescent="0.25">
      <c r="A1151" s="75">
        <v>7105405</v>
      </c>
      <c r="B1151" s="73" t="s">
        <v>1230</v>
      </c>
      <c r="C1151" s="68">
        <v>1</v>
      </c>
      <c r="D1151" s="73" t="s">
        <v>3318</v>
      </c>
      <c r="E1151" s="77">
        <v>2208.4416565130491</v>
      </c>
      <c r="F1151" s="77">
        <v>1162.1264807829823</v>
      </c>
      <c r="G1151" s="76">
        <v>11.630388473523711</v>
      </c>
    </row>
    <row r="1152" spans="1:7" x14ac:dyDescent="0.25">
      <c r="A1152" s="75">
        <v>7105405</v>
      </c>
      <c r="B1152" s="73" t="s">
        <v>1230</v>
      </c>
      <c r="C1152" s="68">
        <v>2</v>
      </c>
      <c r="D1152" s="73" t="s">
        <v>3319</v>
      </c>
      <c r="E1152" s="77">
        <v>2090.3837251782529</v>
      </c>
      <c r="F1152" s="77">
        <v>1128.5439604700632</v>
      </c>
      <c r="G1152" s="76">
        <v>11.271713378557441</v>
      </c>
    </row>
    <row r="1153" spans="1:7" x14ac:dyDescent="0.25">
      <c r="A1153" s="75">
        <v>7105405</v>
      </c>
      <c r="B1153" s="73" t="s">
        <v>1230</v>
      </c>
      <c r="C1153" s="68">
        <v>3</v>
      </c>
      <c r="D1153" s="73" t="s">
        <v>3319</v>
      </c>
      <c r="E1153" s="77">
        <v>2090.3837251782529</v>
      </c>
      <c r="F1153" s="77">
        <v>1128.5439604700632</v>
      </c>
      <c r="G1153" s="76">
        <v>11.271713378557441</v>
      </c>
    </row>
    <row r="1154" spans="1:7" x14ac:dyDescent="0.25">
      <c r="A1154" s="75">
        <v>7105601</v>
      </c>
      <c r="B1154" s="73" t="s">
        <v>1231</v>
      </c>
      <c r="C1154" s="68">
        <v>1</v>
      </c>
      <c r="D1154" s="73" t="s">
        <v>3321</v>
      </c>
      <c r="E1154" s="77">
        <v>2208.4416565130491</v>
      </c>
      <c r="F1154" s="77">
        <v>1162.1264807829823</v>
      </c>
      <c r="G1154" s="76">
        <v>11.630388473523711</v>
      </c>
    </row>
    <row r="1155" spans="1:7" x14ac:dyDescent="0.25">
      <c r="A1155" s="75">
        <v>7105601</v>
      </c>
      <c r="B1155" s="73" t="s">
        <v>1231</v>
      </c>
      <c r="C1155" s="68">
        <v>2</v>
      </c>
      <c r="D1155" s="73" t="s">
        <v>3322</v>
      </c>
      <c r="E1155" s="77">
        <v>2090.3837251782529</v>
      </c>
      <c r="F1155" s="77">
        <v>1128.5439604700632</v>
      </c>
      <c r="G1155" s="76">
        <v>11.271713378557441</v>
      </c>
    </row>
    <row r="1156" spans="1:7" x14ac:dyDescent="0.25">
      <c r="A1156" s="75">
        <v>7105601</v>
      </c>
      <c r="B1156" s="73" t="s">
        <v>1231</v>
      </c>
      <c r="C1156" s="68">
        <v>3</v>
      </c>
      <c r="D1156" s="73" t="s">
        <v>3322</v>
      </c>
      <c r="E1156" s="77">
        <v>2090.3837251782529</v>
      </c>
      <c r="F1156" s="77">
        <v>1128.5439604700632</v>
      </c>
      <c r="G1156" s="76">
        <v>11.271713378557441</v>
      </c>
    </row>
    <row r="1157" spans="1:7" x14ac:dyDescent="0.25">
      <c r="A1157" s="75">
        <v>7105601</v>
      </c>
      <c r="B1157" s="73" t="s">
        <v>1231</v>
      </c>
      <c r="C1157" s="68">
        <v>6</v>
      </c>
      <c r="D1157" s="73" t="s">
        <v>3322</v>
      </c>
      <c r="E1157" s="77">
        <v>2072.6083918449194</v>
      </c>
      <c r="F1157" s="77">
        <v>1128.5439604700632</v>
      </c>
      <c r="G1157" s="76">
        <v>11.271713378557441</v>
      </c>
    </row>
    <row r="1158" spans="1:7" x14ac:dyDescent="0.25">
      <c r="A1158" s="75">
        <v>7105601</v>
      </c>
      <c r="B1158" s="73" t="s">
        <v>1231</v>
      </c>
      <c r="C1158" s="68">
        <v>7</v>
      </c>
      <c r="D1158" s="73" t="s">
        <v>3322</v>
      </c>
      <c r="E1158" s="77">
        <v>2064.9903918449195</v>
      </c>
      <c r="F1158" s="77">
        <v>1128.5439604700632</v>
      </c>
      <c r="G1158" s="76">
        <v>11.271713378557441</v>
      </c>
    </row>
    <row r="1159" spans="1:7" x14ac:dyDescent="0.25">
      <c r="A1159" s="75">
        <v>7105601</v>
      </c>
      <c r="B1159" s="73" t="s">
        <v>1231</v>
      </c>
      <c r="C1159" s="68">
        <v>8</v>
      </c>
      <c r="D1159" s="73" t="s">
        <v>3321</v>
      </c>
      <c r="E1159" s="77">
        <v>2142.5166565130489</v>
      </c>
      <c r="F1159" s="77">
        <v>1162.1264807829823</v>
      </c>
      <c r="G1159" s="76">
        <v>11.630388473523711</v>
      </c>
    </row>
    <row r="1160" spans="1:7" x14ac:dyDescent="0.25">
      <c r="A1160" s="75">
        <v>7105601</v>
      </c>
      <c r="B1160" s="73" t="s">
        <v>1231</v>
      </c>
      <c r="C1160" s="68">
        <v>99</v>
      </c>
      <c r="D1160" s="73" t="s">
        <v>3322</v>
      </c>
      <c r="E1160" s="77">
        <v>2090.3837251782529</v>
      </c>
      <c r="F1160" s="77">
        <v>1128.5439604700632</v>
      </c>
      <c r="G1160" s="76">
        <v>11.271713378557441</v>
      </c>
    </row>
    <row r="1161" spans="1:7" x14ac:dyDescent="0.25">
      <c r="A1161" s="75">
        <v>7105602</v>
      </c>
      <c r="B1161" s="73" t="s">
        <v>965</v>
      </c>
      <c r="C1161" s="68">
        <v>1</v>
      </c>
      <c r="D1161" s="73" t="s">
        <v>3321</v>
      </c>
      <c r="E1161" s="77">
        <v>2208.4416565130491</v>
      </c>
      <c r="F1161" s="77">
        <v>1162.1264807829823</v>
      </c>
      <c r="G1161" s="76">
        <v>11.630388473523711</v>
      </c>
    </row>
    <row r="1162" spans="1:7" x14ac:dyDescent="0.25">
      <c r="A1162" s="75">
        <v>7105602</v>
      </c>
      <c r="B1162" s="73" t="s">
        <v>965</v>
      </c>
      <c r="C1162" s="68">
        <v>2</v>
      </c>
      <c r="D1162" s="73" t="s">
        <v>3322</v>
      </c>
      <c r="E1162" s="77">
        <v>2090.3837251782529</v>
      </c>
      <c r="F1162" s="77">
        <v>1128.5439604700632</v>
      </c>
      <c r="G1162" s="76">
        <v>11.271713378557441</v>
      </c>
    </row>
    <row r="1163" spans="1:7" x14ac:dyDescent="0.25">
      <c r="A1163" s="75">
        <v>7105602</v>
      </c>
      <c r="B1163" s="73" t="s">
        <v>965</v>
      </c>
      <c r="C1163" s="68">
        <v>3</v>
      </c>
      <c r="D1163" s="73" t="s">
        <v>3322</v>
      </c>
      <c r="E1163" s="77">
        <v>2090.3837251782529</v>
      </c>
      <c r="F1163" s="77">
        <v>1128.5439604700632</v>
      </c>
      <c r="G1163" s="76">
        <v>11.271713378557441</v>
      </c>
    </row>
    <row r="1164" spans="1:7" x14ac:dyDescent="0.25">
      <c r="A1164" s="75">
        <v>7105602</v>
      </c>
      <c r="B1164" s="73" t="s">
        <v>965</v>
      </c>
      <c r="C1164" s="68">
        <v>7</v>
      </c>
      <c r="D1164" s="73" t="s">
        <v>3322</v>
      </c>
      <c r="E1164" s="77">
        <v>2064.9903918449195</v>
      </c>
      <c r="F1164" s="77">
        <v>1128.5439604700632</v>
      </c>
      <c r="G1164" s="76">
        <v>11.271713378557441</v>
      </c>
    </row>
    <row r="1165" spans="1:7" x14ac:dyDescent="0.25">
      <c r="A1165" s="75">
        <v>7105602</v>
      </c>
      <c r="B1165" s="73" t="s">
        <v>965</v>
      </c>
      <c r="C1165" s="68">
        <v>99</v>
      </c>
      <c r="D1165" s="73" t="s">
        <v>3322</v>
      </c>
      <c r="E1165" s="77">
        <v>2090.3837251782529</v>
      </c>
      <c r="F1165" s="77">
        <v>1128.5439604700632</v>
      </c>
      <c r="G1165" s="76">
        <v>11.271713378557441</v>
      </c>
    </row>
    <row r="1166" spans="1:7" x14ac:dyDescent="0.25">
      <c r="A1166" s="75">
        <v>7105801</v>
      </c>
      <c r="B1166" s="73" t="s">
        <v>1232</v>
      </c>
      <c r="C1166" s="68">
        <v>6</v>
      </c>
      <c r="D1166" s="73" t="s">
        <v>3317</v>
      </c>
      <c r="E1166" s="77">
        <v>435.10279846412789</v>
      </c>
      <c r="F1166" s="77">
        <v>197.51109411039536</v>
      </c>
      <c r="G1166" s="76">
        <v>11.568526700607199</v>
      </c>
    </row>
    <row r="1167" spans="1:7" x14ac:dyDescent="0.25">
      <c r="A1167" s="75">
        <v>7106301</v>
      </c>
      <c r="B1167" s="73" t="s">
        <v>1233</v>
      </c>
      <c r="C1167" s="68">
        <v>1</v>
      </c>
      <c r="D1167" s="73" t="s">
        <v>3291</v>
      </c>
      <c r="E1167" s="77">
        <v>741.38121994430264</v>
      </c>
      <c r="F1167" s="77">
        <v>1266.1381260659434</v>
      </c>
      <c r="G1167" s="76">
        <v>5.8804306679787741</v>
      </c>
    </row>
    <row r="1168" spans="1:7" x14ac:dyDescent="0.25">
      <c r="A1168" s="75">
        <v>7106301</v>
      </c>
      <c r="B1168" s="73" t="s">
        <v>3323</v>
      </c>
      <c r="C1168" s="68">
        <v>2</v>
      </c>
      <c r="D1168" s="73" t="s">
        <v>3304</v>
      </c>
      <c r="E1168" s="77">
        <v>685.79162303313569</v>
      </c>
      <c r="F1168" s="77">
        <v>1218.7155905465952</v>
      </c>
      <c r="G1168" s="76">
        <v>5.6604082636050004</v>
      </c>
    </row>
    <row r="1169" spans="1:7" x14ac:dyDescent="0.25">
      <c r="A1169" s="75">
        <v>7106301</v>
      </c>
      <c r="B1169" s="73" t="s">
        <v>1233</v>
      </c>
      <c r="C1169" s="68">
        <v>3</v>
      </c>
      <c r="D1169" s="73" t="s">
        <v>3291</v>
      </c>
      <c r="E1169" s="77">
        <v>713.54621994430272</v>
      </c>
      <c r="F1169" s="77">
        <v>1266.1381260659434</v>
      </c>
      <c r="G1169" s="76">
        <v>5.8804306679787741</v>
      </c>
    </row>
    <row r="1170" spans="1:7" x14ac:dyDescent="0.25">
      <c r="A1170" s="75">
        <v>7106301</v>
      </c>
      <c r="B1170" s="73" t="s">
        <v>1233</v>
      </c>
      <c r="C1170" s="68">
        <v>4</v>
      </c>
      <c r="D1170" s="73" t="s">
        <v>3291</v>
      </c>
      <c r="E1170" s="77">
        <v>461.58740029459398</v>
      </c>
      <c r="F1170" s="77">
        <v>865.19438614506146</v>
      </c>
      <c r="G1170" s="76">
        <v>4.0182942897854952</v>
      </c>
    </row>
    <row r="1171" spans="1:7" x14ac:dyDescent="0.25">
      <c r="A1171" s="75">
        <v>7106301</v>
      </c>
      <c r="B1171" s="73" t="s">
        <v>1233</v>
      </c>
      <c r="C1171" s="68">
        <v>7</v>
      </c>
      <c r="D1171" s="73" t="s">
        <v>3305</v>
      </c>
      <c r="E1171" s="77">
        <v>647.59792841049034</v>
      </c>
      <c r="F1171" s="77">
        <v>1199.0367174348637</v>
      </c>
      <c r="G1171" s="76">
        <v>5.7126279707182412</v>
      </c>
    </row>
    <row r="1172" spans="1:7" x14ac:dyDescent="0.25">
      <c r="A1172" s="75">
        <v>7106301</v>
      </c>
      <c r="B1172" s="73" t="s">
        <v>1233</v>
      </c>
      <c r="C1172" s="68">
        <v>8</v>
      </c>
      <c r="D1172" s="73" t="s">
        <v>3291</v>
      </c>
      <c r="E1172" s="77">
        <v>675.45621994430269</v>
      </c>
      <c r="F1172" s="77">
        <v>1266.1381260659434</v>
      </c>
      <c r="G1172" s="76">
        <v>5.8804306679787741</v>
      </c>
    </row>
    <row r="1173" spans="1:7" x14ac:dyDescent="0.25">
      <c r="A1173" s="75">
        <v>7106301</v>
      </c>
      <c r="B1173" s="73" t="s">
        <v>1233</v>
      </c>
      <c r="C1173" s="68">
        <v>9</v>
      </c>
      <c r="D1173" s="73" t="s">
        <v>3304</v>
      </c>
      <c r="E1173" s="77">
        <v>679.44328969980234</v>
      </c>
      <c r="F1173" s="77">
        <v>1218.7155905465952</v>
      </c>
      <c r="G1173" s="76">
        <v>5.6604082636050004</v>
      </c>
    </row>
    <row r="1174" spans="1:7" x14ac:dyDescent="0.25">
      <c r="A1174" s="75">
        <v>7107204</v>
      </c>
      <c r="B1174" s="73" t="s">
        <v>1513</v>
      </c>
      <c r="C1174" s="68">
        <v>2</v>
      </c>
      <c r="D1174" s="73" t="s">
        <v>3266</v>
      </c>
      <c r="E1174" s="77">
        <v>1148.4002881303468</v>
      </c>
      <c r="F1174" s="77">
        <v>162.68404287396211</v>
      </c>
      <c r="G1174" s="76">
        <v>8.9654914284466507</v>
      </c>
    </row>
    <row r="1175" spans="1:7" x14ac:dyDescent="0.25">
      <c r="A1175" s="75">
        <v>7107204</v>
      </c>
      <c r="B1175" s="73" t="s">
        <v>1513</v>
      </c>
      <c r="C1175" s="68">
        <v>3</v>
      </c>
      <c r="D1175" s="73" t="s">
        <v>3268</v>
      </c>
      <c r="E1175" s="77">
        <v>1198.3114201779547</v>
      </c>
      <c r="F1175" s="77">
        <v>159.52819139685778</v>
      </c>
      <c r="G1175" s="76">
        <v>9.3438100274135056</v>
      </c>
    </row>
    <row r="1176" spans="1:7" x14ac:dyDescent="0.25">
      <c r="A1176" s="75">
        <v>7107206</v>
      </c>
      <c r="B1176" s="73" t="s">
        <v>3324</v>
      </c>
      <c r="C1176" s="68">
        <v>2</v>
      </c>
      <c r="D1176" s="73" t="s">
        <v>3266</v>
      </c>
      <c r="E1176" s="77">
        <v>1148.4002881303468</v>
      </c>
      <c r="F1176" s="77">
        <v>162.68404287396211</v>
      </c>
      <c r="G1176" s="76">
        <v>8.9654914284466507</v>
      </c>
    </row>
    <row r="1177" spans="1:7" x14ac:dyDescent="0.25">
      <c r="A1177" s="75">
        <v>7107206</v>
      </c>
      <c r="B1177" s="73" t="s">
        <v>3324</v>
      </c>
      <c r="C1177" s="68">
        <v>3</v>
      </c>
      <c r="D1177" s="73" t="s">
        <v>3268</v>
      </c>
      <c r="E1177" s="77">
        <v>1198.3114201779547</v>
      </c>
      <c r="F1177" s="77">
        <v>159.52819139685778</v>
      </c>
      <c r="G1177" s="76">
        <v>9.3438100274135056</v>
      </c>
    </row>
    <row r="1178" spans="1:7" x14ac:dyDescent="0.25">
      <c r="A1178" s="75">
        <v>7107206</v>
      </c>
      <c r="B1178" s="73" t="s">
        <v>3324</v>
      </c>
      <c r="C1178" s="68">
        <v>6</v>
      </c>
      <c r="D1178" s="73" t="s">
        <v>3266</v>
      </c>
      <c r="E1178" s="77">
        <v>1130.6249547970133</v>
      </c>
      <c r="F1178" s="77">
        <v>162.68404287396211</v>
      </c>
      <c r="G1178" s="76">
        <v>8.9654914284466507</v>
      </c>
    </row>
    <row r="1179" spans="1:7" x14ac:dyDescent="0.25">
      <c r="A1179" s="75">
        <v>7107206</v>
      </c>
      <c r="B1179" s="73" t="s">
        <v>3324</v>
      </c>
      <c r="C1179" s="68">
        <v>9</v>
      </c>
      <c r="D1179" s="73" t="s">
        <v>3266</v>
      </c>
      <c r="E1179" s="77">
        <v>1142.0519547970134</v>
      </c>
      <c r="F1179" s="77">
        <v>162.68404287396211</v>
      </c>
      <c r="G1179" s="76">
        <v>8.9654914284466507</v>
      </c>
    </row>
    <row r="1180" spans="1:7" x14ac:dyDescent="0.25">
      <c r="A1180" s="75">
        <v>7107206</v>
      </c>
      <c r="B1180" s="73" t="s">
        <v>3324</v>
      </c>
      <c r="C1180" s="68">
        <v>99</v>
      </c>
      <c r="D1180" s="73" t="s">
        <v>3266</v>
      </c>
      <c r="E1180" s="77">
        <v>1130.6249547970135</v>
      </c>
      <c r="F1180" s="77">
        <v>162.68404287396211</v>
      </c>
      <c r="G1180" s="76">
        <v>8.9654914284466507</v>
      </c>
    </row>
    <row r="1181" spans="1:7" x14ac:dyDescent="0.25">
      <c r="A1181" s="75">
        <v>7107501</v>
      </c>
      <c r="B1181" s="73" t="s">
        <v>1234</v>
      </c>
      <c r="C1181" s="68">
        <v>1</v>
      </c>
      <c r="D1181" s="73" t="s">
        <v>3292</v>
      </c>
      <c r="E1181" s="77">
        <v>741.38121994430264</v>
      </c>
      <c r="F1181" s="77">
        <v>1266.1381260659434</v>
      </c>
      <c r="G1181" s="76">
        <v>5.8804306679787741</v>
      </c>
    </row>
    <row r="1182" spans="1:7" x14ac:dyDescent="0.25">
      <c r="A1182" s="75">
        <v>7107501</v>
      </c>
      <c r="B1182" s="73" t="s">
        <v>1234</v>
      </c>
      <c r="C1182" s="68">
        <v>2</v>
      </c>
      <c r="D1182" s="73" t="s">
        <v>3294</v>
      </c>
      <c r="E1182" s="77">
        <v>685.79162303313569</v>
      </c>
      <c r="F1182" s="77">
        <v>1218.7155905465952</v>
      </c>
      <c r="G1182" s="76">
        <v>5.6604082636050004</v>
      </c>
    </row>
    <row r="1183" spans="1:7" x14ac:dyDescent="0.25">
      <c r="A1183" s="75">
        <v>7107501</v>
      </c>
      <c r="B1183" s="73" t="s">
        <v>1234</v>
      </c>
      <c r="C1183" s="68">
        <v>3</v>
      </c>
      <c r="D1183" s="73" t="s">
        <v>3292</v>
      </c>
      <c r="E1183" s="77">
        <v>713.54621994430272</v>
      </c>
      <c r="F1183" s="77">
        <v>1266.1381260659434</v>
      </c>
      <c r="G1183" s="76">
        <v>5.8804306679787741</v>
      </c>
    </row>
    <row r="1184" spans="1:7" x14ac:dyDescent="0.25">
      <c r="A1184" s="75">
        <v>7107501</v>
      </c>
      <c r="B1184" s="73" t="s">
        <v>1234</v>
      </c>
      <c r="C1184" s="68">
        <v>7</v>
      </c>
      <c r="D1184" s="73" t="s">
        <v>3295</v>
      </c>
      <c r="E1184" s="77">
        <v>647.59792841049034</v>
      </c>
      <c r="F1184" s="77">
        <v>1199.0367174348637</v>
      </c>
      <c r="G1184" s="76">
        <v>5.7126279707182412</v>
      </c>
    </row>
    <row r="1185" spans="1:7" x14ac:dyDescent="0.25">
      <c r="A1185" s="75">
        <v>7107501</v>
      </c>
      <c r="B1185" s="73" t="s">
        <v>1234</v>
      </c>
      <c r="C1185" s="68">
        <v>9</v>
      </c>
      <c r="D1185" s="73" t="s">
        <v>3294</v>
      </c>
      <c r="E1185" s="77">
        <v>679.44328969980234</v>
      </c>
      <c r="F1185" s="77">
        <v>1218.7155905465952</v>
      </c>
      <c r="G1185" s="76">
        <v>5.6604082636050004</v>
      </c>
    </row>
    <row r="1186" spans="1:7" x14ac:dyDescent="0.25">
      <c r="A1186" s="75">
        <v>7107601</v>
      </c>
      <c r="B1186" s="73" t="s">
        <v>1235</v>
      </c>
      <c r="C1186" s="68">
        <v>1</v>
      </c>
      <c r="D1186" s="73" t="s">
        <v>3242</v>
      </c>
      <c r="E1186" s="77">
        <v>4652.3562918856005</v>
      </c>
      <c r="F1186" s="77">
        <v>3012.3543369618828</v>
      </c>
      <c r="G1186" s="76">
        <v>18.411003169811053</v>
      </c>
    </row>
    <row r="1187" spans="1:7" x14ac:dyDescent="0.25">
      <c r="A1187" s="75">
        <v>7107601</v>
      </c>
      <c r="B1187" s="73" t="s">
        <v>1235</v>
      </c>
      <c r="C1187" s="68">
        <v>2</v>
      </c>
      <c r="D1187" s="73" t="s">
        <v>3243</v>
      </c>
      <c r="E1187" s="77">
        <v>4422.5975196839363</v>
      </c>
      <c r="F1187" s="77">
        <v>2894.2058484522136</v>
      </c>
      <c r="G1187" s="76">
        <v>17.742415301212212</v>
      </c>
    </row>
    <row r="1188" spans="1:7" x14ac:dyDescent="0.25">
      <c r="A1188" s="75">
        <v>7107601</v>
      </c>
      <c r="B1188" s="73" t="s">
        <v>1235</v>
      </c>
      <c r="C1188" s="68">
        <v>3</v>
      </c>
      <c r="D1188" s="73" t="s">
        <v>3242</v>
      </c>
      <c r="E1188" s="77">
        <v>4624.5212918856005</v>
      </c>
      <c r="F1188" s="77">
        <v>3012.3543369618828</v>
      </c>
      <c r="G1188" s="76">
        <v>18.411003169811053</v>
      </c>
    </row>
    <row r="1189" spans="1:7" x14ac:dyDescent="0.25">
      <c r="A1189" s="75">
        <v>7107601</v>
      </c>
      <c r="B1189" s="73" t="s">
        <v>1235</v>
      </c>
      <c r="C1189" s="68">
        <v>7</v>
      </c>
      <c r="D1189" s="73" t="s">
        <v>3242</v>
      </c>
      <c r="E1189" s="77">
        <v>4595.9537918856004</v>
      </c>
      <c r="F1189" s="77">
        <v>3012.3543369618828</v>
      </c>
      <c r="G1189" s="76">
        <v>18.411003169811053</v>
      </c>
    </row>
    <row r="1190" spans="1:7" x14ac:dyDescent="0.25">
      <c r="A1190" s="75">
        <v>7107603</v>
      </c>
      <c r="B1190" s="73" t="s">
        <v>1237</v>
      </c>
      <c r="C1190" s="68">
        <v>1</v>
      </c>
      <c r="D1190" s="73" t="s">
        <v>3325</v>
      </c>
      <c r="E1190" s="77">
        <v>564.53480480042151</v>
      </c>
      <c r="F1190" s="77">
        <v>1644.8951453939464</v>
      </c>
      <c r="G1190" s="76">
        <v>12.614837141104609</v>
      </c>
    </row>
    <row r="1191" spans="1:7" x14ac:dyDescent="0.25">
      <c r="A1191" s="75">
        <v>7107603</v>
      </c>
      <c r="B1191" s="73" t="s">
        <v>3326</v>
      </c>
      <c r="C1191" s="68">
        <v>2</v>
      </c>
      <c r="D1191" s="73" t="s">
        <v>3325</v>
      </c>
      <c r="E1191" s="77">
        <v>540.48438813375481</v>
      </c>
      <c r="F1191" s="77">
        <v>1644.8951453939464</v>
      </c>
      <c r="G1191" s="76">
        <v>12.614837141104609</v>
      </c>
    </row>
    <row r="1192" spans="1:7" x14ac:dyDescent="0.25">
      <c r="A1192" s="75">
        <v>7107603</v>
      </c>
      <c r="B1192" s="73" t="s">
        <v>1237</v>
      </c>
      <c r="C1192" s="68">
        <v>3</v>
      </c>
      <c r="D1192" s="73" t="s">
        <v>3325</v>
      </c>
      <c r="E1192" s="77">
        <v>540.48438813375481</v>
      </c>
      <c r="F1192" s="77">
        <v>1644.8951453939464</v>
      </c>
      <c r="G1192" s="76">
        <v>12.614837141104609</v>
      </c>
    </row>
    <row r="1193" spans="1:7" x14ac:dyDescent="0.25">
      <c r="A1193" s="75">
        <v>7107603</v>
      </c>
      <c r="B1193" s="73" t="s">
        <v>1237</v>
      </c>
      <c r="C1193" s="68">
        <v>7</v>
      </c>
      <c r="D1193" s="73" t="s">
        <v>3325</v>
      </c>
      <c r="E1193" s="77">
        <v>524.61355480042153</v>
      </c>
      <c r="F1193" s="77">
        <v>1644.8951453939464</v>
      </c>
      <c r="G1193" s="76">
        <v>12.614837141104609</v>
      </c>
    </row>
    <row r="1194" spans="1:7" x14ac:dyDescent="0.25">
      <c r="A1194" s="75">
        <v>7107603</v>
      </c>
      <c r="B1194" s="73" t="s">
        <v>1237</v>
      </c>
      <c r="C1194" s="68">
        <v>8</v>
      </c>
      <c r="D1194" s="73" t="s">
        <v>3325</v>
      </c>
      <c r="E1194" s="77">
        <v>515.09105480042149</v>
      </c>
      <c r="F1194" s="77">
        <v>1644.8951453939464</v>
      </c>
      <c r="G1194" s="76">
        <v>12.614837141104609</v>
      </c>
    </row>
    <row r="1195" spans="1:7" x14ac:dyDescent="0.25">
      <c r="A1195" s="75">
        <v>7107603</v>
      </c>
      <c r="B1195" s="73" t="s">
        <v>1237</v>
      </c>
      <c r="C1195" s="68">
        <v>9</v>
      </c>
      <c r="D1195" s="73" t="s">
        <v>3325</v>
      </c>
      <c r="E1195" s="77">
        <v>534.13605480042145</v>
      </c>
      <c r="F1195" s="77">
        <v>1644.8951453939464</v>
      </c>
      <c r="G1195" s="76">
        <v>12.614837141104609</v>
      </c>
    </row>
    <row r="1196" spans="1:7" x14ac:dyDescent="0.25">
      <c r="A1196" s="75">
        <v>7107603</v>
      </c>
      <c r="B1196" s="73" t="s">
        <v>1237</v>
      </c>
      <c r="C1196" s="68">
        <v>99</v>
      </c>
      <c r="D1196" s="73" t="s">
        <v>3325</v>
      </c>
      <c r="E1196" s="77">
        <v>564.53480480042151</v>
      </c>
      <c r="F1196" s="77">
        <v>1644.8951453939464</v>
      </c>
      <c r="G1196" s="76">
        <v>12.614837141104609</v>
      </c>
    </row>
    <row r="1197" spans="1:7" x14ac:dyDescent="0.25">
      <c r="A1197" s="75">
        <v>7107611</v>
      </c>
      <c r="B1197" s="73" t="s">
        <v>1238</v>
      </c>
      <c r="C1197" s="68">
        <v>1</v>
      </c>
      <c r="D1197" s="73" t="s">
        <v>3327</v>
      </c>
      <c r="E1197" s="77">
        <v>666.10252804615254</v>
      </c>
      <c r="F1197" s="77">
        <v>1734.3827606965874</v>
      </c>
      <c r="G1197" s="76">
        <v>13.238744294378566</v>
      </c>
    </row>
    <row r="1198" spans="1:7" x14ac:dyDescent="0.25">
      <c r="A1198" s="75">
        <v>7107611</v>
      </c>
      <c r="B1198" s="73" t="s">
        <v>1238</v>
      </c>
      <c r="C1198" s="68">
        <v>6</v>
      </c>
      <c r="D1198" s="73" t="s">
        <v>3327</v>
      </c>
      <c r="E1198" s="77">
        <v>598.51719471281911</v>
      </c>
      <c r="F1198" s="77">
        <v>1734.3827606965876</v>
      </c>
      <c r="G1198" s="76">
        <v>13.238744294378566</v>
      </c>
    </row>
    <row r="1199" spans="1:7" x14ac:dyDescent="0.25">
      <c r="A1199" s="75">
        <v>7107611</v>
      </c>
      <c r="B1199" s="73" t="s">
        <v>1238</v>
      </c>
      <c r="C1199" s="68">
        <v>7</v>
      </c>
      <c r="D1199" s="73" t="s">
        <v>3327</v>
      </c>
      <c r="E1199" s="77">
        <v>600.42169471281898</v>
      </c>
      <c r="F1199" s="77">
        <v>1734.3827606965874</v>
      </c>
      <c r="G1199" s="76">
        <v>13.238744294378566</v>
      </c>
    </row>
    <row r="1200" spans="1:7" x14ac:dyDescent="0.25">
      <c r="A1200" s="75">
        <v>7107615</v>
      </c>
      <c r="B1200" s="73" t="s">
        <v>1239</v>
      </c>
      <c r="C1200" s="68">
        <v>1</v>
      </c>
      <c r="D1200" s="73" t="s">
        <v>3328</v>
      </c>
      <c r="E1200" s="77">
        <v>564.53480480042151</v>
      </c>
      <c r="F1200" s="77">
        <v>1644.8951453939464</v>
      </c>
      <c r="G1200" s="76">
        <v>12.614837141104609</v>
      </c>
    </row>
    <row r="1201" spans="1:7" x14ac:dyDescent="0.25">
      <c r="A1201" s="75">
        <v>7107615</v>
      </c>
      <c r="B1201" s="73" t="s">
        <v>1239</v>
      </c>
      <c r="C1201" s="68">
        <v>2</v>
      </c>
      <c r="D1201" s="73" t="s">
        <v>3328</v>
      </c>
      <c r="E1201" s="77">
        <v>540.48438813375481</v>
      </c>
      <c r="F1201" s="77">
        <v>1644.8951453939464</v>
      </c>
      <c r="G1201" s="76">
        <v>12.614837141104609</v>
      </c>
    </row>
    <row r="1202" spans="1:7" x14ac:dyDescent="0.25">
      <c r="A1202" s="75">
        <v>7107615</v>
      </c>
      <c r="B1202" s="73" t="s">
        <v>1239</v>
      </c>
      <c r="C1202" s="68">
        <v>3</v>
      </c>
      <c r="D1202" s="73" t="s">
        <v>3328</v>
      </c>
      <c r="E1202" s="77">
        <v>540.48438813375481</v>
      </c>
      <c r="F1202" s="77">
        <v>1644.8951453939464</v>
      </c>
      <c r="G1202" s="76">
        <v>12.614837141104609</v>
      </c>
    </row>
    <row r="1203" spans="1:7" x14ac:dyDescent="0.25">
      <c r="A1203" s="75">
        <v>7107615</v>
      </c>
      <c r="B1203" s="73" t="s">
        <v>1239</v>
      </c>
      <c r="C1203" s="68">
        <v>7</v>
      </c>
      <c r="D1203" s="73" t="s">
        <v>3328</v>
      </c>
      <c r="E1203" s="77">
        <v>524.61355480042153</v>
      </c>
      <c r="F1203" s="77">
        <v>1644.8951453939464</v>
      </c>
      <c r="G1203" s="76">
        <v>12.614837141104609</v>
      </c>
    </row>
    <row r="1204" spans="1:7" x14ac:dyDescent="0.25">
      <c r="A1204" s="75">
        <v>7107617</v>
      </c>
      <c r="B1204" s="73" t="s">
        <v>1240</v>
      </c>
      <c r="C1204" s="68">
        <v>1</v>
      </c>
      <c r="D1204" s="73" t="s">
        <v>3328</v>
      </c>
      <c r="E1204" s="77">
        <v>564.53480480042151</v>
      </c>
      <c r="F1204" s="77">
        <v>1644.8951453939464</v>
      </c>
      <c r="G1204" s="76">
        <v>12.614837141104609</v>
      </c>
    </row>
    <row r="1205" spans="1:7" x14ac:dyDescent="0.25">
      <c r="A1205" s="75">
        <v>7107617</v>
      </c>
      <c r="B1205" s="73" t="s">
        <v>1240</v>
      </c>
      <c r="C1205" s="68">
        <v>2</v>
      </c>
      <c r="D1205" s="73" t="s">
        <v>3328</v>
      </c>
      <c r="E1205" s="77">
        <v>540.48438813375481</v>
      </c>
      <c r="F1205" s="77">
        <v>1644.8951453939464</v>
      </c>
      <c r="G1205" s="76">
        <v>12.614837141104609</v>
      </c>
    </row>
    <row r="1206" spans="1:7" x14ac:dyDescent="0.25">
      <c r="A1206" s="75">
        <v>7107617</v>
      </c>
      <c r="B1206" s="73" t="s">
        <v>1240</v>
      </c>
      <c r="C1206" s="68">
        <v>3</v>
      </c>
      <c r="D1206" s="73" t="s">
        <v>3328</v>
      </c>
      <c r="E1206" s="77">
        <v>540.48438813375481</v>
      </c>
      <c r="F1206" s="77">
        <v>1644.8951453939464</v>
      </c>
      <c r="G1206" s="76">
        <v>12.614837141104609</v>
      </c>
    </row>
    <row r="1207" spans="1:7" x14ac:dyDescent="0.25">
      <c r="A1207" s="75">
        <v>7107617</v>
      </c>
      <c r="B1207" s="73" t="s">
        <v>1240</v>
      </c>
      <c r="C1207" s="68">
        <v>7</v>
      </c>
      <c r="D1207" s="73" t="s">
        <v>3299</v>
      </c>
      <c r="E1207" s="77">
        <v>680.98095432958564</v>
      </c>
      <c r="F1207" s="77">
        <v>1040.6175485974939</v>
      </c>
      <c r="G1207" s="76">
        <v>4.976868641109002</v>
      </c>
    </row>
    <row r="1208" spans="1:7" x14ac:dyDescent="0.25">
      <c r="A1208" s="75">
        <v>7107622</v>
      </c>
      <c r="B1208" s="73" t="s">
        <v>1241</v>
      </c>
      <c r="C1208" s="68">
        <v>2</v>
      </c>
      <c r="D1208" s="73" t="s">
        <v>3329</v>
      </c>
      <c r="E1208" s="77">
        <v>540.48438813375481</v>
      </c>
      <c r="F1208" s="77">
        <v>1644.8951453939464</v>
      </c>
      <c r="G1208" s="76">
        <v>12.614837141104609</v>
      </c>
    </row>
    <row r="1209" spans="1:7" x14ac:dyDescent="0.25">
      <c r="A1209" s="75">
        <v>7107622</v>
      </c>
      <c r="B1209" s="73" t="s">
        <v>1241</v>
      </c>
      <c r="C1209" s="68">
        <v>3</v>
      </c>
      <c r="D1209" s="73" t="s">
        <v>3329</v>
      </c>
      <c r="E1209" s="77">
        <v>540.48438813375481</v>
      </c>
      <c r="F1209" s="77">
        <v>1644.8951453939464</v>
      </c>
      <c r="G1209" s="76">
        <v>12.614837141104609</v>
      </c>
    </row>
    <row r="1210" spans="1:7" x14ac:dyDescent="0.25">
      <c r="A1210" s="75">
        <v>7107804</v>
      </c>
      <c r="B1210" s="73" t="s">
        <v>1242</v>
      </c>
      <c r="C1210" s="68">
        <v>1</v>
      </c>
      <c r="D1210" s="73" t="s">
        <v>3242</v>
      </c>
      <c r="E1210" s="77">
        <v>4652.3562918856005</v>
      </c>
      <c r="F1210" s="77">
        <v>3012.3543369618828</v>
      </c>
      <c r="G1210" s="76">
        <v>18.411003169811053</v>
      </c>
    </row>
    <row r="1211" spans="1:7" x14ac:dyDescent="0.25">
      <c r="A1211" s="75">
        <v>7107804</v>
      </c>
      <c r="B1211" s="73" t="s">
        <v>1242</v>
      </c>
      <c r="C1211" s="68">
        <v>2</v>
      </c>
      <c r="D1211" s="73" t="s">
        <v>3243</v>
      </c>
      <c r="E1211" s="77">
        <v>4422.5975196839363</v>
      </c>
      <c r="F1211" s="77">
        <v>2894.2058484522136</v>
      </c>
      <c r="G1211" s="76">
        <v>17.742415301212212</v>
      </c>
    </row>
    <row r="1212" spans="1:7" x14ac:dyDescent="0.25">
      <c r="A1212" s="75">
        <v>7107804</v>
      </c>
      <c r="B1212" s="73" t="s">
        <v>1242</v>
      </c>
      <c r="C1212" s="68">
        <v>3</v>
      </c>
      <c r="D1212" s="73" t="s">
        <v>3242</v>
      </c>
      <c r="E1212" s="77">
        <v>4624.5212918856005</v>
      </c>
      <c r="F1212" s="77">
        <v>3012.3543369618828</v>
      </c>
      <c r="G1212" s="76">
        <v>18.411003169811053</v>
      </c>
    </row>
    <row r="1213" spans="1:7" x14ac:dyDescent="0.25">
      <c r="A1213" s="75">
        <v>7107804</v>
      </c>
      <c r="B1213" s="73" t="s">
        <v>1242</v>
      </c>
      <c r="C1213" s="68">
        <v>7</v>
      </c>
      <c r="D1213" s="73" t="s">
        <v>3242</v>
      </c>
      <c r="E1213" s="77">
        <v>4595.9537918856004</v>
      </c>
      <c r="F1213" s="77">
        <v>3012.3543369618828</v>
      </c>
      <c r="G1213" s="76">
        <v>18.411003169811053</v>
      </c>
    </row>
    <row r="1214" spans="1:7" x14ac:dyDescent="0.25">
      <c r="A1214" s="75">
        <v>7107804</v>
      </c>
      <c r="B1214" s="73" t="s">
        <v>1242</v>
      </c>
      <c r="C1214" s="68">
        <v>8</v>
      </c>
      <c r="D1214" s="73" t="s">
        <v>3242</v>
      </c>
      <c r="E1214" s="77">
        <v>4586.4312918856003</v>
      </c>
      <c r="F1214" s="77">
        <v>3012.3543369618828</v>
      </c>
      <c r="G1214" s="76">
        <v>18.411003169811053</v>
      </c>
    </row>
    <row r="1215" spans="1:7" x14ac:dyDescent="0.25">
      <c r="A1215" s="75">
        <v>7108107</v>
      </c>
      <c r="B1215" s="73" t="s">
        <v>1243</v>
      </c>
      <c r="C1215" s="68">
        <v>2</v>
      </c>
      <c r="D1215" s="73" t="s">
        <v>3266</v>
      </c>
      <c r="E1215" s="77">
        <v>1148.4002881303468</v>
      </c>
      <c r="F1215" s="77">
        <v>162.68404287396211</v>
      </c>
      <c r="G1215" s="76">
        <v>8.9654914284466507</v>
      </c>
    </row>
    <row r="1216" spans="1:7" x14ac:dyDescent="0.25">
      <c r="A1216" s="75">
        <v>7108107</v>
      </c>
      <c r="B1216" s="73" t="s">
        <v>1243</v>
      </c>
      <c r="C1216" s="68">
        <v>3</v>
      </c>
      <c r="D1216" s="73" t="s">
        <v>3268</v>
      </c>
      <c r="E1216" s="77">
        <v>1198.3114201779547</v>
      </c>
      <c r="F1216" s="77">
        <v>159.52819139685778</v>
      </c>
      <c r="G1216" s="76">
        <v>9.3438100274135056</v>
      </c>
    </row>
    <row r="1217" spans="1:7" x14ac:dyDescent="0.25">
      <c r="A1217" s="75">
        <v>7108107</v>
      </c>
      <c r="B1217" s="73" t="s">
        <v>1243</v>
      </c>
      <c r="C1217" s="68">
        <v>6</v>
      </c>
      <c r="D1217" s="73" t="s">
        <v>3266</v>
      </c>
      <c r="E1217" s="77">
        <v>1130.6249547970135</v>
      </c>
      <c r="F1217" s="77">
        <v>162.68404287396211</v>
      </c>
      <c r="G1217" s="76">
        <v>8.9654914284466507</v>
      </c>
    </row>
    <row r="1218" spans="1:7" x14ac:dyDescent="0.25">
      <c r="A1218" s="75">
        <v>7108107</v>
      </c>
      <c r="B1218" s="73" t="s">
        <v>1243</v>
      </c>
      <c r="C1218" s="68">
        <v>7</v>
      </c>
      <c r="D1218" s="73" t="s">
        <v>3266</v>
      </c>
      <c r="E1218" s="77">
        <v>1123.0069547970136</v>
      </c>
      <c r="F1218" s="77">
        <v>162.68404287396211</v>
      </c>
      <c r="G1218" s="76">
        <v>8.9654914284466507</v>
      </c>
    </row>
    <row r="1219" spans="1:7" x14ac:dyDescent="0.25">
      <c r="A1219" s="75">
        <v>7108902</v>
      </c>
      <c r="B1219" s="73" t="s">
        <v>3330</v>
      </c>
      <c r="C1219" s="68">
        <v>1</v>
      </c>
      <c r="D1219" s="73" t="s">
        <v>3252</v>
      </c>
      <c r="E1219" s="77">
        <v>4243.4079824537275</v>
      </c>
      <c r="F1219" s="77">
        <v>2812.4971866969013</v>
      </c>
      <c r="G1219" s="76">
        <v>17.41000918529657</v>
      </c>
    </row>
    <row r="1220" spans="1:7" x14ac:dyDescent="0.25">
      <c r="A1220" s="75">
        <v>7108902</v>
      </c>
      <c r="B1220" s="73" t="s">
        <v>3330</v>
      </c>
      <c r="C1220" s="68">
        <v>2</v>
      </c>
      <c r="D1220" s="73" t="s">
        <v>3331</v>
      </c>
      <c r="E1220" s="77">
        <v>4027.7557841534776</v>
      </c>
      <c r="F1220" s="77">
        <v>2694.3972204463244</v>
      </c>
      <c r="G1220" s="76">
        <v>16.663019268807279</v>
      </c>
    </row>
    <row r="1221" spans="1:7" x14ac:dyDescent="0.25">
      <c r="A1221" s="75">
        <v>7108902</v>
      </c>
      <c r="B1221" s="73" t="s">
        <v>3330</v>
      </c>
      <c r="C1221" s="68">
        <v>3</v>
      </c>
      <c r="D1221" s="73" t="s">
        <v>3252</v>
      </c>
      <c r="E1221" s="77">
        <v>4215.5729824537275</v>
      </c>
      <c r="F1221" s="77">
        <v>2812.4971866969013</v>
      </c>
      <c r="G1221" s="76">
        <v>17.41000918529657</v>
      </c>
    </row>
    <row r="1222" spans="1:7" x14ac:dyDescent="0.25">
      <c r="A1222" s="75">
        <v>7108902</v>
      </c>
      <c r="B1222" s="73" t="s">
        <v>3330</v>
      </c>
      <c r="C1222" s="68">
        <v>4</v>
      </c>
      <c r="D1222" s="73" t="s">
        <v>3252</v>
      </c>
      <c r="E1222" s="77">
        <v>3258.4545463134341</v>
      </c>
      <c r="F1222" s="77">
        <v>2193.7478056235832</v>
      </c>
      <c r="G1222" s="76">
        <v>13.579807164531324</v>
      </c>
    </row>
    <row r="1223" spans="1:7" x14ac:dyDescent="0.25">
      <c r="A1223" s="75">
        <v>7108902</v>
      </c>
      <c r="B1223" s="73" t="s">
        <v>3330</v>
      </c>
      <c r="C1223" s="68">
        <v>5</v>
      </c>
      <c r="D1223" s="73" t="s">
        <v>3332</v>
      </c>
      <c r="E1223" s="77">
        <v>4658.3400753882306</v>
      </c>
      <c r="F1223" s="77">
        <v>3165.1623317317217</v>
      </c>
      <c r="G1223" s="76">
        <v>19.695465636712139</v>
      </c>
    </row>
    <row r="1224" spans="1:7" x14ac:dyDescent="0.25">
      <c r="A1224" s="75">
        <v>7108902</v>
      </c>
      <c r="B1224" s="73" t="s">
        <v>3330</v>
      </c>
      <c r="C1224" s="68">
        <v>6</v>
      </c>
      <c r="D1224" s="73" t="s">
        <v>3331</v>
      </c>
      <c r="E1224" s="77">
        <v>4009.9804508201441</v>
      </c>
      <c r="F1224" s="77">
        <v>2694.3972204463244</v>
      </c>
      <c r="G1224" s="76">
        <v>16.663019268807279</v>
      </c>
    </row>
    <row r="1225" spans="1:7" x14ac:dyDescent="0.25">
      <c r="A1225" s="75">
        <v>7108902</v>
      </c>
      <c r="B1225" s="73" t="s">
        <v>3330</v>
      </c>
      <c r="C1225" s="68">
        <v>7</v>
      </c>
      <c r="D1225" s="73" t="s">
        <v>3333</v>
      </c>
      <c r="E1225" s="77">
        <v>3869.4623996200935</v>
      </c>
      <c r="F1225" s="77">
        <v>2621.6869868491126</v>
      </c>
      <c r="G1225" s="76">
        <v>16.319839711827182</v>
      </c>
    </row>
    <row r="1226" spans="1:7" x14ac:dyDescent="0.25">
      <c r="A1226" s="75">
        <v>7108902</v>
      </c>
      <c r="B1226" s="73" t="s">
        <v>3330</v>
      </c>
      <c r="C1226" s="68">
        <v>8</v>
      </c>
      <c r="D1226" s="73" t="s">
        <v>3252</v>
      </c>
      <c r="E1226" s="77">
        <v>4177.4829824537273</v>
      </c>
      <c r="F1226" s="77">
        <v>2812.4971866969013</v>
      </c>
      <c r="G1226" s="76">
        <v>17.41000918529657</v>
      </c>
    </row>
    <row r="1227" spans="1:7" x14ac:dyDescent="0.25">
      <c r="A1227" s="75">
        <v>7108902</v>
      </c>
      <c r="B1227" s="73" t="s">
        <v>3330</v>
      </c>
      <c r="C1227" s="68">
        <v>9</v>
      </c>
      <c r="D1227" s="73" t="s">
        <v>3331</v>
      </c>
      <c r="E1227" s="77">
        <v>4021.4074508201443</v>
      </c>
      <c r="F1227" s="77">
        <v>2694.3972204463244</v>
      </c>
      <c r="G1227" s="76">
        <v>16.663019268807279</v>
      </c>
    </row>
    <row r="1228" spans="1:7" x14ac:dyDescent="0.25">
      <c r="A1228" s="75">
        <v>7108902</v>
      </c>
      <c r="B1228" s="73" t="s">
        <v>3330</v>
      </c>
      <c r="C1228" s="68">
        <v>99</v>
      </c>
      <c r="D1228" s="73" t="s">
        <v>3331</v>
      </c>
      <c r="E1228" s="77">
        <v>4021.4074508201443</v>
      </c>
      <c r="F1228" s="77">
        <v>2694.3972204463248</v>
      </c>
      <c r="G1228" s="76">
        <v>16.663019268807275</v>
      </c>
    </row>
    <row r="1229" spans="1:7" x14ac:dyDescent="0.25">
      <c r="A1229" s="75">
        <v>7109101</v>
      </c>
      <c r="B1229" s="73" t="s">
        <v>967</v>
      </c>
      <c r="C1229" s="68">
        <v>1</v>
      </c>
      <c r="D1229" s="73" t="s">
        <v>3334</v>
      </c>
      <c r="E1229" s="77">
        <v>4243.4079824537275</v>
      </c>
      <c r="F1229" s="77">
        <v>2812.4971866969013</v>
      </c>
      <c r="G1229" s="76">
        <v>17.41000918529657</v>
      </c>
    </row>
    <row r="1230" spans="1:7" x14ac:dyDescent="0.25">
      <c r="A1230" s="75">
        <v>7109101</v>
      </c>
      <c r="B1230" s="73" t="s">
        <v>967</v>
      </c>
      <c r="C1230" s="68">
        <v>2</v>
      </c>
      <c r="D1230" s="73" t="s">
        <v>3335</v>
      </c>
      <c r="E1230" s="77">
        <v>4027.7557841534781</v>
      </c>
      <c r="F1230" s="77">
        <v>2694.3972204463248</v>
      </c>
      <c r="G1230" s="76">
        <v>16.663019268807275</v>
      </c>
    </row>
    <row r="1231" spans="1:7" x14ac:dyDescent="0.25">
      <c r="A1231" s="75">
        <v>7109101</v>
      </c>
      <c r="B1231" s="73" t="s">
        <v>967</v>
      </c>
      <c r="C1231" s="68">
        <v>3</v>
      </c>
      <c r="D1231" s="73" t="s">
        <v>3334</v>
      </c>
      <c r="E1231" s="77">
        <v>4215.5729824537275</v>
      </c>
      <c r="F1231" s="77">
        <v>2812.4971866969013</v>
      </c>
      <c r="G1231" s="76">
        <v>17.41000918529657</v>
      </c>
    </row>
    <row r="1232" spans="1:7" x14ac:dyDescent="0.25">
      <c r="A1232" s="75">
        <v>7109101</v>
      </c>
      <c r="B1232" s="73" t="s">
        <v>967</v>
      </c>
      <c r="C1232" s="68">
        <v>4</v>
      </c>
      <c r="D1232" s="73" t="s">
        <v>3334</v>
      </c>
      <c r="E1232" s="77">
        <v>3258.4545463134341</v>
      </c>
      <c r="F1232" s="77">
        <v>2193.7478056235832</v>
      </c>
      <c r="G1232" s="76">
        <v>13.579807164531324</v>
      </c>
    </row>
    <row r="1233" spans="1:7" x14ac:dyDescent="0.25">
      <c r="A1233" s="75">
        <v>7109101</v>
      </c>
      <c r="B1233" s="73" t="s">
        <v>967</v>
      </c>
      <c r="C1233" s="68">
        <v>5</v>
      </c>
      <c r="D1233" s="73" t="s">
        <v>3336</v>
      </c>
      <c r="E1233" s="77">
        <v>4045.186827948949</v>
      </c>
      <c r="F1233" s="77">
        <v>2716.4767998369916</v>
      </c>
      <c r="G1233" s="76">
        <v>16.906628811237059</v>
      </c>
    </row>
    <row r="1234" spans="1:7" x14ac:dyDescent="0.25">
      <c r="A1234" s="75">
        <v>7109101</v>
      </c>
      <c r="B1234" s="73" t="s">
        <v>967</v>
      </c>
      <c r="C1234" s="68">
        <v>6</v>
      </c>
      <c r="D1234" s="73" t="s">
        <v>3335</v>
      </c>
      <c r="E1234" s="77">
        <v>4009.9804508201441</v>
      </c>
      <c r="F1234" s="77">
        <v>2694.3972204463244</v>
      </c>
      <c r="G1234" s="76">
        <v>16.663019268807279</v>
      </c>
    </row>
    <row r="1235" spans="1:7" x14ac:dyDescent="0.25">
      <c r="A1235" s="75">
        <v>7109101</v>
      </c>
      <c r="B1235" s="73" t="s">
        <v>967</v>
      </c>
      <c r="C1235" s="68">
        <v>7</v>
      </c>
      <c r="D1235" s="73" t="s">
        <v>3336</v>
      </c>
      <c r="E1235" s="77">
        <v>4035.6643279489485</v>
      </c>
      <c r="F1235" s="77">
        <v>2716.4767998369916</v>
      </c>
      <c r="G1235" s="76">
        <v>16.906628811237059</v>
      </c>
    </row>
    <row r="1236" spans="1:7" x14ac:dyDescent="0.25">
      <c r="A1236" s="75">
        <v>7109101</v>
      </c>
      <c r="B1236" s="73" t="s">
        <v>967</v>
      </c>
      <c r="C1236" s="68">
        <v>8</v>
      </c>
      <c r="D1236" s="73" t="s">
        <v>3334</v>
      </c>
      <c r="E1236" s="77">
        <v>4177.4829824537273</v>
      </c>
      <c r="F1236" s="77">
        <v>2812.4971866969013</v>
      </c>
      <c r="G1236" s="76">
        <v>17.41000918529657</v>
      </c>
    </row>
    <row r="1237" spans="1:7" x14ac:dyDescent="0.25">
      <c r="A1237" s="75">
        <v>7109101</v>
      </c>
      <c r="B1237" s="73" t="s">
        <v>967</v>
      </c>
      <c r="C1237" s="68">
        <v>9</v>
      </c>
      <c r="D1237" s="73" t="s">
        <v>3335</v>
      </c>
      <c r="E1237" s="77">
        <v>4021.4074508201443</v>
      </c>
      <c r="F1237" s="77">
        <v>2694.3972204463244</v>
      </c>
      <c r="G1237" s="76">
        <v>16.663019268807279</v>
      </c>
    </row>
    <row r="1238" spans="1:7" x14ac:dyDescent="0.25">
      <c r="A1238" s="75">
        <v>7109101</v>
      </c>
      <c r="B1238" s="73" t="s">
        <v>967</v>
      </c>
      <c r="C1238" s="68">
        <v>99</v>
      </c>
      <c r="D1238" s="73" t="s">
        <v>3334</v>
      </c>
      <c r="E1238" s="77">
        <v>4215.5729824537275</v>
      </c>
      <c r="F1238" s="77">
        <v>2812.4971866969013</v>
      </c>
      <c r="G1238" s="76">
        <v>17.41000918529657</v>
      </c>
    </row>
    <row r="1239" spans="1:7" x14ac:dyDescent="0.25">
      <c r="A1239" s="75">
        <v>7110902</v>
      </c>
      <c r="B1239" s="73" t="s">
        <v>3337</v>
      </c>
      <c r="C1239" s="68">
        <v>2</v>
      </c>
      <c r="D1239" s="73" t="s">
        <v>3335</v>
      </c>
      <c r="E1239" s="77">
        <v>4027.7557841534776</v>
      </c>
      <c r="F1239" s="77">
        <v>2694.3972204463248</v>
      </c>
      <c r="G1239" s="76">
        <v>16.663019268807275</v>
      </c>
    </row>
    <row r="1240" spans="1:7" x14ac:dyDescent="0.25">
      <c r="A1240" s="75">
        <v>7110902</v>
      </c>
      <c r="B1240" s="73" t="s">
        <v>1244</v>
      </c>
      <c r="C1240" s="68">
        <v>3</v>
      </c>
      <c r="D1240" s="73" t="s">
        <v>3334</v>
      </c>
      <c r="E1240" s="77">
        <v>4215.5729824537275</v>
      </c>
      <c r="F1240" s="77">
        <v>2812.4971866969013</v>
      </c>
      <c r="G1240" s="76">
        <v>17.41000918529657</v>
      </c>
    </row>
    <row r="1241" spans="1:7" x14ac:dyDescent="0.25">
      <c r="A1241" s="75">
        <v>7112502</v>
      </c>
      <c r="B1241" s="73" t="s">
        <v>3338</v>
      </c>
      <c r="C1241" s="68">
        <v>1</v>
      </c>
      <c r="D1241" s="73" t="s">
        <v>3321</v>
      </c>
      <c r="E1241" s="77">
        <v>2208.4416565130491</v>
      </c>
      <c r="F1241" s="77">
        <v>1162.1264807829823</v>
      </c>
      <c r="G1241" s="76">
        <v>11.630388473523711</v>
      </c>
    </row>
    <row r="1242" spans="1:7" x14ac:dyDescent="0.25">
      <c r="A1242" s="75">
        <v>7112502</v>
      </c>
      <c r="B1242" s="73" t="s">
        <v>3338</v>
      </c>
      <c r="C1242" s="68">
        <v>99</v>
      </c>
      <c r="D1242" s="73" t="s">
        <v>3322</v>
      </c>
      <c r="E1242" s="77">
        <v>2090.3837251782529</v>
      </c>
      <c r="F1242" s="77">
        <v>1128.5439604700632</v>
      </c>
      <c r="G1242" s="76">
        <v>11.271713378557441</v>
      </c>
    </row>
    <row r="1243" spans="1:7" x14ac:dyDescent="0.25">
      <c r="A1243" s="75">
        <v>7112601</v>
      </c>
      <c r="B1243" s="73" t="s">
        <v>3339</v>
      </c>
      <c r="C1243" s="68">
        <v>1</v>
      </c>
      <c r="D1243" s="73" t="s">
        <v>3332</v>
      </c>
      <c r="E1243" s="77">
        <v>4722.5559087215643</v>
      </c>
      <c r="F1243" s="77">
        <v>3165.1623317317217</v>
      </c>
      <c r="G1243" s="76">
        <v>19.695465636712139</v>
      </c>
    </row>
    <row r="1244" spans="1:7" x14ac:dyDescent="0.25">
      <c r="A1244" s="75">
        <v>7112601</v>
      </c>
      <c r="B1244" s="73" t="s">
        <v>3339</v>
      </c>
      <c r="C1244" s="68">
        <v>2</v>
      </c>
      <c r="D1244" s="73" t="s">
        <v>3332</v>
      </c>
      <c r="E1244" s="77">
        <v>4699.6042420548974</v>
      </c>
      <c r="F1244" s="77">
        <v>3165.1623317317217</v>
      </c>
      <c r="G1244" s="76">
        <v>19.695465636712143</v>
      </c>
    </row>
    <row r="1245" spans="1:7" x14ac:dyDescent="0.25">
      <c r="A1245" s="75">
        <v>7112601</v>
      </c>
      <c r="B1245" s="73" t="s">
        <v>3339</v>
      </c>
      <c r="C1245" s="68">
        <v>3</v>
      </c>
      <c r="D1245" s="73" t="s">
        <v>3332</v>
      </c>
      <c r="E1245" s="77">
        <v>4699.6042420548984</v>
      </c>
      <c r="F1245" s="77">
        <v>3165.1623317317217</v>
      </c>
      <c r="G1245" s="76">
        <v>19.695465636712139</v>
      </c>
    </row>
    <row r="1246" spans="1:7" x14ac:dyDescent="0.25">
      <c r="A1246" s="75">
        <v>7112601</v>
      </c>
      <c r="B1246" s="73" t="s">
        <v>3339</v>
      </c>
      <c r="C1246" s="68">
        <v>5</v>
      </c>
      <c r="D1246" s="73" t="s">
        <v>3332</v>
      </c>
      <c r="E1246" s="77">
        <v>4658.3400753882315</v>
      </c>
      <c r="F1246" s="77">
        <v>3165.1623317317221</v>
      </c>
      <c r="G1246" s="76">
        <v>19.695465636712139</v>
      </c>
    </row>
    <row r="1247" spans="1:7" x14ac:dyDescent="0.25">
      <c r="A1247" s="75">
        <v>7112601</v>
      </c>
      <c r="B1247" s="73" t="s">
        <v>3339</v>
      </c>
      <c r="C1247" s="68">
        <v>6</v>
      </c>
      <c r="D1247" s="73" t="s">
        <v>3332</v>
      </c>
      <c r="E1247" s="77">
        <v>4662.7839087215652</v>
      </c>
      <c r="F1247" s="77">
        <v>3165.1623317317221</v>
      </c>
      <c r="G1247" s="76">
        <v>19.695465636712139</v>
      </c>
    </row>
    <row r="1248" spans="1:7" x14ac:dyDescent="0.25">
      <c r="A1248" s="75">
        <v>7112601</v>
      </c>
      <c r="B1248" s="73" t="s">
        <v>3339</v>
      </c>
      <c r="C1248" s="68">
        <v>7</v>
      </c>
      <c r="D1248" s="73" t="s">
        <v>3332</v>
      </c>
      <c r="E1248" s="77">
        <v>4658.3400753882315</v>
      </c>
      <c r="F1248" s="77">
        <v>3165.1623317317217</v>
      </c>
      <c r="G1248" s="76">
        <v>19.695465636712139</v>
      </c>
    </row>
    <row r="1249" spans="1:7" x14ac:dyDescent="0.25">
      <c r="A1249" s="75">
        <v>7112601</v>
      </c>
      <c r="B1249" s="73" t="s">
        <v>3339</v>
      </c>
      <c r="C1249" s="68">
        <v>8</v>
      </c>
      <c r="D1249" s="73" t="s">
        <v>3332</v>
      </c>
      <c r="E1249" s="77">
        <v>4639.2950753882305</v>
      </c>
      <c r="F1249" s="77">
        <v>3165.1623317317217</v>
      </c>
      <c r="G1249" s="76">
        <v>19.695465636712143</v>
      </c>
    </row>
    <row r="1250" spans="1:7" x14ac:dyDescent="0.25">
      <c r="A1250" s="75">
        <v>7112601</v>
      </c>
      <c r="B1250" s="73" t="s">
        <v>3339</v>
      </c>
      <c r="C1250" s="68">
        <v>99</v>
      </c>
      <c r="D1250" s="73" t="s">
        <v>3332</v>
      </c>
      <c r="E1250" s="77">
        <v>4658.3400753882315</v>
      </c>
      <c r="F1250" s="77">
        <v>3165.1623317317221</v>
      </c>
      <c r="G1250" s="76">
        <v>19.695465636712139</v>
      </c>
    </row>
    <row r="1251" spans="1:7" x14ac:dyDescent="0.25">
      <c r="A1251" s="75">
        <v>7112701</v>
      </c>
      <c r="B1251" s="73" t="s">
        <v>1512</v>
      </c>
      <c r="C1251" s="68">
        <v>1</v>
      </c>
      <c r="D1251" s="73" t="s">
        <v>3340</v>
      </c>
      <c r="E1251" s="77">
        <v>3103.5481250703147</v>
      </c>
      <c r="F1251" s="77">
        <v>1975.8888087663306</v>
      </c>
      <c r="G1251" s="76">
        <v>11.976145993607604</v>
      </c>
    </row>
    <row r="1252" spans="1:7" x14ac:dyDescent="0.25">
      <c r="A1252" s="75">
        <v>7112701</v>
      </c>
      <c r="B1252" s="73" t="s">
        <v>1512</v>
      </c>
      <c r="C1252" s="68">
        <v>2</v>
      </c>
      <c r="D1252" s="73" t="s">
        <v>3340</v>
      </c>
      <c r="E1252" s="77">
        <v>3029.3214584036473</v>
      </c>
      <c r="F1252" s="77">
        <v>1975.8888087663306</v>
      </c>
      <c r="G1252" s="76">
        <v>11.976145993607606</v>
      </c>
    </row>
    <row r="1253" spans="1:7" x14ac:dyDescent="0.25">
      <c r="A1253" s="75">
        <v>7112701</v>
      </c>
      <c r="B1253" s="73" t="s">
        <v>1512</v>
      </c>
      <c r="C1253" s="68">
        <v>3</v>
      </c>
      <c r="D1253" s="73" t="s">
        <v>3340</v>
      </c>
      <c r="E1253" s="77">
        <v>3029.3214584036477</v>
      </c>
      <c r="F1253" s="77">
        <v>1975.8888087663306</v>
      </c>
      <c r="G1253" s="76">
        <v>11.976145993607606</v>
      </c>
    </row>
    <row r="1254" spans="1:7" x14ac:dyDescent="0.25">
      <c r="A1254" s="75">
        <v>7112701</v>
      </c>
      <c r="B1254" s="73" t="s">
        <v>1512</v>
      </c>
      <c r="C1254" s="68">
        <v>5</v>
      </c>
      <c r="D1254" s="73" t="s">
        <v>3340</v>
      </c>
      <c r="E1254" s="77">
        <v>2978.5347917369804</v>
      </c>
      <c r="F1254" s="77">
        <v>1975.8888087663306</v>
      </c>
      <c r="G1254" s="76">
        <v>11.976145993607604</v>
      </c>
    </row>
    <row r="1255" spans="1:7" x14ac:dyDescent="0.25">
      <c r="A1255" s="75">
        <v>7112701</v>
      </c>
      <c r="B1255" s="73" t="s">
        <v>1512</v>
      </c>
      <c r="C1255" s="68">
        <v>6</v>
      </c>
      <c r="D1255" s="73" t="s">
        <v>3340</v>
      </c>
      <c r="E1255" s="77">
        <v>2993.7707917369808</v>
      </c>
      <c r="F1255" s="77">
        <v>1975.8888087663304</v>
      </c>
      <c r="G1255" s="76">
        <v>11.976145993607608</v>
      </c>
    </row>
    <row r="1256" spans="1:7" x14ac:dyDescent="0.25">
      <c r="A1256" s="75">
        <v>7112701</v>
      </c>
      <c r="B1256" s="73" t="s">
        <v>1512</v>
      </c>
      <c r="C1256" s="68">
        <v>7</v>
      </c>
      <c r="D1256" s="73" t="s">
        <v>3340</v>
      </c>
      <c r="E1256" s="77">
        <v>2972.1864584036475</v>
      </c>
      <c r="F1256" s="77">
        <v>1975.8888087663304</v>
      </c>
      <c r="G1256" s="76">
        <v>11.976145993607606</v>
      </c>
    </row>
    <row r="1257" spans="1:7" x14ac:dyDescent="0.25">
      <c r="A1257" s="75">
        <v>7112701</v>
      </c>
      <c r="B1257" s="73" t="s">
        <v>1512</v>
      </c>
      <c r="C1257" s="68">
        <v>8</v>
      </c>
      <c r="D1257" s="73" t="s">
        <v>3340</v>
      </c>
      <c r="E1257" s="77">
        <v>2927.748125070314</v>
      </c>
      <c r="F1257" s="77">
        <v>1975.8888087663306</v>
      </c>
      <c r="G1257" s="76">
        <v>11.976145993607606</v>
      </c>
    </row>
    <row r="1258" spans="1:7" x14ac:dyDescent="0.25">
      <c r="A1258" s="75">
        <v>7112701</v>
      </c>
      <c r="B1258" s="73" t="s">
        <v>1512</v>
      </c>
      <c r="C1258" s="68">
        <v>99</v>
      </c>
      <c r="D1258" s="73" t="s">
        <v>3340</v>
      </c>
      <c r="E1258" s="77">
        <v>2991.2314584036476</v>
      </c>
      <c r="F1258" s="77">
        <v>1975.8888087663304</v>
      </c>
      <c r="G1258" s="76">
        <v>11.976145993607606</v>
      </c>
    </row>
    <row r="1259" spans="1:7" x14ac:dyDescent="0.25">
      <c r="A1259" s="75">
        <v>7112801</v>
      </c>
      <c r="B1259" s="73" t="s">
        <v>3341</v>
      </c>
      <c r="C1259" s="68">
        <v>1</v>
      </c>
      <c r="D1259" s="73" t="s">
        <v>3252</v>
      </c>
      <c r="E1259" s="77">
        <v>4243.4079824537275</v>
      </c>
      <c r="F1259" s="77">
        <v>2812.4971866969013</v>
      </c>
      <c r="G1259" s="76">
        <v>17.41000918529657</v>
      </c>
    </row>
    <row r="1260" spans="1:7" x14ac:dyDescent="0.25">
      <c r="A1260" s="75">
        <v>7112801</v>
      </c>
      <c r="B1260" s="73" t="s">
        <v>3341</v>
      </c>
      <c r="C1260" s="68">
        <v>2</v>
      </c>
      <c r="D1260" s="73" t="s">
        <v>3331</v>
      </c>
      <c r="E1260" s="77">
        <v>4027.7557841534776</v>
      </c>
      <c r="F1260" s="77">
        <v>2694.3972204463248</v>
      </c>
      <c r="G1260" s="76">
        <v>16.663019268807275</v>
      </c>
    </row>
    <row r="1261" spans="1:7" x14ac:dyDescent="0.25">
      <c r="A1261" s="75">
        <v>7112801</v>
      </c>
      <c r="B1261" s="73" t="s">
        <v>3341</v>
      </c>
      <c r="C1261" s="68">
        <v>3</v>
      </c>
      <c r="D1261" s="73" t="s">
        <v>3252</v>
      </c>
      <c r="E1261" s="77">
        <v>4215.5729824537275</v>
      </c>
      <c r="F1261" s="77">
        <v>2812.4971866969013</v>
      </c>
      <c r="G1261" s="76">
        <v>17.41000918529657</v>
      </c>
    </row>
    <row r="1262" spans="1:7" x14ac:dyDescent="0.25">
      <c r="A1262" s="75">
        <v>7112801</v>
      </c>
      <c r="B1262" s="73" t="s">
        <v>3341</v>
      </c>
      <c r="C1262" s="68">
        <v>5</v>
      </c>
      <c r="D1262" s="73" t="s">
        <v>3332</v>
      </c>
      <c r="E1262" s="77">
        <v>4658.3400753882315</v>
      </c>
      <c r="F1262" s="77">
        <v>3165.1623317317221</v>
      </c>
      <c r="G1262" s="76">
        <v>19.695465636712139</v>
      </c>
    </row>
    <row r="1263" spans="1:7" x14ac:dyDescent="0.25">
      <c r="A1263" s="75">
        <v>7112801</v>
      </c>
      <c r="B1263" s="73" t="s">
        <v>3341</v>
      </c>
      <c r="C1263" s="68">
        <v>6</v>
      </c>
      <c r="D1263" s="73" t="s">
        <v>3331</v>
      </c>
      <c r="E1263" s="77">
        <v>4009.9804508201441</v>
      </c>
      <c r="F1263" s="77">
        <v>2694.3972204463244</v>
      </c>
      <c r="G1263" s="76">
        <v>16.663019268807279</v>
      </c>
    </row>
    <row r="1264" spans="1:7" x14ac:dyDescent="0.25">
      <c r="A1264" s="75">
        <v>7112801</v>
      </c>
      <c r="B1264" s="73" t="s">
        <v>3341</v>
      </c>
      <c r="C1264" s="68">
        <v>7</v>
      </c>
      <c r="D1264" s="73" t="s">
        <v>3333</v>
      </c>
      <c r="E1264" s="77">
        <v>3869.4623996200935</v>
      </c>
      <c r="F1264" s="77">
        <v>2621.6869868491126</v>
      </c>
      <c r="G1264" s="76">
        <v>16.319839711827182</v>
      </c>
    </row>
    <row r="1265" spans="1:7" x14ac:dyDescent="0.25">
      <c r="A1265" s="75">
        <v>7112801</v>
      </c>
      <c r="B1265" s="73" t="s">
        <v>3341</v>
      </c>
      <c r="C1265" s="68">
        <v>8</v>
      </c>
      <c r="D1265" s="73" t="s">
        <v>3252</v>
      </c>
      <c r="E1265" s="77">
        <v>4177.4829824537273</v>
      </c>
      <c r="F1265" s="77">
        <v>2812.4971866969013</v>
      </c>
      <c r="G1265" s="76">
        <v>17.41000918529657</v>
      </c>
    </row>
    <row r="1266" spans="1:7" x14ac:dyDescent="0.25">
      <c r="A1266" s="75">
        <v>7112801</v>
      </c>
      <c r="B1266" s="73" t="s">
        <v>3341</v>
      </c>
      <c r="C1266" s="68">
        <v>9</v>
      </c>
      <c r="D1266" s="73" t="s">
        <v>3331</v>
      </c>
      <c r="E1266" s="77">
        <v>4021.4074508201443</v>
      </c>
      <c r="F1266" s="77">
        <v>2694.3972204463244</v>
      </c>
      <c r="G1266" s="76">
        <v>16.663019268807279</v>
      </c>
    </row>
    <row r="1267" spans="1:7" x14ac:dyDescent="0.25">
      <c r="A1267" s="75">
        <v>7112801</v>
      </c>
      <c r="B1267" s="73" t="s">
        <v>3341</v>
      </c>
      <c r="C1267" s="68">
        <v>99</v>
      </c>
      <c r="D1267" s="73" t="s">
        <v>3331</v>
      </c>
      <c r="E1267" s="77">
        <v>4021.4074508201443</v>
      </c>
      <c r="F1267" s="77">
        <v>2694.3972204463248</v>
      </c>
      <c r="G1267" s="76">
        <v>16.663019268807275</v>
      </c>
    </row>
    <row r="1268" spans="1:7" x14ac:dyDescent="0.25">
      <c r="A1268" s="75">
        <v>7112802</v>
      </c>
      <c r="B1268" s="73" t="s">
        <v>3342</v>
      </c>
      <c r="C1268" s="68">
        <v>1</v>
      </c>
      <c r="D1268" s="73" t="s">
        <v>3252</v>
      </c>
      <c r="E1268" s="77">
        <v>4243.4079824537275</v>
      </c>
      <c r="F1268" s="77">
        <v>2812.4971866969013</v>
      </c>
      <c r="G1268" s="76">
        <v>17.41000918529657</v>
      </c>
    </row>
    <row r="1269" spans="1:7" x14ac:dyDescent="0.25">
      <c r="A1269" s="75">
        <v>7112802</v>
      </c>
      <c r="B1269" s="73" t="s">
        <v>3342</v>
      </c>
      <c r="C1269" s="68">
        <v>2</v>
      </c>
      <c r="D1269" s="73" t="s">
        <v>3331</v>
      </c>
      <c r="E1269" s="77">
        <v>4027.7557841534776</v>
      </c>
      <c r="F1269" s="77">
        <v>2694.3972204463248</v>
      </c>
      <c r="G1269" s="76">
        <v>16.663019268807275</v>
      </c>
    </row>
    <row r="1270" spans="1:7" x14ac:dyDescent="0.25">
      <c r="A1270" s="75">
        <v>7112802</v>
      </c>
      <c r="B1270" s="73" t="s">
        <v>3342</v>
      </c>
      <c r="C1270" s="68">
        <v>3</v>
      </c>
      <c r="D1270" s="73" t="s">
        <v>3252</v>
      </c>
      <c r="E1270" s="77">
        <v>4215.5729824537275</v>
      </c>
      <c r="F1270" s="77">
        <v>2812.4971866969013</v>
      </c>
      <c r="G1270" s="76">
        <v>17.41000918529657</v>
      </c>
    </row>
    <row r="1271" spans="1:7" x14ac:dyDescent="0.25">
      <c r="A1271" s="75">
        <v>7112802</v>
      </c>
      <c r="B1271" s="73" t="s">
        <v>3342</v>
      </c>
      <c r="C1271" s="68">
        <v>4</v>
      </c>
      <c r="D1271" s="73" t="s">
        <v>3252</v>
      </c>
      <c r="E1271" s="77">
        <v>3258.4545463134341</v>
      </c>
      <c r="F1271" s="77">
        <v>2193.7478056235832</v>
      </c>
      <c r="G1271" s="76">
        <v>13.579807164531324</v>
      </c>
    </row>
    <row r="1272" spans="1:7" x14ac:dyDescent="0.25">
      <c r="A1272" s="75">
        <v>7112802</v>
      </c>
      <c r="B1272" s="73" t="s">
        <v>3342</v>
      </c>
      <c r="C1272" s="68">
        <v>6</v>
      </c>
      <c r="D1272" s="73" t="s">
        <v>3331</v>
      </c>
      <c r="E1272" s="77">
        <v>4009.9804508201441</v>
      </c>
      <c r="F1272" s="77">
        <v>2694.3972204463244</v>
      </c>
      <c r="G1272" s="76">
        <v>16.663019268807279</v>
      </c>
    </row>
    <row r="1273" spans="1:7" x14ac:dyDescent="0.25">
      <c r="A1273" s="75">
        <v>7112802</v>
      </c>
      <c r="B1273" s="73" t="s">
        <v>3342</v>
      </c>
      <c r="C1273" s="68">
        <v>7</v>
      </c>
      <c r="D1273" s="73" t="s">
        <v>3333</v>
      </c>
      <c r="E1273" s="77">
        <v>3869.4623996200935</v>
      </c>
      <c r="F1273" s="77">
        <v>2621.6869868491126</v>
      </c>
      <c r="G1273" s="76">
        <v>16.319839711827182</v>
      </c>
    </row>
    <row r="1274" spans="1:7" x14ac:dyDescent="0.25">
      <c r="A1274" s="75">
        <v>7112802</v>
      </c>
      <c r="B1274" s="73" t="s">
        <v>3342</v>
      </c>
      <c r="C1274" s="68">
        <v>8</v>
      </c>
      <c r="D1274" s="73" t="s">
        <v>3252</v>
      </c>
      <c r="E1274" s="77">
        <v>4177.4829824537273</v>
      </c>
      <c r="F1274" s="77">
        <v>2812.4971866969013</v>
      </c>
      <c r="G1274" s="76">
        <v>17.41000918529657</v>
      </c>
    </row>
    <row r="1275" spans="1:7" x14ac:dyDescent="0.25">
      <c r="A1275" s="75">
        <v>7112802</v>
      </c>
      <c r="B1275" s="73" t="s">
        <v>3342</v>
      </c>
      <c r="C1275" s="68">
        <v>9</v>
      </c>
      <c r="D1275" s="73" t="s">
        <v>3331</v>
      </c>
      <c r="E1275" s="77">
        <v>4021.4074508201443</v>
      </c>
      <c r="F1275" s="77">
        <v>2694.3972204463244</v>
      </c>
      <c r="G1275" s="76">
        <v>16.663019268807279</v>
      </c>
    </row>
    <row r="1276" spans="1:7" x14ac:dyDescent="0.25">
      <c r="A1276" s="75">
        <v>7112802</v>
      </c>
      <c r="B1276" s="73" t="s">
        <v>3342</v>
      </c>
      <c r="C1276" s="68">
        <v>99</v>
      </c>
      <c r="D1276" s="73" t="s">
        <v>3331</v>
      </c>
      <c r="E1276" s="77">
        <v>4021.4074508201447</v>
      </c>
      <c r="F1276" s="77">
        <v>2694.3972204463248</v>
      </c>
      <c r="G1276" s="76">
        <v>16.663019268807275</v>
      </c>
    </row>
    <row r="1277" spans="1:7" x14ac:dyDescent="0.25">
      <c r="A1277" s="75">
        <v>7112901</v>
      </c>
      <c r="B1277" s="73" t="s">
        <v>3343</v>
      </c>
      <c r="C1277" s="68">
        <v>2</v>
      </c>
      <c r="D1277" s="73" t="s">
        <v>3317</v>
      </c>
      <c r="E1277" s="77">
        <v>454.14779846412785</v>
      </c>
      <c r="F1277" s="77">
        <v>197.51109411039536</v>
      </c>
      <c r="G1277" s="76">
        <v>11.568526700607199</v>
      </c>
    </row>
    <row r="1278" spans="1:7" x14ac:dyDescent="0.25">
      <c r="A1278" s="75">
        <v>7112901</v>
      </c>
      <c r="B1278" s="73" t="s">
        <v>3343</v>
      </c>
      <c r="C1278" s="68">
        <v>3</v>
      </c>
      <c r="D1278" s="73" t="s">
        <v>3317</v>
      </c>
      <c r="E1278" s="77">
        <v>454.14779846412785</v>
      </c>
      <c r="F1278" s="77">
        <v>197.51109411039536</v>
      </c>
      <c r="G1278" s="76">
        <v>11.568526700607199</v>
      </c>
    </row>
    <row r="1279" spans="1:7" x14ac:dyDescent="0.25">
      <c r="A1279" s="75">
        <v>7113001</v>
      </c>
      <c r="B1279" s="73" t="s">
        <v>3344</v>
      </c>
      <c r="C1279" s="68">
        <v>1</v>
      </c>
      <c r="D1279" s="73" t="s">
        <v>3252</v>
      </c>
      <c r="E1279" s="77">
        <v>4243.4079824537275</v>
      </c>
      <c r="F1279" s="77">
        <v>2812.4971866969013</v>
      </c>
      <c r="G1279" s="76">
        <v>17.41000918529657</v>
      </c>
    </row>
    <row r="1280" spans="1:7" x14ac:dyDescent="0.25">
      <c r="A1280" s="75">
        <v>7113101</v>
      </c>
      <c r="B1280" s="73" t="s">
        <v>3345</v>
      </c>
      <c r="C1280" s="68">
        <v>1</v>
      </c>
      <c r="D1280" s="73" t="s">
        <v>3291</v>
      </c>
      <c r="E1280" s="77">
        <v>741.38121994430264</v>
      </c>
      <c r="F1280" s="77">
        <v>1266.1381260659434</v>
      </c>
      <c r="G1280" s="76">
        <v>5.8804306679787741</v>
      </c>
    </row>
    <row r="1281" spans="1:7" x14ac:dyDescent="0.25">
      <c r="A1281" s="75">
        <v>7113201</v>
      </c>
      <c r="B1281" s="73" t="s">
        <v>3346</v>
      </c>
      <c r="C1281" s="68">
        <v>1</v>
      </c>
      <c r="D1281" s="73" t="s">
        <v>3296</v>
      </c>
      <c r="E1281" s="77">
        <v>777.66711937517641</v>
      </c>
      <c r="F1281" s="77">
        <v>1093.9433692968353</v>
      </c>
      <c r="G1281" s="76">
        <v>5.0806922289220298</v>
      </c>
    </row>
    <row r="1282" spans="1:7" x14ac:dyDescent="0.25">
      <c r="A1282" s="75">
        <v>7113201</v>
      </c>
      <c r="B1282" s="73" t="s">
        <v>3346</v>
      </c>
      <c r="C1282" s="68">
        <v>3</v>
      </c>
      <c r="D1282" s="73" t="s">
        <v>3296</v>
      </c>
      <c r="E1282" s="77">
        <v>749.83211937517649</v>
      </c>
      <c r="F1282" s="77">
        <v>1093.9433692968353</v>
      </c>
      <c r="G1282" s="76">
        <v>5.0806922289220298</v>
      </c>
    </row>
    <row r="1283" spans="1:7" x14ac:dyDescent="0.25">
      <c r="A1283" s="75">
        <v>7113201</v>
      </c>
      <c r="B1283" s="73" t="s">
        <v>3346</v>
      </c>
      <c r="C1283" s="68">
        <v>8</v>
      </c>
      <c r="D1283" s="73" t="s">
        <v>3296</v>
      </c>
      <c r="E1283" s="77">
        <v>711.74211937517646</v>
      </c>
      <c r="F1283" s="77">
        <v>1093.9433692968353</v>
      </c>
      <c r="G1283" s="76">
        <v>5.0806922289220298</v>
      </c>
    </row>
    <row r="1284" spans="1:7" x14ac:dyDescent="0.25">
      <c r="A1284" s="75">
        <v>7113201</v>
      </c>
      <c r="B1284" s="73" t="s">
        <v>3346</v>
      </c>
      <c r="C1284" s="68">
        <v>99</v>
      </c>
      <c r="D1284" s="73" t="s">
        <v>3296</v>
      </c>
      <c r="E1284" s="77">
        <v>777.66711937517641</v>
      </c>
      <c r="F1284" s="77">
        <v>1093.9433692968353</v>
      </c>
      <c r="G1284" s="76">
        <v>5.0806922289220298</v>
      </c>
    </row>
    <row r="1285" spans="1:7" x14ac:dyDescent="0.25">
      <c r="A1285" s="75">
        <v>7113301</v>
      </c>
      <c r="B1285" s="73" t="s">
        <v>3347</v>
      </c>
      <c r="C1285" s="68">
        <v>1</v>
      </c>
      <c r="D1285" s="73" t="s">
        <v>3296</v>
      </c>
      <c r="E1285" s="77">
        <v>777.66711937517641</v>
      </c>
      <c r="F1285" s="77">
        <v>1093.9433692968353</v>
      </c>
      <c r="G1285" s="76">
        <v>5.0806922289220298</v>
      </c>
    </row>
    <row r="1286" spans="1:7" x14ac:dyDescent="0.25">
      <c r="A1286" s="75">
        <v>7113301</v>
      </c>
      <c r="B1286" s="73" t="s">
        <v>3347</v>
      </c>
      <c r="C1286" s="68">
        <v>2</v>
      </c>
      <c r="D1286" s="73" t="s">
        <v>3298</v>
      </c>
      <c r="E1286" s="77">
        <v>720.41904985642554</v>
      </c>
      <c r="F1286" s="77">
        <v>1054.3911164975066</v>
      </c>
      <c r="G1286" s="76">
        <v>4.8972224335564585</v>
      </c>
    </row>
    <row r="1287" spans="1:7" x14ac:dyDescent="0.25">
      <c r="A1287" s="75">
        <v>7113301</v>
      </c>
      <c r="B1287" s="73" t="s">
        <v>3347</v>
      </c>
      <c r="C1287" s="68">
        <v>3</v>
      </c>
      <c r="D1287" s="73" t="s">
        <v>3296</v>
      </c>
      <c r="E1287" s="77">
        <v>749.83211937517649</v>
      </c>
      <c r="F1287" s="77">
        <v>1093.9433692968353</v>
      </c>
      <c r="G1287" s="76">
        <v>5.0806922289220298</v>
      </c>
    </row>
    <row r="1288" spans="1:7" x14ac:dyDescent="0.25">
      <c r="A1288" s="75">
        <v>7113301</v>
      </c>
      <c r="B1288" s="73" t="s">
        <v>3347</v>
      </c>
      <c r="C1288" s="68">
        <v>7</v>
      </c>
      <c r="D1288" s="73" t="s">
        <v>3299</v>
      </c>
      <c r="E1288" s="77">
        <v>680.98095432958564</v>
      </c>
      <c r="F1288" s="77">
        <v>1040.6175485974939</v>
      </c>
      <c r="G1288" s="76">
        <v>4.976868641109002</v>
      </c>
    </row>
    <row r="1289" spans="1:7" x14ac:dyDescent="0.25">
      <c r="A1289" s="75">
        <v>7113301</v>
      </c>
      <c r="B1289" s="73" t="s">
        <v>3347</v>
      </c>
      <c r="C1289" s="68">
        <v>8</v>
      </c>
      <c r="D1289" s="73" t="s">
        <v>3296</v>
      </c>
      <c r="E1289" s="77">
        <v>711.74211937517646</v>
      </c>
      <c r="F1289" s="77">
        <v>1093.9433692968353</v>
      </c>
      <c r="G1289" s="76">
        <v>5.0806922289220298</v>
      </c>
    </row>
    <row r="1290" spans="1:7" x14ac:dyDescent="0.25">
      <c r="A1290" s="75">
        <v>7113301</v>
      </c>
      <c r="B1290" s="73" t="s">
        <v>3347</v>
      </c>
      <c r="C1290" s="68">
        <v>99</v>
      </c>
      <c r="D1290" s="73" t="s">
        <v>3296</v>
      </c>
      <c r="E1290" s="77">
        <v>777.66711937517641</v>
      </c>
      <c r="F1290" s="77">
        <v>1093.9433692968353</v>
      </c>
      <c r="G1290" s="76">
        <v>5.0806922289220298</v>
      </c>
    </row>
    <row r="1291" spans="1:7" x14ac:dyDescent="0.25">
      <c r="A1291" s="75">
        <v>7113401</v>
      </c>
      <c r="B1291" s="73" t="s">
        <v>3348</v>
      </c>
      <c r="C1291" s="68">
        <v>1</v>
      </c>
      <c r="D1291" s="73" t="s">
        <v>3235</v>
      </c>
      <c r="E1291" s="77">
        <v>4720.8253518772563</v>
      </c>
      <c r="F1291" s="77">
        <v>3133.9254366051191</v>
      </c>
      <c r="G1291" s="76">
        <v>19.399724520759033</v>
      </c>
    </row>
    <row r="1292" spans="1:7" x14ac:dyDescent="0.25">
      <c r="A1292" s="75">
        <v>7113401</v>
      </c>
      <c r="B1292" s="73" t="s">
        <v>3348</v>
      </c>
      <c r="C1292" s="68">
        <v>8</v>
      </c>
      <c r="D1292" s="73" t="s">
        <v>3235</v>
      </c>
      <c r="E1292" s="77">
        <v>4654.9003518772561</v>
      </c>
      <c r="F1292" s="77">
        <v>3133.9254366051191</v>
      </c>
      <c r="G1292" s="76">
        <v>19.399724520759033</v>
      </c>
    </row>
    <row r="1293" spans="1:7" x14ac:dyDescent="0.25">
      <c r="A1293" s="75">
        <v>7113401</v>
      </c>
      <c r="B1293" s="73" t="s">
        <v>3348</v>
      </c>
      <c r="C1293" s="68">
        <v>99</v>
      </c>
      <c r="D1293" s="73" t="s">
        <v>3235</v>
      </c>
      <c r="E1293" s="77">
        <v>4720.8253518772563</v>
      </c>
      <c r="F1293" s="77">
        <v>3133.9254366051191</v>
      </c>
      <c r="G1293" s="76">
        <v>19.399724520759033</v>
      </c>
    </row>
    <row r="1294" spans="1:7" x14ac:dyDescent="0.25">
      <c r="A1294" s="75">
        <v>7113402</v>
      </c>
      <c r="B1294" s="73" t="s">
        <v>3349</v>
      </c>
      <c r="C1294" s="68">
        <v>8</v>
      </c>
      <c r="D1294" s="73" t="s">
        <v>3235</v>
      </c>
      <c r="E1294" s="77">
        <v>4654.9003518772561</v>
      </c>
      <c r="F1294" s="77">
        <v>3133.9254366051191</v>
      </c>
      <c r="G1294" s="76">
        <v>19.399724520759033</v>
      </c>
    </row>
    <row r="1295" spans="1:7" x14ac:dyDescent="0.25">
      <c r="A1295" s="75">
        <v>7113501</v>
      </c>
      <c r="B1295" s="73" t="s">
        <v>3350</v>
      </c>
      <c r="C1295" s="68">
        <v>1</v>
      </c>
      <c r="D1295" s="73" t="s">
        <v>3351</v>
      </c>
      <c r="E1295" s="77">
        <v>1928.5454391545463</v>
      </c>
      <c r="F1295" s="77">
        <v>2150.1398403606131</v>
      </c>
      <c r="G1295" s="76">
        <v>9.5604847571750309</v>
      </c>
    </row>
    <row r="1296" spans="1:7" x14ac:dyDescent="0.25">
      <c r="A1296" s="75">
        <v>7113501</v>
      </c>
      <c r="B1296" s="73" t="s">
        <v>3350</v>
      </c>
      <c r="C1296" s="68">
        <v>6</v>
      </c>
      <c r="D1296" s="73" t="s">
        <v>3351</v>
      </c>
      <c r="E1296" s="77">
        <v>1881.6654391545464</v>
      </c>
      <c r="F1296" s="77">
        <v>2150.1398403606131</v>
      </c>
      <c r="G1296" s="76">
        <v>9.5604847571750309</v>
      </c>
    </row>
    <row r="1297" spans="1:7" x14ac:dyDescent="0.25">
      <c r="A1297" s="75">
        <v>7180001</v>
      </c>
      <c r="B1297" s="73" t="s">
        <v>3352</v>
      </c>
      <c r="C1297" s="68">
        <v>1</v>
      </c>
      <c r="D1297" s="73" t="s">
        <v>3353</v>
      </c>
      <c r="E1297" s="77">
        <v>2759.6883264372518</v>
      </c>
      <c r="F1297" s="77">
        <v>1813.6156896200948</v>
      </c>
      <c r="G1297" s="76">
        <v>11.226701297421286</v>
      </c>
    </row>
    <row r="1298" spans="1:7" x14ac:dyDescent="0.25">
      <c r="A1298" s="75">
        <v>7180001</v>
      </c>
      <c r="B1298" s="73" t="s">
        <v>3352</v>
      </c>
      <c r="C1298" s="68">
        <v>99</v>
      </c>
      <c r="D1298" s="73" t="s">
        <v>3353</v>
      </c>
      <c r="E1298" s="77">
        <v>2693.7633264372516</v>
      </c>
      <c r="F1298" s="77">
        <v>1813.6156896200948</v>
      </c>
      <c r="G1298" s="76">
        <v>11.226701297421286</v>
      </c>
    </row>
    <row r="1299" spans="1:7" x14ac:dyDescent="0.25">
      <c r="A1299" s="75"/>
      <c r="B1299" s="72" t="s">
        <v>22</v>
      </c>
      <c r="C1299" s="68"/>
      <c r="D1299" s="73"/>
      <c r="E1299" s="77"/>
      <c r="F1299" s="77"/>
      <c r="G1299" s="76"/>
    </row>
    <row r="1300" spans="1:7" x14ac:dyDescent="0.25">
      <c r="A1300" s="75">
        <v>7200101</v>
      </c>
      <c r="B1300" s="73" t="s">
        <v>971</v>
      </c>
      <c r="C1300" s="68">
        <v>1</v>
      </c>
      <c r="D1300" s="73" t="s">
        <v>3354</v>
      </c>
      <c r="E1300" s="77">
        <v>618.43921764797597</v>
      </c>
      <c r="F1300" s="77">
        <v>0</v>
      </c>
      <c r="G1300" s="76">
        <v>31.563758248103394</v>
      </c>
    </row>
    <row r="1301" spans="1:7" x14ac:dyDescent="0.25">
      <c r="A1301" s="75">
        <v>7200101</v>
      </c>
      <c r="B1301" s="73" t="s">
        <v>3355</v>
      </c>
      <c r="C1301" s="68">
        <v>2</v>
      </c>
      <c r="D1301" s="73" t="s">
        <v>3356</v>
      </c>
      <c r="E1301" s="77">
        <v>724.8066084220128</v>
      </c>
      <c r="F1301" s="77">
        <v>30.679509475101085</v>
      </c>
      <c r="G1301" s="76">
        <v>33.831873330104763</v>
      </c>
    </row>
    <row r="1302" spans="1:7" x14ac:dyDescent="0.25">
      <c r="A1302" s="75">
        <v>7200101</v>
      </c>
      <c r="B1302" s="73" t="s">
        <v>971</v>
      </c>
      <c r="C1302" s="68">
        <v>3</v>
      </c>
      <c r="D1302" s="73" t="s">
        <v>3357</v>
      </c>
      <c r="E1302" s="77">
        <v>631.13588431464268</v>
      </c>
      <c r="F1302" s="77">
        <v>0</v>
      </c>
      <c r="G1302" s="76">
        <v>31.563758248103394</v>
      </c>
    </row>
    <row r="1303" spans="1:7" x14ac:dyDescent="0.25">
      <c r="A1303" s="75">
        <v>7200101</v>
      </c>
      <c r="B1303" s="73" t="s">
        <v>971</v>
      </c>
      <c r="C1303" s="68">
        <v>4</v>
      </c>
      <c r="D1303" s="73" t="s">
        <v>3357</v>
      </c>
      <c r="E1303" s="77">
        <v>527.74667905929141</v>
      </c>
      <c r="F1303" s="77">
        <v>0</v>
      </c>
      <c r="G1303" s="76">
        <v>26.934407038381572</v>
      </c>
    </row>
    <row r="1304" spans="1:7" x14ac:dyDescent="0.25">
      <c r="A1304" s="75">
        <v>7200101</v>
      </c>
      <c r="B1304" s="73" t="s">
        <v>971</v>
      </c>
      <c r="C1304" s="68">
        <v>5</v>
      </c>
      <c r="D1304" s="73" t="s">
        <v>3358</v>
      </c>
      <c r="E1304" s="77">
        <v>758.35167223952749</v>
      </c>
      <c r="F1304" s="77">
        <v>92.571759207267064</v>
      </c>
      <c r="G1304" s="76">
        <v>35.559776863211098</v>
      </c>
    </row>
    <row r="1305" spans="1:7" x14ac:dyDescent="0.25">
      <c r="A1305" s="75">
        <v>7200101</v>
      </c>
      <c r="B1305" s="73" t="s">
        <v>971</v>
      </c>
      <c r="C1305" s="68">
        <v>6</v>
      </c>
      <c r="D1305" s="73" t="s">
        <v>3356</v>
      </c>
      <c r="E1305" s="77">
        <v>722.9021084220127</v>
      </c>
      <c r="F1305" s="77">
        <v>30.679509475101089</v>
      </c>
      <c r="G1305" s="76">
        <v>33.831873330104763</v>
      </c>
    </row>
    <row r="1306" spans="1:7" x14ac:dyDescent="0.25">
      <c r="A1306" s="75">
        <v>7200101</v>
      </c>
      <c r="B1306" s="73" t="s">
        <v>971</v>
      </c>
      <c r="C1306" s="68">
        <v>7</v>
      </c>
      <c r="D1306" s="73" t="s">
        <v>3359</v>
      </c>
      <c r="E1306" s="77">
        <v>642.39105560879489</v>
      </c>
      <c r="F1306" s="77">
        <v>21.465152453390292</v>
      </c>
      <c r="G1306" s="76">
        <v>31.896436243595943</v>
      </c>
    </row>
    <row r="1307" spans="1:7" x14ac:dyDescent="0.25">
      <c r="A1307" s="75">
        <v>7200101</v>
      </c>
      <c r="B1307" s="73" t="s">
        <v>971</v>
      </c>
      <c r="C1307" s="68">
        <v>8</v>
      </c>
      <c r="D1307" s="73" t="s">
        <v>3354</v>
      </c>
      <c r="E1307" s="77">
        <v>618.43921764797597</v>
      </c>
      <c r="F1307" s="77">
        <v>0</v>
      </c>
      <c r="G1307" s="76">
        <v>31.563758248103394</v>
      </c>
    </row>
    <row r="1308" spans="1:7" x14ac:dyDescent="0.25">
      <c r="A1308" s="75">
        <v>7200101</v>
      </c>
      <c r="B1308" s="73" t="s">
        <v>971</v>
      </c>
      <c r="C1308" s="68">
        <v>99</v>
      </c>
      <c r="D1308" s="73" t="s">
        <v>3357</v>
      </c>
      <c r="E1308" s="77">
        <v>631.13588431464268</v>
      </c>
      <c r="F1308" s="77">
        <v>0</v>
      </c>
      <c r="G1308" s="76">
        <v>31.563758248103394</v>
      </c>
    </row>
    <row r="1309" spans="1:7" x14ac:dyDescent="0.25">
      <c r="A1309" s="75">
        <v>7200401</v>
      </c>
      <c r="B1309" s="73" t="s">
        <v>3360</v>
      </c>
      <c r="C1309" s="68">
        <v>1</v>
      </c>
      <c r="D1309" s="73" t="s">
        <v>3354</v>
      </c>
      <c r="E1309" s="77">
        <v>618.43921764797597</v>
      </c>
      <c r="F1309" s="77">
        <v>0</v>
      </c>
      <c r="G1309" s="76">
        <v>31.563758248103394</v>
      </c>
    </row>
    <row r="1310" spans="1:7" x14ac:dyDescent="0.25">
      <c r="A1310" s="75">
        <v>7200401</v>
      </c>
      <c r="B1310" s="73" t="s">
        <v>3361</v>
      </c>
      <c r="C1310" s="68">
        <v>2</v>
      </c>
      <c r="D1310" s="73" t="s">
        <v>3356</v>
      </c>
      <c r="E1310" s="77">
        <v>724.80660842201291</v>
      </c>
      <c r="F1310" s="77">
        <v>30.679509475101089</v>
      </c>
      <c r="G1310" s="76">
        <v>33.831873330104756</v>
      </c>
    </row>
    <row r="1311" spans="1:7" x14ac:dyDescent="0.25">
      <c r="A1311" s="75">
        <v>7200401</v>
      </c>
      <c r="B1311" s="73" t="s">
        <v>3360</v>
      </c>
      <c r="C1311" s="68">
        <v>3</v>
      </c>
      <c r="D1311" s="73" t="s">
        <v>3357</v>
      </c>
      <c r="E1311" s="77">
        <v>631.13588431464268</v>
      </c>
      <c r="F1311" s="77">
        <v>0</v>
      </c>
      <c r="G1311" s="76">
        <v>31.563758248103394</v>
      </c>
    </row>
    <row r="1312" spans="1:7" x14ac:dyDescent="0.25">
      <c r="A1312" s="75">
        <v>7200401</v>
      </c>
      <c r="B1312" s="73" t="s">
        <v>3360</v>
      </c>
      <c r="C1312" s="68">
        <v>5</v>
      </c>
      <c r="D1312" s="73" t="s">
        <v>3358</v>
      </c>
      <c r="E1312" s="77">
        <v>758.35167223952749</v>
      </c>
      <c r="F1312" s="77">
        <v>92.571759207267064</v>
      </c>
      <c r="G1312" s="76">
        <v>35.559776863211098</v>
      </c>
    </row>
    <row r="1313" spans="1:7" x14ac:dyDescent="0.25">
      <c r="A1313" s="75">
        <v>7200401</v>
      </c>
      <c r="B1313" s="73" t="s">
        <v>3360</v>
      </c>
      <c r="C1313" s="68">
        <v>6</v>
      </c>
      <c r="D1313" s="73" t="s">
        <v>3356</v>
      </c>
      <c r="E1313" s="77">
        <v>722.90210842201282</v>
      </c>
      <c r="F1313" s="77">
        <v>30.679509475101089</v>
      </c>
      <c r="G1313" s="76">
        <v>33.831873330104756</v>
      </c>
    </row>
    <row r="1314" spans="1:7" x14ac:dyDescent="0.25">
      <c r="A1314" s="75">
        <v>7200401</v>
      </c>
      <c r="B1314" s="73" t="s">
        <v>3360</v>
      </c>
      <c r="C1314" s="68">
        <v>7</v>
      </c>
      <c r="D1314" s="73" t="s">
        <v>3359</v>
      </c>
      <c r="E1314" s="77">
        <v>642.39105560879489</v>
      </c>
      <c r="F1314" s="77">
        <v>21.465152453390292</v>
      </c>
      <c r="G1314" s="76">
        <v>31.896436243595943</v>
      </c>
    </row>
    <row r="1315" spans="1:7" x14ac:dyDescent="0.25">
      <c r="A1315" s="75">
        <v>7200401</v>
      </c>
      <c r="B1315" s="73" t="s">
        <v>3360</v>
      </c>
      <c r="C1315" s="68">
        <v>8</v>
      </c>
      <c r="D1315" s="73" t="s">
        <v>3354</v>
      </c>
      <c r="E1315" s="77">
        <v>618.43921764797597</v>
      </c>
      <c r="F1315" s="77">
        <v>0</v>
      </c>
      <c r="G1315" s="76">
        <v>31.563758248103394</v>
      </c>
    </row>
    <row r="1316" spans="1:7" x14ac:dyDescent="0.25">
      <c r="A1316" s="75">
        <v>7200401</v>
      </c>
      <c r="B1316" s="73" t="s">
        <v>3360</v>
      </c>
      <c r="C1316" s="68">
        <v>99</v>
      </c>
      <c r="D1316" s="73" t="s">
        <v>3357</v>
      </c>
      <c r="E1316" s="77">
        <v>631.13588431464268</v>
      </c>
      <c r="F1316" s="77">
        <v>0</v>
      </c>
      <c r="G1316" s="76">
        <v>31.563758248103394</v>
      </c>
    </row>
    <row r="1317" spans="1:7" x14ac:dyDescent="0.25">
      <c r="A1317" s="75">
        <v>7260101</v>
      </c>
      <c r="B1317" s="73" t="s">
        <v>977</v>
      </c>
      <c r="C1317" s="68">
        <v>1</v>
      </c>
      <c r="D1317" s="73" t="s">
        <v>3362</v>
      </c>
      <c r="E1317" s="77">
        <v>4008.8241105246766</v>
      </c>
      <c r="F1317" s="77">
        <v>0</v>
      </c>
      <c r="G1317" s="76">
        <v>57.021395048136917</v>
      </c>
    </row>
    <row r="1318" spans="1:7" x14ac:dyDescent="0.25">
      <c r="A1318" s="75">
        <v>7260101</v>
      </c>
      <c r="B1318" s="73" t="s">
        <v>977</v>
      </c>
      <c r="C1318" s="68">
        <v>2</v>
      </c>
      <c r="D1318" s="73" t="s">
        <v>3363</v>
      </c>
      <c r="E1318" s="77">
        <v>3838.2380848357611</v>
      </c>
      <c r="F1318" s="77">
        <v>10.447199899461713</v>
      </c>
      <c r="G1318" s="76">
        <v>54.463938822906549</v>
      </c>
    </row>
    <row r="1319" spans="1:7" x14ac:dyDescent="0.25">
      <c r="A1319" s="75">
        <v>7260101</v>
      </c>
      <c r="B1319" s="73" t="s">
        <v>977</v>
      </c>
      <c r="C1319" s="68">
        <v>3</v>
      </c>
      <c r="D1319" s="73" t="s">
        <v>3362</v>
      </c>
      <c r="E1319" s="77">
        <v>4018.3466105246766</v>
      </c>
      <c r="F1319" s="77">
        <v>0</v>
      </c>
      <c r="G1319" s="76">
        <v>57.021395048136917</v>
      </c>
    </row>
    <row r="1320" spans="1:7" x14ac:dyDescent="0.25">
      <c r="A1320" s="75">
        <v>7260101</v>
      </c>
      <c r="B1320" s="73" t="s">
        <v>977</v>
      </c>
      <c r="C1320" s="68">
        <v>4</v>
      </c>
      <c r="D1320" s="73" t="s">
        <v>3362</v>
      </c>
      <c r="E1320" s="77">
        <v>2031.1775093314441</v>
      </c>
      <c r="F1320" s="77">
        <v>0</v>
      </c>
      <c r="G1320" s="76">
        <v>28.89084015772271</v>
      </c>
    </row>
    <row r="1321" spans="1:7" x14ac:dyDescent="0.25">
      <c r="A1321" s="75">
        <v>7260101</v>
      </c>
      <c r="B1321" s="73" t="s">
        <v>977</v>
      </c>
      <c r="C1321" s="68">
        <v>5</v>
      </c>
      <c r="D1321" s="73" t="s">
        <v>3364</v>
      </c>
      <c r="E1321" s="77">
        <v>3632.5802230172244</v>
      </c>
      <c r="F1321" s="77">
        <v>42.930304906780584</v>
      </c>
      <c r="G1321" s="76">
        <v>51.673480100862598</v>
      </c>
    </row>
    <row r="1322" spans="1:7" x14ac:dyDescent="0.25">
      <c r="A1322" s="75">
        <v>7260101</v>
      </c>
      <c r="B1322" s="73" t="s">
        <v>977</v>
      </c>
      <c r="C1322" s="68">
        <v>6</v>
      </c>
      <c r="D1322" s="73" t="s">
        <v>3363</v>
      </c>
      <c r="E1322" s="77">
        <v>3839.5077515024277</v>
      </c>
      <c r="F1322" s="77">
        <v>10.447199899461713</v>
      </c>
      <c r="G1322" s="76">
        <v>54.463938822906549</v>
      </c>
    </row>
    <row r="1323" spans="1:7" x14ac:dyDescent="0.25">
      <c r="A1323" s="75">
        <v>7260101</v>
      </c>
      <c r="B1323" s="73" t="s">
        <v>977</v>
      </c>
      <c r="C1323" s="68">
        <v>7</v>
      </c>
      <c r="D1323" s="73" t="s">
        <v>3364</v>
      </c>
      <c r="E1323" s="77">
        <v>3635.7543896838911</v>
      </c>
      <c r="F1323" s="77">
        <v>42.930304906780584</v>
      </c>
      <c r="G1323" s="76">
        <v>51.673480100862598</v>
      </c>
    </row>
    <row r="1324" spans="1:7" x14ac:dyDescent="0.25">
      <c r="A1324" s="75">
        <v>7260101</v>
      </c>
      <c r="B1324" s="73" t="s">
        <v>977</v>
      </c>
      <c r="C1324" s="68">
        <v>8</v>
      </c>
      <c r="D1324" s="73" t="s">
        <v>3362</v>
      </c>
      <c r="E1324" s="77">
        <v>4008.8241105246766</v>
      </c>
      <c r="F1324" s="77">
        <v>0</v>
      </c>
      <c r="G1324" s="76">
        <v>57.021395048136917</v>
      </c>
    </row>
    <row r="1325" spans="1:7" x14ac:dyDescent="0.25">
      <c r="A1325" s="75">
        <v>7260101</v>
      </c>
      <c r="B1325" s="73" t="s">
        <v>977</v>
      </c>
      <c r="C1325" s="68">
        <v>9</v>
      </c>
      <c r="D1325" s="73" t="s">
        <v>3363</v>
      </c>
      <c r="E1325" s="77">
        <v>3838.2380848357611</v>
      </c>
      <c r="F1325" s="77">
        <v>10.447199899461713</v>
      </c>
      <c r="G1325" s="76">
        <v>54.463938822906549</v>
      </c>
    </row>
    <row r="1326" spans="1:7" x14ac:dyDescent="0.25">
      <c r="A1326" s="75">
        <v>7260101</v>
      </c>
      <c r="B1326" s="73" t="s">
        <v>977</v>
      </c>
      <c r="C1326" s="68">
        <v>99</v>
      </c>
      <c r="D1326" s="73" t="s">
        <v>3362</v>
      </c>
      <c r="E1326" s="77">
        <v>4018.3466105246766</v>
      </c>
      <c r="F1326" s="77">
        <v>0</v>
      </c>
      <c r="G1326" s="76">
        <v>57.021395048136917</v>
      </c>
    </row>
    <row r="1327" spans="1:7" x14ac:dyDescent="0.25">
      <c r="A1327" s="75">
        <v>7261101</v>
      </c>
      <c r="B1327" s="73" t="s">
        <v>1245</v>
      </c>
      <c r="C1327" s="68">
        <v>3</v>
      </c>
      <c r="D1327" s="73" t="s">
        <v>3365</v>
      </c>
      <c r="E1327" s="77">
        <v>1734.2635720556837</v>
      </c>
      <c r="F1327" s="77">
        <v>0</v>
      </c>
      <c r="G1327" s="76">
        <v>57.021395048136917</v>
      </c>
    </row>
    <row r="1328" spans="1:7" x14ac:dyDescent="0.25">
      <c r="A1328" s="75">
        <v>7261101</v>
      </c>
      <c r="B1328" s="73" t="s">
        <v>1245</v>
      </c>
      <c r="C1328" s="68">
        <v>6</v>
      </c>
      <c r="D1328" s="73" t="s">
        <v>3365</v>
      </c>
      <c r="E1328" s="77">
        <v>1734.2635720556837</v>
      </c>
      <c r="F1328" s="77">
        <v>0</v>
      </c>
      <c r="G1328" s="76">
        <v>57.021395048136917</v>
      </c>
    </row>
    <row r="1329" spans="1:7" x14ac:dyDescent="0.25">
      <c r="A1329" s="75">
        <v>7261101</v>
      </c>
      <c r="B1329" s="73" t="s">
        <v>1245</v>
      </c>
      <c r="C1329" s="68">
        <v>8</v>
      </c>
      <c r="D1329" s="73" t="s">
        <v>3365</v>
      </c>
      <c r="E1329" s="77">
        <v>1724.7410720556836</v>
      </c>
      <c r="F1329" s="77">
        <v>0</v>
      </c>
      <c r="G1329" s="76">
        <v>57.021395048136917</v>
      </c>
    </row>
    <row r="1330" spans="1:7" x14ac:dyDescent="0.25">
      <c r="A1330" s="75">
        <v>7262101</v>
      </c>
      <c r="B1330" s="73" t="s">
        <v>1246</v>
      </c>
      <c r="C1330" s="68">
        <v>2</v>
      </c>
      <c r="D1330" s="73" t="s">
        <v>3365</v>
      </c>
      <c r="E1330" s="77">
        <v>1734.2635720556837</v>
      </c>
      <c r="F1330" s="77">
        <v>0</v>
      </c>
      <c r="G1330" s="76">
        <v>57.021395048136917</v>
      </c>
    </row>
    <row r="1331" spans="1:7" x14ac:dyDescent="0.25">
      <c r="A1331" s="75">
        <v>7262101</v>
      </c>
      <c r="B1331" s="73" t="s">
        <v>1246</v>
      </c>
      <c r="C1331" s="68">
        <v>3</v>
      </c>
      <c r="D1331" s="73" t="s">
        <v>3365</v>
      </c>
      <c r="E1331" s="77">
        <v>1734.2635720556837</v>
      </c>
      <c r="F1331" s="77">
        <v>0</v>
      </c>
      <c r="G1331" s="76">
        <v>57.021395048136917</v>
      </c>
    </row>
    <row r="1332" spans="1:7" x14ac:dyDescent="0.25">
      <c r="A1332" s="75">
        <v>7262101</v>
      </c>
      <c r="B1332" s="73" t="s">
        <v>1246</v>
      </c>
      <c r="C1332" s="68">
        <v>6</v>
      </c>
      <c r="D1332" s="73" t="s">
        <v>3365</v>
      </c>
      <c r="E1332" s="77">
        <v>1734.2635720556837</v>
      </c>
      <c r="F1332" s="77">
        <v>0</v>
      </c>
      <c r="G1332" s="76">
        <v>57.021395048136917</v>
      </c>
    </row>
    <row r="1333" spans="1:7" x14ac:dyDescent="0.25">
      <c r="A1333" s="75">
        <v>7262101</v>
      </c>
      <c r="B1333" s="73" t="s">
        <v>1246</v>
      </c>
      <c r="C1333" s="68">
        <v>99</v>
      </c>
      <c r="D1333" s="73" t="s">
        <v>3365</v>
      </c>
      <c r="E1333" s="77">
        <v>1734.2635720556837</v>
      </c>
      <c r="F1333" s="77">
        <v>0</v>
      </c>
      <c r="G1333" s="76">
        <v>57.021395048136917</v>
      </c>
    </row>
    <row r="1334" spans="1:7" x14ac:dyDescent="0.25">
      <c r="A1334" s="75">
        <v>7263101</v>
      </c>
      <c r="B1334" s="73" t="s">
        <v>979</v>
      </c>
      <c r="C1334" s="68">
        <v>2</v>
      </c>
      <c r="D1334" s="73" t="s">
        <v>3366</v>
      </c>
      <c r="E1334" s="77">
        <v>1059.7160440442549</v>
      </c>
      <c r="F1334" s="77">
        <v>8.5540785140412297</v>
      </c>
      <c r="G1334" s="76">
        <v>45.888154921794069</v>
      </c>
    </row>
    <row r="1335" spans="1:7" x14ac:dyDescent="0.25">
      <c r="A1335" s="75">
        <v>7263101</v>
      </c>
      <c r="B1335" s="73" t="s">
        <v>979</v>
      </c>
      <c r="C1335" s="68">
        <v>3</v>
      </c>
      <c r="D1335" s="73" t="s">
        <v>3367</v>
      </c>
      <c r="E1335" s="77">
        <v>1267.9504183954912</v>
      </c>
      <c r="F1335" s="77">
        <v>0</v>
      </c>
      <c r="G1335" s="76">
        <v>57.021395048136917</v>
      </c>
    </row>
    <row r="1336" spans="1:7" x14ac:dyDescent="0.25">
      <c r="A1336" s="75">
        <v>7263101</v>
      </c>
      <c r="B1336" s="73" t="s">
        <v>979</v>
      </c>
      <c r="C1336" s="68">
        <v>6</v>
      </c>
      <c r="D1336" s="73" t="s">
        <v>3366</v>
      </c>
      <c r="E1336" s="77">
        <v>1060.9857107109217</v>
      </c>
      <c r="F1336" s="77">
        <v>8.5540785140412297</v>
      </c>
      <c r="G1336" s="76">
        <v>45.888154921794069</v>
      </c>
    </row>
    <row r="1337" spans="1:7" x14ac:dyDescent="0.25">
      <c r="A1337" s="75">
        <v>7263101</v>
      </c>
      <c r="B1337" s="73" t="s">
        <v>979</v>
      </c>
      <c r="C1337" s="68">
        <v>99</v>
      </c>
      <c r="D1337" s="73" t="s">
        <v>3367</v>
      </c>
      <c r="E1337" s="77">
        <v>1267.9504183954912</v>
      </c>
      <c r="F1337" s="77">
        <v>0</v>
      </c>
      <c r="G1337" s="76">
        <v>57.021395048136917</v>
      </c>
    </row>
    <row r="1338" spans="1:7" x14ac:dyDescent="0.25">
      <c r="A1338" s="75">
        <v>7264101</v>
      </c>
      <c r="B1338" s="73" t="s">
        <v>1247</v>
      </c>
      <c r="C1338" s="68">
        <v>4</v>
      </c>
      <c r="D1338" s="73" t="s">
        <v>3368</v>
      </c>
      <c r="E1338" s="77">
        <v>640.44441899546985</v>
      </c>
      <c r="F1338" s="77">
        <v>0</v>
      </c>
      <c r="G1338" s="76">
        <v>29.021435732856638</v>
      </c>
    </row>
    <row r="1339" spans="1:7" x14ac:dyDescent="0.25">
      <c r="A1339" s="75">
        <v>7265101</v>
      </c>
      <c r="B1339" s="73" t="s">
        <v>981</v>
      </c>
      <c r="C1339" s="68">
        <v>3</v>
      </c>
      <c r="D1339" s="73" t="s">
        <v>3369</v>
      </c>
      <c r="E1339" s="77">
        <v>1824.3170251852855</v>
      </c>
      <c r="F1339" s="77">
        <v>0</v>
      </c>
      <c r="G1339" s="76">
        <v>57.021395048136917</v>
      </c>
    </row>
    <row r="1340" spans="1:7" x14ac:dyDescent="0.25">
      <c r="A1340" s="75">
        <v>7265101</v>
      </c>
      <c r="B1340" s="73" t="s">
        <v>981</v>
      </c>
      <c r="C1340" s="68">
        <v>5</v>
      </c>
      <c r="D1340" s="73" t="s">
        <v>3370</v>
      </c>
      <c r="E1340" s="77">
        <v>1742.0032649536199</v>
      </c>
      <c r="F1340" s="77">
        <v>21.36855910358392</v>
      </c>
      <c r="G1340" s="76">
        <v>54.359469857275272</v>
      </c>
    </row>
    <row r="1341" spans="1:7" x14ac:dyDescent="0.25">
      <c r="A1341" s="75">
        <v>7266101</v>
      </c>
      <c r="B1341" s="73" t="s">
        <v>1248</v>
      </c>
      <c r="C1341" s="68">
        <v>2</v>
      </c>
      <c r="D1341" s="73" t="s">
        <v>3366</v>
      </c>
      <c r="E1341" s="77">
        <v>1059.7160440442549</v>
      </c>
      <c r="F1341" s="77">
        <v>8.5540785140412279</v>
      </c>
      <c r="G1341" s="76">
        <v>45.888154921794069</v>
      </c>
    </row>
    <row r="1342" spans="1:7" x14ac:dyDescent="0.25">
      <c r="A1342" s="75">
        <v>7266101</v>
      </c>
      <c r="B1342" s="73" t="s">
        <v>1248</v>
      </c>
      <c r="C1342" s="68">
        <v>3</v>
      </c>
      <c r="D1342" s="73" t="s">
        <v>3367</v>
      </c>
      <c r="E1342" s="77">
        <v>1267.9504183954912</v>
      </c>
      <c r="F1342" s="77">
        <v>0</v>
      </c>
      <c r="G1342" s="76">
        <v>57.021395048136917</v>
      </c>
    </row>
    <row r="1343" spans="1:7" x14ac:dyDescent="0.25">
      <c r="A1343" s="75">
        <v>7266101</v>
      </c>
      <c r="B1343" s="73" t="s">
        <v>1248</v>
      </c>
      <c r="C1343" s="68">
        <v>6</v>
      </c>
      <c r="D1343" s="73" t="s">
        <v>3366</v>
      </c>
      <c r="E1343" s="77">
        <v>1060.9857107109215</v>
      </c>
      <c r="F1343" s="77">
        <v>8.5540785140412297</v>
      </c>
      <c r="G1343" s="76">
        <v>45.888154921794069</v>
      </c>
    </row>
    <row r="1344" spans="1:7" x14ac:dyDescent="0.25">
      <c r="A1344" s="75">
        <v>7266101</v>
      </c>
      <c r="B1344" s="73" t="s">
        <v>1248</v>
      </c>
      <c r="C1344" s="68">
        <v>7</v>
      </c>
      <c r="D1344" s="73" t="s">
        <v>3367</v>
      </c>
      <c r="E1344" s="77">
        <v>1267.9504183954912</v>
      </c>
      <c r="F1344" s="77">
        <v>0</v>
      </c>
      <c r="G1344" s="76">
        <v>57.021395048136917</v>
      </c>
    </row>
    <row r="1345" spans="1:7" x14ac:dyDescent="0.25">
      <c r="A1345" s="75">
        <v>7267101</v>
      </c>
      <c r="B1345" s="73" t="s">
        <v>3371</v>
      </c>
      <c r="C1345" s="68">
        <v>2</v>
      </c>
      <c r="D1345" s="73" t="s">
        <v>3372</v>
      </c>
      <c r="E1345" s="77">
        <v>5924.325499864849</v>
      </c>
      <c r="F1345" s="77">
        <v>8.5540785140412297</v>
      </c>
      <c r="G1345" s="76">
        <v>45.888154921794069</v>
      </c>
    </row>
    <row r="1346" spans="1:7" x14ac:dyDescent="0.25">
      <c r="A1346" s="75">
        <v>7267101</v>
      </c>
      <c r="B1346" s="73" t="s">
        <v>3371</v>
      </c>
      <c r="C1346" s="68">
        <v>3</v>
      </c>
      <c r="D1346" s="73" t="s">
        <v>3373</v>
      </c>
      <c r="E1346" s="77">
        <v>7321.3489955523664</v>
      </c>
      <c r="F1346" s="77">
        <v>0</v>
      </c>
      <c r="G1346" s="76">
        <v>57.021395048136917</v>
      </c>
    </row>
    <row r="1347" spans="1:7" x14ac:dyDescent="0.25">
      <c r="A1347" s="75">
        <v>7267104</v>
      </c>
      <c r="B1347" s="73" t="s">
        <v>3374</v>
      </c>
      <c r="C1347" s="68">
        <v>3</v>
      </c>
      <c r="D1347" s="73" t="s">
        <v>3373</v>
      </c>
      <c r="E1347" s="77">
        <v>7321.3489955523664</v>
      </c>
      <c r="F1347" s="77">
        <v>0</v>
      </c>
      <c r="G1347" s="76">
        <v>57.021395048136917</v>
      </c>
    </row>
    <row r="1348" spans="1:7" x14ac:dyDescent="0.25">
      <c r="A1348" s="75">
        <v>7270401</v>
      </c>
      <c r="B1348" s="73" t="s">
        <v>984</v>
      </c>
      <c r="C1348" s="68">
        <v>1</v>
      </c>
      <c r="D1348" s="73" t="s">
        <v>3375</v>
      </c>
      <c r="E1348" s="77">
        <v>354.59660022921122</v>
      </c>
      <c r="F1348" s="77">
        <v>11.498420218949647</v>
      </c>
      <c r="G1348" s="76">
        <v>25.729701366264322</v>
      </c>
    </row>
    <row r="1349" spans="1:7" x14ac:dyDescent="0.25">
      <c r="A1349" s="75">
        <v>7270401</v>
      </c>
      <c r="B1349" s="73" t="s">
        <v>984</v>
      </c>
      <c r="C1349" s="68">
        <v>2</v>
      </c>
      <c r="D1349" s="73" t="s">
        <v>3375</v>
      </c>
      <c r="E1349" s="77">
        <v>364.1191002292112</v>
      </c>
      <c r="F1349" s="77">
        <v>11.498420218949647</v>
      </c>
      <c r="G1349" s="76">
        <v>25.729701366264326</v>
      </c>
    </row>
    <row r="1350" spans="1:7" x14ac:dyDescent="0.25">
      <c r="A1350" s="75">
        <v>7270401</v>
      </c>
      <c r="B1350" s="73" t="s">
        <v>984</v>
      </c>
      <c r="C1350" s="68">
        <v>3</v>
      </c>
      <c r="D1350" s="73" t="s">
        <v>3375</v>
      </c>
      <c r="E1350" s="77">
        <v>364.1191002292112</v>
      </c>
      <c r="F1350" s="77">
        <v>11.498420218949647</v>
      </c>
      <c r="G1350" s="76">
        <v>25.729701366264326</v>
      </c>
    </row>
    <row r="1351" spans="1:7" x14ac:dyDescent="0.25">
      <c r="A1351" s="75">
        <v>7270401</v>
      </c>
      <c r="B1351" s="73" t="s">
        <v>984</v>
      </c>
      <c r="C1351" s="68">
        <v>6</v>
      </c>
      <c r="D1351" s="73" t="s">
        <v>3375</v>
      </c>
      <c r="E1351" s="77">
        <v>374.91126689587787</v>
      </c>
      <c r="F1351" s="77">
        <v>11.498420218949647</v>
      </c>
      <c r="G1351" s="76">
        <v>25.729701366264326</v>
      </c>
    </row>
    <row r="1352" spans="1:7" x14ac:dyDescent="0.25">
      <c r="A1352" s="75">
        <v>7270401</v>
      </c>
      <c r="B1352" s="73" t="s">
        <v>984</v>
      </c>
      <c r="C1352" s="68">
        <v>7</v>
      </c>
      <c r="D1352" s="73" t="s">
        <v>3359</v>
      </c>
      <c r="E1352" s="77">
        <v>642.39105560879489</v>
      </c>
      <c r="F1352" s="77">
        <v>21.465152453390292</v>
      </c>
      <c r="G1352" s="76">
        <v>31.896436243595943</v>
      </c>
    </row>
    <row r="1353" spans="1:7" x14ac:dyDescent="0.25">
      <c r="A1353" s="75">
        <v>7270401</v>
      </c>
      <c r="B1353" s="73" t="s">
        <v>984</v>
      </c>
      <c r="C1353" s="68">
        <v>9</v>
      </c>
      <c r="D1353" s="73" t="s">
        <v>3375</v>
      </c>
      <c r="E1353" s="77">
        <v>376.81576689587786</v>
      </c>
      <c r="F1353" s="77">
        <v>11.498420218949647</v>
      </c>
      <c r="G1353" s="76">
        <v>25.729701366264326</v>
      </c>
    </row>
    <row r="1354" spans="1:7" x14ac:dyDescent="0.25">
      <c r="A1354" s="75">
        <v>7270401</v>
      </c>
      <c r="B1354" s="73" t="s">
        <v>984</v>
      </c>
      <c r="C1354" s="68">
        <v>99</v>
      </c>
      <c r="D1354" s="73" t="s">
        <v>3375</v>
      </c>
      <c r="E1354" s="77">
        <v>376.81576689587791</v>
      </c>
      <c r="F1354" s="77">
        <v>11.498420218949647</v>
      </c>
      <c r="G1354" s="76">
        <v>25.729701366264326</v>
      </c>
    </row>
    <row r="1355" spans="1:7" x14ac:dyDescent="0.25">
      <c r="A1355" s="75">
        <v>7273101</v>
      </c>
      <c r="B1355" s="73" t="s">
        <v>1249</v>
      </c>
      <c r="C1355" s="68">
        <v>1</v>
      </c>
      <c r="D1355" s="73" t="s">
        <v>3376</v>
      </c>
      <c r="E1355" s="77">
        <v>654.5</v>
      </c>
      <c r="F1355" s="77">
        <v>63.2</v>
      </c>
      <c r="G1355" s="76">
        <v>5.2</v>
      </c>
    </row>
    <row r="1356" spans="1:7" x14ac:dyDescent="0.25">
      <c r="A1356" s="75">
        <v>7273101</v>
      </c>
      <c r="B1356" s="73" t="s">
        <v>1249</v>
      </c>
      <c r="C1356" s="68">
        <v>3</v>
      </c>
      <c r="D1356" s="73" t="s">
        <v>3376</v>
      </c>
      <c r="E1356" s="77">
        <v>664.02250000000004</v>
      </c>
      <c r="F1356" s="77">
        <v>63.2</v>
      </c>
      <c r="G1356" s="76">
        <v>5.2</v>
      </c>
    </row>
    <row r="1357" spans="1:7" x14ac:dyDescent="0.25">
      <c r="A1357" s="75">
        <v>7273101</v>
      </c>
      <c r="B1357" s="73" t="s">
        <v>1249</v>
      </c>
      <c r="C1357" s="68">
        <v>7</v>
      </c>
      <c r="D1357" s="73" t="s">
        <v>3376</v>
      </c>
      <c r="E1357" s="77">
        <v>664.02250000000004</v>
      </c>
      <c r="F1357" s="77">
        <v>63.2</v>
      </c>
      <c r="G1357" s="76">
        <v>5.2</v>
      </c>
    </row>
    <row r="1358" spans="1:7" x14ac:dyDescent="0.25">
      <c r="A1358" s="75">
        <v>7274101</v>
      </c>
      <c r="B1358" s="73" t="s">
        <v>3377</v>
      </c>
      <c r="C1358" s="68">
        <v>8</v>
      </c>
      <c r="D1358" s="73" t="s">
        <v>3378</v>
      </c>
      <c r="E1358" s="77">
        <v>1020.8574303479439</v>
      </c>
      <c r="F1358" s="77">
        <v>0</v>
      </c>
      <c r="G1358" s="76">
        <v>29.019819181898193</v>
      </c>
    </row>
    <row r="1359" spans="1:7" x14ac:dyDescent="0.25">
      <c r="A1359" s="75">
        <v>7274101</v>
      </c>
      <c r="B1359" s="73" t="s">
        <v>3377</v>
      </c>
      <c r="C1359" s="68">
        <v>99</v>
      </c>
      <c r="D1359" s="73" t="s">
        <v>3378</v>
      </c>
      <c r="E1359" s="77">
        <v>1030.3799303479439</v>
      </c>
      <c r="F1359" s="77">
        <v>0</v>
      </c>
      <c r="G1359" s="76">
        <v>29.019819181898193</v>
      </c>
    </row>
    <row r="1360" spans="1:7" x14ac:dyDescent="0.25">
      <c r="A1360" s="75">
        <v>7280102</v>
      </c>
      <c r="B1360" s="73" t="s">
        <v>3379</v>
      </c>
      <c r="C1360" s="68">
        <v>99</v>
      </c>
      <c r="D1360" s="73" t="s">
        <v>3380</v>
      </c>
      <c r="E1360" s="77">
        <v>383.24770658167228</v>
      </c>
      <c r="F1360" s="77">
        <v>25.851199062418356</v>
      </c>
      <c r="G1360" s="76">
        <v>19.188685697159666</v>
      </c>
    </row>
    <row r="1361" spans="1:7" x14ac:dyDescent="0.25">
      <c r="A1361" s="75">
        <v>7280301</v>
      </c>
      <c r="B1361" s="73" t="s">
        <v>3381</v>
      </c>
      <c r="C1361" s="68">
        <v>99</v>
      </c>
      <c r="D1361" s="73" t="s">
        <v>3382</v>
      </c>
      <c r="E1361" s="77">
        <v>530.05089189911382</v>
      </c>
      <c r="F1361" s="77">
        <v>0</v>
      </c>
      <c r="G1361" s="76">
        <v>27.056158927868541</v>
      </c>
    </row>
    <row r="1362" spans="1:7" x14ac:dyDescent="0.25">
      <c r="A1362" s="75">
        <v>7280401</v>
      </c>
      <c r="B1362" s="73" t="s">
        <v>3383</v>
      </c>
      <c r="C1362" s="68">
        <v>99</v>
      </c>
      <c r="D1362" s="73" t="s">
        <v>3384</v>
      </c>
      <c r="E1362" s="77">
        <v>398.8530892293781</v>
      </c>
      <c r="F1362" s="77">
        <v>107.38852125622454</v>
      </c>
      <c r="G1362" s="76">
        <v>18.113680581073478</v>
      </c>
    </row>
    <row r="1363" spans="1:7" x14ac:dyDescent="0.25">
      <c r="A1363" s="75">
        <v>7280501</v>
      </c>
      <c r="B1363" s="73" t="s">
        <v>1932</v>
      </c>
      <c r="C1363" s="68">
        <v>1</v>
      </c>
      <c r="D1363" s="73" t="s">
        <v>3385</v>
      </c>
      <c r="E1363" s="77">
        <v>615.47058423278577</v>
      </c>
      <c r="F1363" s="77">
        <v>0</v>
      </c>
      <c r="G1363" s="76">
        <v>22.725288487912248</v>
      </c>
    </row>
    <row r="1364" spans="1:7" x14ac:dyDescent="0.25">
      <c r="A1364" s="75">
        <v>7280501</v>
      </c>
      <c r="B1364" s="73" t="s">
        <v>1932</v>
      </c>
      <c r="C1364" s="68">
        <v>2</v>
      </c>
      <c r="D1364" s="73" t="s">
        <v>3386</v>
      </c>
      <c r="E1364" s="77">
        <v>713.04609923607632</v>
      </c>
      <c r="F1364" s="77">
        <v>21.994028011671126</v>
      </c>
      <c r="G1364" s="76">
        <v>24.155607672626981</v>
      </c>
    </row>
    <row r="1365" spans="1:7" x14ac:dyDescent="0.25">
      <c r="A1365" s="75">
        <v>7280501</v>
      </c>
      <c r="B1365" s="73" t="s">
        <v>1932</v>
      </c>
      <c r="C1365" s="68">
        <v>3</v>
      </c>
      <c r="D1365" s="73" t="s">
        <v>3387</v>
      </c>
      <c r="E1365" s="77">
        <v>628.16725089945248</v>
      </c>
      <c r="F1365" s="77">
        <v>0</v>
      </c>
      <c r="G1365" s="76">
        <v>22.725288487912248</v>
      </c>
    </row>
    <row r="1366" spans="1:7" x14ac:dyDescent="0.25">
      <c r="A1366" s="75">
        <v>7280501</v>
      </c>
      <c r="B1366" s="73" t="s">
        <v>1932</v>
      </c>
      <c r="C1366" s="68">
        <v>4</v>
      </c>
      <c r="D1366" s="73" t="s">
        <v>3387</v>
      </c>
      <c r="E1366" s="77">
        <v>525.20473321190639</v>
      </c>
      <c r="F1366" s="77">
        <v>0</v>
      </c>
      <c r="G1366" s="76">
        <v>19.39224617635179</v>
      </c>
    </row>
    <row r="1367" spans="1:7" x14ac:dyDescent="0.25">
      <c r="A1367" s="75">
        <v>7280501</v>
      </c>
      <c r="B1367" s="73" t="s">
        <v>1932</v>
      </c>
      <c r="C1367" s="68">
        <v>5</v>
      </c>
      <c r="D1367" s="73" t="s">
        <v>3388</v>
      </c>
      <c r="E1367" s="77">
        <v>630.92020209880172</v>
      </c>
      <c r="F1367" s="77">
        <v>38.322142961248893</v>
      </c>
      <c r="G1367" s="76">
        <v>22.028659819206766</v>
      </c>
    </row>
    <row r="1368" spans="1:7" x14ac:dyDescent="0.25">
      <c r="A1368" s="75">
        <v>7280501</v>
      </c>
      <c r="B1368" s="73" t="s">
        <v>1932</v>
      </c>
      <c r="C1368" s="68">
        <v>6</v>
      </c>
      <c r="D1368" s="73" t="s">
        <v>3386</v>
      </c>
      <c r="E1368" s="77">
        <v>711.14159923607622</v>
      </c>
      <c r="F1368" s="77">
        <v>21.994028011671126</v>
      </c>
      <c r="G1368" s="76">
        <v>24.155607672626981</v>
      </c>
    </row>
    <row r="1369" spans="1:7" x14ac:dyDescent="0.25">
      <c r="A1369" s="75">
        <v>7280501</v>
      </c>
      <c r="B1369" s="73" t="s">
        <v>1932</v>
      </c>
      <c r="C1369" s="68">
        <v>7</v>
      </c>
      <c r="D1369" s="73" t="s">
        <v>3389</v>
      </c>
      <c r="E1369" s="77">
        <v>781.83492326476403</v>
      </c>
      <c r="F1369" s="77">
        <v>21.36855910358392</v>
      </c>
      <c r="G1369" s="76">
        <v>28.275400196597889</v>
      </c>
    </row>
    <row r="1370" spans="1:7" x14ac:dyDescent="0.25">
      <c r="A1370" s="75">
        <v>7280501</v>
      </c>
      <c r="B1370" s="73" t="s">
        <v>1932</v>
      </c>
      <c r="C1370" s="68">
        <v>8</v>
      </c>
      <c r="D1370" s="73" t="s">
        <v>3390</v>
      </c>
      <c r="E1370" s="77">
        <v>615.47058423278577</v>
      </c>
      <c r="F1370" s="77">
        <v>0</v>
      </c>
      <c r="G1370" s="76">
        <v>22.725288487912248</v>
      </c>
    </row>
    <row r="1371" spans="1:7" x14ac:dyDescent="0.25">
      <c r="A1371" s="75">
        <v>7280501</v>
      </c>
      <c r="B1371" s="73" t="s">
        <v>1932</v>
      </c>
      <c r="C1371" s="68">
        <v>9</v>
      </c>
      <c r="D1371" s="73" t="s">
        <v>3386</v>
      </c>
      <c r="E1371" s="77">
        <v>706.69776590274284</v>
      </c>
      <c r="F1371" s="77">
        <v>21.994028011671126</v>
      </c>
      <c r="G1371" s="76">
        <v>24.155607672626985</v>
      </c>
    </row>
    <row r="1372" spans="1:7" x14ac:dyDescent="0.25">
      <c r="A1372" s="75">
        <v>7280501</v>
      </c>
      <c r="B1372" s="73" t="s">
        <v>1932</v>
      </c>
      <c r="C1372" s="68">
        <v>99</v>
      </c>
      <c r="D1372" s="73" t="s">
        <v>3387</v>
      </c>
      <c r="E1372" s="77">
        <v>628.16725089945248</v>
      </c>
      <c r="F1372" s="77">
        <v>0</v>
      </c>
      <c r="G1372" s="76">
        <v>22.725288487912248</v>
      </c>
    </row>
    <row r="1373" spans="1:7" x14ac:dyDescent="0.25">
      <c r="A1373" s="75">
        <v>7280601</v>
      </c>
      <c r="B1373" s="73" t="s">
        <v>3391</v>
      </c>
      <c r="C1373" s="68">
        <v>99</v>
      </c>
      <c r="D1373" s="73" t="s">
        <v>3364</v>
      </c>
      <c r="E1373" s="77">
        <v>3635.7543896838911</v>
      </c>
      <c r="F1373" s="77">
        <v>42.930304906780584</v>
      </c>
      <c r="G1373" s="76">
        <v>51.673480100862598</v>
      </c>
    </row>
    <row r="1374" spans="1:7" x14ac:dyDescent="0.25">
      <c r="A1374" s="75">
        <v>7281201</v>
      </c>
      <c r="B1374" s="73" t="s">
        <v>3392</v>
      </c>
      <c r="C1374" s="68">
        <v>3</v>
      </c>
      <c r="D1374" s="73" t="s">
        <v>3393</v>
      </c>
      <c r="E1374" s="77">
        <v>626.19326481649716</v>
      </c>
      <c r="F1374" s="77">
        <v>0</v>
      </c>
      <c r="G1374" s="76">
        <v>22.650206252847326</v>
      </c>
    </row>
    <row r="1375" spans="1:7" x14ac:dyDescent="0.25">
      <c r="A1375" s="75">
        <v>7281201</v>
      </c>
      <c r="B1375" s="73" t="s">
        <v>3392</v>
      </c>
      <c r="C1375" s="68">
        <v>7</v>
      </c>
      <c r="D1375" s="73" t="s">
        <v>3394</v>
      </c>
      <c r="E1375" s="77">
        <v>634.04209393463429</v>
      </c>
      <c r="F1375" s="77">
        <v>12.879091472034174</v>
      </c>
      <c r="G1375" s="76">
        <v>22.866592223499062</v>
      </c>
    </row>
    <row r="1376" spans="1:7" x14ac:dyDescent="0.25">
      <c r="A1376" s="75">
        <v>7281201</v>
      </c>
      <c r="B1376" s="73" t="s">
        <v>3392</v>
      </c>
      <c r="C1376" s="68">
        <v>8</v>
      </c>
      <c r="D1376" s="73" t="s">
        <v>3395</v>
      </c>
      <c r="E1376" s="77">
        <v>613.49659814983045</v>
      </c>
      <c r="F1376" s="77">
        <v>0</v>
      </c>
      <c r="G1376" s="76">
        <v>22.650206252847326</v>
      </c>
    </row>
    <row r="1377" spans="1:7" x14ac:dyDescent="0.25">
      <c r="A1377" s="75">
        <v>7281201</v>
      </c>
      <c r="B1377" s="73" t="s">
        <v>3392</v>
      </c>
      <c r="C1377" s="68">
        <v>99</v>
      </c>
      <c r="D1377" s="73" t="s">
        <v>3393</v>
      </c>
      <c r="E1377" s="77">
        <v>626.19326481649716</v>
      </c>
      <c r="F1377" s="77">
        <v>0</v>
      </c>
      <c r="G1377" s="76">
        <v>22.650206252847326</v>
      </c>
    </row>
    <row r="1378" spans="1:7" x14ac:dyDescent="0.25">
      <c r="A1378" s="75">
        <v>7281401</v>
      </c>
      <c r="B1378" s="73" t="s">
        <v>3396</v>
      </c>
      <c r="C1378" s="68">
        <v>8</v>
      </c>
      <c r="D1378" s="73" t="s">
        <v>3362</v>
      </c>
      <c r="E1378" s="77">
        <v>4008.8241105246766</v>
      </c>
      <c r="F1378" s="77">
        <v>0</v>
      </c>
      <c r="G1378" s="76">
        <v>57.021395048136917</v>
      </c>
    </row>
    <row r="1379" spans="1:7" x14ac:dyDescent="0.25">
      <c r="A1379" s="75">
        <v>7281501</v>
      </c>
      <c r="B1379" s="73" t="s">
        <v>3397</v>
      </c>
      <c r="C1379" s="68">
        <v>5</v>
      </c>
      <c r="D1379" s="73" t="s">
        <v>3398</v>
      </c>
      <c r="E1379" s="77">
        <v>848.21986940710599</v>
      </c>
      <c r="F1379" s="77">
        <v>122.28298595571735</v>
      </c>
      <c r="G1379" s="76">
        <v>6.9090180609884664</v>
      </c>
    </row>
    <row r="1380" spans="1:7" x14ac:dyDescent="0.25">
      <c r="A1380" s="75">
        <v>7281501</v>
      </c>
      <c r="B1380" s="73" t="s">
        <v>3397</v>
      </c>
      <c r="C1380" s="68">
        <v>7</v>
      </c>
      <c r="D1380" s="73" t="s">
        <v>3398</v>
      </c>
      <c r="E1380" s="77">
        <v>848.21986940710599</v>
      </c>
      <c r="F1380" s="77">
        <v>122.28298595571735</v>
      </c>
      <c r="G1380" s="76">
        <v>6.9090180609884664</v>
      </c>
    </row>
    <row r="1381" spans="1:7" x14ac:dyDescent="0.25">
      <c r="A1381" s="75">
        <v>7281501</v>
      </c>
      <c r="B1381" s="73" t="s">
        <v>3397</v>
      </c>
      <c r="C1381" s="68">
        <v>99</v>
      </c>
      <c r="D1381" s="73" t="s">
        <v>3398</v>
      </c>
      <c r="E1381" s="77">
        <v>721.34418856073057</v>
      </c>
      <c r="F1381" s="77">
        <v>110.64459273520663</v>
      </c>
      <c r="G1381" s="76">
        <v>5.951428745376826</v>
      </c>
    </row>
    <row r="1382" spans="1:7" x14ac:dyDescent="0.25">
      <c r="A1382" s="75">
        <v>7400101</v>
      </c>
      <c r="B1382" s="73" t="s">
        <v>987</v>
      </c>
      <c r="C1382" s="68">
        <v>1</v>
      </c>
      <c r="D1382" s="73" t="s">
        <v>3385</v>
      </c>
      <c r="E1382" s="77">
        <v>615.47058423278577</v>
      </c>
      <c r="F1382" s="77">
        <v>0</v>
      </c>
      <c r="G1382" s="76">
        <v>22.725288487912248</v>
      </c>
    </row>
    <row r="1383" spans="1:7" x14ac:dyDescent="0.25">
      <c r="A1383" s="75">
        <v>7400101</v>
      </c>
      <c r="B1383" s="73" t="s">
        <v>3399</v>
      </c>
      <c r="C1383" s="68">
        <v>2</v>
      </c>
      <c r="D1383" s="73" t="s">
        <v>3400</v>
      </c>
      <c r="E1383" s="77">
        <v>456.5742476308705</v>
      </c>
      <c r="F1383" s="77">
        <v>10.447199899461713</v>
      </c>
      <c r="G1383" s="76">
        <v>36.859922638278341</v>
      </c>
    </row>
    <row r="1384" spans="1:7" x14ac:dyDescent="0.25">
      <c r="A1384" s="75">
        <v>7400101</v>
      </c>
      <c r="B1384" s="73" t="s">
        <v>987</v>
      </c>
      <c r="C1384" s="68">
        <v>3</v>
      </c>
      <c r="D1384" s="73" t="s">
        <v>3387</v>
      </c>
      <c r="E1384" s="77">
        <v>628.16725089945248</v>
      </c>
      <c r="F1384" s="77">
        <v>0</v>
      </c>
      <c r="G1384" s="76">
        <v>22.725288487912248</v>
      </c>
    </row>
    <row r="1385" spans="1:7" x14ac:dyDescent="0.25">
      <c r="A1385" s="75">
        <v>7400101</v>
      </c>
      <c r="B1385" s="73" t="s">
        <v>987</v>
      </c>
      <c r="C1385" s="68">
        <v>4</v>
      </c>
      <c r="D1385" s="73" t="s">
        <v>3387</v>
      </c>
      <c r="E1385" s="77">
        <v>525.20473321190639</v>
      </c>
      <c r="F1385" s="77">
        <v>0</v>
      </c>
      <c r="G1385" s="76">
        <v>19.39224617635179</v>
      </c>
    </row>
    <row r="1386" spans="1:7" x14ac:dyDescent="0.25">
      <c r="A1386" s="75">
        <v>7400101</v>
      </c>
      <c r="B1386" s="73" t="s">
        <v>987</v>
      </c>
      <c r="C1386" s="68">
        <v>5</v>
      </c>
      <c r="D1386" s="73" t="s">
        <v>3388</v>
      </c>
      <c r="E1386" s="77">
        <v>630.92020209880172</v>
      </c>
      <c r="F1386" s="77">
        <v>38.322142961248893</v>
      </c>
      <c r="G1386" s="76">
        <v>22.028659819206766</v>
      </c>
    </row>
    <row r="1387" spans="1:7" x14ac:dyDescent="0.25">
      <c r="A1387" s="75">
        <v>7400101</v>
      </c>
      <c r="B1387" s="73" t="s">
        <v>987</v>
      </c>
      <c r="C1387" s="68">
        <v>6</v>
      </c>
      <c r="D1387" s="73" t="s">
        <v>3386</v>
      </c>
      <c r="E1387" s="77">
        <v>711.1415992360761</v>
      </c>
      <c r="F1387" s="77">
        <v>21.994028011671126</v>
      </c>
      <c r="G1387" s="76">
        <v>24.155607672626981</v>
      </c>
    </row>
    <row r="1388" spans="1:7" x14ac:dyDescent="0.25">
      <c r="A1388" s="75">
        <v>7400101</v>
      </c>
      <c r="B1388" s="73" t="s">
        <v>987</v>
      </c>
      <c r="C1388" s="68">
        <v>7</v>
      </c>
      <c r="D1388" s="73" t="s">
        <v>3389</v>
      </c>
      <c r="E1388" s="77">
        <v>781.83492326476403</v>
      </c>
      <c r="F1388" s="77">
        <v>21.36855910358392</v>
      </c>
      <c r="G1388" s="76">
        <v>28.275400196597889</v>
      </c>
    </row>
    <row r="1389" spans="1:7" x14ac:dyDescent="0.25">
      <c r="A1389" s="75">
        <v>7400101</v>
      </c>
      <c r="B1389" s="73" t="s">
        <v>987</v>
      </c>
      <c r="C1389" s="68">
        <v>8</v>
      </c>
      <c r="D1389" s="73" t="s">
        <v>3390</v>
      </c>
      <c r="E1389" s="77">
        <v>615.47058423278577</v>
      </c>
      <c r="F1389" s="77">
        <v>0</v>
      </c>
      <c r="G1389" s="76">
        <v>22.725288487912248</v>
      </c>
    </row>
    <row r="1390" spans="1:7" x14ac:dyDescent="0.25">
      <c r="A1390" s="75">
        <v>7400101</v>
      </c>
      <c r="B1390" s="73" t="s">
        <v>987</v>
      </c>
      <c r="C1390" s="68">
        <v>9</v>
      </c>
      <c r="D1390" s="73" t="s">
        <v>3400</v>
      </c>
      <c r="E1390" s="77">
        <v>456.57424763087045</v>
      </c>
      <c r="F1390" s="77">
        <v>10.447199899461713</v>
      </c>
      <c r="G1390" s="76">
        <v>36.859922638278341</v>
      </c>
    </row>
    <row r="1391" spans="1:7" x14ac:dyDescent="0.25">
      <c r="A1391" s="75">
        <v>7400101</v>
      </c>
      <c r="B1391" s="73" t="s">
        <v>987</v>
      </c>
      <c r="C1391" s="68">
        <v>99</v>
      </c>
      <c r="D1391" s="73" t="s">
        <v>3387</v>
      </c>
      <c r="E1391" s="77">
        <v>628.16725089945248</v>
      </c>
      <c r="F1391" s="77">
        <v>0</v>
      </c>
      <c r="G1391" s="76">
        <v>22.725288487912248</v>
      </c>
    </row>
    <row r="1392" spans="1:7" ht="30" x14ac:dyDescent="0.25">
      <c r="A1392" s="75">
        <v>7400401</v>
      </c>
      <c r="B1392" s="73" t="s">
        <v>3401</v>
      </c>
      <c r="C1392" s="68">
        <v>1</v>
      </c>
      <c r="D1392" s="73" t="s">
        <v>3375</v>
      </c>
      <c r="E1392" s="77">
        <v>354.59660022921122</v>
      </c>
      <c r="F1392" s="77">
        <v>11.498420218949647</v>
      </c>
      <c r="G1392" s="76">
        <v>25.729701366264322</v>
      </c>
    </row>
    <row r="1393" spans="1:7" x14ac:dyDescent="0.25">
      <c r="A1393" s="75">
        <v>7400401</v>
      </c>
      <c r="B1393" s="73" t="s">
        <v>3402</v>
      </c>
      <c r="C1393" s="68">
        <v>2</v>
      </c>
      <c r="D1393" s="73" t="s">
        <v>3375</v>
      </c>
      <c r="E1393" s="77">
        <v>364.1191002292112</v>
      </c>
      <c r="F1393" s="77">
        <v>11.498420218949647</v>
      </c>
      <c r="G1393" s="76">
        <v>25.729701366264326</v>
      </c>
    </row>
    <row r="1394" spans="1:7" ht="30" x14ac:dyDescent="0.25">
      <c r="A1394" s="75">
        <v>7400401</v>
      </c>
      <c r="B1394" s="73" t="s">
        <v>3401</v>
      </c>
      <c r="C1394" s="68">
        <v>3</v>
      </c>
      <c r="D1394" s="73" t="s">
        <v>3375</v>
      </c>
      <c r="E1394" s="77">
        <v>364.1191002292112</v>
      </c>
      <c r="F1394" s="77">
        <v>11.498420218949647</v>
      </c>
      <c r="G1394" s="76">
        <v>25.729701366264326</v>
      </c>
    </row>
    <row r="1395" spans="1:7" ht="30" x14ac:dyDescent="0.25">
      <c r="A1395" s="75">
        <v>7400401</v>
      </c>
      <c r="B1395" s="73" t="s">
        <v>3401</v>
      </c>
      <c r="C1395" s="68">
        <v>6</v>
      </c>
      <c r="D1395" s="73" t="s">
        <v>3375</v>
      </c>
      <c r="E1395" s="77">
        <v>374.91126689587787</v>
      </c>
      <c r="F1395" s="77">
        <v>11.498420218949647</v>
      </c>
      <c r="G1395" s="76">
        <v>25.729701366264326</v>
      </c>
    </row>
    <row r="1396" spans="1:7" ht="30" x14ac:dyDescent="0.25">
      <c r="A1396" s="75">
        <v>7400401</v>
      </c>
      <c r="B1396" s="73" t="s">
        <v>3401</v>
      </c>
      <c r="C1396" s="68">
        <v>7</v>
      </c>
      <c r="D1396" s="73" t="s">
        <v>3359</v>
      </c>
      <c r="E1396" s="77">
        <v>642.39105560879489</v>
      </c>
      <c r="F1396" s="77">
        <v>21.465152453390292</v>
      </c>
      <c r="G1396" s="76">
        <v>31.896436243595943</v>
      </c>
    </row>
    <row r="1397" spans="1:7" ht="30" x14ac:dyDescent="0.25">
      <c r="A1397" s="75">
        <v>7400401</v>
      </c>
      <c r="B1397" s="73" t="s">
        <v>3401</v>
      </c>
      <c r="C1397" s="68">
        <v>9</v>
      </c>
      <c r="D1397" s="73" t="s">
        <v>3375</v>
      </c>
      <c r="E1397" s="77">
        <v>376.81576689587791</v>
      </c>
      <c r="F1397" s="77">
        <v>11.498420218949647</v>
      </c>
      <c r="G1397" s="76">
        <v>25.729701366264322</v>
      </c>
    </row>
    <row r="1398" spans="1:7" ht="30" x14ac:dyDescent="0.25">
      <c r="A1398" s="75">
        <v>7400401</v>
      </c>
      <c r="B1398" s="73" t="s">
        <v>3401</v>
      </c>
      <c r="C1398" s="68">
        <v>99</v>
      </c>
      <c r="D1398" s="73" t="s">
        <v>3375</v>
      </c>
      <c r="E1398" s="77">
        <v>376.81576689587791</v>
      </c>
      <c r="F1398" s="77">
        <v>11.498420218949647</v>
      </c>
      <c r="G1398" s="76">
        <v>25.729701366264326</v>
      </c>
    </row>
    <row r="1399" spans="1:7" x14ac:dyDescent="0.25">
      <c r="A1399" s="75">
        <v>7480001</v>
      </c>
      <c r="B1399" s="73" t="s">
        <v>3403</v>
      </c>
      <c r="C1399" s="68">
        <v>2</v>
      </c>
      <c r="D1399" s="73" t="s">
        <v>3400</v>
      </c>
      <c r="E1399" s="77">
        <v>456.5742476308705</v>
      </c>
      <c r="F1399" s="77">
        <v>10.447199899461713</v>
      </c>
      <c r="G1399" s="76">
        <v>36.859922638278348</v>
      </c>
    </row>
    <row r="1400" spans="1:7" x14ac:dyDescent="0.25">
      <c r="A1400" s="75">
        <v>7480001</v>
      </c>
      <c r="B1400" s="73" t="s">
        <v>3403</v>
      </c>
      <c r="C1400" s="68">
        <v>3</v>
      </c>
      <c r="D1400" s="73" t="s">
        <v>3387</v>
      </c>
      <c r="E1400" s="77">
        <v>628.16725089945248</v>
      </c>
      <c r="F1400" s="77">
        <v>0</v>
      </c>
      <c r="G1400" s="76">
        <v>22.725288487912248</v>
      </c>
    </row>
    <row r="1401" spans="1:7" x14ac:dyDescent="0.25">
      <c r="A1401" s="75">
        <v>7480001</v>
      </c>
      <c r="B1401" s="73" t="s">
        <v>3403</v>
      </c>
      <c r="C1401" s="68">
        <v>6</v>
      </c>
      <c r="D1401" s="73" t="s">
        <v>3386</v>
      </c>
      <c r="E1401" s="77">
        <v>711.14159923607622</v>
      </c>
      <c r="F1401" s="77">
        <v>21.994028011671126</v>
      </c>
      <c r="G1401" s="76">
        <v>24.155607672626981</v>
      </c>
    </row>
    <row r="1402" spans="1:7" x14ac:dyDescent="0.25">
      <c r="A1402" s="75">
        <v>7480001</v>
      </c>
      <c r="B1402" s="73" t="s">
        <v>3403</v>
      </c>
      <c r="C1402" s="68">
        <v>7</v>
      </c>
      <c r="D1402" s="73" t="s">
        <v>3389</v>
      </c>
      <c r="E1402" s="77">
        <v>781.83492326476403</v>
      </c>
      <c r="F1402" s="77">
        <v>21.36855910358392</v>
      </c>
      <c r="G1402" s="76">
        <v>28.275400196597889</v>
      </c>
    </row>
    <row r="1403" spans="1:7" x14ac:dyDescent="0.25">
      <c r="A1403" s="75">
        <v>7480101</v>
      </c>
      <c r="B1403" s="73" t="s">
        <v>3404</v>
      </c>
      <c r="C1403" s="68">
        <v>1</v>
      </c>
      <c r="D1403" s="73" t="s">
        <v>3390</v>
      </c>
      <c r="E1403" s="77">
        <v>615.47058423278577</v>
      </c>
      <c r="F1403" s="77">
        <v>0</v>
      </c>
      <c r="G1403" s="76">
        <v>22.725288487912248</v>
      </c>
    </row>
    <row r="1404" spans="1:7" x14ac:dyDescent="0.25">
      <c r="A1404" s="75">
        <v>7480101</v>
      </c>
      <c r="B1404" s="73" t="s">
        <v>3404</v>
      </c>
      <c r="C1404" s="68">
        <v>99</v>
      </c>
      <c r="D1404" s="73" t="s">
        <v>3387</v>
      </c>
      <c r="E1404" s="77">
        <v>628.16725089945248</v>
      </c>
      <c r="F1404" s="77">
        <v>0</v>
      </c>
      <c r="G1404" s="76">
        <v>22.725288487912248</v>
      </c>
    </row>
    <row r="1405" spans="1:7" x14ac:dyDescent="0.25">
      <c r="A1405" s="75">
        <v>7480201</v>
      </c>
      <c r="B1405" s="73" t="s">
        <v>3405</v>
      </c>
      <c r="C1405" s="68">
        <v>99</v>
      </c>
      <c r="D1405" s="73" t="s">
        <v>3406</v>
      </c>
      <c r="E1405" s="77">
        <v>476.03810470049069</v>
      </c>
      <c r="F1405" s="77">
        <v>0</v>
      </c>
      <c r="G1405" s="76">
        <v>38.702106728896275</v>
      </c>
    </row>
    <row r="1406" spans="1:7" ht="30" x14ac:dyDescent="0.25">
      <c r="A1406" s="75">
        <v>7600101</v>
      </c>
      <c r="B1406" s="73" t="s">
        <v>988</v>
      </c>
      <c r="C1406" s="68">
        <v>1</v>
      </c>
      <c r="D1406" s="73" t="s">
        <v>3354</v>
      </c>
      <c r="E1406" s="77">
        <v>618.43921764797597</v>
      </c>
      <c r="F1406" s="77">
        <v>0</v>
      </c>
      <c r="G1406" s="76">
        <v>31.563758248103394</v>
      </c>
    </row>
    <row r="1407" spans="1:7" x14ac:dyDescent="0.25">
      <c r="A1407" s="75">
        <v>7600101</v>
      </c>
      <c r="B1407" s="73" t="s">
        <v>3407</v>
      </c>
      <c r="C1407" s="68">
        <v>2</v>
      </c>
      <c r="D1407" s="73" t="s">
        <v>3356</v>
      </c>
      <c r="E1407" s="77">
        <v>724.8066084220128</v>
      </c>
      <c r="F1407" s="77">
        <v>30.679509475101089</v>
      </c>
      <c r="G1407" s="76">
        <v>33.831873330104763</v>
      </c>
    </row>
    <row r="1408" spans="1:7" ht="30" x14ac:dyDescent="0.25">
      <c r="A1408" s="75">
        <v>7600101</v>
      </c>
      <c r="B1408" s="73" t="s">
        <v>988</v>
      </c>
      <c r="C1408" s="68">
        <v>3</v>
      </c>
      <c r="D1408" s="73" t="s">
        <v>3357</v>
      </c>
      <c r="E1408" s="77">
        <v>631.13588431464268</v>
      </c>
      <c r="F1408" s="77">
        <v>0</v>
      </c>
      <c r="G1408" s="76">
        <v>31.563758248103394</v>
      </c>
    </row>
    <row r="1409" spans="1:7" ht="30" x14ac:dyDescent="0.25">
      <c r="A1409" s="75">
        <v>7600101</v>
      </c>
      <c r="B1409" s="73" t="s">
        <v>988</v>
      </c>
      <c r="C1409" s="68">
        <v>5</v>
      </c>
      <c r="D1409" s="73" t="s">
        <v>3358</v>
      </c>
      <c r="E1409" s="77">
        <v>758.35167223952749</v>
      </c>
      <c r="F1409" s="77">
        <v>92.571759207267078</v>
      </c>
      <c r="G1409" s="76">
        <v>35.559776863211106</v>
      </c>
    </row>
    <row r="1410" spans="1:7" ht="30" x14ac:dyDescent="0.25">
      <c r="A1410" s="75">
        <v>7600101</v>
      </c>
      <c r="B1410" s="73" t="s">
        <v>988</v>
      </c>
      <c r="C1410" s="68">
        <v>6</v>
      </c>
      <c r="D1410" s="73" t="s">
        <v>3356</v>
      </c>
      <c r="E1410" s="77">
        <v>722.90210842201282</v>
      </c>
      <c r="F1410" s="77">
        <v>30.679509475101085</v>
      </c>
      <c r="G1410" s="76">
        <v>33.831873330104763</v>
      </c>
    </row>
    <row r="1411" spans="1:7" ht="30" x14ac:dyDescent="0.25">
      <c r="A1411" s="75">
        <v>7600101</v>
      </c>
      <c r="B1411" s="73" t="s">
        <v>988</v>
      </c>
      <c r="C1411" s="68">
        <v>7</v>
      </c>
      <c r="D1411" s="73" t="s">
        <v>3359</v>
      </c>
      <c r="E1411" s="77">
        <v>642.39105560879489</v>
      </c>
      <c r="F1411" s="77">
        <v>21.465152453390292</v>
      </c>
      <c r="G1411" s="76">
        <v>31.896436243595943</v>
      </c>
    </row>
    <row r="1412" spans="1:7" ht="30" x14ac:dyDescent="0.25">
      <c r="A1412" s="75">
        <v>7600101</v>
      </c>
      <c r="B1412" s="73" t="s">
        <v>988</v>
      </c>
      <c r="C1412" s="68">
        <v>8</v>
      </c>
      <c r="D1412" s="73" t="s">
        <v>3354</v>
      </c>
      <c r="E1412" s="77">
        <v>618.43921764797597</v>
      </c>
      <c r="F1412" s="77">
        <v>0</v>
      </c>
      <c r="G1412" s="76">
        <v>31.563758248103394</v>
      </c>
    </row>
    <row r="1413" spans="1:7" ht="30" x14ac:dyDescent="0.25">
      <c r="A1413" s="75">
        <v>7600101</v>
      </c>
      <c r="B1413" s="73" t="s">
        <v>988</v>
      </c>
      <c r="C1413" s="68">
        <v>9</v>
      </c>
      <c r="D1413" s="73" t="s">
        <v>3356</v>
      </c>
      <c r="E1413" s="77">
        <v>718.45827508867956</v>
      </c>
      <c r="F1413" s="77">
        <v>30.679509475101085</v>
      </c>
      <c r="G1413" s="76">
        <v>33.831873330104763</v>
      </c>
    </row>
    <row r="1414" spans="1:7" ht="30" x14ac:dyDescent="0.25">
      <c r="A1414" s="75">
        <v>7600101</v>
      </c>
      <c r="B1414" s="73" t="s">
        <v>988</v>
      </c>
      <c r="C1414" s="68">
        <v>99</v>
      </c>
      <c r="D1414" s="73" t="s">
        <v>3357</v>
      </c>
      <c r="E1414" s="77">
        <v>631.13588431464268</v>
      </c>
      <c r="F1414" s="77">
        <v>0</v>
      </c>
      <c r="G1414" s="76">
        <v>31.563758248103394</v>
      </c>
    </row>
    <row r="1415" spans="1:7" ht="30" x14ac:dyDescent="0.25">
      <c r="A1415" s="75">
        <v>7600401</v>
      </c>
      <c r="B1415" s="73" t="s">
        <v>3408</v>
      </c>
      <c r="C1415" s="68">
        <v>1</v>
      </c>
      <c r="D1415" s="73" t="s">
        <v>3375</v>
      </c>
      <c r="E1415" s="77">
        <v>354.59660022921122</v>
      </c>
      <c r="F1415" s="77">
        <v>11.498420218949647</v>
      </c>
      <c r="G1415" s="76">
        <v>25.729701366264326</v>
      </c>
    </row>
    <row r="1416" spans="1:7" ht="30" x14ac:dyDescent="0.25">
      <c r="A1416" s="75">
        <v>7600401</v>
      </c>
      <c r="B1416" s="73" t="s">
        <v>3409</v>
      </c>
      <c r="C1416" s="68">
        <v>2</v>
      </c>
      <c r="D1416" s="73" t="s">
        <v>3375</v>
      </c>
      <c r="E1416" s="77">
        <v>364.1191002292112</v>
      </c>
      <c r="F1416" s="77">
        <v>11.498420218949647</v>
      </c>
      <c r="G1416" s="76">
        <v>25.729701366264322</v>
      </c>
    </row>
    <row r="1417" spans="1:7" ht="30" x14ac:dyDescent="0.25">
      <c r="A1417" s="75">
        <v>7600401</v>
      </c>
      <c r="B1417" s="73" t="s">
        <v>3408</v>
      </c>
      <c r="C1417" s="68">
        <v>3</v>
      </c>
      <c r="D1417" s="73" t="s">
        <v>3375</v>
      </c>
      <c r="E1417" s="77">
        <v>364.1191002292112</v>
      </c>
      <c r="F1417" s="77">
        <v>11.498420218949647</v>
      </c>
      <c r="G1417" s="76">
        <v>25.729701366264322</v>
      </c>
    </row>
    <row r="1418" spans="1:7" ht="30" x14ac:dyDescent="0.25">
      <c r="A1418" s="75">
        <v>7600401</v>
      </c>
      <c r="B1418" s="73" t="s">
        <v>3408</v>
      </c>
      <c r="C1418" s="68">
        <v>5</v>
      </c>
      <c r="D1418" s="73" t="s">
        <v>3358</v>
      </c>
      <c r="E1418" s="77">
        <v>758.35167223952749</v>
      </c>
      <c r="F1418" s="77">
        <v>92.571759207267078</v>
      </c>
      <c r="G1418" s="76">
        <v>35.559776863211106</v>
      </c>
    </row>
    <row r="1419" spans="1:7" ht="30" x14ac:dyDescent="0.25">
      <c r="A1419" s="75">
        <v>7600401</v>
      </c>
      <c r="B1419" s="73" t="s">
        <v>3409</v>
      </c>
      <c r="C1419" s="68">
        <v>6</v>
      </c>
      <c r="D1419" s="73" t="s">
        <v>3375</v>
      </c>
      <c r="E1419" s="77">
        <v>374.91126689587793</v>
      </c>
      <c r="F1419" s="77">
        <v>11.498420218949647</v>
      </c>
      <c r="G1419" s="76">
        <v>25.729701366264322</v>
      </c>
    </row>
    <row r="1420" spans="1:7" ht="30" x14ac:dyDescent="0.25">
      <c r="A1420" s="75">
        <v>7600401</v>
      </c>
      <c r="B1420" s="73" t="s">
        <v>3408</v>
      </c>
      <c r="C1420" s="68">
        <v>7</v>
      </c>
      <c r="D1420" s="73" t="s">
        <v>3359</v>
      </c>
      <c r="E1420" s="77">
        <v>642.39105560879489</v>
      </c>
      <c r="F1420" s="77">
        <v>21.465152453390292</v>
      </c>
      <c r="G1420" s="76">
        <v>31.896436243595943</v>
      </c>
    </row>
    <row r="1421" spans="1:7" ht="30" x14ac:dyDescent="0.25">
      <c r="A1421" s="75">
        <v>7600401</v>
      </c>
      <c r="B1421" s="73" t="s">
        <v>3408</v>
      </c>
      <c r="C1421" s="68">
        <v>8</v>
      </c>
      <c r="D1421" s="73" t="s">
        <v>3375</v>
      </c>
      <c r="E1421" s="77">
        <v>354.59660022921122</v>
      </c>
      <c r="F1421" s="77">
        <v>11.498420218949647</v>
      </c>
      <c r="G1421" s="76">
        <v>25.729701366264322</v>
      </c>
    </row>
    <row r="1422" spans="1:7" x14ac:dyDescent="0.25">
      <c r="A1422" s="75">
        <v>7700101</v>
      </c>
      <c r="B1422" s="73" t="s">
        <v>991</v>
      </c>
      <c r="C1422" s="68">
        <v>99</v>
      </c>
      <c r="D1422" s="73" t="s">
        <v>3410</v>
      </c>
      <c r="E1422" s="77">
        <v>110.16755396717289</v>
      </c>
      <c r="F1422" s="77">
        <v>1355.8720310394049</v>
      </c>
      <c r="G1422" s="76">
        <v>0.97354502185030678</v>
      </c>
    </row>
    <row r="1423" spans="1:7" x14ac:dyDescent="0.25">
      <c r="A1423" s="75">
        <v>7700201</v>
      </c>
      <c r="B1423" s="73" t="s">
        <v>749</v>
      </c>
      <c r="C1423" s="68">
        <v>99</v>
      </c>
      <c r="D1423" s="73" t="s">
        <v>3411</v>
      </c>
      <c r="E1423" s="77">
        <v>173.04937285223366</v>
      </c>
      <c r="F1423" s="77">
        <v>225.6485722150212</v>
      </c>
      <c r="G1423" s="76">
        <v>0.5</v>
      </c>
    </row>
    <row r="1424" spans="1:7" x14ac:dyDescent="0.25">
      <c r="A1424" s="75">
        <v>7700202</v>
      </c>
      <c r="B1424" s="73" t="s">
        <v>1514</v>
      </c>
      <c r="C1424" s="68">
        <v>99</v>
      </c>
      <c r="D1424" s="73" t="s">
        <v>3411</v>
      </c>
      <c r="E1424" s="77">
        <v>173.04937285223366</v>
      </c>
      <c r="F1424" s="77">
        <v>225.6485722150212</v>
      </c>
      <c r="G1424" s="76">
        <v>0.5</v>
      </c>
    </row>
    <row r="1425" spans="1:7" x14ac:dyDescent="0.25">
      <c r="A1425" s="75">
        <v>7700401</v>
      </c>
      <c r="B1425" s="73" t="s">
        <v>1515</v>
      </c>
      <c r="C1425" s="68">
        <v>99</v>
      </c>
      <c r="D1425" s="73" t="s">
        <v>3412</v>
      </c>
      <c r="E1425" s="77">
        <v>247.21339399892423</v>
      </c>
      <c r="F1425" s="77">
        <v>322.35510865399078</v>
      </c>
      <c r="G1425" s="76">
        <v>0.71428572644992772</v>
      </c>
    </row>
    <row r="1426" spans="1:7" x14ac:dyDescent="0.25">
      <c r="A1426" s="75">
        <v>7700501</v>
      </c>
      <c r="B1426" s="73" t="s">
        <v>1516</v>
      </c>
      <c r="C1426" s="68">
        <v>99</v>
      </c>
      <c r="D1426" s="73" t="s">
        <v>2929</v>
      </c>
      <c r="E1426" s="77">
        <v>111.2325</v>
      </c>
      <c r="F1426" s="77">
        <v>768.77940345406284</v>
      </c>
      <c r="G1426" s="76">
        <v>0.55199999999999994</v>
      </c>
    </row>
    <row r="1427" spans="1:7" x14ac:dyDescent="0.25">
      <c r="A1427" s="75">
        <v>7700601</v>
      </c>
      <c r="B1427" s="73" t="s">
        <v>1517</v>
      </c>
      <c r="C1427" s="68">
        <v>99</v>
      </c>
      <c r="D1427" s="73" t="s">
        <v>2947</v>
      </c>
      <c r="E1427" s="77">
        <v>60.928090270493115</v>
      </c>
      <c r="F1427" s="77">
        <v>81.003697400526093</v>
      </c>
      <c r="G1427" s="76">
        <v>0.14698576316186934</v>
      </c>
    </row>
    <row r="1428" spans="1:7" x14ac:dyDescent="0.25">
      <c r="A1428" s="75">
        <v>7700602</v>
      </c>
      <c r="B1428" s="73" t="s">
        <v>993</v>
      </c>
      <c r="C1428" s="68">
        <v>99</v>
      </c>
      <c r="D1428" s="73" t="s">
        <v>2947</v>
      </c>
      <c r="E1428" s="77">
        <v>60.928090270493115</v>
      </c>
      <c r="F1428" s="77">
        <v>81.003697400526093</v>
      </c>
      <c r="G1428" s="76">
        <v>0.14698576316186934</v>
      </c>
    </row>
    <row r="1429" spans="1:7" x14ac:dyDescent="0.25">
      <c r="A1429" s="75">
        <v>7700901</v>
      </c>
      <c r="B1429" s="73" t="s">
        <v>1518</v>
      </c>
      <c r="C1429" s="68">
        <v>99</v>
      </c>
      <c r="D1429" s="73" t="s">
        <v>3413</v>
      </c>
      <c r="E1429" s="77">
        <v>25.124110165799607</v>
      </c>
      <c r="F1429" s="77">
        <v>97.244146841296299</v>
      </c>
      <c r="G1429" s="76">
        <v>0.24235603829455732</v>
      </c>
    </row>
    <row r="1430" spans="1:7" x14ac:dyDescent="0.25">
      <c r="A1430" s="75">
        <v>7700902</v>
      </c>
      <c r="B1430" s="73" t="s">
        <v>1519</v>
      </c>
      <c r="C1430" s="68">
        <v>99</v>
      </c>
      <c r="D1430" s="73" t="s">
        <v>3413</v>
      </c>
      <c r="E1430" s="77">
        <v>25.12411016579961</v>
      </c>
      <c r="F1430" s="77">
        <v>97.244146841296299</v>
      </c>
      <c r="G1430" s="76">
        <v>0.24235603829455735</v>
      </c>
    </row>
    <row r="1431" spans="1:7" x14ac:dyDescent="0.25">
      <c r="A1431" s="75">
        <v>7701101</v>
      </c>
      <c r="B1431" s="73" t="s">
        <v>996</v>
      </c>
      <c r="C1431" s="68">
        <v>99</v>
      </c>
      <c r="D1431" s="73" t="s">
        <v>3414</v>
      </c>
      <c r="E1431" s="77">
        <v>160</v>
      </c>
      <c r="F1431" s="77">
        <v>768.77940345406284</v>
      </c>
      <c r="G1431" s="76">
        <v>0.55199999999999994</v>
      </c>
    </row>
    <row r="1432" spans="1:7" x14ac:dyDescent="0.25">
      <c r="A1432" s="75">
        <v>7701406</v>
      </c>
      <c r="B1432" s="73" t="s">
        <v>1520</v>
      </c>
      <c r="C1432" s="68">
        <v>99</v>
      </c>
      <c r="D1432" s="73" t="s">
        <v>3415</v>
      </c>
      <c r="E1432" s="77">
        <v>486.61606374410519</v>
      </c>
      <c r="F1432" s="77">
        <v>327.78801449417699</v>
      </c>
      <c r="G1432" s="76">
        <v>2.3474559252055203</v>
      </c>
    </row>
    <row r="1433" spans="1:7" x14ac:dyDescent="0.25">
      <c r="A1433" s="75">
        <v>7701501</v>
      </c>
      <c r="B1433" s="73" t="s">
        <v>1250</v>
      </c>
      <c r="C1433" s="68">
        <v>99</v>
      </c>
      <c r="D1433" s="73" t="s">
        <v>3414</v>
      </c>
      <c r="E1433" s="77">
        <v>160</v>
      </c>
      <c r="F1433" s="77">
        <v>768.77940345406284</v>
      </c>
      <c r="G1433" s="76">
        <v>0.55199999999999994</v>
      </c>
    </row>
    <row r="1434" spans="1:7" x14ac:dyDescent="0.25">
      <c r="A1434" s="75">
        <v>7701901</v>
      </c>
      <c r="B1434" s="73" t="s">
        <v>1521</v>
      </c>
      <c r="C1434" s="68">
        <v>99</v>
      </c>
      <c r="D1434" s="73" t="s">
        <v>3416</v>
      </c>
      <c r="E1434" s="77">
        <v>726.35882246697201</v>
      </c>
      <c r="F1434" s="77">
        <v>425.78670902392753</v>
      </c>
      <c r="G1434" s="76">
        <v>1.7877707874186834</v>
      </c>
    </row>
    <row r="1435" spans="1:7" x14ac:dyDescent="0.25">
      <c r="A1435" s="75">
        <v>7702001</v>
      </c>
      <c r="B1435" s="73" t="s">
        <v>1522</v>
      </c>
      <c r="C1435" s="68">
        <v>99</v>
      </c>
      <c r="D1435" s="73" t="s">
        <v>3417</v>
      </c>
      <c r="E1435" s="77">
        <v>552.13192204316806</v>
      </c>
      <c r="F1435" s="77">
        <v>120.36048348838494</v>
      </c>
      <c r="G1435" s="76">
        <v>3.878729922647612</v>
      </c>
    </row>
    <row r="1436" spans="1:7" x14ac:dyDescent="0.25">
      <c r="A1436" s="75">
        <v>7702101</v>
      </c>
      <c r="B1436" s="73" t="s">
        <v>1523</v>
      </c>
      <c r="C1436" s="68">
        <v>99</v>
      </c>
      <c r="D1436" s="73" t="s">
        <v>3418</v>
      </c>
      <c r="E1436" s="77">
        <v>319.27686122131928</v>
      </c>
      <c r="F1436" s="77">
        <v>506.48376297812621</v>
      </c>
      <c r="G1436" s="76">
        <v>2.6313455620849804</v>
      </c>
    </row>
    <row r="1437" spans="1:7" x14ac:dyDescent="0.25">
      <c r="A1437" s="75">
        <v>7702102</v>
      </c>
      <c r="B1437" s="73" t="s">
        <v>3419</v>
      </c>
      <c r="C1437" s="68">
        <v>99</v>
      </c>
      <c r="D1437" s="73" t="s">
        <v>3420</v>
      </c>
      <c r="E1437" s="77">
        <v>2203.0808508618679</v>
      </c>
      <c r="F1437" s="77">
        <v>1446.5810417784019</v>
      </c>
      <c r="G1437" s="76">
        <v>8.8847564662027434</v>
      </c>
    </row>
    <row r="1438" spans="1:7" x14ac:dyDescent="0.25">
      <c r="A1438" s="75">
        <v>7702302</v>
      </c>
      <c r="B1438" s="73" t="s">
        <v>1524</v>
      </c>
      <c r="C1438" s="68">
        <v>99</v>
      </c>
      <c r="D1438" s="73" t="s">
        <v>3421</v>
      </c>
      <c r="E1438" s="77">
        <v>530</v>
      </c>
      <c r="F1438" s="77">
        <v>874.4</v>
      </c>
      <c r="G1438" s="76">
        <v>5.2</v>
      </c>
    </row>
    <row r="1439" spans="1:7" x14ac:dyDescent="0.25">
      <c r="A1439" s="75">
        <v>7702402</v>
      </c>
      <c r="B1439" s="73" t="s">
        <v>1525</v>
      </c>
      <c r="C1439" s="68">
        <v>99</v>
      </c>
      <c r="D1439" s="73" t="s">
        <v>3422</v>
      </c>
      <c r="E1439" s="77">
        <v>530</v>
      </c>
      <c r="F1439" s="77">
        <v>874.4</v>
      </c>
      <c r="G1439" s="76">
        <v>5.2</v>
      </c>
    </row>
    <row r="1440" spans="1:7" x14ac:dyDescent="0.25">
      <c r="A1440" s="75">
        <v>7702502</v>
      </c>
      <c r="B1440" s="73" t="s">
        <v>1526</v>
      </c>
      <c r="C1440" s="68">
        <v>99</v>
      </c>
      <c r="D1440" s="73" t="s">
        <v>3421</v>
      </c>
      <c r="E1440" s="77">
        <v>530</v>
      </c>
      <c r="F1440" s="77">
        <v>874.4</v>
      </c>
      <c r="G1440" s="76">
        <v>5.2</v>
      </c>
    </row>
    <row r="1441" spans="1:7" x14ac:dyDescent="0.25">
      <c r="A1441" s="75">
        <v>7702601</v>
      </c>
      <c r="B1441" s="73" t="s">
        <v>1527</v>
      </c>
      <c r="C1441" s="68">
        <v>99</v>
      </c>
      <c r="D1441" s="73" t="s">
        <v>3423</v>
      </c>
      <c r="E1441" s="77">
        <v>1450</v>
      </c>
      <c r="F1441" s="77">
        <v>874.4</v>
      </c>
      <c r="G1441" s="76">
        <v>5.2</v>
      </c>
    </row>
    <row r="1442" spans="1:7" x14ac:dyDescent="0.25">
      <c r="A1442" s="75">
        <v>7702602</v>
      </c>
      <c r="B1442" s="73" t="s">
        <v>1528</v>
      </c>
      <c r="C1442" s="68">
        <v>99</v>
      </c>
      <c r="D1442" s="73" t="s">
        <v>3424</v>
      </c>
      <c r="E1442" s="77">
        <v>3122.3452833718175</v>
      </c>
      <c r="F1442" s="77">
        <v>2125.1006964477465</v>
      </c>
      <c r="G1442" s="76">
        <v>13.269117121092943</v>
      </c>
    </row>
    <row r="1443" spans="1:7" x14ac:dyDescent="0.25">
      <c r="A1443" s="75">
        <v>7702603</v>
      </c>
      <c r="B1443" s="73" t="s">
        <v>999</v>
      </c>
      <c r="C1443" s="68">
        <v>99</v>
      </c>
      <c r="D1443" s="73" t="s">
        <v>3423</v>
      </c>
      <c r="E1443" s="77">
        <v>1450</v>
      </c>
      <c r="F1443" s="77">
        <v>874.4</v>
      </c>
      <c r="G1443" s="76">
        <v>5.2</v>
      </c>
    </row>
    <row r="1444" spans="1:7" x14ac:dyDescent="0.25">
      <c r="A1444" s="75">
        <v>7702705</v>
      </c>
      <c r="B1444" s="73" t="s">
        <v>1529</v>
      </c>
      <c r="C1444" s="68">
        <v>99</v>
      </c>
      <c r="D1444" s="73" t="s">
        <v>3425</v>
      </c>
      <c r="E1444" s="77">
        <v>530</v>
      </c>
      <c r="F1444" s="77">
        <v>874.4</v>
      </c>
      <c r="G1444" s="76">
        <v>5.2</v>
      </c>
    </row>
    <row r="1445" spans="1:7" x14ac:dyDescent="0.25">
      <c r="A1445" s="75">
        <v>7702707</v>
      </c>
      <c r="B1445" s="73" t="s">
        <v>1251</v>
      </c>
      <c r="C1445" s="68">
        <v>99</v>
      </c>
      <c r="D1445" s="73" t="s">
        <v>3426</v>
      </c>
      <c r="E1445" s="77">
        <v>1450</v>
      </c>
      <c r="F1445" s="77">
        <v>874.4</v>
      </c>
      <c r="G1445" s="76">
        <v>5.2</v>
      </c>
    </row>
    <row r="1446" spans="1:7" x14ac:dyDescent="0.25">
      <c r="A1446" s="75">
        <v>7702801</v>
      </c>
      <c r="B1446" s="73" t="s">
        <v>1530</v>
      </c>
      <c r="C1446" s="68">
        <v>99</v>
      </c>
      <c r="D1446" s="73" t="s">
        <v>3427</v>
      </c>
      <c r="E1446" s="77">
        <v>353.33333333333337</v>
      </c>
      <c r="F1446" s="77">
        <v>1280</v>
      </c>
      <c r="G1446" s="76">
        <v>5.2</v>
      </c>
    </row>
    <row r="1447" spans="1:7" x14ac:dyDescent="0.25">
      <c r="A1447" s="75">
        <v>7703002</v>
      </c>
      <c r="B1447" s="73" t="s">
        <v>1531</v>
      </c>
      <c r="C1447" s="68">
        <v>99</v>
      </c>
      <c r="D1447" s="73" t="s">
        <v>3428</v>
      </c>
      <c r="E1447" s="77">
        <v>654.5</v>
      </c>
      <c r="F1447" s="77">
        <v>63.2</v>
      </c>
      <c r="G1447" s="76">
        <v>5.2</v>
      </c>
    </row>
    <row r="1448" spans="1:7" x14ac:dyDescent="0.25">
      <c r="A1448" s="75">
        <v>7703402</v>
      </c>
      <c r="B1448" s="73" t="s">
        <v>1001</v>
      </c>
      <c r="C1448" s="68">
        <v>99</v>
      </c>
      <c r="D1448" s="73" t="s">
        <v>3429</v>
      </c>
      <c r="E1448" s="77">
        <v>779.16669099340447</v>
      </c>
      <c r="F1448" s="77">
        <v>75.238097587140047</v>
      </c>
      <c r="G1448" s="76">
        <v>6.1904763837520287</v>
      </c>
    </row>
    <row r="1449" spans="1:7" x14ac:dyDescent="0.25">
      <c r="A1449" s="75">
        <v>7703701</v>
      </c>
      <c r="B1449" s="73" t="s">
        <v>1532</v>
      </c>
      <c r="C1449" s="68">
        <v>99</v>
      </c>
      <c r="D1449" s="73" t="s">
        <v>3430</v>
      </c>
      <c r="E1449" s="77">
        <v>111.2325</v>
      </c>
      <c r="F1449" s="77">
        <v>768.77940345406284</v>
      </c>
      <c r="G1449" s="76">
        <v>0.55199999999999994</v>
      </c>
    </row>
    <row r="1450" spans="1:7" x14ac:dyDescent="0.25">
      <c r="A1450" s="75">
        <v>7703902</v>
      </c>
      <c r="B1450" s="73" t="s">
        <v>1533</v>
      </c>
      <c r="C1450" s="68">
        <v>99</v>
      </c>
      <c r="D1450" s="73" t="s">
        <v>3429</v>
      </c>
      <c r="E1450" s="77">
        <v>779.16669099340447</v>
      </c>
      <c r="F1450" s="77">
        <v>75.238097587140047</v>
      </c>
      <c r="G1450" s="76">
        <v>6.1904763837520287</v>
      </c>
    </row>
    <row r="1451" spans="1:7" x14ac:dyDescent="0.25">
      <c r="A1451" s="75">
        <v>7704001</v>
      </c>
      <c r="B1451" s="73" t="s">
        <v>1534</v>
      </c>
      <c r="C1451" s="68">
        <v>99</v>
      </c>
      <c r="D1451" s="73" t="s">
        <v>3430</v>
      </c>
      <c r="E1451" s="77">
        <v>111.2325</v>
      </c>
      <c r="F1451" s="77">
        <v>768.77940345406284</v>
      </c>
      <c r="G1451" s="76">
        <v>0.55199999999999994</v>
      </c>
    </row>
    <row r="1452" spans="1:7" x14ac:dyDescent="0.25">
      <c r="A1452" s="75">
        <v>7705201</v>
      </c>
      <c r="B1452" s="73" t="s">
        <v>1535</v>
      </c>
      <c r="C1452" s="68">
        <v>99</v>
      </c>
      <c r="D1452" s="73" t="s">
        <v>2760</v>
      </c>
      <c r="E1452" s="77">
        <v>42.172686295037529</v>
      </c>
      <c r="F1452" s="77">
        <v>94.409905881433914</v>
      </c>
      <c r="G1452" s="76">
        <v>0.11814626357292501</v>
      </c>
    </row>
    <row r="1453" spans="1:7" x14ac:dyDescent="0.25">
      <c r="A1453" s="75">
        <v>7705401</v>
      </c>
      <c r="B1453" s="73" t="s">
        <v>1536</v>
      </c>
      <c r="C1453" s="68">
        <v>99</v>
      </c>
      <c r="D1453" s="73" t="s">
        <v>3431</v>
      </c>
      <c r="E1453" s="77">
        <v>2302.7954359538198</v>
      </c>
      <c r="F1453" s="77">
        <v>1554.4577858557893</v>
      </c>
      <c r="G1453" s="76">
        <v>10.177461327930201</v>
      </c>
    </row>
    <row r="1454" spans="1:7" x14ac:dyDescent="0.25">
      <c r="A1454" s="75">
        <v>7705901</v>
      </c>
      <c r="B1454" s="73" t="s">
        <v>3432</v>
      </c>
      <c r="C1454" s="68">
        <v>99</v>
      </c>
      <c r="D1454" s="73" t="s">
        <v>3433</v>
      </c>
      <c r="E1454" s="77">
        <v>530.05089189911382</v>
      </c>
      <c r="F1454" s="77">
        <v>0</v>
      </c>
      <c r="G1454" s="76">
        <v>27.056158927868541</v>
      </c>
    </row>
    <row r="1455" spans="1:7" x14ac:dyDescent="0.25">
      <c r="A1455" s="75">
        <v>7706001</v>
      </c>
      <c r="B1455" s="73" t="s">
        <v>1537</v>
      </c>
      <c r="C1455" s="68">
        <v>99</v>
      </c>
      <c r="D1455" s="73" t="s">
        <v>3434</v>
      </c>
      <c r="E1455" s="77">
        <v>631.13588431464268</v>
      </c>
      <c r="F1455" s="77">
        <v>0</v>
      </c>
      <c r="G1455" s="76">
        <v>31.563758248103394</v>
      </c>
    </row>
    <row r="1456" spans="1:7" x14ac:dyDescent="0.25">
      <c r="A1456" s="75">
        <v>7706302</v>
      </c>
      <c r="B1456" s="73" t="s">
        <v>1538</v>
      </c>
      <c r="C1456" s="68">
        <v>99</v>
      </c>
      <c r="D1456" s="73" t="s">
        <v>3435</v>
      </c>
      <c r="E1456" s="77">
        <v>654.5</v>
      </c>
      <c r="F1456" s="77">
        <v>63.2</v>
      </c>
      <c r="G1456" s="76">
        <v>5.2</v>
      </c>
    </row>
    <row r="1457" spans="1:14" x14ac:dyDescent="0.25">
      <c r="A1457" s="75"/>
      <c r="B1457" s="72" t="s">
        <v>23</v>
      </c>
      <c r="C1457" s="73"/>
      <c r="D1457" s="73"/>
      <c r="E1457" s="73"/>
      <c r="F1457" s="73"/>
      <c r="G1457" s="78"/>
    </row>
    <row r="1458" spans="1:14" x14ac:dyDescent="0.25">
      <c r="A1458" s="75">
        <v>7800301</v>
      </c>
      <c r="B1458" s="73" t="s">
        <v>1252</v>
      </c>
      <c r="C1458" s="68">
        <v>2</v>
      </c>
      <c r="D1458" s="73" t="s">
        <v>3437</v>
      </c>
      <c r="E1458" s="77">
        <v>489.82558086288742</v>
      </c>
      <c r="F1458" s="77">
        <v>631.89984591022119</v>
      </c>
      <c r="G1458" s="76">
        <v>3.7293022972494545</v>
      </c>
      <c r="H1458" s="30">
        <v>7800301</v>
      </c>
      <c r="I1458" t="s">
        <v>1252</v>
      </c>
      <c r="J1458" s="1"/>
      <c r="L1458" s="21"/>
      <c r="M1458" s="21"/>
      <c r="N1458" s="20"/>
    </row>
    <row r="1459" spans="1:14" x14ac:dyDescent="0.25">
      <c r="A1459" s="75">
        <v>7800301</v>
      </c>
      <c r="B1459" s="73" t="s">
        <v>1252</v>
      </c>
      <c r="C1459" s="68">
        <v>3</v>
      </c>
      <c r="D1459" s="73" t="s">
        <v>3438</v>
      </c>
      <c r="E1459" s="77">
        <v>508.80253337579069</v>
      </c>
      <c r="F1459" s="77">
        <v>651.21697691467443</v>
      </c>
      <c r="G1459" s="76">
        <v>3.8568348275160123</v>
      </c>
    </row>
    <row r="1460" spans="1:14" x14ac:dyDescent="0.25">
      <c r="A1460" s="75">
        <v>7800301</v>
      </c>
      <c r="B1460" s="73" t="s">
        <v>1252</v>
      </c>
      <c r="C1460" s="68">
        <v>5</v>
      </c>
      <c r="D1460" s="73" t="s">
        <v>3439</v>
      </c>
      <c r="E1460" s="77">
        <v>571.82400183775724</v>
      </c>
      <c r="F1460" s="77">
        <v>747.74007322828936</v>
      </c>
      <c r="G1460" s="76">
        <v>4.5337647123457057</v>
      </c>
    </row>
    <row r="1461" spans="1:14" x14ac:dyDescent="0.25">
      <c r="A1461" s="75">
        <v>7800301</v>
      </c>
      <c r="B1461" s="73" t="s">
        <v>1252</v>
      </c>
      <c r="C1461" s="68">
        <v>6</v>
      </c>
      <c r="D1461" s="73" t="s">
        <v>3437</v>
      </c>
      <c r="E1461" s="77">
        <v>478.39858086288746</v>
      </c>
      <c r="F1461" s="77">
        <v>631.89984591022119</v>
      </c>
      <c r="G1461" s="76">
        <v>3.7293022972494545</v>
      </c>
    </row>
    <row r="1462" spans="1:14" x14ac:dyDescent="0.25">
      <c r="A1462" s="75">
        <v>7800301</v>
      </c>
      <c r="B1462" s="73" t="s">
        <v>1252</v>
      </c>
      <c r="C1462" s="68">
        <v>7</v>
      </c>
      <c r="D1462" s="73" t="s">
        <v>3440</v>
      </c>
      <c r="E1462" s="77">
        <v>470.91467834301642</v>
      </c>
      <c r="F1462" s="77">
        <v>633.30928660672112</v>
      </c>
      <c r="G1462" s="76">
        <v>3.8509198843406565</v>
      </c>
    </row>
    <row r="1463" spans="1:14" x14ac:dyDescent="0.25">
      <c r="A1463" s="75">
        <v>7800301</v>
      </c>
      <c r="B1463" s="73" t="s">
        <v>1252</v>
      </c>
      <c r="C1463" s="68">
        <v>8</v>
      </c>
      <c r="D1463" s="73" t="s">
        <v>3436</v>
      </c>
      <c r="E1463" s="77">
        <v>483.40920004245737</v>
      </c>
      <c r="F1463" s="77">
        <v>651.21697691467443</v>
      </c>
      <c r="G1463" s="76">
        <v>3.8568348275160123</v>
      </c>
    </row>
    <row r="1464" spans="1:14" x14ac:dyDescent="0.25">
      <c r="A1464" s="75">
        <v>7800301</v>
      </c>
      <c r="B1464" s="73" t="s">
        <v>1252</v>
      </c>
      <c r="C1464" s="68">
        <v>9</v>
      </c>
      <c r="D1464" s="73" t="s">
        <v>3437</v>
      </c>
      <c r="E1464" s="77">
        <v>486.65141419622086</v>
      </c>
      <c r="F1464" s="77">
        <v>631.89984591022119</v>
      </c>
      <c r="G1464" s="76">
        <v>3.7293022972494545</v>
      </c>
    </row>
    <row r="1465" spans="1:14" x14ac:dyDescent="0.25">
      <c r="A1465" s="75">
        <v>7800301</v>
      </c>
      <c r="B1465" s="73" t="s">
        <v>1252</v>
      </c>
      <c r="C1465" s="68">
        <v>99</v>
      </c>
      <c r="D1465" s="73" t="s">
        <v>3438</v>
      </c>
      <c r="E1465" s="77">
        <v>508.80253337579069</v>
      </c>
      <c r="F1465" s="77">
        <v>651.21697691467443</v>
      </c>
      <c r="G1465" s="76">
        <v>3.8568348275160123</v>
      </c>
    </row>
    <row r="1466" spans="1:14" x14ac:dyDescent="0.25">
      <c r="A1466" s="75">
        <v>7800302</v>
      </c>
      <c r="B1466" s="73" t="s">
        <v>3441</v>
      </c>
      <c r="C1466" s="68">
        <v>1</v>
      </c>
      <c r="D1466" s="73" t="s">
        <v>3436</v>
      </c>
      <c r="E1466" s="77">
        <v>532.85295004245734</v>
      </c>
      <c r="F1466" s="77">
        <v>651.21697691467443</v>
      </c>
      <c r="G1466" s="76">
        <v>3.8568348275160123</v>
      </c>
    </row>
    <row r="1467" spans="1:14" x14ac:dyDescent="0.25">
      <c r="A1467" s="75">
        <v>7800302</v>
      </c>
      <c r="B1467" s="73" t="s">
        <v>1253</v>
      </c>
      <c r="C1467" s="68">
        <v>2</v>
      </c>
      <c r="D1467" s="73" t="s">
        <v>3437</v>
      </c>
      <c r="E1467" s="77">
        <v>489.82558086288742</v>
      </c>
      <c r="F1467" s="77">
        <v>631.89984591022119</v>
      </c>
      <c r="G1467" s="76">
        <v>3.7293022972494545</v>
      </c>
    </row>
    <row r="1468" spans="1:14" x14ac:dyDescent="0.25">
      <c r="A1468" s="75">
        <v>7800302</v>
      </c>
      <c r="B1468" s="73" t="s">
        <v>3441</v>
      </c>
      <c r="C1468" s="68">
        <v>3</v>
      </c>
      <c r="D1468" s="73" t="s">
        <v>3438</v>
      </c>
      <c r="E1468" s="77">
        <v>508.80253337579069</v>
      </c>
      <c r="F1468" s="77">
        <v>651.21697691467443</v>
      </c>
      <c r="G1468" s="76">
        <v>3.8568348275160123</v>
      </c>
    </row>
    <row r="1469" spans="1:14" x14ac:dyDescent="0.25">
      <c r="A1469" s="75">
        <v>7800302</v>
      </c>
      <c r="B1469" s="73" t="s">
        <v>3441</v>
      </c>
      <c r="C1469" s="68">
        <v>4</v>
      </c>
      <c r="D1469" s="73" t="s">
        <v>3438</v>
      </c>
      <c r="E1469" s="77">
        <v>386.74356003353677</v>
      </c>
      <c r="F1469" s="77">
        <v>520.97358153173946</v>
      </c>
      <c r="G1469" s="76">
        <v>3.08546786201281</v>
      </c>
    </row>
    <row r="1470" spans="1:14" x14ac:dyDescent="0.25">
      <c r="A1470" s="75">
        <v>7800302</v>
      </c>
      <c r="B1470" s="73" t="s">
        <v>3441</v>
      </c>
      <c r="C1470" s="68">
        <v>5</v>
      </c>
      <c r="D1470" s="73" t="s">
        <v>3439</v>
      </c>
      <c r="E1470" s="77">
        <v>571.82400183775724</v>
      </c>
      <c r="F1470" s="77">
        <v>747.74007322828936</v>
      </c>
      <c r="G1470" s="76">
        <v>4.5337647123457057</v>
      </c>
    </row>
    <row r="1471" spans="1:14" x14ac:dyDescent="0.25">
      <c r="A1471" s="75">
        <v>7800302</v>
      </c>
      <c r="B1471" s="73" t="s">
        <v>3441</v>
      </c>
      <c r="C1471" s="68">
        <v>6</v>
      </c>
      <c r="D1471" s="73" t="s">
        <v>3437</v>
      </c>
      <c r="E1471" s="77">
        <v>478.39858086288746</v>
      </c>
      <c r="F1471" s="77">
        <v>631.89984591022119</v>
      </c>
      <c r="G1471" s="76">
        <v>3.7293022972494545</v>
      </c>
    </row>
    <row r="1472" spans="1:14" x14ac:dyDescent="0.25">
      <c r="A1472" s="75">
        <v>7800302</v>
      </c>
      <c r="B1472" s="73" t="s">
        <v>3441</v>
      </c>
      <c r="C1472" s="68">
        <v>7</v>
      </c>
      <c r="D1472" s="73" t="s">
        <v>3440</v>
      </c>
      <c r="E1472" s="77">
        <v>470.91467834301642</v>
      </c>
      <c r="F1472" s="77">
        <v>633.30928660672112</v>
      </c>
      <c r="G1472" s="76">
        <v>3.8509198843406565</v>
      </c>
    </row>
    <row r="1473" spans="1:7" x14ac:dyDescent="0.25">
      <c r="A1473" s="75">
        <v>7800302</v>
      </c>
      <c r="B1473" s="73" t="s">
        <v>3441</v>
      </c>
      <c r="C1473" s="68">
        <v>8</v>
      </c>
      <c r="D1473" s="73" t="s">
        <v>3436</v>
      </c>
      <c r="E1473" s="77">
        <v>483.40920004245737</v>
      </c>
      <c r="F1473" s="77">
        <v>651.21697691467443</v>
      </c>
      <c r="G1473" s="76">
        <v>3.8568348275160123</v>
      </c>
    </row>
    <row r="1474" spans="1:7" x14ac:dyDescent="0.25">
      <c r="A1474" s="75">
        <v>7800302</v>
      </c>
      <c r="B1474" s="73" t="s">
        <v>3441</v>
      </c>
      <c r="C1474" s="68">
        <v>9</v>
      </c>
      <c r="D1474" s="73" t="s">
        <v>3437</v>
      </c>
      <c r="E1474" s="77">
        <v>486.65141419622086</v>
      </c>
      <c r="F1474" s="77">
        <v>631.89984591022119</v>
      </c>
      <c r="G1474" s="76">
        <v>3.7293022972494545</v>
      </c>
    </row>
    <row r="1475" spans="1:7" x14ac:dyDescent="0.25">
      <c r="A1475" s="75">
        <v>7800302</v>
      </c>
      <c r="B1475" s="73" t="s">
        <v>3441</v>
      </c>
      <c r="C1475" s="68">
        <v>99</v>
      </c>
      <c r="D1475" s="73" t="s">
        <v>3438</v>
      </c>
      <c r="E1475" s="77">
        <v>508.80253337579069</v>
      </c>
      <c r="F1475" s="77">
        <v>651.21697691467443</v>
      </c>
      <c r="G1475" s="76">
        <v>3.8568348275160123</v>
      </c>
    </row>
    <row r="1476" spans="1:7" x14ac:dyDescent="0.25">
      <c r="A1476" s="75">
        <v>7800303</v>
      </c>
      <c r="B1476" s="73" t="s">
        <v>1254</v>
      </c>
      <c r="C1476" s="68">
        <v>1</v>
      </c>
      <c r="D1476" s="73" t="s">
        <v>3436</v>
      </c>
      <c r="E1476" s="77">
        <v>532.85295004245734</v>
      </c>
      <c r="F1476" s="77">
        <v>651.21697691467443</v>
      </c>
      <c r="G1476" s="76">
        <v>3.8568348275160123</v>
      </c>
    </row>
    <row r="1477" spans="1:7" x14ac:dyDescent="0.25">
      <c r="A1477" s="75">
        <v>7800303</v>
      </c>
      <c r="B1477" s="73" t="s">
        <v>1254</v>
      </c>
      <c r="C1477" s="68">
        <v>2</v>
      </c>
      <c r="D1477" s="73" t="s">
        <v>3437</v>
      </c>
      <c r="E1477" s="77">
        <v>489.82558086288748</v>
      </c>
      <c r="F1477" s="77">
        <v>631.89984591022119</v>
      </c>
      <c r="G1477" s="76">
        <v>3.7293022972494545</v>
      </c>
    </row>
    <row r="1478" spans="1:7" x14ac:dyDescent="0.25">
      <c r="A1478" s="75">
        <v>7800303</v>
      </c>
      <c r="B1478" s="73" t="s">
        <v>1254</v>
      </c>
      <c r="C1478" s="68">
        <v>3</v>
      </c>
      <c r="D1478" s="73" t="s">
        <v>3438</v>
      </c>
      <c r="E1478" s="77">
        <v>508.80253337579069</v>
      </c>
      <c r="F1478" s="77">
        <v>651.21697691467443</v>
      </c>
      <c r="G1478" s="76">
        <v>3.8568348275160123</v>
      </c>
    </row>
    <row r="1479" spans="1:7" x14ac:dyDescent="0.25">
      <c r="A1479" s="75">
        <v>7800303</v>
      </c>
      <c r="B1479" s="73" t="s">
        <v>1254</v>
      </c>
      <c r="C1479" s="68">
        <v>4</v>
      </c>
      <c r="D1479" s="73" t="s">
        <v>3438</v>
      </c>
      <c r="E1479" s="77">
        <v>386.74356003353677</v>
      </c>
      <c r="F1479" s="77">
        <v>520.97358153173946</v>
      </c>
      <c r="G1479" s="76">
        <v>3.08546786201281</v>
      </c>
    </row>
    <row r="1480" spans="1:7" x14ac:dyDescent="0.25">
      <c r="A1480" s="75">
        <v>7800303</v>
      </c>
      <c r="B1480" s="73" t="s">
        <v>1254</v>
      </c>
      <c r="C1480" s="68">
        <v>6</v>
      </c>
      <c r="D1480" s="73" t="s">
        <v>3437</v>
      </c>
      <c r="E1480" s="77">
        <v>478.39858086288751</v>
      </c>
      <c r="F1480" s="77">
        <v>631.89984591022119</v>
      </c>
      <c r="G1480" s="76">
        <v>3.7293022972494545</v>
      </c>
    </row>
    <row r="1481" spans="1:7" x14ac:dyDescent="0.25">
      <c r="A1481" s="75">
        <v>7800303</v>
      </c>
      <c r="B1481" s="73" t="s">
        <v>1254</v>
      </c>
      <c r="C1481" s="68">
        <v>7</v>
      </c>
      <c r="D1481" s="73" t="s">
        <v>3440</v>
      </c>
      <c r="E1481" s="77">
        <v>470.91467834301642</v>
      </c>
      <c r="F1481" s="77">
        <v>633.30928660672112</v>
      </c>
      <c r="G1481" s="76">
        <v>3.8509198843406565</v>
      </c>
    </row>
    <row r="1482" spans="1:7" x14ac:dyDescent="0.25">
      <c r="A1482" s="75">
        <v>7800303</v>
      </c>
      <c r="B1482" s="73" t="s">
        <v>1254</v>
      </c>
      <c r="C1482" s="68">
        <v>8</v>
      </c>
      <c r="D1482" s="73" t="s">
        <v>3436</v>
      </c>
      <c r="E1482" s="77">
        <v>483.40920004245737</v>
      </c>
      <c r="F1482" s="77">
        <v>651.21697691467443</v>
      </c>
      <c r="G1482" s="76">
        <v>3.8568348275160123</v>
      </c>
    </row>
    <row r="1483" spans="1:7" x14ac:dyDescent="0.25">
      <c r="A1483" s="75">
        <v>7800303</v>
      </c>
      <c r="B1483" s="73" t="s">
        <v>1254</v>
      </c>
      <c r="C1483" s="68">
        <v>9</v>
      </c>
      <c r="D1483" s="73" t="s">
        <v>3437</v>
      </c>
      <c r="E1483" s="77">
        <v>486.6514141962208</v>
      </c>
      <c r="F1483" s="77">
        <v>631.89984591022119</v>
      </c>
      <c r="G1483" s="76">
        <v>3.7293022972494545</v>
      </c>
    </row>
    <row r="1484" spans="1:7" x14ac:dyDescent="0.25">
      <c r="A1484" s="75">
        <v>7800303</v>
      </c>
      <c r="B1484" s="73" t="s">
        <v>1254</v>
      </c>
      <c r="C1484" s="68">
        <v>99</v>
      </c>
      <c r="D1484" s="73" t="s">
        <v>3438</v>
      </c>
      <c r="E1484" s="77">
        <v>508.80253337579069</v>
      </c>
      <c r="F1484" s="77">
        <v>651.21697691467443</v>
      </c>
      <c r="G1484" s="76">
        <v>3.8568348275160123</v>
      </c>
    </row>
    <row r="1485" spans="1:7" x14ac:dyDescent="0.25">
      <c r="A1485" s="75">
        <v>7800304</v>
      </c>
      <c r="B1485" s="73" t="s">
        <v>1255</v>
      </c>
      <c r="C1485" s="68">
        <v>1</v>
      </c>
      <c r="D1485" s="73" t="s">
        <v>3436</v>
      </c>
      <c r="E1485" s="77">
        <v>532.85295004245734</v>
      </c>
      <c r="F1485" s="77">
        <v>651.21697691467443</v>
      </c>
      <c r="G1485" s="76">
        <v>3.8568348275160123</v>
      </c>
    </row>
    <row r="1486" spans="1:7" x14ac:dyDescent="0.25">
      <c r="A1486" s="75">
        <v>7800304</v>
      </c>
      <c r="B1486" s="73" t="s">
        <v>1255</v>
      </c>
      <c r="C1486" s="68">
        <v>2</v>
      </c>
      <c r="D1486" s="73" t="s">
        <v>3437</v>
      </c>
      <c r="E1486" s="77">
        <v>489.82558086288748</v>
      </c>
      <c r="F1486" s="77">
        <v>631.89984591022119</v>
      </c>
      <c r="G1486" s="76">
        <v>3.7293022972494545</v>
      </c>
    </row>
    <row r="1487" spans="1:7" x14ac:dyDescent="0.25">
      <c r="A1487" s="75">
        <v>7800304</v>
      </c>
      <c r="B1487" s="73" t="s">
        <v>1255</v>
      </c>
      <c r="C1487" s="68">
        <v>3</v>
      </c>
      <c r="D1487" s="73" t="s">
        <v>3438</v>
      </c>
      <c r="E1487" s="77">
        <v>508.80253337579069</v>
      </c>
      <c r="F1487" s="77">
        <v>651.21697691467443</v>
      </c>
      <c r="G1487" s="76">
        <v>3.8568348275160123</v>
      </c>
    </row>
    <row r="1488" spans="1:7" x14ac:dyDescent="0.25">
      <c r="A1488" s="75">
        <v>7800304</v>
      </c>
      <c r="B1488" s="73" t="s">
        <v>1255</v>
      </c>
      <c r="C1488" s="68">
        <v>5</v>
      </c>
      <c r="D1488" s="73" t="s">
        <v>3439</v>
      </c>
      <c r="E1488" s="77">
        <v>571.82400183775724</v>
      </c>
      <c r="F1488" s="77">
        <v>747.74007322828936</v>
      </c>
      <c r="G1488" s="76">
        <v>4.5337647123457057</v>
      </c>
    </row>
    <row r="1489" spans="1:7" x14ac:dyDescent="0.25">
      <c r="A1489" s="75">
        <v>7800304</v>
      </c>
      <c r="B1489" s="73" t="s">
        <v>1255</v>
      </c>
      <c r="C1489" s="68">
        <v>6</v>
      </c>
      <c r="D1489" s="73" t="s">
        <v>3437</v>
      </c>
      <c r="E1489" s="77">
        <v>478.39858086288746</v>
      </c>
      <c r="F1489" s="77">
        <v>631.89984591022119</v>
      </c>
      <c r="G1489" s="76">
        <v>3.7293022972494545</v>
      </c>
    </row>
    <row r="1490" spans="1:7" x14ac:dyDescent="0.25">
      <c r="A1490" s="75">
        <v>7800304</v>
      </c>
      <c r="B1490" s="73" t="s">
        <v>1255</v>
      </c>
      <c r="C1490" s="68">
        <v>7</v>
      </c>
      <c r="D1490" s="73" t="s">
        <v>3440</v>
      </c>
      <c r="E1490" s="77">
        <v>470.91467834301642</v>
      </c>
      <c r="F1490" s="77">
        <v>633.30928660672112</v>
      </c>
      <c r="G1490" s="76">
        <v>3.8509198843406565</v>
      </c>
    </row>
    <row r="1491" spans="1:7" x14ac:dyDescent="0.25">
      <c r="A1491" s="75">
        <v>7800304</v>
      </c>
      <c r="B1491" s="73" t="s">
        <v>1255</v>
      </c>
      <c r="C1491" s="68">
        <v>8</v>
      </c>
      <c r="D1491" s="73" t="s">
        <v>3436</v>
      </c>
      <c r="E1491" s="77">
        <v>483.40920004245737</v>
      </c>
      <c r="F1491" s="77">
        <v>651.21697691467443</v>
      </c>
      <c r="G1491" s="76">
        <v>3.8568348275160123</v>
      </c>
    </row>
    <row r="1492" spans="1:7" x14ac:dyDescent="0.25">
      <c r="A1492" s="75">
        <v>7800304</v>
      </c>
      <c r="B1492" s="73" t="s">
        <v>1255</v>
      </c>
      <c r="C1492" s="68">
        <v>9</v>
      </c>
      <c r="D1492" s="73" t="s">
        <v>3437</v>
      </c>
      <c r="E1492" s="77">
        <v>486.6514141962208</v>
      </c>
      <c r="F1492" s="77">
        <v>631.89984591022119</v>
      </c>
      <c r="G1492" s="76">
        <v>3.7293022972494545</v>
      </c>
    </row>
    <row r="1493" spans="1:7" x14ac:dyDescent="0.25">
      <c r="A1493" s="75">
        <v>7800304</v>
      </c>
      <c r="B1493" s="73" t="s">
        <v>1255</v>
      </c>
      <c r="C1493" s="68">
        <v>99</v>
      </c>
      <c r="D1493" s="73" t="s">
        <v>3438</v>
      </c>
      <c r="E1493" s="77">
        <v>508.80253337579069</v>
      </c>
      <c r="F1493" s="77">
        <v>651.21697691467443</v>
      </c>
      <c r="G1493" s="76">
        <v>3.8568348275160123</v>
      </c>
    </row>
    <row r="1494" spans="1:7" x14ac:dyDescent="0.25">
      <c r="A1494" s="75">
        <v>7800307</v>
      </c>
      <c r="B1494" s="73" t="s">
        <v>3442</v>
      </c>
      <c r="C1494" s="68">
        <v>1</v>
      </c>
      <c r="D1494" s="73" t="s">
        <v>3436</v>
      </c>
      <c r="E1494" s="77">
        <v>532.85295004245734</v>
      </c>
      <c r="F1494" s="77">
        <v>651.21697691467443</v>
      </c>
      <c r="G1494" s="76">
        <v>3.8568348275160123</v>
      </c>
    </row>
    <row r="1495" spans="1:7" x14ac:dyDescent="0.25">
      <c r="A1495" s="75">
        <v>7800307</v>
      </c>
      <c r="B1495" s="73" t="s">
        <v>3442</v>
      </c>
      <c r="C1495" s="68">
        <v>2</v>
      </c>
      <c r="D1495" s="73" t="s">
        <v>3437</v>
      </c>
      <c r="E1495" s="77">
        <v>489.82558086288748</v>
      </c>
      <c r="F1495" s="77">
        <v>631.89984591022119</v>
      </c>
      <c r="G1495" s="76">
        <v>3.7293022972494545</v>
      </c>
    </row>
    <row r="1496" spans="1:7" x14ac:dyDescent="0.25">
      <c r="A1496" s="75">
        <v>7800307</v>
      </c>
      <c r="B1496" s="73" t="s">
        <v>3442</v>
      </c>
      <c r="C1496" s="68">
        <v>3</v>
      </c>
      <c r="D1496" s="73" t="s">
        <v>3443</v>
      </c>
      <c r="E1496" s="77">
        <v>508.80253337579069</v>
      </c>
      <c r="F1496" s="77">
        <v>651.21697691467443</v>
      </c>
      <c r="G1496" s="76">
        <v>3.8568348275160123</v>
      </c>
    </row>
    <row r="1497" spans="1:7" x14ac:dyDescent="0.25">
      <c r="A1497" s="75">
        <v>7800307</v>
      </c>
      <c r="B1497" s="73" t="s">
        <v>3442</v>
      </c>
      <c r="C1497" s="68">
        <v>4</v>
      </c>
      <c r="D1497" s="73" t="s">
        <v>3443</v>
      </c>
      <c r="E1497" s="77">
        <v>386.74356003353677</v>
      </c>
      <c r="F1497" s="77">
        <v>520.97358153173946</v>
      </c>
      <c r="G1497" s="76">
        <v>3.08546786201281</v>
      </c>
    </row>
    <row r="1498" spans="1:7" x14ac:dyDescent="0.25">
      <c r="A1498" s="75">
        <v>7800307</v>
      </c>
      <c r="B1498" s="73" t="s">
        <v>3442</v>
      </c>
      <c r="C1498" s="68">
        <v>6</v>
      </c>
      <c r="D1498" s="73" t="s">
        <v>3437</v>
      </c>
      <c r="E1498" s="77">
        <v>478.39858086288746</v>
      </c>
      <c r="F1498" s="77">
        <v>631.89984591022119</v>
      </c>
      <c r="G1498" s="76">
        <v>3.7293022972494545</v>
      </c>
    </row>
    <row r="1499" spans="1:7" x14ac:dyDescent="0.25">
      <c r="A1499" s="75">
        <v>7800307</v>
      </c>
      <c r="B1499" s="73" t="s">
        <v>3442</v>
      </c>
      <c r="C1499" s="68">
        <v>7</v>
      </c>
      <c r="D1499" s="73" t="s">
        <v>3440</v>
      </c>
      <c r="E1499" s="77">
        <v>470.91467834301642</v>
      </c>
      <c r="F1499" s="77">
        <v>633.30928660672112</v>
      </c>
      <c r="G1499" s="76">
        <v>3.8509198843406565</v>
      </c>
    </row>
    <row r="1500" spans="1:7" x14ac:dyDescent="0.25">
      <c r="A1500" s="75">
        <v>7800307</v>
      </c>
      <c r="B1500" s="73" t="s">
        <v>3442</v>
      </c>
      <c r="C1500" s="68">
        <v>8</v>
      </c>
      <c r="D1500" s="73" t="s">
        <v>3436</v>
      </c>
      <c r="E1500" s="77">
        <v>483.40920004245737</v>
      </c>
      <c r="F1500" s="77">
        <v>651.21697691467443</v>
      </c>
      <c r="G1500" s="76">
        <v>3.8568348275160123</v>
      </c>
    </row>
    <row r="1501" spans="1:7" x14ac:dyDescent="0.25">
      <c r="A1501" s="75">
        <v>7800307</v>
      </c>
      <c r="B1501" s="73" t="s">
        <v>3442</v>
      </c>
      <c r="C1501" s="68">
        <v>9</v>
      </c>
      <c r="D1501" s="73" t="s">
        <v>3437</v>
      </c>
      <c r="E1501" s="77">
        <v>486.65141419622086</v>
      </c>
      <c r="F1501" s="77">
        <v>631.89984591022119</v>
      </c>
      <c r="G1501" s="76">
        <v>3.7293022972494545</v>
      </c>
    </row>
    <row r="1502" spans="1:7" x14ac:dyDescent="0.25">
      <c r="A1502" s="75">
        <v>7800307</v>
      </c>
      <c r="B1502" s="73" t="s">
        <v>3442</v>
      </c>
      <c r="C1502" s="68">
        <v>99</v>
      </c>
      <c r="D1502" s="73" t="s">
        <v>3443</v>
      </c>
      <c r="E1502" s="77">
        <v>508.80253337579069</v>
      </c>
      <c r="F1502" s="77">
        <v>651.21697691467443</v>
      </c>
      <c r="G1502" s="76">
        <v>3.8568348275160123</v>
      </c>
    </row>
    <row r="1503" spans="1:7" x14ac:dyDescent="0.25">
      <c r="A1503" s="75">
        <v>7800401</v>
      </c>
      <c r="B1503" s="73" t="s">
        <v>1256</v>
      </c>
      <c r="C1503" s="68">
        <v>1</v>
      </c>
      <c r="D1503" s="73" t="s">
        <v>3444</v>
      </c>
      <c r="E1503" s="77">
        <v>532.85295004245734</v>
      </c>
      <c r="F1503" s="77">
        <v>651.21697691467443</v>
      </c>
      <c r="G1503" s="76">
        <v>3.8568348275160123</v>
      </c>
    </row>
    <row r="1504" spans="1:7" x14ac:dyDescent="0.25">
      <c r="A1504" s="75">
        <v>7800401</v>
      </c>
      <c r="B1504" s="73" t="s">
        <v>1256</v>
      </c>
      <c r="C1504" s="68">
        <v>2</v>
      </c>
      <c r="D1504" s="73" t="s">
        <v>3445</v>
      </c>
      <c r="E1504" s="77">
        <v>494.41027766850306</v>
      </c>
      <c r="F1504" s="77">
        <v>640.9859355621752</v>
      </c>
      <c r="G1504" s="76">
        <v>3.8534554806970189</v>
      </c>
    </row>
    <row r="1505" spans="1:7" x14ac:dyDescent="0.25">
      <c r="A1505" s="75">
        <v>7800401</v>
      </c>
      <c r="B1505" s="73" t="s">
        <v>1256</v>
      </c>
      <c r="C1505" s="68">
        <v>3</v>
      </c>
      <c r="D1505" s="73" t="s">
        <v>3445</v>
      </c>
      <c r="E1505" s="77">
        <v>494.41027766850306</v>
      </c>
      <c r="F1505" s="77">
        <v>640.9859355621752</v>
      </c>
      <c r="G1505" s="76">
        <v>3.8534554806970189</v>
      </c>
    </row>
    <row r="1506" spans="1:7" x14ac:dyDescent="0.25">
      <c r="A1506" s="75">
        <v>7800401</v>
      </c>
      <c r="B1506" s="73" t="s">
        <v>1256</v>
      </c>
      <c r="C1506" s="68">
        <v>4</v>
      </c>
      <c r="D1506" s="73" t="s">
        <v>3445</v>
      </c>
      <c r="E1506" s="77">
        <v>376.76947553225136</v>
      </c>
      <c r="F1506" s="77">
        <v>516.6954063600233</v>
      </c>
      <c r="G1506" s="76">
        <v>3.1173443860072001</v>
      </c>
    </row>
    <row r="1507" spans="1:7" x14ac:dyDescent="0.25">
      <c r="A1507" s="75">
        <v>7800401</v>
      </c>
      <c r="B1507" s="73" t="s">
        <v>1256</v>
      </c>
      <c r="C1507" s="68">
        <v>5</v>
      </c>
      <c r="D1507" s="73" t="s">
        <v>3446</v>
      </c>
      <c r="E1507" s="77">
        <v>583.49491864711342</v>
      </c>
      <c r="F1507" s="77">
        <v>773.20497409575182</v>
      </c>
      <c r="G1507" s="76">
        <v>4.7126740728500316</v>
      </c>
    </row>
    <row r="1508" spans="1:7" x14ac:dyDescent="0.25">
      <c r="A1508" s="75">
        <v>7800401</v>
      </c>
      <c r="B1508" s="73" t="s">
        <v>1256</v>
      </c>
      <c r="C1508" s="68">
        <v>6</v>
      </c>
      <c r="D1508" s="73" t="s">
        <v>3447</v>
      </c>
      <c r="E1508" s="77">
        <v>478.39858086288751</v>
      </c>
      <c r="F1508" s="77">
        <v>631.89984591022119</v>
      </c>
      <c r="G1508" s="76">
        <v>3.7293022972494545</v>
      </c>
    </row>
    <row r="1509" spans="1:7" x14ac:dyDescent="0.25">
      <c r="A1509" s="75">
        <v>7800401</v>
      </c>
      <c r="B1509" s="73" t="s">
        <v>1256</v>
      </c>
      <c r="C1509" s="68">
        <v>7</v>
      </c>
      <c r="D1509" s="73" t="s">
        <v>3448</v>
      </c>
      <c r="E1509" s="77">
        <v>480.36138293817908</v>
      </c>
      <c r="F1509" s="77">
        <v>640.02468218167473</v>
      </c>
      <c r="G1509" s="76">
        <v>3.8531380551323009</v>
      </c>
    </row>
    <row r="1510" spans="1:7" x14ac:dyDescent="0.25">
      <c r="A1510" s="75">
        <v>7800401</v>
      </c>
      <c r="B1510" s="73" t="s">
        <v>1256</v>
      </c>
      <c r="C1510" s="68">
        <v>8</v>
      </c>
      <c r="D1510" s="73" t="s">
        <v>3444</v>
      </c>
      <c r="E1510" s="77">
        <v>483.40920004245737</v>
      </c>
      <c r="F1510" s="77">
        <v>651.21697691467443</v>
      </c>
      <c r="G1510" s="76">
        <v>3.8568348275160123</v>
      </c>
    </row>
    <row r="1511" spans="1:7" x14ac:dyDescent="0.25">
      <c r="A1511" s="75">
        <v>7800401</v>
      </c>
      <c r="B1511" s="73" t="s">
        <v>1256</v>
      </c>
      <c r="C1511" s="68">
        <v>9</v>
      </c>
      <c r="D1511" s="73" t="s">
        <v>3447</v>
      </c>
      <c r="E1511" s="77">
        <v>486.65141419622086</v>
      </c>
      <c r="F1511" s="77">
        <v>631.89984591022119</v>
      </c>
      <c r="G1511" s="76">
        <v>3.7293022972494545</v>
      </c>
    </row>
    <row r="1512" spans="1:7" x14ac:dyDescent="0.25">
      <c r="A1512" s="75">
        <v>7800401</v>
      </c>
      <c r="B1512" s="73" t="s">
        <v>1256</v>
      </c>
      <c r="C1512" s="68">
        <v>99</v>
      </c>
      <c r="D1512" s="73" t="s">
        <v>3445</v>
      </c>
      <c r="E1512" s="77">
        <v>494.41027766850306</v>
      </c>
      <c r="F1512" s="77">
        <v>640.9859355621752</v>
      </c>
      <c r="G1512" s="76">
        <v>3.8534554806970189</v>
      </c>
    </row>
    <row r="1513" spans="1:7" x14ac:dyDescent="0.25">
      <c r="A1513" s="75">
        <v>7800402</v>
      </c>
      <c r="B1513" s="73" t="s">
        <v>1257</v>
      </c>
      <c r="C1513" s="68">
        <v>1</v>
      </c>
      <c r="D1513" s="73" t="s">
        <v>3444</v>
      </c>
      <c r="E1513" s="77">
        <v>532.85295004245734</v>
      </c>
      <c r="F1513" s="77">
        <v>651.21697691467443</v>
      </c>
      <c r="G1513" s="76">
        <v>3.8568348275160123</v>
      </c>
    </row>
    <row r="1514" spans="1:7" x14ac:dyDescent="0.25">
      <c r="A1514" s="75">
        <v>7800402</v>
      </c>
      <c r="B1514" s="73" t="s">
        <v>1257</v>
      </c>
      <c r="C1514" s="68">
        <v>2</v>
      </c>
      <c r="D1514" s="73" t="s">
        <v>3445</v>
      </c>
      <c r="E1514" s="77">
        <v>494.41027766850306</v>
      </c>
      <c r="F1514" s="77">
        <v>640.9859355621752</v>
      </c>
      <c r="G1514" s="76">
        <v>3.8534554806970189</v>
      </c>
    </row>
    <row r="1515" spans="1:7" x14ac:dyDescent="0.25">
      <c r="A1515" s="75">
        <v>7800402</v>
      </c>
      <c r="B1515" s="73" t="s">
        <v>1257</v>
      </c>
      <c r="C1515" s="68">
        <v>3</v>
      </c>
      <c r="D1515" s="73" t="s">
        <v>3445</v>
      </c>
      <c r="E1515" s="77">
        <v>494.41027766850306</v>
      </c>
      <c r="F1515" s="77">
        <v>640.9859355621752</v>
      </c>
      <c r="G1515" s="76">
        <v>3.8534554806970189</v>
      </c>
    </row>
    <row r="1516" spans="1:7" x14ac:dyDescent="0.25">
      <c r="A1516" s="75">
        <v>7800402</v>
      </c>
      <c r="B1516" s="73" t="s">
        <v>1257</v>
      </c>
      <c r="C1516" s="68">
        <v>5</v>
      </c>
      <c r="D1516" s="73" t="s">
        <v>3446</v>
      </c>
      <c r="E1516" s="77">
        <v>583.49491864711331</v>
      </c>
      <c r="F1516" s="77">
        <v>773.20497409575182</v>
      </c>
      <c r="G1516" s="76">
        <v>4.7126740728500325</v>
      </c>
    </row>
    <row r="1517" spans="1:7" x14ac:dyDescent="0.25">
      <c r="A1517" s="75">
        <v>7800402</v>
      </c>
      <c r="B1517" s="73" t="s">
        <v>1257</v>
      </c>
      <c r="C1517" s="68">
        <v>6</v>
      </c>
      <c r="D1517" s="73" t="s">
        <v>3447</v>
      </c>
      <c r="E1517" s="77">
        <v>478.39858086288746</v>
      </c>
      <c r="F1517" s="77">
        <v>631.89984591022119</v>
      </c>
      <c r="G1517" s="76">
        <v>3.7293022972494545</v>
      </c>
    </row>
    <row r="1518" spans="1:7" x14ac:dyDescent="0.25">
      <c r="A1518" s="75">
        <v>7800402</v>
      </c>
      <c r="B1518" s="73" t="s">
        <v>1257</v>
      </c>
      <c r="C1518" s="68">
        <v>7</v>
      </c>
      <c r="D1518" s="73" t="s">
        <v>3448</v>
      </c>
      <c r="E1518" s="77">
        <v>480.36138293817908</v>
      </c>
      <c r="F1518" s="77">
        <v>640.02468218167473</v>
      </c>
      <c r="G1518" s="76">
        <v>3.8531380551323009</v>
      </c>
    </row>
    <row r="1519" spans="1:7" x14ac:dyDescent="0.25">
      <c r="A1519" s="75">
        <v>7800402</v>
      </c>
      <c r="B1519" s="73" t="s">
        <v>1257</v>
      </c>
      <c r="C1519" s="68">
        <v>8</v>
      </c>
      <c r="D1519" s="73" t="s">
        <v>3444</v>
      </c>
      <c r="E1519" s="77">
        <v>483.40920004245737</v>
      </c>
      <c r="F1519" s="77">
        <v>651.21697691467443</v>
      </c>
      <c r="G1519" s="76">
        <v>3.8568348275160123</v>
      </c>
    </row>
    <row r="1520" spans="1:7" x14ac:dyDescent="0.25">
      <c r="A1520" s="75">
        <v>7800402</v>
      </c>
      <c r="B1520" s="73" t="s">
        <v>1257</v>
      </c>
      <c r="C1520" s="68">
        <v>9</v>
      </c>
      <c r="D1520" s="73" t="s">
        <v>3447</v>
      </c>
      <c r="E1520" s="77">
        <v>486.65141419622086</v>
      </c>
      <c r="F1520" s="77">
        <v>631.89984591022119</v>
      </c>
      <c r="G1520" s="76">
        <v>3.7293022972494545</v>
      </c>
    </row>
    <row r="1521" spans="1:7" x14ac:dyDescent="0.25">
      <c r="A1521" s="75">
        <v>7800402</v>
      </c>
      <c r="B1521" s="73" t="s">
        <v>1257</v>
      </c>
      <c r="C1521" s="68">
        <v>99</v>
      </c>
      <c r="D1521" s="73" t="s">
        <v>3445</v>
      </c>
      <c r="E1521" s="77">
        <v>494.41027766850306</v>
      </c>
      <c r="F1521" s="77">
        <v>640.9859355621752</v>
      </c>
      <c r="G1521" s="76">
        <v>3.8534554806970189</v>
      </c>
    </row>
    <row r="1522" spans="1:7" x14ac:dyDescent="0.25">
      <c r="A1522" s="75">
        <v>7800503</v>
      </c>
      <c r="B1522" s="73" t="s">
        <v>3449</v>
      </c>
      <c r="C1522" s="68">
        <v>1</v>
      </c>
      <c r="D1522" s="73" t="s">
        <v>3450</v>
      </c>
      <c r="E1522" s="77">
        <v>532.85295004245734</v>
      </c>
      <c r="F1522" s="77">
        <v>651.21697691467443</v>
      </c>
      <c r="G1522" s="76">
        <v>3.8568348275160123</v>
      </c>
    </row>
    <row r="1523" spans="1:7" x14ac:dyDescent="0.25">
      <c r="A1523" s="75">
        <v>7800503</v>
      </c>
      <c r="B1523" s="73" t="s">
        <v>3449</v>
      </c>
      <c r="C1523" s="68">
        <v>2</v>
      </c>
      <c r="D1523" s="73" t="s">
        <v>3437</v>
      </c>
      <c r="E1523" s="77">
        <v>489.82558086288748</v>
      </c>
      <c r="F1523" s="77">
        <v>631.89984591022119</v>
      </c>
      <c r="G1523" s="76">
        <v>3.7293022972494545</v>
      </c>
    </row>
    <row r="1524" spans="1:7" x14ac:dyDescent="0.25">
      <c r="A1524" s="75">
        <v>7800503</v>
      </c>
      <c r="B1524" s="73" t="s">
        <v>3449</v>
      </c>
      <c r="C1524" s="68">
        <v>3</v>
      </c>
      <c r="D1524" s="73" t="s">
        <v>3451</v>
      </c>
      <c r="E1524" s="77">
        <v>508.80253337579069</v>
      </c>
      <c r="F1524" s="77">
        <v>651.21697691467443</v>
      </c>
      <c r="G1524" s="76">
        <v>3.8568348275160123</v>
      </c>
    </row>
    <row r="1525" spans="1:7" x14ac:dyDescent="0.25">
      <c r="A1525" s="75">
        <v>7800503</v>
      </c>
      <c r="B1525" s="73" t="s">
        <v>3449</v>
      </c>
      <c r="C1525" s="68">
        <v>5</v>
      </c>
      <c r="D1525" s="73" t="s">
        <v>3439</v>
      </c>
      <c r="E1525" s="77">
        <v>571.82400183775724</v>
      </c>
      <c r="F1525" s="77">
        <v>747.74007322828925</v>
      </c>
      <c r="G1525" s="76">
        <v>4.5337647123457057</v>
      </c>
    </row>
    <row r="1526" spans="1:7" x14ac:dyDescent="0.25">
      <c r="A1526" s="75">
        <v>7800503</v>
      </c>
      <c r="B1526" s="73" t="s">
        <v>3449</v>
      </c>
      <c r="C1526" s="68">
        <v>6</v>
      </c>
      <c r="D1526" s="73" t="s">
        <v>3437</v>
      </c>
      <c r="E1526" s="77">
        <v>478.39858086288751</v>
      </c>
      <c r="F1526" s="77">
        <v>631.89984591022119</v>
      </c>
      <c r="G1526" s="76">
        <v>3.7293022972494545</v>
      </c>
    </row>
    <row r="1527" spans="1:7" x14ac:dyDescent="0.25">
      <c r="A1527" s="75">
        <v>7800503</v>
      </c>
      <c r="B1527" s="73" t="s">
        <v>3449</v>
      </c>
      <c r="C1527" s="68">
        <v>7</v>
      </c>
      <c r="D1527" s="73" t="s">
        <v>3440</v>
      </c>
      <c r="E1527" s="77">
        <v>470.91467834301642</v>
      </c>
      <c r="F1527" s="77">
        <v>633.30928660672112</v>
      </c>
      <c r="G1527" s="76">
        <v>3.8509198843406565</v>
      </c>
    </row>
    <row r="1528" spans="1:7" x14ac:dyDescent="0.25">
      <c r="A1528" s="75">
        <v>7800503</v>
      </c>
      <c r="B1528" s="73" t="s">
        <v>3449</v>
      </c>
      <c r="C1528" s="68">
        <v>8</v>
      </c>
      <c r="D1528" s="73" t="s">
        <v>3450</v>
      </c>
      <c r="E1528" s="77">
        <v>483.40920004245737</v>
      </c>
      <c r="F1528" s="77">
        <v>651.21697691467443</v>
      </c>
      <c r="G1528" s="76">
        <v>3.8568348275160123</v>
      </c>
    </row>
    <row r="1529" spans="1:7" x14ac:dyDescent="0.25">
      <c r="A1529" s="75">
        <v>7800503</v>
      </c>
      <c r="B1529" s="73" t="s">
        <v>3449</v>
      </c>
      <c r="C1529" s="68">
        <v>9</v>
      </c>
      <c r="D1529" s="73" t="s">
        <v>3437</v>
      </c>
      <c r="E1529" s="77">
        <v>486.65141419622086</v>
      </c>
      <c r="F1529" s="77">
        <v>631.89984591022119</v>
      </c>
      <c r="G1529" s="76">
        <v>3.7293022972494545</v>
      </c>
    </row>
    <row r="1530" spans="1:7" x14ac:dyDescent="0.25">
      <c r="A1530" s="75">
        <v>7800503</v>
      </c>
      <c r="B1530" s="73" t="s">
        <v>3449</v>
      </c>
      <c r="C1530" s="68">
        <v>99</v>
      </c>
      <c r="D1530" s="73" t="s">
        <v>3451</v>
      </c>
      <c r="E1530" s="77">
        <v>508.80253337579069</v>
      </c>
      <c r="F1530" s="77">
        <v>651.21697691467443</v>
      </c>
      <c r="G1530" s="76">
        <v>3.8568348275160123</v>
      </c>
    </row>
    <row r="1531" spans="1:7" x14ac:dyDescent="0.25">
      <c r="A1531" s="75">
        <v>7800701</v>
      </c>
      <c r="B1531" s="73" t="s">
        <v>1258</v>
      </c>
      <c r="C1531" s="68">
        <v>1</v>
      </c>
      <c r="D1531" s="73" t="s">
        <v>3452</v>
      </c>
      <c r="E1531" s="77">
        <v>532.85295004245734</v>
      </c>
      <c r="F1531" s="77">
        <v>651.21697691467443</v>
      </c>
      <c r="G1531" s="76">
        <v>3.8568348275160123</v>
      </c>
    </row>
    <row r="1532" spans="1:7" x14ac:dyDescent="0.25">
      <c r="A1532" s="75">
        <v>7800701</v>
      </c>
      <c r="B1532" s="73" t="s">
        <v>1258</v>
      </c>
      <c r="C1532" s="68">
        <v>2</v>
      </c>
      <c r="D1532" s="73" t="s">
        <v>3453</v>
      </c>
      <c r="E1532" s="77">
        <v>489.82558086288748</v>
      </c>
      <c r="F1532" s="77">
        <v>631.89984591022119</v>
      </c>
      <c r="G1532" s="76">
        <v>3.7293022972494545</v>
      </c>
    </row>
    <row r="1533" spans="1:7" x14ac:dyDescent="0.25">
      <c r="A1533" s="75">
        <v>7800701</v>
      </c>
      <c r="B1533" s="73" t="s">
        <v>1258</v>
      </c>
      <c r="C1533" s="68">
        <v>3</v>
      </c>
      <c r="D1533" s="73" t="s">
        <v>3454</v>
      </c>
      <c r="E1533" s="77">
        <v>508.80253337579069</v>
      </c>
      <c r="F1533" s="77">
        <v>651.21697691467443</v>
      </c>
      <c r="G1533" s="76">
        <v>3.8568348275160123</v>
      </c>
    </row>
    <row r="1534" spans="1:7" x14ac:dyDescent="0.25">
      <c r="A1534" s="75">
        <v>7800701</v>
      </c>
      <c r="B1534" s="73" t="s">
        <v>1258</v>
      </c>
      <c r="C1534" s="68">
        <v>6</v>
      </c>
      <c r="D1534" s="73" t="s">
        <v>3453</v>
      </c>
      <c r="E1534" s="77">
        <v>478.39858086288746</v>
      </c>
      <c r="F1534" s="77">
        <v>631.89984591022119</v>
      </c>
      <c r="G1534" s="76">
        <v>3.7293022972494545</v>
      </c>
    </row>
    <row r="1535" spans="1:7" x14ac:dyDescent="0.25">
      <c r="A1535" s="75">
        <v>7800701</v>
      </c>
      <c r="B1535" s="73" t="s">
        <v>1258</v>
      </c>
      <c r="C1535" s="68">
        <v>7</v>
      </c>
      <c r="D1535" s="73" t="s">
        <v>3455</v>
      </c>
      <c r="E1535" s="77">
        <v>470.91467834301642</v>
      </c>
      <c r="F1535" s="77">
        <v>633.30928660672112</v>
      </c>
      <c r="G1535" s="76">
        <v>3.8509198843406565</v>
      </c>
    </row>
    <row r="1536" spans="1:7" x14ac:dyDescent="0.25">
      <c r="A1536" s="75">
        <v>7800701</v>
      </c>
      <c r="B1536" s="73" t="s">
        <v>1258</v>
      </c>
      <c r="C1536" s="68">
        <v>8</v>
      </c>
      <c r="D1536" s="73" t="s">
        <v>3452</v>
      </c>
      <c r="E1536" s="77">
        <v>483.40920004245737</v>
      </c>
      <c r="F1536" s="77">
        <v>651.21697691467443</v>
      </c>
      <c r="G1536" s="76">
        <v>3.8568348275160123</v>
      </c>
    </row>
    <row r="1537" spans="1:7" x14ac:dyDescent="0.25">
      <c r="A1537" s="75">
        <v>7800701</v>
      </c>
      <c r="B1537" s="73" t="s">
        <v>1258</v>
      </c>
      <c r="C1537" s="68">
        <v>9</v>
      </c>
      <c r="D1537" s="73" t="s">
        <v>3453</v>
      </c>
      <c r="E1537" s="77">
        <v>486.65141419622086</v>
      </c>
      <c r="F1537" s="77">
        <v>631.89984591022119</v>
      </c>
      <c r="G1537" s="76">
        <v>3.7293022972494545</v>
      </c>
    </row>
    <row r="1538" spans="1:7" x14ac:dyDescent="0.25">
      <c r="A1538" s="75">
        <v>7800701</v>
      </c>
      <c r="B1538" s="73" t="s">
        <v>1258</v>
      </c>
      <c r="C1538" s="68">
        <v>99</v>
      </c>
      <c r="D1538" s="73" t="s">
        <v>3454</v>
      </c>
      <c r="E1538" s="77">
        <v>508.80253337579069</v>
      </c>
      <c r="F1538" s="77">
        <v>651.21697691467443</v>
      </c>
      <c r="G1538" s="76">
        <v>3.8568348275160123</v>
      </c>
    </row>
    <row r="1539" spans="1:7" x14ac:dyDescent="0.25">
      <c r="A1539" s="75">
        <v>7800702</v>
      </c>
      <c r="B1539" s="73" t="s">
        <v>1259</v>
      </c>
      <c r="C1539" s="68">
        <v>1</v>
      </c>
      <c r="D1539" s="73" t="s">
        <v>3452</v>
      </c>
      <c r="E1539" s="77">
        <v>532.85295004245734</v>
      </c>
      <c r="F1539" s="77">
        <v>651.21697691467443</v>
      </c>
      <c r="G1539" s="76">
        <v>3.8568348275160123</v>
      </c>
    </row>
    <row r="1540" spans="1:7" x14ac:dyDescent="0.25">
      <c r="A1540" s="75">
        <v>7800702</v>
      </c>
      <c r="B1540" s="73" t="s">
        <v>1259</v>
      </c>
      <c r="C1540" s="68">
        <v>2</v>
      </c>
      <c r="D1540" s="73" t="s">
        <v>3453</v>
      </c>
      <c r="E1540" s="77">
        <v>489.82558086288748</v>
      </c>
      <c r="F1540" s="77">
        <v>631.89984591022119</v>
      </c>
      <c r="G1540" s="76">
        <v>3.7293022972494545</v>
      </c>
    </row>
    <row r="1541" spans="1:7" x14ac:dyDescent="0.25">
      <c r="A1541" s="75">
        <v>7800702</v>
      </c>
      <c r="B1541" s="73" t="s">
        <v>1259</v>
      </c>
      <c r="C1541" s="68">
        <v>3</v>
      </c>
      <c r="D1541" s="73" t="s">
        <v>3454</v>
      </c>
      <c r="E1541" s="77">
        <v>508.80253337579069</v>
      </c>
      <c r="F1541" s="77">
        <v>651.21697691467443</v>
      </c>
      <c r="G1541" s="76">
        <v>3.8568348275160123</v>
      </c>
    </row>
    <row r="1542" spans="1:7" x14ac:dyDescent="0.25">
      <c r="A1542" s="75">
        <v>7800702</v>
      </c>
      <c r="B1542" s="73" t="s">
        <v>1259</v>
      </c>
      <c r="C1542" s="68">
        <v>6</v>
      </c>
      <c r="D1542" s="73" t="s">
        <v>3453</v>
      </c>
      <c r="E1542" s="77">
        <v>478.39858086288751</v>
      </c>
      <c r="F1542" s="77">
        <v>631.89984591022119</v>
      </c>
      <c r="G1542" s="76">
        <v>3.7293022972494545</v>
      </c>
    </row>
    <row r="1543" spans="1:7" x14ac:dyDescent="0.25">
      <c r="A1543" s="75">
        <v>7800702</v>
      </c>
      <c r="B1543" s="73" t="s">
        <v>1259</v>
      </c>
      <c r="C1543" s="68">
        <v>7</v>
      </c>
      <c r="D1543" s="73" t="s">
        <v>3455</v>
      </c>
      <c r="E1543" s="77">
        <v>470.91467834301642</v>
      </c>
      <c r="F1543" s="77">
        <v>633.30928660672112</v>
      </c>
      <c r="G1543" s="76">
        <v>3.8509198843406565</v>
      </c>
    </row>
    <row r="1544" spans="1:7" x14ac:dyDescent="0.25">
      <c r="A1544" s="75">
        <v>7800702</v>
      </c>
      <c r="B1544" s="73" t="s">
        <v>1259</v>
      </c>
      <c r="C1544" s="68">
        <v>8</v>
      </c>
      <c r="D1544" s="73" t="s">
        <v>3452</v>
      </c>
      <c r="E1544" s="77">
        <v>483.40920004245737</v>
      </c>
      <c r="F1544" s="77">
        <v>651.21697691467443</v>
      </c>
      <c r="G1544" s="76">
        <v>3.8568348275160123</v>
      </c>
    </row>
    <row r="1545" spans="1:7" x14ac:dyDescent="0.25">
      <c r="A1545" s="75">
        <v>7800702</v>
      </c>
      <c r="B1545" s="73" t="s">
        <v>1259</v>
      </c>
      <c r="C1545" s="68">
        <v>99</v>
      </c>
      <c r="D1545" s="73" t="s">
        <v>3454</v>
      </c>
      <c r="E1545" s="77">
        <v>508.80253337579069</v>
      </c>
      <c r="F1545" s="77">
        <v>651.21697691467443</v>
      </c>
      <c r="G1545" s="76">
        <v>3.8568348275160123</v>
      </c>
    </row>
    <row r="1546" spans="1:7" x14ac:dyDescent="0.25">
      <c r="A1546" s="75">
        <v>7800801</v>
      </c>
      <c r="B1546" s="73" t="s">
        <v>1260</v>
      </c>
      <c r="C1546" s="68">
        <v>2</v>
      </c>
      <c r="D1546" s="73" t="s">
        <v>3453</v>
      </c>
      <c r="E1546" s="77">
        <v>489.82558086288742</v>
      </c>
      <c r="F1546" s="77">
        <v>631.89984591022119</v>
      </c>
      <c r="G1546" s="76">
        <v>3.7293022972494545</v>
      </c>
    </row>
    <row r="1547" spans="1:7" x14ac:dyDescent="0.25">
      <c r="A1547" s="75">
        <v>7800801</v>
      </c>
      <c r="B1547" s="73" t="s">
        <v>1260</v>
      </c>
      <c r="C1547" s="68">
        <v>3</v>
      </c>
      <c r="D1547" s="73" t="s">
        <v>3454</v>
      </c>
      <c r="E1547" s="77">
        <v>508.80253337579069</v>
      </c>
      <c r="F1547" s="77">
        <v>651.21697691467443</v>
      </c>
      <c r="G1547" s="76">
        <v>3.8568348275160123</v>
      </c>
    </row>
    <row r="1548" spans="1:7" x14ac:dyDescent="0.25">
      <c r="A1548" s="75">
        <v>7800801</v>
      </c>
      <c r="B1548" s="73" t="s">
        <v>1260</v>
      </c>
      <c r="C1548" s="68">
        <v>6</v>
      </c>
      <c r="D1548" s="73" t="s">
        <v>3453</v>
      </c>
      <c r="E1548" s="77">
        <v>478.39858086288746</v>
      </c>
      <c r="F1548" s="77">
        <v>631.89984591022119</v>
      </c>
      <c r="G1548" s="76">
        <v>3.7293022972494545</v>
      </c>
    </row>
    <row r="1549" spans="1:7" x14ac:dyDescent="0.25">
      <c r="A1549" s="75">
        <v>7800801</v>
      </c>
      <c r="B1549" s="73" t="s">
        <v>1260</v>
      </c>
      <c r="C1549" s="68">
        <v>7</v>
      </c>
      <c r="D1549" s="73" t="s">
        <v>3455</v>
      </c>
      <c r="E1549" s="77">
        <v>470.91467834301642</v>
      </c>
      <c r="F1549" s="77">
        <v>633.30928660672112</v>
      </c>
      <c r="G1549" s="76">
        <v>3.8509198843406565</v>
      </c>
    </row>
    <row r="1550" spans="1:7" x14ac:dyDescent="0.25">
      <c r="A1550" s="75">
        <v>7800801</v>
      </c>
      <c r="B1550" s="73" t="s">
        <v>1260</v>
      </c>
      <c r="C1550" s="68">
        <v>99</v>
      </c>
      <c r="D1550" s="73" t="s">
        <v>3454</v>
      </c>
      <c r="E1550" s="77">
        <v>508.80253337579069</v>
      </c>
      <c r="F1550" s="77">
        <v>651.21697691467443</v>
      </c>
      <c r="G1550" s="76">
        <v>3.8568348275160123</v>
      </c>
    </row>
    <row r="1551" spans="1:7" x14ac:dyDescent="0.25">
      <c r="A1551" s="75">
        <v>7800901</v>
      </c>
      <c r="B1551" s="73" t="s">
        <v>1261</v>
      </c>
      <c r="C1551" s="68">
        <v>1</v>
      </c>
      <c r="D1551" s="73" t="s">
        <v>3456</v>
      </c>
      <c r="E1551" s="77">
        <v>532.85295004245734</v>
      </c>
      <c r="F1551" s="77">
        <v>651.21697691467443</v>
      </c>
      <c r="G1551" s="76">
        <v>3.8568348275160123</v>
      </c>
    </row>
    <row r="1552" spans="1:7" x14ac:dyDescent="0.25">
      <c r="A1552" s="75">
        <v>7800901</v>
      </c>
      <c r="B1552" s="73" t="s">
        <v>1261</v>
      </c>
      <c r="C1552" s="68">
        <v>2</v>
      </c>
      <c r="D1552" s="73" t="s">
        <v>3457</v>
      </c>
      <c r="E1552" s="77">
        <v>489.82558086288748</v>
      </c>
      <c r="F1552" s="77">
        <v>631.89984591022119</v>
      </c>
      <c r="G1552" s="76">
        <v>3.7293022972494545</v>
      </c>
    </row>
    <row r="1553" spans="1:7" x14ac:dyDescent="0.25">
      <c r="A1553" s="75">
        <v>7800901</v>
      </c>
      <c r="B1553" s="73" t="s">
        <v>1261</v>
      </c>
      <c r="C1553" s="68">
        <v>3</v>
      </c>
      <c r="D1553" s="73" t="s">
        <v>3456</v>
      </c>
      <c r="E1553" s="77">
        <v>508.80253337579069</v>
      </c>
      <c r="F1553" s="77">
        <v>651.21697691467443</v>
      </c>
      <c r="G1553" s="76">
        <v>3.8568348275160123</v>
      </c>
    </row>
    <row r="1554" spans="1:7" x14ac:dyDescent="0.25">
      <c r="A1554" s="75">
        <v>7800901</v>
      </c>
      <c r="B1554" s="73" t="s">
        <v>1261</v>
      </c>
      <c r="C1554" s="68">
        <v>6</v>
      </c>
      <c r="D1554" s="73" t="s">
        <v>3457</v>
      </c>
      <c r="E1554" s="77">
        <v>478.39858086288751</v>
      </c>
      <c r="F1554" s="77">
        <v>631.89984591022119</v>
      </c>
      <c r="G1554" s="76">
        <v>3.7293022972494545</v>
      </c>
    </row>
    <row r="1555" spans="1:7" x14ac:dyDescent="0.25">
      <c r="A1555" s="75">
        <v>7800901</v>
      </c>
      <c r="B1555" s="73" t="s">
        <v>1261</v>
      </c>
      <c r="C1555" s="68">
        <v>7</v>
      </c>
      <c r="D1555" s="73" t="s">
        <v>3457</v>
      </c>
      <c r="E1555" s="77">
        <v>477.12891419622082</v>
      </c>
      <c r="F1555" s="77">
        <v>631.89984591022119</v>
      </c>
      <c r="G1555" s="76">
        <v>3.7293022972494545</v>
      </c>
    </row>
    <row r="1556" spans="1:7" x14ac:dyDescent="0.25">
      <c r="A1556" s="75">
        <v>7801001</v>
      </c>
      <c r="B1556" s="73" t="s">
        <v>1262</v>
      </c>
      <c r="C1556" s="68">
        <v>1</v>
      </c>
      <c r="D1556" s="73" t="s">
        <v>3458</v>
      </c>
      <c r="E1556" s="77">
        <v>447.4634956195984</v>
      </c>
      <c r="F1556" s="77">
        <v>513.96048709202284</v>
      </c>
      <c r="G1556" s="76">
        <v>3.0439327856210552</v>
      </c>
    </row>
    <row r="1557" spans="1:7" x14ac:dyDescent="0.25">
      <c r="A1557" s="75">
        <v>7801001</v>
      </c>
      <c r="B1557" s="73" t="s">
        <v>1262</v>
      </c>
      <c r="C1557" s="68">
        <v>2</v>
      </c>
      <c r="D1557" s="73" t="s">
        <v>3459</v>
      </c>
      <c r="E1557" s="77">
        <v>405.3076154502362</v>
      </c>
      <c r="F1557" s="77">
        <v>500.916760692509</v>
      </c>
      <c r="G1557" s="76">
        <v>2.9535545161080528</v>
      </c>
    </row>
    <row r="1558" spans="1:7" x14ac:dyDescent="0.25">
      <c r="A1558" s="75">
        <v>7801001</v>
      </c>
      <c r="B1558" s="73" t="s">
        <v>1262</v>
      </c>
      <c r="C1558" s="68">
        <v>3</v>
      </c>
      <c r="D1558" s="73" t="s">
        <v>3460</v>
      </c>
      <c r="E1558" s="77">
        <v>419.62849561959837</v>
      </c>
      <c r="F1558" s="77">
        <v>513.96048709202284</v>
      </c>
      <c r="G1558" s="76">
        <v>3.0439327856210552</v>
      </c>
    </row>
    <row r="1559" spans="1:7" x14ac:dyDescent="0.25">
      <c r="A1559" s="75">
        <v>7801001</v>
      </c>
      <c r="B1559" s="73" t="s">
        <v>1262</v>
      </c>
      <c r="C1559" s="68">
        <v>7</v>
      </c>
      <c r="D1559" s="73" t="s">
        <v>3461</v>
      </c>
      <c r="E1559" s="77">
        <v>377.19363464604635</v>
      </c>
      <c r="F1559" s="77">
        <v>507.03332186061965</v>
      </c>
      <c r="G1559" s="76">
        <v>3.1030500406852131</v>
      </c>
    </row>
    <row r="1560" spans="1:7" x14ac:dyDescent="0.25">
      <c r="A1560" s="75">
        <v>7801101</v>
      </c>
      <c r="B1560" s="73" t="s">
        <v>1263</v>
      </c>
      <c r="C1560" s="68">
        <v>1</v>
      </c>
      <c r="D1560" s="73" t="s">
        <v>3462</v>
      </c>
      <c r="E1560" s="77">
        <v>430.98224561959842</v>
      </c>
      <c r="F1560" s="77">
        <v>513.96048709202284</v>
      </c>
      <c r="G1560" s="76">
        <v>3.0439327856210552</v>
      </c>
    </row>
    <row r="1561" spans="1:7" x14ac:dyDescent="0.25">
      <c r="A1561" s="75">
        <v>7801101</v>
      </c>
      <c r="B1561" s="73" t="s">
        <v>1263</v>
      </c>
      <c r="C1561" s="68">
        <v>2</v>
      </c>
      <c r="D1561" s="73" t="s">
        <v>3462</v>
      </c>
      <c r="E1561" s="77">
        <v>406.93182895293171</v>
      </c>
      <c r="F1561" s="77">
        <v>513.96048709202284</v>
      </c>
      <c r="G1561" s="76">
        <v>3.0439327856210552</v>
      </c>
    </row>
    <row r="1562" spans="1:7" x14ac:dyDescent="0.25">
      <c r="A1562" s="75">
        <v>7801101</v>
      </c>
      <c r="B1562" s="73" t="s">
        <v>1263</v>
      </c>
      <c r="C1562" s="68">
        <v>3</v>
      </c>
      <c r="D1562" s="73" t="s">
        <v>3462</v>
      </c>
      <c r="E1562" s="77">
        <v>406.93182895293171</v>
      </c>
      <c r="F1562" s="77">
        <v>513.96048709202284</v>
      </c>
      <c r="G1562" s="76">
        <v>3.0439327856210552</v>
      </c>
    </row>
    <row r="1563" spans="1:7" x14ac:dyDescent="0.25">
      <c r="A1563" s="75">
        <v>7801101</v>
      </c>
      <c r="B1563" s="73" t="s">
        <v>1263</v>
      </c>
      <c r="C1563" s="68">
        <v>6</v>
      </c>
      <c r="D1563" s="73" t="s">
        <v>3462</v>
      </c>
      <c r="E1563" s="77">
        <v>394.23516228626505</v>
      </c>
      <c r="F1563" s="77">
        <v>513.96048709202284</v>
      </c>
      <c r="G1563" s="76">
        <v>3.0439327856210552</v>
      </c>
    </row>
    <row r="1564" spans="1:7" x14ac:dyDescent="0.25">
      <c r="A1564" s="75">
        <v>7801101</v>
      </c>
      <c r="B1564" s="73" t="s">
        <v>1263</v>
      </c>
      <c r="C1564" s="68">
        <v>7</v>
      </c>
      <c r="D1564" s="73" t="s">
        <v>3440</v>
      </c>
      <c r="E1564" s="77">
        <v>470.91467834301642</v>
      </c>
      <c r="F1564" s="77">
        <v>633.30928660672112</v>
      </c>
      <c r="G1564" s="76">
        <v>3.8509198843406565</v>
      </c>
    </row>
    <row r="1565" spans="1:7" x14ac:dyDescent="0.25">
      <c r="A1565" s="75">
        <v>7801101</v>
      </c>
      <c r="B1565" s="73" t="s">
        <v>1263</v>
      </c>
      <c r="C1565" s="68">
        <v>9</v>
      </c>
      <c r="D1565" s="73" t="s">
        <v>3462</v>
      </c>
      <c r="E1565" s="77">
        <v>400.58349561959841</v>
      </c>
      <c r="F1565" s="77">
        <v>513.96048709202284</v>
      </c>
      <c r="G1565" s="76">
        <v>3.0439327856210552</v>
      </c>
    </row>
    <row r="1566" spans="1:7" x14ac:dyDescent="0.25">
      <c r="A1566" s="75">
        <v>7801101</v>
      </c>
      <c r="B1566" s="73" t="s">
        <v>1263</v>
      </c>
      <c r="C1566" s="68">
        <v>99</v>
      </c>
      <c r="D1566" s="73" t="s">
        <v>3462</v>
      </c>
      <c r="E1566" s="77">
        <v>406.93182895293171</v>
      </c>
      <c r="F1566" s="77">
        <v>513.96048709202284</v>
      </c>
      <c r="G1566" s="76">
        <v>3.0439327856210552</v>
      </c>
    </row>
    <row r="1567" spans="1:7" x14ac:dyDescent="0.25">
      <c r="A1567" s="75">
        <v>7801202</v>
      </c>
      <c r="B1567" s="73" t="s">
        <v>1264</v>
      </c>
      <c r="C1567" s="68">
        <v>1</v>
      </c>
      <c r="D1567" s="73" t="s">
        <v>3458</v>
      </c>
      <c r="E1567" s="77">
        <v>447.4634956195984</v>
      </c>
      <c r="F1567" s="77">
        <v>513.96048709202284</v>
      </c>
      <c r="G1567" s="76">
        <v>3.0439327856210552</v>
      </c>
    </row>
    <row r="1568" spans="1:7" x14ac:dyDescent="0.25">
      <c r="A1568" s="75">
        <v>7801202</v>
      </c>
      <c r="B1568" s="73" t="s">
        <v>1264</v>
      </c>
      <c r="C1568" s="68">
        <v>2</v>
      </c>
      <c r="D1568" s="73" t="s">
        <v>3459</v>
      </c>
      <c r="E1568" s="77">
        <v>405.30761545023614</v>
      </c>
      <c r="F1568" s="77">
        <v>500.916760692509</v>
      </c>
      <c r="G1568" s="76">
        <v>2.9535545161080528</v>
      </c>
    </row>
    <row r="1569" spans="1:7" x14ac:dyDescent="0.25">
      <c r="A1569" s="75">
        <v>7801202</v>
      </c>
      <c r="B1569" s="73" t="s">
        <v>1264</v>
      </c>
      <c r="C1569" s="68">
        <v>3</v>
      </c>
      <c r="D1569" s="73" t="s">
        <v>3460</v>
      </c>
      <c r="E1569" s="77">
        <v>419.62849561959837</v>
      </c>
      <c r="F1569" s="77">
        <v>513.96048709202284</v>
      </c>
      <c r="G1569" s="76">
        <v>3.0439327856210552</v>
      </c>
    </row>
    <row r="1570" spans="1:7" x14ac:dyDescent="0.25">
      <c r="A1570" s="75">
        <v>7801202</v>
      </c>
      <c r="B1570" s="73" t="s">
        <v>1264</v>
      </c>
      <c r="C1570" s="68">
        <v>6</v>
      </c>
      <c r="D1570" s="73" t="s">
        <v>3459</v>
      </c>
      <c r="E1570" s="77">
        <v>387.53228211690288</v>
      </c>
      <c r="F1570" s="77">
        <v>500.916760692509</v>
      </c>
      <c r="G1570" s="76">
        <v>2.9535545161080528</v>
      </c>
    </row>
    <row r="1571" spans="1:7" x14ac:dyDescent="0.25">
      <c r="A1571" s="75">
        <v>7801202</v>
      </c>
      <c r="B1571" s="73" t="s">
        <v>1264</v>
      </c>
      <c r="C1571" s="68">
        <v>7</v>
      </c>
      <c r="D1571" s="73" t="s">
        <v>3461</v>
      </c>
      <c r="E1571" s="77">
        <v>377.19363464604635</v>
      </c>
      <c r="F1571" s="77">
        <v>507.03332186061965</v>
      </c>
      <c r="G1571" s="76">
        <v>3.1030500406852131</v>
      </c>
    </row>
    <row r="1572" spans="1:7" x14ac:dyDescent="0.25">
      <c r="A1572" s="75">
        <v>7801202</v>
      </c>
      <c r="B1572" s="73" t="s">
        <v>1264</v>
      </c>
      <c r="C1572" s="68">
        <v>8</v>
      </c>
      <c r="D1572" s="73" t="s">
        <v>3458</v>
      </c>
      <c r="E1572" s="77">
        <v>381.53849561959839</v>
      </c>
      <c r="F1572" s="77">
        <v>513.96048709202284</v>
      </c>
      <c r="G1572" s="76">
        <v>3.0439327856210552</v>
      </c>
    </row>
    <row r="1573" spans="1:7" x14ac:dyDescent="0.25">
      <c r="A1573" s="75">
        <v>7801202</v>
      </c>
      <c r="B1573" s="73" t="s">
        <v>1264</v>
      </c>
      <c r="C1573" s="68">
        <v>9</v>
      </c>
      <c r="D1573" s="73" t="s">
        <v>3459</v>
      </c>
      <c r="E1573" s="77">
        <v>398.95928211690284</v>
      </c>
      <c r="F1573" s="77">
        <v>500.916760692509</v>
      </c>
      <c r="G1573" s="76">
        <v>2.9535545161080528</v>
      </c>
    </row>
    <row r="1574" spans="1:7" x14ac:dyDescent="0.25">
      <c r="A1574" s="75">
        <v>7801202</v>
      </c>
      <c r="B1574" s="73" t="s">
        <v>1264</v>
      </c>
      <c r="C1574" s="68">
        <v>99</v>
      </c>
      <c r="D1574" s="73" t="s">
        <v>3458</v>
      </c>
      <c r="E1574" s="77">
        <v>381.53849561959839</v>
      </c>
      <c r="F1574" s="77">
        <v>513.96048709202284</v>
      </c>
      <c r="G1574" s="76">
        <v>3.0439327856210552</v>
      </c>
    </row>
    <row r="1575" spans="1:7" x14ac:dyDescent="0.25">
      <c r="A1575" s="75">
        <v>7801301</v>
      </c>
      <c r="B1575" s="73" t="s">
        <v>1265</v>
      </c>
      <c r="C1575" s="68">
        <v>1</v>
      </c>
      <c r="D1575" s="73" t="s">
        <v>3463</v>
      </c>
      <c r="E1575" s="77">
        <v>430.98224561959842</v>
      </c>
      <c r="F1575" s="77">
        <v>513.96048709202284</v>
      </c>
      <c r="G1575" s="76">
        <v>3.0439327856210552</v>
      </c>
    </row>
    <row r="1576" spans="1:7" x14ac:dyDescent="0.25">
      <c r="A1576" s="75">
        <v>7801301</v>
      </c>
      <c r="B1576" s="73" t="s">
        <v>1265</v>
      </c>
      <c r="C1576" s="68">
        <v>2</v>
      </c>
      <c r="D1576" s="73" t="s">
        <v>3464</v>
      </c>
      <c r="E1576" s="77">
        <v>385.11400758499121</v>
      </c>
      <c r="F1576" s="77">
        <v>490.81568365418445</v>
      </c>
      <c r="G1576" s="76">
        <v>2.8937308519563465</v>
      </c>
    </row>
    <row r="1577" spans="1:7" x14ac:dyDescent="0.25">
      <c r="A1577" s="75">
        <v>7801301</v>
      </c>
      <c r="B1577" s="73" t="s">
        <v>1265</v>
      </c>
      <c r="C1577" s="68">
        <v>3</v>
      </c>
      <c r="D1577" s="73" t="s">
        <v>3463</v>
      </c>
      <c r="E1577" s="77">
        <v>406.93182895293171</v>
      </c>
      <c r="F1577" s="77">
        <v>513.96048709202284</v>
      </c>
      <c r="G1577" s="76">
        <v>3.0439327856210552</v>
      </c>
    </row>
    <row r="1578" spans="1:7" x14ac:dyDescent="0.25">
      <c r="A1578" s="75">
        <v>7801301</v>
      </c>
      <c r="B1578" s="73" t="s">
        <v>1265</v>
      </c>
      <c r="C1578" s="68">
        <v>6</v>
      </c>
      <c r="D1578" s="73" t="s">
        <v>3464</v>
      </c>
      <c r="E1578" s="77">
        <v>373.68700758499119</v>
      </c>
      <c r="F1578" s="77">
        <v>490.81568365418445</v>
      </c>
      <c r="G1578" s="76">
        <v>2.8937308519563465</v>
      </c>
    </row>
    <row r="1579" spans="1:7" x14ac:dyDescent="0.25">
      <c r="A1579" s="75">
        <v>7801301</v>
      </c>
      <c r="B1579" s="73" t="s">
        <v>1265</v>
      </c>
      <c r="C1579" s="68">
        <v>7</v>
      </c>
      <c r="D1579" s="73" t="s">
        <v>3465</v>
      </c>
      <c r="E1579" s="77">
        <v>384.49897892251846</v>
      </c>
      <c r="F1579" s="77">
        <v>510.00285034446301</v>
      </c>
      <c r="G1579" s="76">
        <v>3.0777076995556172</v>
      </c>
    </row>
    <row r="1580" spans="1:7" x14ac:dyDescent="0.25">
      <c r="A1580" s="75">
        <v>7801301</v>
      </c>
      <c r="B1580" s="73" t="s">
        <v>1265</v>
      </c>
      <c r="C1580" s="68">
        <v>8</v>
      </c>
      <c r="D1580" s="73" t="s">
        <v>3463</v>
      </c>
      <c r="E1580" s="77">
        <v>381.53849561959839</v>
      </c>
      <c r="F1580" s="77">
        <v>513.96048709202284</v>
      </c>
      <c r="G1580" s="76">
        <v>3.0439327856210552</v>
      </c>
    </row>
    <row r="1581" spans="1:7" x14ac:dyDescent="0.25">
      <c r="A1581" s="75">
        <v>7801407</v>
      </c>
      <c r="B1581" s="73" t="s">
        <v>1539</v>
      </c>
      <c r="C1581" s="68">
        <v>99</v>
      </c>
      <c r="D1581" s="73" t="s">
        <v>3466</v>
      </c>
      <c r="E1581" s="77">
        <v>310.76892705254727</v>
      </c>
      <c r="F1581" s="77">
        <v>182.8111104105671</v>
      </c>
      <c r="G1581" s="76">
        <v>0.98422209462574384</v>
      </c>
    </row>
    <row r="1582" spans="1:7" x14ac:dyDescent="0.25">
      <c r="A1582" s="75">
        <v>7801702</v>
      </c>
      <c r="B1582" s="73" t="s">
        <v>1005</v>
      </c>
      <c r="C1582" s="68">
        <v>1</v>
      </c>
      <c r="D1582" s="73" t="s">
        <v>3467</v>
      </c>
      <c r="E1582" s="77">
        <v>537.2573919093212</v>
      </c>
      <c r="F1582" s="77">
        <v>550.45100009882572</v>
      </c>
      <c r="G1582" s="76">
        <v>3.6678250241279602</v>
      </c>
    </row>
    <row r="1583" spans="1:7" x14ac:dyDescent="0.25">
      <c r="A1583" s="75">
        <v>7801702</v>
      </c>
      <c r="B1583" s="73" t="s">
        <v>1005</v>
      </c>
      <c r="C1583" s="68">
        <v>2</v>
      </c>
      <c r="D1583" s="73" t="s">
        <v>3467</v>
      </c>
      <c r="E1583" s="77">
        <v>513.20697524265449</v>
      </c>
      <c r="F1583" s="77">
        <v>550.45100009882572</v>
      </c>
      <c r="G1583" s="76">
        <v>3.6678250241279602</v>
      </c>
    </row>
    <row r="1584" spans="1:7" x14ac:dyDescent="0.25">
      <c r="A1584" s="75">
        <v>7801702</v>
      </c>
      <c r="B1584" s="73" t="s">
        <v>1005</v>
      </c>
      <c r="C1584" s="68">
        <v>6</v>
      </c>
      <c r="D1584" s="73" t="s">
        <v>3467</v>
      </c>
      <c r="E1584" s="77">
        <v>501.77997524265447</v>
      </c>
      <c r="F1584" s="77">
        <v>550.45100009882572</v>
      </c>
      <c r="G1584" s="76">
        <v>3.6678250241279602</v>
      </c>
    </row>
    <row r="1585" spans="1:7" x14ac:dyDescent="0.25">
      <c r="A1585" s="75">
        <v>7801702</v>
      </c>
      <c r="B1585" s="73" t="s">
        <v>1005</v>
      </c>
      <c r="C1585" s="68">
        <v>7</v>
      </c>
      <c r="D1585" s="73" t="s">
        <v>3468</v>
      </c>
      <c r="E1585" s="77">
        <v>501.99823539201412</v>
      </c>
      <c r="F1585" s="77">
        <v>600.33430167936137</v>
      </c>
      <c r="G1585" s="76">
        <v>3.6556254205703729</v>
      </c>
    </row>
    <row r="1586" spans="1:7" x14ac:dyDescent="0.25">
      <c r="A1586" s="75">
        <v>7801702</v>
      </c>
      <c r="B1586" s="73" t="s">
        <v>1005</v>
      </c>
      <c r="C1586" s="68">
        <v>99</v>
      </c>
      <c r="D1586" s="73" t="s">
        <v>3467</v>
      </c>
      <c r="E1586" s="77">
        <v>537.2573919093212</v>
      </c>
      <c r="F1586" s="77">
        <v>550.45100009882572</v>
      </c>
      <c r="G1586" s="76">
        <v>3.6678250241279602</v>
      </c>
    </row>
    <row r="1587" spans="1:7" x14ac:dyDescent="0.25">
      <c r="A1587" s="75">
        <v>7801801</v>
      </c>
      <c r="B1587" s="73" t="s">
        <v>1266</v>
      </c>
      <c r="C1587" s="68">
        <v>1</v>
      </c>
      <c r="D1587" s="73" t="s">
        <v>3469</v>
      </c>
      <c r="E1587" s="77">
        <v>423.83276147246357</v>
      </c>
      <c r="F1587" s="77">
        <v>445.43242214641975</v>
      </c>
      <c r="G1587" s="76">
        <v>2.6380750808715816</v>
      </c>
    </row>
    <row r="1588" spans="1:7" x14ac:dyDescent="0.25">
      <c r="A1588" s="75">
        <v>7801801</v>
      </c>
      <c r="B1588" s="73" t="s">
        <v>1266</v>
      </c>
      <c r="C1588" s="68">
        <v>2</v>
      </c>
      <c r="D1588" s="73" t="s">
        <v>3468</v>
      </c>
      <c r="E1588" s="77">
        <v>514.69490205868078</v>
      </c>
      <c r="F1588" s="77">
        <v>600.33430167936137</v>
      </c>
      <c r="G1588" s="76">
        <v>3.6556254205703729</v>
      </c>
    </row>
    <row r="1589" spans="1:7" x14ac:dyDescent="0.25">
      <c r="A1589" s="75">
        <v>7801801</v>
      </c>
      <c r="B1589" s="73" t="s">
        <v>1266</v>
      </c>
      <c r="C1589" s="68">
        <v>3</v>
      </c>
      <c r="D1589" s="73" t="s">
        <v>3470</v>
      </c>
      <c r="E1589" s="77">
        <v>399.78234480579687</v>
      </c>
      <c r="F1589" s="77">
        <v>445.43242214641975</v>
      </c>
      <c r="G1589" s="76">
        <v>2.6380750808715816</v>
      </c>
    </row>
    <row r="1590" spans="1:7" x14ac:dyDescent="0.25">
      <c r="A1590" s="75">
        <v>7801801</v>
      </c>
      <c r="B1590" s="73" t="s">
        <v>1266</v>
      </c>
      <c r="C1590" s="68">
        <v>4</v>
      </c>
      <c r="D1590" s="73" t="s">
        <v>3470</v>
      </c>
      <c r="E1590" s="77">
        <v>374.38901147246355</v>
      </c>
      <c r="F1590" s="77">
        <v>445.43242214641975</v>
      </c>
      <c r="G1590" s="76">
        <v>2.6380750808715816</v>
      </c>
    </row>
    <row r="1591" spans="1:7" x14ac:dyDescent="0.25">
      <c r="A1591" s="75">
        <v>7801801</v>
      </c>
      <c r="B1591" s="73" t="s">
        <v>1266</v>
      </c>
      <c r="C1591" s="68">
        <v>5</v>
      </c>
      <c r="D1591" s="73" t="s">
        <v>3471</v>
      </c>
      <c r="E1591" s="77">
        <v>454.04456321350352</v>
      </c>
      <c r="F1591" s="77">
        <v>529.73597000160248</v>
      </c>
      <c r="G1591" s="76">
        <v>3.2569902299588231</v>
      </c>
    </row>
    <row r="1592" spans="1:7" x14ac:dyDescent="0.25">
      <c r="A1592" s="75">
        <v>7801801</v>
      </c>
      <c r="B1592" s="73" t="s">
        <v>1266</v>
      </c>
      <c r="C1592" s="68">
        <v>7</v>
      </c>
      <c r="D1592" s="73" t="s">
        <v>3468</v>
      </c>
      <c r="E1592" s="77">
        <v>501.99823539201412</v>
      </c>
      <c r="F1592" s="77">
        <v>600.33430167936137</v>
      </c>
      <c r="G1592" s="76">
        <v>3.6556254205703729</v>
      </c>
    </row>
    <row r="1593" spans="1:7" x14ac:dyDescent="0.25">
      <c r="A1593" s="75">
        <v>7801801</v>
      </c>
      <c r="B1593" s="73" t="s">
        <v>1266</v>
      </c>
      <c r="C1593" s="68">
        <v>8</v>
      </c>
      <c r="D1593" s="73" t="s">
        <v>3469</v>
      </c>
      <c r="E1593" s="77">
        <v>374.38901147246355</v>
      </c>
      <c r="F1593" s="77">
        <v>445.43242214641975</v>
      </c>
      <c r="G1593" s="76">
        <v>2.6380750808715816</v>
      </c>
    </row>
    <row r="1594" spans="1:7" x14ac:dyDescent="0.25">
      <c r="A1594" s="75">
        <v>7801801</v>
      </c>
      <c r="B1594" s="73" t="s">
        <v>1266</v>
      </c>
      <c r="C1594" s="68">
        <v>99</v>
      </c>
      <c r="D1594" s="73" t="s">
        <v>3470</v>
      </c>
      <c r="E1594" s="77">
        <v>399.78234480579687</v>
      </c>
      <c r="F1594" s="77">
        <v>445.43242214641975</v>
      </c>
      <c r="G1594" s="76">
        <v>2.6380750808715816</v>
      </c>
    </row>
    <row r="1595" spans="1:7" x14ac:dyDescent="0.25">
      <c r="A1595" s="75">
        <v>7801901</v>
      </c>
      <c r="B1595" s="73" t="s">
        <v>3472</v>
      </c>
      <c r="C1595" s="68">
        <v>1</v>
      </c>
      <c r="D1595" s="73" t="s">
        <v>3473</v>
      </c>
      <c r="E1595" s="77">
        <v>596.75867269446587</v>
      </c>
      <c r="F1595" s="77">
        <v>651.21697691467443</v>
      </c>
      <c r="G1595" s="76">
        <v>3.8568348275160123</v>
      </c>
    </row>
    <row r="1596" spans="1:7" x14ac:dyDescent="0.25">
      <c r="A1596" s="75">
        <v>7801901</v>
      </c>
      <c r="B1596" s="73" t="s">
        <v>3474</v>
      </c>
      <c r="C1596" s="68">
        <v>2</v>
      </c>
      <c r="D1596" s="73" t="s">
        <v>3475</v>
      </c>
      <c r="E1596" s="77">
        <v>572.70825602779917</v>
      </c>
      <c r="F1596" s="77">
        <v>651.21697691467443</v>
      </c>
      <c r="G1596" s="76">
        <v>3.8568348275160123</v>
      </c>
    </row>
    <row r="1597" spans="1:7" x14ac:dyDescent="0.25">
      <c r="A1597" s="75">
        <v>7801901</v>
      </c>
      <c r="B1597" s="73" t="s">
        <v>3472</v>
      </c>
      <c r="C1597" s="68">
        <v>3</v>
      </c>
      <c r="D1597" s="73" t="s">
        <v>3475</v>
      </c>
      <c r="E1597" s="77">
        <v>572.70825602779917</v>
      </c>
      <c r="F1597" s="77">
        <v>651.21697691467443</v>
      </c>
      <c r="G1597" s="76">
        <v>3.8568348275160123</v>
      </c>
    </row>
    <row r="1598" spans="1:7" x14ac:dyDescent="0.25">
      <c r="A1598" s="75">
        <v>7801901</v>
      </c>
      <c r="B1598" s="73" t="s">
        <v>3472</v>
      </c>
      <c r="C1598" s="68">
        <v>99</v>
      </c>
      <c r="D1598" s="73" t="s">
        <v>3475</v>
      </c>
      <c r="E1598" s="77">
        <v>572.70825602779917</v>
      </c>
      <c r="F1598" s="77">
        <v>651.21697691467443</v>
      </c>
      <c r="G1598" s="76">
        <v>3.8568348275160123</v>
      </c>
    </row>
    <row r="1599" spans="1:7" x14ac:dyDescent="0.25">
      <c r="A1599" s="75">
        <v>7802101</v>
      </c>
      <c r="B1599" s="73" t="s">
        <v>1267</v>
      </c>
      <c r="C1599" s="68">
        <v>1</v>
      </c>
      <c r="D1599" s="73" t="s">
        <v>3473</v>
      </c>
      <c r="E1599" s="77">
        <v>596.75867269446587</v>
      </c>
      <c r="F1599" s="77">
        <v>651.21697691467443</v>
      </c>
      <c r="G1599" s="76">
        <v>3.8568348275160123</v>
      </c>
    </row>
    <row r="1600" spans="1:7" x14ac:dyDescent="0.25">
      <c r="A1600" s="75">
        <v>7802101</v>
      </c>
      <c r="B1600" s="73" t="s">
        <v>1267</v>
      </c>
      <c r="C1600" s="68">
        <v>2</v>
      </c>
      <c r="D1600" s="73" t="s">
        <v>3475</v>
      </c>
      <c r="E1600" s="77">
        <v>572.70825602779917</v>
      </c>
      <c r="F1600" s="77">
        <v>651.21697691467443</v>
      </c>
      <c r="G1600" s="76">
        <v>3.8568348275160123</v>
      </c>
    </row>
    <row r="1601" spans="1:7" x14ac:dyDescent="0.25">
      <c r="A1601" s="75">
        <v>7802101</v>
      </c>
      <c r="B1601" s="73" t="s">
        <v>1267</v>
      </c>
      <c r="C1601" s="68">
        <v>3</v>
      </c>
      <c r="D1601" s="73" t="s">
        <v>3475</v>
      </c>
      <c r="E1601" s="77">
        <v>572.70825602779917</v>
      </c>
      <c r="F1601" s="77">
        <v>651.21697691467443</v>
      </c>
      <c r="G1601" s="76">
        <v>3.8568348275160123</v>
      </c>
    </row>
    <row r="1602" spans="1:7" x14ac:dyDescent="0.25">
      <c r="A1602" s="75">
        <v>7802101</v>
      </c>
      <c r="B1602" s="73" t="s">
        <v>1267</v>
      </c>
      <c r="C1602" s="68">
        <v>6</v>
      </c>
      <c r="D1602" s="73" t="s">
        <v>3475</v>
      </c>
      <c r="E1602" s="77">
        <v>560.01158936113256</v>
      </c>
      <c r="F1602" s="77">
        <v>651.21697691467443</v>
      </c>
      <c r="G1602" s="76">
        <v>3.8568348275160123</v>
      </c>
    </row>
    <row r="1603" spans="1:7" x14ac:dyDescent="0.25">
      <c r="A1603" s="75">
        <v>7802701</v>
      </c>
      <c r="B1603" s="73" t="s">
        <v>1268</v>
      </c>
      <c r="C1603" s="68">
        <v>1</v>
      </c>
      <c r="D1603" s="73" t="s">
        <v>3436</v>
      </c>
      <c r="E1603" s="77">
        <v>532.85295004245734</v>
      </c>
      <c r="F1603" s="77">
        <v>651.21697691467443</v>
      </c>
      <c r="G1603" s="76">
        <v>3.8568348275160123</v>
      </c>
    </row>
    <row r="1604" spans="1:7" x14ac:dyDescent="0.25">
      <c r="A1604" s="75">
        <v>7802701</v>
      </c>
      <c r="B1604" s="73" t="s">
        <v>1268</v>
      </c>
      <c r="C1604" s="68">
        <v>2</v>
      </c>
      <c r="D1604" s="73" t="s">
        <v>3437</v>
      </c>
      <c r="E1604" s="77">
        <v>489.82558086288748</v>
      </c>
      <c r="F1604" s="77">
        <v>631.89984591022119</v>
      </c>
      <c r="G1604" s="76">
        <v>3.7293022972494545</v>
      </c>
    </row>
    <row r="1605" spans="1:7" x14ac:dyDescent="0.25">
      <c r="A1605" s="75">
        <v>7802701</v>
      </c>
      <c r="B1605" s="73" t="s">
        <v>1268</v>
      </c>
      <c r="C1605" s="68">
        <v>4</v>
      </c>
      <c r="D1605" s="73" t="s">
        <v>3438</v>
      </c>
      <c r="E1605" s="77">
        <v>386.74356003353677</v>
      </c>
      <c r="F1605" s="77">
        <v>520.97358153173946</v>
      </c>
      <c r="G1605" s="76">
        <v>3.08546786201281</v>
      </c>
    </row>
    <row r="1606" spans="1:7" x14ac:dyDescent="0.25">
      <c r="A1606" s="75">
        <v>7802701</v>
      </c>
      <c r="B1606" s="73" t="s">
        <v>1268</v>
      </c>
      <c r="C1606" s="68">
        <v>99</v>
      </c>
      <c r="D1606" s="73" t="s">
        <v>3438</v>
      </c>
      <c r="E1606" s="77">
        <v>508.80253337579069</v>
      </c>
      <c r="F1606" s="77">
        <v>651.21697691467443</v>
      </c>
      <c r="G1606" s="76">
        <v>3.8568348275160123</v>
      </c>
    </row>
    <row r="1607" spans="1:7" x14ac:dyDescent="0.25">
      <c r="A1607" s="75">
        <v>7802702</v>
      </c>
      <c r="B1607" s="73" t="s">
        <v>1269</v>
      </c>
      <c r="C1607" s="68">
        <v>1</v>
      </c>
      <c r="D1607" s="73" t="s">
        <v>3467</v>
      </c>
      <c r="E1607" s="77">
        <v>537.25739190932109</v>
      </c>
      <c r="F1607" s="77">
        <v>550.45100009882572</v>
      </c>
      <c r="G1607" s="76">
        <v>3.6678250241279602</v>
      </c>
    </row>
    <row r="1608" spans="1:7" x14ac:dyDescent="0.25">
      <c r="A1608" s="75">
        <v>7802702</v>
      </c>
      <c r="B1608" s="73" t="s">
        <v>1269</v>
      </c>
      <c r="C1608" s="68">
        <v>2</v>
      </c>
      <c r="D1608" s="73" t="s">
        <v>3467</v>
      </c>
      <c r="E1608" s="77">
        <v>513.20697524265449</v>
      </c>
      <c r="F1608" s="77">
        <v>550.45100009882572</v>
      </c>
      <c r="G1608" s="76">
        <v>3.6678250241279602</v>
      </c>
    </row>
    <row r="1609" spans="1:7" x14ac:dyDescent="0.25">
      <c r="A1609" s="75">
        <v>7802801</v>
      </c>
      <c r="B1609" s="73" t="s">
        <v>1270</v>
      </c>
      <c r="C1609" s="68">
        <v>7</v>
      </c>
      <c r="D1609" s="73" t="s">
        <v>3440</v>
      </c>
      <c r="E1609" s="77">
        <v>470.91467834301642</v>
      </c>
      <c r="F1609" s="77">
        <v>633.30928660672112</v>
      </c>
      <c r="G1609" s="76">
        <v>3.8509198843406565</v>
      </c>
    </row>
    <row r="1610" spans="1:7" x14ac:dyDescent="0.25">
      <c r="A1610" s="75">
        <v>7802901</v>
      </c>
      <c r="B1610" s="73" t="s">
        <v>1007</v>
      </c>
      <c r="C1610" s="68">
        <v>5</v>
      </c>
      <c r="D1610" s="73" t="s">
        <v>3476</v>
      </c>
      <c r="E1610" s="77">
        <v>501.755</v>
      </c>
      <c r="F1610" s="77">
        <v>1026.6303049067806</v>
      </c>
      <c r="G1610" s="76">
        <v>6.2299999999999995</v>
      </c>
    </row>
    <row r="1611" spans="1:7" x14ac:dyDescent="0.25">
      <c r="A1611" s="75">
        <v>7802901</v>
      </c>
      <c r="B1611" s="73" t="s">
        <v>1007</v>
      </c>
      <c r="C1611" s="68">
        <v>99</v>
      </c>
      <c r="D1611" s="73" t="s">
        <v>3476</v>
      </c>
      <c r="E1611" s="77">
        <v>501.755</v>
      </c>
      <c r="F1611" s="77">
        <v>1026.6303049067806</v>
      </c>
      <c r="G1611" s="76">
        <v>6.2299999999999995</v>
      </c>
    </row>
    <row r="1612" spans="1:7" x14ac:dyDescent="0.25">
      <c r="A1612" s="75">
        <v>7802902</v>
      </c>
      <c r="B1612" s="73" t="s">
        <v>1142</v>
      </c>
      <c r="C1612" s="68">
        <v>1</v>
      </c>
      <c r="D1612" s="73" t="s">
        <v>3477</v>
      </c>
      <c r="E1612" s="77">
        <v>561.08749999999998</v>
      </c>
      <c r="F1612" s="77">
        <v>1093</v>
      </c>
      <c r="G1612" s="76">
        <v>6.5</v>
      </c>
    </row>
    <row r="1613" spans="1:7" x14ac:dyDescent="0.25">
      <c r="A1613" s="75">
        <v>7802902</v>
      </c>
      <c r="B1613" s="73" t="s">
        <v>1142</v>
      </c>
      <c r="C1613" s="68">
        <v>2</v>
      </c>
      <c r="D1613" s="73" t="s">
        <v>3476</v>
      </c>
      <c r="E1613" s="77">
        <v>492.23250000000002</v>
      </c>
      <c r="F1613" s="77">
        <v>1026.6303049067806</v>
      </c>
      <c r="G1613" s="76">
        <v>6.2299999999999995</v>
      </c>
    </row>
    <row r="1614" spans="1:7" x14ac:dyDescent="0.25">
      <c r="A1614" s="75">
        <v>7802902</v>
      </c>
      <c r="B1614" s="73" t="s">
        <v>1142</v>
      </c>
      <c r="C1614" s="68">
        <v>5</v>
      </c>
      <c r="D1614" s="73" t="s">
        <v>3476</v>
      </c>
      <c r="E1614" s="77">
        <v>501.755</v>
      </c>
      <c r="F1614" s="77">
        <v>1026.6303049067806</v>
      </c>
      <c r="G1614" s="76">
        <v>6.2299999999999995</v>
      </c>
    </row>
    <row r="1615" spans="1:7" x14ac:dyDescent="0.25">
      <c r="A1615" s="75">
        <v>7802902</v>
      </c>
      <c r="B1615" s="73" t="s">
        <v>1142</v>
      </c>
      <c r="C1615" s="68">
        <v>7</v>
      </c>
      <c r="D1615" s="73" t="s">
        <v>3476</v>
      </c>
      <c r="E1615" s="77">
        <v>501.755</v>
      </c>
      <c r="F1615" s="77">
        <v>1026.6303049067806</v>
      </c>
      <c r="G1615" s="76">
        <v>6.2299999999999995</v>
      </c>
    </row>
    <row r="1616" spans="1:7" x14ac:dyDescent="0.25">
      <c r="A1616" s="75">
        <v>7802902</v>
      </c>
      <c r="B1616" s="73" t="s">
        <v>1142</v>
      </c>
      <c r="C1616" s="68">
        <v>99</v>
      </c>
      <c r="D1616" s="73" t="s">
        <v>3476</v>
      </c>
      <c r="E1616" s="77">
        <v>501.755</v>
      </c>
      <c r="F1616" s="77">
        <v>1026.6303049067806</v>
      </c>
      <c r="G1616" s="76">
        <v>6.2299999999999995</v>
      </c>
    </row>
    <row r="1617" spans="1:7" x14ac:dyDescent="0.25">
      <c r="A1617" s="75">
        <v>7802905</v>
      </c>
      <c r="B1617" s="73" t="s">
        <v>3478</v>
      </c>
      <c r="C1617" s="68">
        <v>4</v>
      </c>
      <c r="D1617" s="73" t="s">
        <v>3477</v>
      </c>
      <c r="E1617" s="77">
        <v>561.08749999999998</v>
      </c>
      <c r="F1617" s="77">
        <v>1093</v>
      </c>
      <c r="G1617" s="76">
        <v>6.5</v>
      </c>
    </row>
    <row r="1618" spans="1:7" x14ac:dyDescent="0.25">
      <c r="A1618" s="75">
        <v>7802905</v>
      </c>
      <c r="B1618" s="73" t="s">
        <v>3478</v>
      </c>
      <c r="C1618" s="68">
        <v>5</v>
      </c>
      <c r="D1618" s="73" t="s">
        <v>3476</v>
      </c>
      <c r="E1618" s="77">
        <v>501.755</v>
      </c>
      <c r="F1618" s="77">
        <v>1026.6303049067806</v>
      </c>
      <c r="G1618" s="76">
        <v>6.2299999999999995</v>
      </c>
    </row>
    <row r="1619" spans="1:7" x14ac:dyDescent="0.25">
      <c r="A1619" s="75">
        <v>7802906</v>
      </c>
      <c r="B1619" s="73" t="s">
        <v>3479</v>
      </c>
      <c r="C1619" s="68">
        <v>5</v>
      </c>
      <c r="D1619" s="73" t="s">
        <v>3476</v>
      </c>
      <c r="E1619" s="77">
        <v>501.755</v>
      </c>
      <c r="F1619" s="77">
        <v>1026.6303049067806</v>
      </c>
      <c r="G1619" s="76">
        <v>6.2299999999999995</v>
      </c>
    </row>
    <row r="1620" spans="1:7" x14ac:dyDescent="0.25">
      <c r="A1620" s="75">
        <v>7803201</v>
      </c>
      <c r="B1620" s="73" t="s">
        <v>1271</v>
      </c>
      <c r="C1620" s="68">
        <v>2</v>
      </c>
      <c r="D1620" s="73" t="s">
        <v>3453</v>
      </c>
      <c r="E1620" s="77">
        <v>489.82558086288748</v>
      </c>
      <c r="F1620" s="77">
        <v>631.89984591022119</v>
      </c>
      <c r="G1620" s="76">
        <v>3.7293022972494545</v>
      </c>
    </row>
    <row r="1621" spans="1:7" x14ac:dyDescent="0.25">
      <c r="A1621" s="75">
        <v>7803301</v>
      </c>
      <c r="B1621" s="73" t="s">
        <v>1009</v>
      </c>
      <c r="C1621" s="68">
        <v>1</v>
      </c>
      <c r="D1621" s="73" t="s">
        <v>3480</v>
      </c>
      <c r="E1621" s="77">
        <v>387.66861946265772</v>
      </c>
      <c r="F1621" s="77">
        <v>338.27661512714968</v>
      </c>
      <c r="G1621" s="76">
        <v>2.2944854336788225</v>
      </c>
    </row>
    <row r="1622" spans="1:7" x14ac:dyDescent="0.25">
      <c r="A1622" s="75">
        <v>7803301</v>
      </c>
      <c r="B1622" s="73" t="s">
        <v>1009</v>
      </c>
      <c r="C1622" s="68">
        <v>2</v>
      </c>
      <c r="D1622" s="73" t="s">
        <v>3481</v>
      </c>
      <c r="E1622" s="77">
        <v>392.73954636088644</v>
      </c>
      <c r="F1622" s="77">
        <v>329.37675666641866</v>
      </c>
      <c r="G1622" s="76">
        <v>2.4908323728799848</v>
      </c>
    </row>
    <row r="1623" spans="1:7" x14ac:dyDescent="0.25">
      <c r="A1623" s="75">
        <v>7803301</v>
      </c>
      <c r="B1623" s="73" t="s">
        <v>1009</v>
      </c>
      <c r="C1623" s="68">
        <v>3</v>
      </c>
      <c r="D1623" s="73" t="s">
        <v>3480</v>
      </c>
      <c r="E1623" s="77">
        <v>379.85528612932438</v>
      </c>
      <c r="F1623" s="77">
        <v>338.27661512714968</v>
      </c>
      <c r="G1623" s="76">
        <v>2.2944854336788225</v>
      </c>
    </row>
    <row r="1624" spans="1:7" x14ac:dyDescent="0.25">
      <c r="A1624" s="75">
        <v>7803301</v>
      </c>
      <c r="B1624" s="73" t="s">
        <v>1009</v>
      </c>
      <c r="C1624" s="68">
        <v>4</v>
      </c>
      <c r="D1624" s="73" t="s">
        <v>3482</v>
      </c>
      <c r="E1624" s="77">
        <v>371.99657457099647</v>
      </c>
      <c r="F1624" s="77">
        <v>339.87402720386069</v>
      </c>
      <c r="G1624" s="76">
        <v>2.3053204680196338</v>
      </c>
    </row>
    <row r="1625" spans="1:7" x14ac:dyDescent="0.25">
      <c r="A1625" s="75">
        <v>7803301</v>
      </c>
      <c r="B1625" s="73" t="s">
        <v>1009</v>
      </c>
      <c r="C1625" s="68">
        <v>5</v>
      </c>
      <c r="D1625" s="73" t="s">
        <v>3483</v>
      </c>
      <c r="E1625" s="77">
        <v>360.45739349697806</v>
      </c>
      <c r="F1625" s="77">
        <v>345.43093687626526</v>
      </c>
      <c r="G1625" s="76">
        <v>2.4140597962372516</v>
      </c>
    </row>
    <row r="1626" spans="1:7" x14ac:dyDescent="0.25">
      <c r="A1626" s="75">
        <v>7803301</v>
      </c>
      <c r="B1626" s="73" t="s">
        <v>1009</v>
      </c>
      <c r="C1626" s="68">
        <v>6</v>
      </c>
      <c r="D1626" s="73" t="s">
        <v>3481</v>
      </c>
      <c r="E1626" s="77">
        <v>380.04287969421983</v>
      </c>
      <c r="F1626" s="77">
        <v>329.37675666641866</v>
      </c>
      <c r="G1626" s="76">
        <v>2.4908323728799848</v>
      </c>
    </row>
    <row r="1627" spans="1:7" x14ac:dyDescent="0.25">
      <c r="A1627" s="75">
        <v>7803301</v>
      </c>
      <c r="B1627" s="73" t="s">
        <v>1009</v>
      </c>
      <c r="C1627" s="68">
        <v>7</v>
      </c>
      <c r="D1627" s="73" t="s">
        <v>3483</v>
      </c>
      <c r="E1627" s="77">
        <v>360.45739349697806</v>
      </c>
      <c r="F1627" s="77">
        <v>345.43093687626526</v>
      </c>
      <c r="G1627" s="76">
        <v>2.4140597962372516</v>
      </c>
    </row>
    <row r="1628" spans="1:7" x14ac:dyDescent="0.25">
      <c r="A1628" s="75">
        <v>7803301</v>
      </c>
      <c r="B1628" s="73" t="s">
        <v>1009</v>
      </c>
      <c r="C1628" s="68">
        <v>8</v>
      </c>
      <c r="D1628" s="73" t="s">
        <v>3480</v>
      </c>
      <c r="E1628" s="77">
        <v>370.3327861293244</v>
      </c>
      <c r="F1628" s="77">
        <v>338.27661512714968</v>
      </c>
      <c r="G1628" s="76">
        <v>2.2944854336788225</v>
      </c>
    </row>
    <row r="1629" spans="1:7" x14ac:dyDescent="0.25">
      <c r="A1629" s="75">
        <v>7803301</v>
      </c>
      <c r="B1629" s="73" t="s">
        <v>1009</v>
      </c>
      <c r="C1629" s="68">
        <v>9</v>
      </c>
      <c r="D1629" s="73" t="s">
        <v>3481</v>
      </c>
      <c r="E1629" s="77">
        <v>376.86871302755316</v>
      </c>
      <c r="F1629" s="77">
        <v>329.37675666641866</v>
      </c>
      <c r="G1629" s="76">
        <v>2.4908323728799848</v>
      </c>
    </row>
    <row r="1630" spans="1:7" x14ac:dyDescent="0.25">
      <c r="A1630" s="75">
        <v>7803301</v>
      </c>
      <c r="B1630" s="73" t="s">
        <v>1009</v>
      </c>
      <c r="C1630" s="68">
        <v>99</v>
      </c>
      <c r="D1630" s="73" t="s">
        <v>3480</v>
      </c>
      <c r="E1630" s="77">
        <v>379.85528612932438</v>
      </c>
      <c r="F1630" s="77">
        <v>338.27661512714968</v>
      </c>
      <c r="G1630" s="76">
        <v>2.2944854336788225</v>
      </c>
    </row>
    <row r="1631" spans="1:7" x14ac:dyDescent="0.25">
      <c r="A1631" s="75">
        <v>7803501</v>
      </c>
      <c r="B1631" s="73" t="s">
        <v>1272</v>
      </c>
      <c r="C1631" s="68">
        <v>2</v>
      </c>
      <c r="D1631" s="73" t="s">
        <v>3481</v>
      </c>
      <c r="E1631" s="77">
        <v>392.73954636088644</v>
      </c>
      <c r="F1631" s="77">
        <v>329.37675666641866</v>
      </c>
      <c r="G1631" s="76">
        <v>2.4908323728799848</v>
      </c>
    </row>
    <row r="1632" spans="1:7" x14ac:dyDescent="0.25">
      <c r="A1632" s="75">
        <v>7803501</v>
      </c>
      <c r="B1632" s="73" t="s">
        <v>1272</v>
      </c>
      <c r="C1632" s="68">
        <v>3</v>
      </c>
      <c r="D1632" s="73" t="s">
        <v>3484</v>
      </c>
      <c r="E1632" s="77">
        <v>383.17239607454394</v>
      </c>
      <c r="F1632" s="77">
        <v>341.38458153711343</v>
      </c>
      <c r="G1632" s="76">
        <v>2.3155663578016576</v>
      </c>
    </row>
    <row r="1633" spans="1:7" x14ac:dyDescent="0.25">
      <c r="A1633" s="75">
        <v>7803501</v>
      </c>
      <c r="B1633" s="73" t="s">
        <v>1272</v>
      </c>
      <c r="C1633" s="68">
        <v>4</v>
      </c>
      <c r="D1633" s="73" t="s">
        <v>3485</v>
      </c>
      <c r="E1633" s="77">
        <v>373.64989607454396</v>
      </c>
      <c r="F1633" s="77">
        <v>341.38458153711343</v>
      </c>
      <c r="G1633" s="76">
        <v>2.3155663578016576</v>
      </c>
    </row>
    <row r="1634" spans="1:7" x14ac:dyDescent="0.25">
      <c r="A1634" s="75">
        <v>7803501</v>
      </c>
      <c r="B1634" s="73" t="s">
        <v>1272</v>
      </c>
      <c r="C1634" s="68">
        <v>7</v>
      </c>
      <c r="D1634" s="73" t="s">
        <v>3483</v>
      </c>
      <c r="E1634" s="77">
        <v>360.45739349697806</v>
      </c>
      <c r="F1634" s="77">
        <v>345.43093687626526</v>
      </c>
      <c r="G1634" s="76">
        <v>2.4140597962372516</v>
      </c>
    </row>
    <row r="1635" spans="1:7" x14ac:dyDescent="0.25">
      <c r="A1635" s="75">
        <v>7803501</v>
      </c>
      <c r="B1635" s="73" t="s">
        <v>1272</v>
      </c>
      <c r="C1635" s="68">
        <v>99</v>
      </c>
      <c r="D1635" s="73" t="s">
        <v>3484</v>
      </c>
      <c r="E1635" s="77">
        <v>383.17239607454394</v>
      </c>
      <c r="F1635" s="77">
        <v>341.38458153711343</v>
      </c>
      <c r="G1635" s="76">
        <v>2.3155663578016576</v>
      </c>
    </row>
    <row r="1636" spans="1:7" x14ac:dyDescent="0.25">
      <c r="A1636" s="75">
        <v>7803702</v>
      </c>
      <c r="B1636" s="73" t="s">
        <v>3486</v>
      </c>
      <c r="C1636" s="68">
        <v>2</v>
      </c>
      <c r="D1636" s="73" t="s">
        <v>3487</v>
      </c>
      <c r="E1636" s="77">
        <v>491.85840974814772</v>
      </c>
      <c r="F1636" s="77">
        <v>631.89984591022119</v>
      </c>
      <c r="G1636" s="76">
        <v>3.7293022972494545</v>
      </c>
    </row>
    <row r="1637" spans="1:7" x14ac:dyDescent="0.25">
      <c r="A1637" s="75">
        <v>7803702</v>
      </c>
      <c r="B1637" s="73" t="s">
        <v>1273</v>
      </c>
      <c r="C1637" s="68">
        <v>3</v>
      </c>
      <c r="D1637" s="73" t="s">
        <v>3488</v>
      </c>
      <c r="E1637" s="77">
        <v>510.93272413085771</v>
      </c>
      <c r="F1637" s="77">
        <v>651.21697691467443</v>
      </c>
      <c r="G1637" s="76">
        <v>3.8568348275160123</v>
      </c>
    </row>
    <row r="1638" spans="1:7" x14ac:dyDescent="0.25">
      <c r="A1638" s="75">
        <v>7803702</v>
      </c>
      <c r="B1638" s="73" t="s">
        <v>3486</v>
      </c>
      <c r="C1638" s="68">
        <v>7</v>
      </c>
      <c r="D1638" s="73" t="s">
        <v>3487</v>
      </c>
      <c r="E1638" s="77">
        <v>479.16174308148106</v>
      </c>
      <c r="F1638" s="77">
        <v>631.89984591022119</v>
      </c>
      <c r="G1638" s="76">
        <v>3.7293022972494545</v>
      </c>
    </row>
    <row r="1639" spans="1:7" x14ac:dyDescent="0.25">
      <c r="A1639" s="75">
        <v>7803703</v>
      </c>
      <c r="B1639" s="73" t="s">
        <v>1274</v>
      </c>
      <c r="C1639" s="68">
        <v>2</v>
      </c>
      <c r="D1639" s="73" t="s">
        <v>3487</v>
      </c>
      <c r="E1639" s="77">
        <v>491.85840974814772</v>
      </c>
      <c r="F1639" s="77">
        <v>631.89984591022119</v>
      </c>
      <c r="G1639" s="76">
        <v>3.7293022972494545</v>
      </c>
    </row>
    <row r="1640" spans="1:7" x14ac:dyDescent="0.25">
      <c r="A1640" s="75">
        <v>7803707</v>
      </c>
      <c r="B1640" s="73" t="s">
        <v>1275</v>
      </c>
      <c r="C1640" s="68">
        <v>2</v>
      </c>
      <c r="D1640" s="73" t="s">
        <v>3440</v>
      </c>
      <c r="E1640" s="77">
        <v>483.61134500968308</v>
      </c>
      <c r="F1640" s="77">
        <v>633.30928660672112</v>
      </c>
      <c r="G1640" s="76">
        <v>3.8509198843406565</v>
      </c>
    </row>
    <row r="1641" spans="1:7" x14ac:dyDescent="0.25">
      <c r="A1641" s="75">
        <v>7803907</v>
      </c>
      <c r="B1641" s="73" t="s">
        <v>1922</v>
      </c>
      <c r="C1641" s="68">
        <v>1</v>
      </c>
      <c r="D1641" s="73" t="s">
        <v>3489</v>
      </c>
      <c r="E1641" s="77">
        <v>534.98314079752436</v>
      </c>
      <c r="F1641" s="77">
        <v>651.21697691467443</v>
      </c>
      <c r="G1641" s="76">
        <v>3.8568348275160123</v>
      </c>
    </row>
    <row r="1642" spans="1:7" x14ac:dyDescent="0.25">
      <c r="A1642" s="75">
        <v>7803907</v>
      </c>
      <c r="B1642" s="73" t="s">
        <v>1922</v>
      </c>
      <c r="C1642" s="68">
        <v>2</v>
      </c>
      <c r="D1642" s="73" t="s">
        <v>3489</v>
      </c>
      <c r="E1642" s="77">
        <v>510.93272413085771</v>
      </c>
      <c r="F1642" s="77">
        <v>651.21697691467443</v>
      </c>
      <c r="G1642" s="76">
        <v>3.8568348275160123</v>
      </c>
    </row>
    <row r="1643" spans="1:7" x14ac:dyDescent="0.25">
      <c r="A1643" s="75">
        <v>7803907</v>
      </c>
      <c r="B1643" s="73" t="s">
        <v>1922</v>
      </c>
      <c r="C1643" s="68">
        <v>7</v>
      </c>
      <c r="D1643" s="73" t="s">
        <v>3440</v>
      </c>
      <c r="E1643" s="77">
        <v>470.91467834301642</v>
      </c>
      <c r="F1643" s="77">
        <v>633.30928660672112</v>
      </c>
      <c r="G1643" s="76">
        <v>3.8509198843406565</v>
      </c>
    </row>
    <row r="1644" spans="1:7" x14ac:dyDescent="0.25">
      <c r="A1644" s="75">
        <v>7803907</v>
      </c>
      <c r="B1644" s="73" t="s">
        <v>3490</v>
      </c>
      <c r="C1644" s="68">
        <v>9</v>
      </c>
      <c r="D1644" s="73" t="s">
        <v>3489</v>
      </c>
      <c r="E1644" s="77">
        <v>504.58439079752441</v>
      </c>
      <c r="F1644" s="77">
        <v>651.21697691467443</v>
      </c>
      <c r="G1644" s="76">
        <v>3.8568348275160123</v>
      </c>
    </row>
    <row r="1645" spans="1:7" x14ac:dyDescent="0.25">
      <c r="A1645" s="75">
        <v>7803908</v>
      </c>
      <c r="B1645" s="73" t="s">
        <v>1276</v>
      </c>
      <c r="C1645" s="68">
        <v>1</v>
      </c>
      <c r="D1645" s="73" t="s">
        <v>3489</v>
      </c>
      <c r="E1645" s="77">
        <v>534.98314079752436</v>
      </c>
      <c r="F1645" s="77">
        <v>651.21697691467443</v>
      </c>
      <c r="G1645" s="76">
        <v>3.8568348275160123</v>
      </c>
    </row>
    <row r="1646" spans="1:7" x14ac:dyDescent="0.25">
      <c r="A1646" s="75">
        <v>7803913</v>
      </c>
      <c r="B1646" s="73" t="s">
        <v>1013</v>
      </c>
      <c r="C1646" s="68">
        <v>1</v>
      </c>
      <c r="D1646" s="73" t="s">
        <v>3489</v>
      </c>
      <c r="E1646" s="77">
        <v>534.98314079752436</v>
      </c>
      <c r="F1646" s="77">
        <v>651.21697691467443</v>
      </c>
      <c r="G1646" s="76">
        <v>3.8568348275160123</v>
      </c>
    </row>
    <row r="1647" spans="1:7" x14ac:dyDescent="0.25">
      <c r="A1647" s="75">
        <v>7803913</v>
      </c>
      <c r="B1647" s="73" t="s">
        <v>1013</v>
      </c>
      <c r="C1647" s="68">
        <v>2</v>
      </c>
      <c r="D1647" s="73" t="s">
        <v>3489</v>
      </c>
      <c r="E1647" s="77">
        <v>510.93272413085771</v>
      </c>
      <c r="F1647" s="77">
        <v>651.21697691467443</v>
      </c>
      <c r="G1647" s="76">
        <v>3.8568348275160123</v>
      </c>
    </row>
    <row r="1648" spans="1:7" x14ac:dyDescent="0.25">
      <c r="A1648" s="75">
        <v>7803913</v>
      </c>
      <c r="B1648" s="73" t="s">
        <v>1013</v>
      </c>
      <c r="C1648" s="68">
        <v>3</v>
      </c>
      <c r="D1648" s="73" t="s">
        <v>3489</v>
      </c>
      <c r="E1648" s="77">
        <v>510.93272413085771</v>
      </c>
      <c r="F1648" s="77">
        <v>651.21697691467443</v>
      </c>
      <c r="G1648" s="76">
        <v>3.8568348275160123</v>
      </c>
    </row>
    <row r="1649" spans="1:7" x14ac:dyDescent="0.25">
      <c r="A1649" s="75">
        <v>7803913</v>
      </c>
      <c r="B1649" s="73" t="s">
        <v>1013</v>
      </c>
      <c r="C1649" s="68">
        <v>6</v>
      </c>
      <c r="D1649" s="73" t="s">
        <v>3489</v>
      </c>
      <c r="E1649" s="77">
        <v>498.23605746419105</v>
      </c>
      <c r="F1649" s="77">
        <v>651.21697691467443</v>
      </c>
      <c r="G1649" s="76">
        <v>3.8568348275160123</v>
      </c>
    </row>
    <row r="1650" spans="1:7" x14ac:dyDescent="0.25">
      <c r="A1650" s="75">
        <v>7803913</v>
      </c>
      <c r="B1650" s="73" t="s">
        <v>1013</v>
      </c>
      <c r="C1650" s="68">
        <v>7</v>
      </c>
      <c r="D1650" s="73" t="s">
        <v>3489</v>
      </c>
      <c r="E1650" s="77">
        <v>495.06189079752437</v>
      </c>
      <c r="F1650" s="77">
        <v>651.21697691467443</v>
      </c>
      <c r="G1650" s="76">
        <v>3.8568348275160123</v>
      </c>
    </row>
    <row r="1651" spans="1:7" x14ac:dyDescent="0.25">
      <c r="A1651" s="75">
        <v>7805401</v>
      </c>
      <c r="B1651" s="73" t="s">
        <v>1277</v>
      </c>
      <c r="C1651" s="68">
        <v>3</v>
      </c>
      <c r="D1651" s="73" t="s">
        <v>3491</v>
      </c>
      <c r="E1651" s="77">
        <v>495.39333333333332</v>
      </c>
      <c r="F1651" s="77">
        <v>559.30739388680831</v>
      </c>
      <c r="G1651" s="76">
        <v>3.3125</v>
      </c>
    </row>
    <row r="1652" spans="1:7" x14ac:dyDescent="0.25">
      <c r="A1652" s="75">
        <v>7805401</v>
      </c>
      <c r="B1652" s="73" t="s">
        <v>1277</v>
      </c>
      <c r="C1652" s="68">
        <v>8</v>
      </c>
      <c r="D1652" s="73" t="s">
        <v>3491</v>
      </c>
      <c r="E1652" s="77">
        <v>470</v>
      </c>
      <c r="F1652" s="77">
        <v>559.30739388680831</v>
      </c>
      <c r="G1652" s="76">
        <v>3.3125</v>
      </c>
    </row>
    <row r="1653" spans="1:7" x14ac:dyDescent="0.25">
      <c r="A1653" s="75">
        <v>7806002</v>
      </c>
      <c r="B1653" s="73" t="s">
        <v>3492</v>
      </c>
      <c r="C1653" s="68">
        <v>1</v>
      </c>
      <c r="D1653" s="73" t="s">
        <v>3489</v>
      </c>
      <c r="E1653" s="77">
        <v>534.98314079752436</v>
      </c>
      <c r="F1653" s="77">
        <v>651.21697691467443</v>
      </c>
      <c r="G1653" s="76">
        <v>3.8568348275160123</v>
      </c>
    </row>
    <row r="1654" spans="1:7" x14ac:dyDescent="0.25">
      <c r="A1654" s="75">
        <v>7806201</v>
      </c>
      <c r="B1654" s="73" t="s">
        <v>3493</v>
      </c>
      <c r="C1654" s="68">
        <v>2</v>
      </c>
      <c r="D1654" s="73" t="s">
        <v>3447</v>
      </c>
      <c r="E1654" s="77">
        <v>489.82558086288748</v>
      </c>
      <c r="F1654" s="77">
        <v>631.89984591022119</v>
      </c>
      <c r="G1654" s="76">
        <v>3.7293022972494545</v>
      </c>
    </row>
    <row r="1655" spans="1:7" x14ac:dyDescent="0.25">
      <c r="A1655" s="75">
        <v>7806201</v>
      </c>
      <c r="B1655" s="73" t="s">
        <v>3493</v>
      </c>
      <c r="C1655" s="68">
        <v>3</v>
      </c>
      <c r="D1655" s="73" t="s">
        <v>3494</v>
      </c>
      <c r="E1655" s="77">
        <v>508.80253337579069</v>
      </c>
      <c r="F1655" s="77">
        <v>651.21697691467443</v>
      </c>
      <c r="G1655" s="76">
        <v>3.8568348275160123</v>
      </c>
    </row>
    <row r="1656" spans="1:7" x14ac:dyDescent="0.25">
      <c r="A1656" s="75">
        <v>7806201</v>
      </c>
      <c r="B1656" s="73" t="s">
        <v>3493</v>
      </c>
      <c r="C1656" s="68">
        <v>9</v>
      </c>
      <c r="D1656" s="73" t="s">
        <v>3447</v>
      </c>
      <c r="E1656" s="77">
        <v>486.65141419622086</v>
      </c>
      <c r="F1656" s="77">
        <v>631.89984591022119</v>
      </c>
      <c r="G1656" s="76">
        <v>3.7293022972494545</v>
      </c>
    </row>
    <row r="1657" spans="1:7" x14ac:dyDescent="0.25">
      <c r="A1657" s="75">
        <v>7807101</v>
      </c>
      <c r="B1657" s="73" t="s">
        <v>3495</v>
      </c>
      <c r="C1657" s="68">
        <v>1</v>
      </c>
      <c r="D1657" s="73" t="s">
        <v>3496</v>
      </c>
      <c r="E1657" s="77">
        <v>421.42207714980339</v>
      </c>
      <c r="F1657" s="77">
        <v>339.78006083549883</v>
      </c>
      <c r="G1657" s="76">
        <v>2.3046831066005447</v>
      </c>
    </row>
    <row r="1658" spans="1:7" x14ac:dyDescent="0.25">
      <c r="A1658" s="75">
        <v>7807101</v>
      </c>
      <c r="B1658" s="73" t="s">
        <v>3495</v>
      </c>
      <c r="C1658" s="68">
        <v>2</v>
      </c>
      <c r="D1658" s="73" t="s">
        <v>3496</v>
      </c>
      <c r="E1658" s="77">
        <v>397.37166048313668</v>
      </c>
      <c r="F1658" s="77">
        <v>339.78006083549883</v>
      </c>
      <c r="G1658" s="76">
        <v>2.3046831066005447</v>
      </c>
    </row>
    <row r="1659" spans="1:7" x14ac:dyDescent="0.25">
      <c r="A1659" s="75">
        <v>7807101</v>
      </c>
      <c r="B1659" s="73" t="s">
        <v>3495</v>
      </c>
      <c r="C1659" s="68">
        <v>3</v>
      </c>
      <c r="D1659" s="73" t="s">
        <v>3496</v>
      </c>
      <c r="E1659" s="77">
        <v>397.37166048313668</v>
      </c>
      <c r="F1659" s="77">
        <v>339.78006083549883</v>
      </c>
      <c r="G1659" s="76">
        <v>2.3046831066005447</v>
      </c>
    </row>
    <row r="1660" spans="1:7" x14ac:dyDescent="0.25">
      <c r="A1660" s="75">
        <v>7807101</v>
      </c>
      <c r="B1660" s="73" t="s">
        <v>3495</v>
      </c>
      <c r="C1660" s="68">
        <v>7</v>
      </c>
      <c r="D1660" s="73" t="s">
        <v>3483</v>
      </c>
      <c r="E1660" s="77">
        <v>360.45739349697806</v>
      </c>
      <c r="F1660" s="77">
        <v>345.43093687626526</v>
      </c>
      <c r="G1660" s="76">
        <v>2.4140597962372516</v>
      </c>
    </row>
    <row r="1661" spans="1:7" x14ac:dyDescent="0.25">
      <c r="A1661" s="75">
        <v>7807101</v>
      </c>
      <c r="B1661" s="73" t="s">
        <v>3495</v>
      </c>
      <c r="C1661" s="68">
        <v>99</v>
      </c>
      <c r="D1661" s="73" t="s">
        <v>3496</v>
      </c>
      <c r="E1661" s="77">
        <v>397.37166048313668</v>
      </c>
      <c r="F1661" s="77">
        <v>339.78006083549883</v>
      </c>
      <c r="G1661" s="76">
        <v>2.3046831066005447</v>
      </c>
    </row>
    <row r="1662" spans="1:7" x14ac:dyDescent="0.25">
      <c r="A1662" s="75">
        <v>7807201</v>
      </c>
      <c r="B1662" s="73" t="s">
        <v>3497</v>
      </c>
      <c r="C1662" s="68">
        <v>3</v>
      </c>
      <c r="D1662" s="73" t="s">
        <v>3498</v>
      </c>
      <c r="E1662" s="77">
        <v>397.37166048313668</v>
      </c>
      <c r="F1662" s="77">
        <v>339.78006083549883</v>
      </c>
      <c r="G1662" s="76">
        <v>2.3046831066005447</v>
      </c>
    </row>
    <row r="1663" spans="1:7" x14ac:dyDescent="0.25">
      <c r="A1663" s="75">
        <v>7807201</v>
      </c>
      <c r="B1663" s="73" t="s">
        <v>3497</v>
      </c>
      <c r="C1663" s="68">
        <v>7</v>
      </c>
      <c r="D1663" s="73" t="s">
        <v>3483</v>
      </c>
      <c r="E1663" s="77">
        <v>360.45739349697806</v>
      </c>
      <c r="F1663" s="77">
        <v>345.43093687626526</v>
      </c>
      <c r="G1663" s="76">
        <v>2.4140597962372516</v>
      </c>
    </row>
    <row r="1664" spans="1:7" x14ac:dyDescent="0.25">
      <c r="A1664" s="75">
        <v>7807301</v>
      </c>
      <c r="B1664" s="73" t="s">
        <v>3499</v>
      </c>
      <c r="C1664" s="68">
        <v>99</v>
      </c>
      <c r="D1664" s="73" t="s">
        <v>3481</v>
      </c>
      <c r="E1664" s="77">
        <v>364.18417936656414</v>
      </c>
      <c r="F1664" s="77">
        <v>329.39171798276755</v>
      </c>
      <c r="G1664" s="76">
        <v>2.4908863103124044</v>
      </c>
    </row>
    <row r="1665" spans="1:7" x14ac:dyDescent="0.25">
      <c r="A1665" s="75">
        <v>7807401</v>
      </c>
      <c r="B1665" s="73" t="s">
        <v>3500</v>
      </c>
      <c r="C1665" s="68">
        <v>99</v>
      </c>
      <c r="D1665" s="73" t="s">
        <v>3126</v>
      </c>
      <c r="E1665" s="77">
        <v>329.5</v>
      </c>
      <c r="F1665" s="77">
        <v>58.835425044054446</v>
      </c>
      <c r="G1665" s="76">
        <v>0.3779694201006899</v>
      </c>
    </row>
    <row r="1666" spans="1:7" x14ac:dyDescent="0.25">
      <c r="A1666" s="75">
        <v>7807501</v>
      </c>
      <c r="B1666" s="73" t="s">
        <v>3501</v>
      </c>
      <c r="C1666" s="68">
        <v>1</v>
      </c>
      <c r="D1666" s="73" t="s">
        <v>3452</v>
      </c>
      <c r="E1666" s="77">
        <v>532.85295004245734</v>
      </c>
      <c r="F1666" s="77">
        <v>651.21697691467443</v>
      </c>
      <c r="G1666" s="76">
        <v>3.8568348275160123</v>
      </c>
    </row>
    <row r="1667" spans="1:7" x14ac:dyDescent="0.25">
      <c r="A1667" s="75">
        <v>7807501</v>
      </c>
      <c r="B1667" s="73" t="s">
        <v>3501</v>
      </c>
      <c r="C1667" s="68">
        <v>2</v>
      </c>
      <c r="D1667" s="73" t="s">
        <v>3453</v>
      </c>
      <c r="E1667" s="77">
        <v>489.82558086288748</v>
      </c>
      <c r="F1667" s="77">
        <v>631.89984591022119</v>
      </c>
      <c r="G1667" s="76">
        <v>3.7293022972494545</v>
      </c>
    </row>
    <row r="1668" spans="1:7" x14ac:dyDescent="0.25">
      <c r="A1668" s="75">
        <v>7807501</v>
      </c>
      <c r="B1668" s="73" t="s">
        <v>3501</v>
      </c>
      <c r="C1668" s="68">
        <v>3</v>
      </c>
      <c r="D1668" s="73" t="s">
        <v>3454</v>
      </c>
      <c r="E1668" s="77">
        <v>508.80253337579069</v>
      </c>
      <c r="F1668" s="77">
        <v>651.21697691467443</v>
      </c>
      <c r="G1668" s="76">
        <v>3.8568348275160123</v>
      </c>
    </row>
    <row r="1669" spans="1:7" x14ac:dyDescent="0.25">
      <c r="A1669" s="75">
        <v>7807501</v>
      </c>
      <c r="B1669" s="73" t="s">
        <v>3501</v>
      </c>
      <c r="C1669" s="68">
        <v>5</v>
      </c>
      <c r="D1669" s="73" t="s">
        <v>3502</v>
      </c>
      <c r="E1669" s="77">
        <v>583.49491864711342</v>
      </c>
      <c r="F1669" s="77">
        <v>773.20497409575182</v>
      </c>
      <c r="G1669" s="76">
        <v>4.7126740728500316</v>
      </c>
    </row>
    <row r="1670" spans="1:7" x14ac:dyDescent="0.25">
      <c r="A1670" s="75">
        <v>7807501</v>
      </c>
      <c r="B1670" s="73" t="s">
        <v>3501</v>
      </c>
      <c r="C1670" s="68">
        <v>6</v>
      </c>
      <c r="D1670" s="73" t="s">
        <v>3453</v>
      </c>
      <c r="E1670" s="77">
        <v>478.39858086288751</v>
      </c>
      <c r="F1670" s="77">
        <v>631.89984591022119</v>
      </c>
      <c r="G1670" s="76">
        <v>3.7293022972494545</v>
      </c>
    </row>
    <row r="1671" spans="1:7" x14ac:dyDescent="0.25">
      <c r="A1671" s="75">
        <v>7807501</v>
      </c>
      <c r="B1671" s="73" t="s">
        <v>3501</v>
      </c>
      <c r="C1671" s="68">
        <v>7</v>
      </c>
      <c r="D1671" s="73" t="s">
        <v>3455</v>
      </c>
      <c r="E1671" s="77">
        <v>470.91467834301642</v>
      </c>
      <c r="F1671" s="77">
        <v>633.30928660672112</v>
      </c>
      <c r="G1671" s="76">
        <v>3.8509198843406565</v>
      </c>
    </row>
    <row r="1672" spans="1:7" x14ac:dyDescent="0.25">
      <c r="A1672" s="75">
        <v>7807501</v>
      </c>
      <c r="B1672" s="73" t="s">
        <v>3501</v>
      </c>
      <c r="C1672" s="68">
        <v>8</v>
      </c>
      <c r="D1672" s="73" t="s">
        <v>3452</v>
      </c>
      <c r="E1672" s="77">
        <v>483.40920004245737</v>
      </c>
      <c r="F1672" s="77">
        <v>651.21697691467443</v>
      </c>
      <c r="G1672" s="76">
        <v>3.8568348275160123</v>
      </c>
    </row>
    <row r="1673" spans="1:7" x14ac:dyDescent="0.25">
      <c r="A1673" s="75">
        <v>7807501</v>
      </c>
      <c r="B1673" s="73" t="s">
        <v>3501</v>
      </c>
      <c r="C1673" s="68">
        <v>9</v>
      </c>
      <c r="D1673" s="73" t="s">
        <v>3453</v>
      </c>
      <c r="E1673" s="77">
        <v>486.65141419622086</v>
      </c>
      <c r="F1673" s="77">
        <v>631.89984591022119</v>
      </c>
      <c r="G1673" s="76">
        <v>3.7293022972494545</v>
      </c>
    </row>
    <row r="1674" spans="1:7" x14ac:dyDescent="0.25">
      <c r="A1674" s="75">
        <v>7807501</v>
      </c>
      <c r="B1674" s="73" t="s">
        <v>3501</v>
      </c>
      <c r="C1674" s="68">
        <v>99</v>
      </c>
      <c r="D1674" s="73" t="s">
        <v>3455</v>
      </c>
      <c r="E1674" s="77">
        <v>470.91467834301642</v>
      </c>
      <c r="F1674" s="77">
        <v>633.30928660672112</v>
      </c>
      <c r="G1674" s="76">
        <v>3.8509198843406565</v>
      </c>
    </row>
    <row r="1675" spans="1:7" x14ac:dyDescent="0.25">
      <c r="A1675" s="75">
        <v>7807602</v>
      </c>
      <c r="B1675" s="73" t="s">
        <v>3503</v>
      </c>
      <c r="C1675" s="68">
        <v>1</v>
      </c>
      <c r="D1675" s="73" t="s">
        <v>3444</v>
      </c>
      <c r="E1675" s="77">
        <v>532.85295004245734</v>
      </c>
      <c r="F1675" s="77">
        <v>651.21697691467443</v>
      </c>
      <c r="G1675" s="76">
        <v>3.8568348275160123</v>
      </c>
    </row>
    <row r="1676" spans="1:7" x14ac:dyDescent="0.25">
      <c r="A1676" s="75">
        <v>7807602</v>
      </c>
      <c r="B1676" s="73" t="s">
        <v>3503</v>
      </c>
      <c r="C1676" s="68">
        <v>3</v>
      </c>
      <c r="D1676" s="73" t="s">
        <v>3494</v>
      </c>
      <c r="E1676" s="77">
        <v>508.80253337579069</v>
      </c>
      <c r="F1676" s="77">
        <v>651.21697691467443</v>
      </c>
      <c r="G1676" s="76">
        <v>3.8568348275160123</v>
      </c>
    </row>
    <row r="1677" spans="1:7" x14ac:dyDescent="0.25">
      <c r="A1677" s="75">
        <v>7807602</v>
      </c>
      <c r="B1677" s="73" t="s">
        <v>3503</v>
      </c>
      <c r="C1677" s="68">
        <v>7</v>
      </c>
      <c r="D1677" s="73" t="s">
        <v>3448</v>
      </c>
      <c r="E1677" s="77">
        <v>480.36138293817908</v>
      </c>
      <c r="F1677" s="77">
        <v>640.02468218167473</v>
      </c>
      <c r="G1677" s="76">
        <v>3.8531380551323009</v>
      </c>
    </row>
    <row r="1678" spans="1:7" x14ac:dyDescent="0.25">
      <c r="A1678" s="75">
        <v>7807602</v>
      </c>
      <c r="B1678" s="73" t="s">
        <v>3503</v>
      </c>
      <c r="C1678" s="68">
        <v>8</v>
      </c>
      <c r="D1678" s="73" t="s">
        <v>3444</v>
      </c>
      <c r="E1678" s="77">
        <v>483.40920004245737</v>
      </c>
      <c r="F1678" s="77">
        <v>651.21697691467443</v>
      </c>
      <c r="G1678" s="76">
        <v>3.8568348275160123</v>
      </c>
    </row>
    <row r="1679" spans="1:7" x14ac:dyDescent="0.25">
      <c r="A1679" s="75">
        <v>7807702</v>
      </c>
      <c r="B1679" s="73" t="s">
        <v>3504</v>
      </c>
      <c r="C1679" s="68">
        <v>1</v>
      </c>
      <c r="D1679" s="73" t="s">
        <v>3505</v>
      </c>
      <c r="E1679" s="77">
        <v>534.98314079752436</v>
      </c>
      <c r="F1679" s="77">
        <v>651.21697691467443</v>
      </c>
      <c r="G1679" s="76">
        <v>3.8568348275160123</v>
      </c>
    </row>
    <row r="1680" spans="1:7" x14ac:dyDescent="0.25">
      <c r="A1680" s="75"/>
      <c r="B1680" s="72" t="s">
        <v>24</v>
      </c>
      <c r="C1680" s="68"/>
      <c r="D1680" s="73"/>
      <c r="E1680" s="77"/>
      <c r="F1680" s="77"/>
      <c r="G1680" s="76"/>
    </row>
    <row r="1681" spans="1:7" x14ac:dyDescent="0.25">
      <c r="A1681" s="75">
        <v>7900101</v>
      </c>
      <c r="B1681" s="73" t="s">
        <v>1014</v>
      </c>
      <c r="C1681" s="68">
        <v>99</v>
      </c>
      <c r="D1681" s="73" t="s">
        <v>3506</v>
      </c>
      <c r="E1681" s="77">
        <v>126.54625009107467</v>
      </c>
      <c r="F1681" s="77">
        <v>134.66666666666669</v>
      </c>
      <c r="G1681" s="76">
        <v>0.84665445665445671</v>
      </c>
    </row>
    <row r="1682" spans="1:7" x14ac:dyDescent="0.25">
      <c r="A1682" s="75">
        <v>7900201</v>
      </c>
      <c r="B1682" s="73" t="s">
        <v>1022</v>
      </c>
      <c r="C1682" s="68">
        <v>99</v>
      </c>
      <c r="D1682" s="73" t="s">
        <v>3506</v>
      </c>
      <c r="E1682" s="77">
        <v>126.54625009107467</v>
      </c>
      <c r="F1682" s="77">
        <v>134.66666666666669</v>
      </c>
      <c r="G1682" s="76">
        <v>0.84665445665445671</v>
      </c>
    </row>
    <row r="1683" spans="1:7" x14ac:dyDescent="0.25">
      <c r="A1683" s="75">
        <v>7900301</v>
      </c>
      <c r="B1683" s="73" t="s">
        <v>1024</v>
      </c>
      <c r="C1683" s="68">
        <v>99</v>
      </c>
      <c r="D1683" s="73" t="s">
        <v>3507</v>
      </c>
      <c r="E1683" s="77">
        <v>132.19999999999999</v>
      </c>
      <c r="F1683" s="77">
        <v>120.36139137517952</v>
      </c>
      <c r="G1683" s="76">
        <v>1.6662867996201327</v>
      </c>
    </row>
    <row r="1684" spans="1:7" x14ac:dyDescent="0.25">
      <c r="A1684" s="75">
        <v>7900601</v>
      </c>
      <c r="B1684" s="73" t="s">
        <v>1025</v>
      </c>
      <c r="C1684" s="68">
        <v>99</v>
      </c>
      <c r="D1684" s="73" t="s">
        <v>3508</v>
      </c>
      <c r="E1684" s="77">
        <v>126.54625009107467</v>
      </c>
      <c r="F1684" s="77">
        <v>134.66666666666669</v>
      </c>
      <c r="G1684" s="76">
        <v>0.84665445665445671</v>
      </c>
    </row>
    <row r="1685" spans="1:7" x14ac:dyDescent="0.25">
      <c r="A1685" s="75">
        <v>7900710</v>
      </c>
      <c r="B1685" s="73" t="s">
        <v>1027</v>
      </c>
      <c r="C1685" s="68">
        <v>99</v>
      </c>
      <c r="D1685" s="73" t="s">
        <v>3509</v>
      </c>
      <c r="E1685" s="77">
        <v>1100</v>
      </c>
      <c r="F1685" s="77">
        <v>559.6804698945848</v>
      </c>
      <c r="G1685" s="76">
        <v>2.7091942321687217</v>
      </c>
    </row>
    <row r="1686" spans="1:7" x14ac:dyDescent="0.25">
      <c r="A1686" s="75">
        <v>7900801</v>
      </c>
      <c r="B1686" s="73" t="s">
        <v>1029</v>
      </c>
      <c r="C1686" s="68">
        <v>99</v>
      </c>
      <c r="D1686" s="73" t="s">
        <v>3508</v>
      </c>
      <c r="E1686" s="77">
        <v>126.54625009107467</v>
      </c>
      <c r="F1686" s="77">
        <v>134.66666666666669</v>
      </c>
      <c r="G1686" s="76">
        <v>0.84665445665445671</v>
      </c>
    </row>
    <row r="1687" spans="1:7" x14ac:dyDescent="0.25">
      <c r="A1687" s="75">
        <v>7900901</v>
      </c>
      <c r="B1687" s="73" t="s">
        <v>1540</v>
      </c>
      <c r="C1687" s="68">
        <v>99</v>
      </c>
      <c r="D1687" s="73" t="s">
        <v>3510</v>
      </c>
      <c r="E1687" s="77">
        <v>320</v>
      </c>
      <c r="F1687" s="77">
        <v>187.01099089032613</v>
      </c>
      <c r="G1687" s="76">
        <v>0.5</v>
      </c>
    </row>
    <row r="1688" spans="1:7" x14ac:dyDescent="0.25">
      <c r="A1688" s="75">
        <v>7900903</v>
      </c>
      <c r="B1688" s="73" t="s">
        <v>1541</v>
      </c>
      <c r="C1688" s="68">
        <v>99</v>
      </c>
      <c r="D1688" s="73" t="s">
        <v>3510</v>
      </c>
      <c r="E1688" s="77">
        <v>320</v>
      </c>
      <c r="F1688" s="77">
        <v>187.01099089032613</v>
      </c>
      <c r="G1688" s="76">
        <v>0.5</v>
      </c>
    </row>
    <row r="1689" spans="1:7" x14ac:dyDescent="0.25">
      <c r="A1689" s="75">
        <v>7901001</v>
      </c>
      <c r="B1689" s="73" t="s">
        <v>1030</v>
      </c>
      <c r="C1689" s="68">
        <v>99</v>
      </c>
      <c r="D1689" s="73" t="s">
        <v>3511</v>
      </c>
      <c r="E1689" s="77">
        <v>627.22906885759005</v>
      </c>
      <c r="F1689" s="77">
        <v>495.43609397891697</v>
      </c>
      <c r="G1689" s="76">
        <v>4.5350000000000001</v>
      </c>
    </row>
    <row r="1690" spans="1:7" x14ac:dyDescent="0.25">
      <c r="A1690" s="75">
        <v>7901201</v>
      </c>
      <c r="B1690" s="73" t="s">
        <v>1033</v>
      </c>
      <c r="C1690" s="68">
        <v>99</v>
      </c>
      <c r="D1690" s="73" t="s">
        <v>3512</v>
      </c>
      <c r="E1690" s="77">
        <v>343.33333333333337</v>
      </c>
      <c r="F1690" s="77">
        <v>150.18002936841157</v>
      </c>
      <c r="G1690" s="76">
        <v>1.2766666666666666</v>
      </c>
    </row>
    <row r="1691" spans="1:7" x14ac:dyDescent="0.25">
      <c r="A1691" s="75">
        <v>7901203</v>
      </c>
      <c r="B1691" s="73" t="s">
        <v>1542</v>
      </c>
      <c r="C1691" s="68">
        <v>99</v>
      </c>
      <c r="D1691" s="73" t="s">
        <v>3513</v>
      </c>
      <c r="E1691" s="77">
        <v>160.54269913377161</v>
      </c>
      <c r="F1691" s="77">
        <v>150.18002936841157</v>
      </c>
      <c r="G1691" s="76">
        <v>1.2766666666666666</v>
      </c>
    </row>
    <row r="1692" spans="1:7" x14ac:dyDescent="0.25">
      <c r="A1692" s="75">
        <v>7901204</v>
      </c>
      <c r="B1692" s="73" t="s">
        <v>1031</v>
      </c>
      <c r="C1692" s="68">
        <v>99</v>
      </c>
      <c r="D1692" s="73" t="s">
        <v>3514</v>
      </c>
      <c r="E1692" s="77">
        <v>160.54269913377161</v>
      </c>
      <c r="F1692" s="77">
        <v>150.18002936841157</v>
      </c>
      <c r="G1692" s="76">
        <v>1.2766666666666666</v>
      </c>
    </row>
    <row r="1693" spans="1:7" x14ac:dyDescent="0.25">
      <c r="A1693" s="75">
        <v>7901301</v>
      </c>
      <c r="B1693" s="73" t="s">
        <v>1543</v>
      </c>
      <c r="C1693" s="68">
        <v>99</v>
      </c>
      <c r="D1693" s="73" t="s">
        <v>3515</v>
      </c>
      <c r="E1693" s="77">
        <v>79.444444444444443</v>
      </c>
      <c r="F1693" s="77">
        <v>1154.3725015272823</v>
      </c>
      <c r="G1693" s="76">
        <v>5.75</v>
      </c>
    </row>
    <row r="1694" spans="1:7" x14ac:dyDescent="0.25">
      <c r="A1694" s="75">
        <v>7901303</v>
      </c>
      <c r="B1694" s="73" t="s">
        <v>1037</v>
      </c>
      <c r="C1694" s="68">
        <v>99</v>
      </c>
      <c r="D1694" s="73" t="s">
        <v>3516</v>
      </c>
      <c r="E1694" s="77">
        <v>79.444444444444443</v>
      </c>
      <c r="F1694" s="77">
        <v>139.9201174736462</v>
      </c>
      <c r="G1694" s="76">
        <v>5.75</v>
      </c>
    </row>
    <row r="1695" spans="1:7" x14ac:dyDescent="0.25">
      <c r="A1695" s="75">
        <v>7901304</v>
      </c>
      <c r="B1695" s="73" t="s">
        <v>1544</v>
      </c>
      <c r="C1695" s="68">
        <v>99</v>
      </c>
      <c r="D1695" s="73" t="s">
        <v>3515</v>
      </c>
      <c r="E1695" s="77">
        <v>79.444444444444443</v>
      </c>
      <c r="F1695" s="77">
        <v>1154.3725015272823</v>
      </c>
      <c r="G1695" s="76">
        <v>5.75</v>
      </c>
    </row>
    <row r="1696" spans="1:7" x14ac:dyDescent="0.25">
      <c r="A1696" s="75">
        <v>7901401</v>
      </c>
      <c r="B1696" s="73" t="s">
        <v>1545</v>
      </c>
      <c r="C1696" s="68">
        <v>99</v>
      </c>
      <c r="D1696" s="73" t="s">
        <v>3514</v>
      </c>
      <c r="E1696" s="77">
        <v>160.54269913377161</v>
      </c>
      <c r="F1696" s="77">
        <v>150.18002936841157</v>
      </c>
      <c r="G1696" s="76">
        <v>1.2766666666666666</v>
      </c>
    </row>
    <row r="1697" spans="1:7" x14ac:dyDescent="0.25">
      <c r="A1697" s="75">
        <v>7901501</v>
      </c>
      <c r="B1697" s="73" t="s">
        <v>1546</v>
      </c>
      <c r="C1697" s="68">
        <v>99</v>
      </c>
      <c r="D1697" s="73" t="s">
        <v>3517</v>
      </c>
      <c r="E1697" s="77">
        <v>910.1333333333331</v>
      </c>
      <c r="F1697" s="77">
        <v>421.83167817482956</v>
      </c>
      <c r="G1697" s="76">
        <v>11.5</v>
      </c>
    </row>
    <row r="1698" spans="1:7" x14ac:dyDescent="0.25">
      <c r="A1698" s="75">
        <v>7901505</v>
      </c>
      <c r="B1698" s="73" t="s">
        <v>1547</v>
      </c>
      <c r="C1698" s="68">
        <v>99</v>
      </c>
      <c r="D1698" s="73" t="s">
        <v>3517</v>
      </c>
      <c r="E1698" s="77">
        <v>910.1333333333331</v>
      </c>
      <c r="F1698" s="77">
        <v>421.83167817482956</v>
      </c>
      <c r="G1698" s="76">
        <v>11.5</v>
      </c>
    </row>
    <row r="1699" spans="1:7" x14ac:dyDescent="0.25">
      <c r="A1699" s="75">
        <v>7901602</v>
      </c>
      <c r="B1699" s="73" t="s">
        <v>1040</v>
      </c>
      <c r="C1699" s="68">
        <v>99</v>
      </c>
      <c r="D1699" s="73" t="s">
        <v>3518</v>
      </c>
      <c r="E1699" s="77">
        <v>157</v>
      </c>
      <c r="F1699" s="77">
        <v>132.4</v>
      </c>
      <c r="G1699" s="76">
        <v>6.6</v>
      </c>
    </row>
    <row r="1700" spans="1:7" x14ac:dyDescent="0.25">
      <c r="A1700" s="75">
        <v>7901701</v>
      </c>
      <c r="B1700" s="73" t="s">
        <v>1548</v>
      </c>
      <c r="C1700" s="68">
        <v>99</v>
      </c>
      <c r="D1700" s="73" t="s">
        <v>3519</v>
      </c>
      <c r="E1700" s="77">
        <v>876.24166666666656</v>
      </c>
      <c r="F1700" s="77">
        <v>592.16022838398317</v>
      </c>
      <c r="G1700" s="76">
        <v>4.1388095238095239</v>
      </c>
    </row>
    <row r="1701" spans="1:7" x14ac:dyDescent="0.25">
      <c r="A1701" s="75">
        <v>7901703</v>
      </c>
      <c r="B1701" s="73" t="s">
        <v>1549</v>
      </c>
      <c r="C1701" s="68">
        <v>99</v>
      </c>
      <c r="D1701" s="73" t="s">
        <v>3520</v>
      </c>
      <c r="E1701" s="77">
        <v>922.5</v>
      </c>
      <c r="F1701" s="77">
        <v>711.7</v>
      </c>
      <c r="G1701" s="76">
        <v>3.56</v>
      </c>
    </row>
    <row r="1702" spans="1:7" x14ac:dyDescent="0.25">
      <c r="A1702" s="75">
        <v>7901705</v>
      </c>
      <c r="B1702" s="73" t="s">
        <v>1550</v>
      </c>
      <c r="C1702" s="68">
        <v>99</v>
      </c>
      <c r="D1702" s="73" t="s">
        <v>3520</v>
      </c>
      <c r="E1702" s="77">
        <v>922.5</v>
      </c>
      <c r="F1702" s="77">
        <v>711.7</v>
      </c>
      <c r="G1702" s="76">
        <v>3.56</v>
      </c>
    </row>
    <row r="1703" spans="1:7" x14ac:dyDescent="0.25">
      <c r="A1703" s="75">
        <v>7901801</v>
      </c>
      <c r="B1703" s="73" t="s">
        <v>1041</v>
      </c>
      <c r="C1703" s="68">
        <v>99</v>
      </c>
      <c r="D1703" s="73" t="s">
        <v>3520</v>
      </c>
      <c r="E1703" s="77">
        <v>922.5</v>
      </c>
      <c r="F1703" s="77">
        <v>711.7</v>
      </c>
      <c r="G1703" s="76">
        <v>3.56</v>
      </c>
    </row>
    <row r="1704" spans="1:7" x14ac:dyDescent="0.25">
      <c r="A1704" s="75">
        <v>7901803</v>
      </c>
      <c r="B1704" s="73" t="s">
        <v>1150</v>
      </c>
      <c r="C1704" s="68">
        <v>99</v>
      </c>
      <c r="D1704" s="73" t="s">
        <v>3520</v>
      </c>
      <c r="E1704" s="77">
        <v>922.5</v>
      </c>
      <c r="F1704" s="77">
        <v>711.7</v>
      </c>
      <c r="G1704" s="76">
        <v>3.56</v>
      </c>
    </row>
    <row r="1705" spans="1:7" x14ac:dyDescent="0.25">
      <c r="A1705" s="75">
        <v>7901807</v>
      </c>
      <c r="B1705" s="73" t="s">
        <v>1551</v>
      </c>
      <c r="C1705" s="68">
        <v>99</v>
      </c>
      <c r="D1705" s="73" t="s">
        <v>3521</v>
      </c>
      <c r="E1705" s="77">
        <v>922.5</v>
      </c>
      <c r="F1705" s="77">
        <v>698.99759325442039</v>
      </c>
      <c r="G1705" s="76">
        <v>3.56</v>
      </c>
    </row>
    <row r="1706" spans="1:7" x14ac:dyDescent="0.25">
      <c r="A1706" s="75">
        <v>7901809</v>
      </c>
      <c r="B1706" s="73" t="s">
        <v>1552</v>
      </c>
      <c r="C1706" s="68">
        <v>99</v>
      </c>
      <c r="D1706" s="73" t="s">
        <v>3521</v>
      </c>
      <c r="E1706" s="77">
        <v>922.5</v>
      </c>
      <c r="F1706" s="77">
        <v>698.99759325442039</v>
      </c>
      <c r="G1706" s="76">
        <v>3.56</v>
      </c>
    </row>
    <row r="1707" spans="1:7" x14ac:dyDescent="0.25">
      <c r="A1707" s="75">
        <v>7901901</v>
      </c>
      <c r="B1707" s="73" t="s">
        <v>1553</v>
      </c>
      <c r="C1707" s="68">
        <v>99</v>
      </c>
      <c r="D1707" s="73" t="s">
        <v>3519</v>
      </c>
      <c r="E1707" s="77">
        <v>876.24166666666656</v>
      </c>
      <c r="F1707" s="77">
        <v>592.16022838398317</v>
      </c>
      <c r="G1707" s="76">
        <v>4.1388095238095239</v>
      </c>
    </row>
    <row r="1708" spans="1:7" x14ac:dyDescent="0.25">
      <c r="A1708" s="75">
        <v>7902001</v>
      </c>
      <c r="B1708" s="73" t="s">
        <v>1043</v>
      </c>
      <c r="C1708" s="68">
        <v>99</v>
      </c>
      <c r="D1708" s="73" t="s">
        <v>3522</v>
      </c>
      <c r="E1708" s="77">
        <v>835</v>
      </c>
      <c r="F1708" s="77">
        <v>374.85041875142394</v>
      </c>
      <c r="G1708" s="76">
        <v>5.4476190476190478</v>
      </c>
    </row>
    <row r="1709" spans="1:7" x14ac:dyDescent="0.25">
      <c r="A1709" s="75">
        <v>7902003</v>
      </c>
      <c r="B1709" s="73" t="s">
        <v>1554</v>
      </c>
      <c r="C1709" s="68">
        <v>99</v>
      </c>
      <c r="D1709" s="73" t="s">
        <v>3523</v>
      </c>
      <c r="E1709" s="77">
        <v>400</v>
      </c>
      <c r="F1709" s="77">
        <v>262</v>
      </c>
      <c r="G1709" s="76">
        <v>1.37</v>
      </c>
    </row>
    <row r="1710" spans="1:7" x14ac:dyDescent="0.25">
      <c r="A1710" s="75">
        <v>7902004</v>
      </c>
      <c r="B1710" s="73" t="s">
        <v>1555</v>
      </c>
      <c r="C1710" s="68">
        <v>99</v>
      </c>
      <c r="D1710" s="73" t="s">
        <v>3524</v>
      </c>
      <c r="E1710" s="77">
        <v>400</v>
      </c>
      <c r="F1710" s="77">
        <v>262</v>
      </c>
      <c r="G1710" s="76">
        <v>1.37</v>
      </c>
    </row>
    <row r="1711" spans="1:7" x14ac:dyDescent="0.25">
      <c r="A1711" s="75">
        <v>7902005</v>
      </c>
      <c r="B1711" s="73" t="s">
        <v>1556</v>
      </c>
      <c r="C1711" s="68">
        <v>99</v>
      </c>
      <c r="D1711" s="73" t="s">
        <v>3525</v>
      </c>
      <c r="E1711" s="77">
        <v>876.24166666666656</v>
      </c>
      <c r="F1711" s="77">
        <v>592.16022838398317</v>
      </c>
      <c r="G1711" s="76">
        <v>4.1388095238095239</v>
      </c>
    </row>
    <row r="1712" spans="1:7" x14ac:dyDescent="0.25">
      <c r="A1712" s="75">
        <v>7902008</v>
      </c>
      <c r="B1712" s="73" t="s">
        <v>1557</v>
      </c>
      <c r="C1712" s="68">
        <v>99</v>
      </c>
      <c r="D1712" s="73" t="s">
        <v>3522</v>
      </c>
      <c r="E1712" s="77">
        <v>835</v>
      </c>
      <c r="F1712" s="77">
        <v>374.85041875142394</v>
      </c>
      <c r="G1712" s="76">
        <v>5.4476190476190478</v>
      </c>
    </row>
    <row r="1713" spans="1:7" x14ac:dyDescent="0.25">
      <c r="A1713" s="75">
        <v>7902201</v>
      </c>
      <c r="B1713" s="73" t="s">
        <v>1151</v>
      </c>
      <c r="C1713" s="68">
        <v>99</v>
      </c>
      <c r="D1713" s="73" t="s">
        <v>3524</v>
      </c>
      <c r="E1713" s="77">
        <v>400</v>
      </c>
      <c r="F1713" s="77">
        <v>262</v>
      </c>
      <c r="G1713" s="76">
        <v>1.37</v>
      </c>
    </row>
    <row r="1714" spans="1:7" x14ac:dyDescent="0.25">
      <c r="A1714" s="75">
        <v>7902301</v>
      </c>
      <c r="B1714" s="73" t="s">
        <v>1147</v>
      </c>
      <c r="C1714" s="68">
        <v>99</v>
      </c>
      <c r="D1714" s="73" t="s">
        <v>3526</v>
      </c>
      <c r="E1714" s="77">
        <v>79.444444444444443</v>
      </c>
      <c r="F1714" s="77">
        <v>1154.3725015272823</v>
      </c>
      <c r="G1714" s="76">
        <v>5.75</v>
      </c>
    </row>
    <row r="1715" spans="1:7" x14ac:dyDescent="0.25">
      <c r="A1715" s="75">
        <v>7902303</v>
      </c>
      <c r="B1715" s="73" t="s">
        <v>1036</v>
      </c>
      <c r="C1715" s="68">
        <v>99</v>
      </c>
      <c r="D1715" s="73" t="s">
        <v>3527</v>
      </c>
      <c r="E1715" s="77">
        <v>94</v>
      </c>
      <c r="F1715" s="77">
        <v>41.06402819602971</v>
      </c>
      <c r="G1715" s="76">
        <v>5.75</v>
      </c>
    </row>
    <row r="1716" spans="1:7" x14ac:dyDescent="0.25">
      <c r="A1716" s="75">
        <v>7902403</v>
      </c>
      <c r="B1716" s="73" t="s">
        <v>1045</v>
      </c>
      <c r="C1716" s="68">
        <v>99</v>
      </c>
      <c r="D1716" s="73" t="s">
        <v>3528</v>
      </c>
      <c r="E1716" s="77">
        <v>876.24166666666656</v>
      </c>
      <c r="F1716" s="77">
        <v>596.58796627210154</v>
      </c>
      <c r="G1716" s="76">
        <v>4.1388095238095239</v>
      </c>
    </row>
    <row r="1717" spans="1:7" x14ac:dyDescent="0.25">
      <c r="A1717" s="75">
        <v>7902501</v>
      </c>
      <c r="B1717" s="73" t="s">
        <v>1558</v>
      </c>
      <c r="C1717" s="68">
        <v>99</v>
      </c>
      <c r="D1717" s="73" t="s">
        <v>3528</v>
      </c>
      <c r="E1717" s="77">
        <v>876.24166666666656</v>
      </c>
      <c r="F1717" s="77">
        <v>596.58796627210154</v>
      </c>
      <c r="G1717" s="76">
        <v>4.1388095238095239</v>
      </c>
    </row>
    <row r="1718" spans="1:7" x14ac:dyDescent="0.25">
      <c r="A1718" s="75">
        <v>7902801</v>
      </c>
      <c r="B1718" s="73" t="s">
        <v>1559</v>
      </c>
      <c r="C1718" s="68">
        <v>99</v>
      </c>
      <c r="D1718" s="73" t="s">
        <v>3529</v>
      </c>
      <c r="E1718" s="77">
        <v>876.24166666666656</v>
      </c>
      <c r="F1718" s="77">
        <v>592.16022838398317</v>
      </c>
      <c r="G1718" s="76">
        <v>4.1388095238095239</v>
      </c>
    </row>
    <row r="1719" spans="1:7" x14ac:dyDescent="0.25">
      <c r="A1719" s="75">
        <v>7902901</v>
      </c>
      <c r="B1719" s="73" t="s">
        <v>1560</v>
      </c>
      <c r="C1719" s="68">
        <v>99</v>
      </c>
      <c r="D1719" s="73" t="s">
        <v>3530</v>
      </c>
      <c r="E1719" s="77">
        <v>400</v>
      </c>
      <c r="F1719" s="77">
        <v>262</v>
      </c>
      <c r="G1719" s="76">
        <v>1.37</v>
      </c>
    </row>
    <row r="1720" spans="1:7" x14ac:dyDescent="0.25">
      <c r="A1720" s="75">
        <v>7902902</v>
      </c>
      <c r="B1720" s="73" t="s">
        <v>1561</v>
      </c>
      <c r="C1720" s="68">
        <v>99</v>
      </c>
      <c r="D1720" s="73" t="s">
        <v>3531</v>
      </c>
      <c r="E1720" s="77">
        <v>893.37156862745087</v>
      </c>
      <c r="F1720" s="77">
        <v>485.7191925117628</v>
      </c>
      <c r="G1720" s="76">
        <v>5.4476190476190478</v>
      </c>
    </row>
    <row r="1721" spans="1:7" x14ac:dyDescent="0.25">
      <c r="A1721" s="75">
        <v>7903001</v>
      </c>
      <c r="B1721" s="73" t="s">
        <v>1047</v>
      </c>
      <c r="C1721" s="68">
        <v>99</v>
      </c>
      <c r="D1721" s="73" t="s">
        <v>3520</v>
      </c>
      <c r="E1721" s="77">
        <v>922.5</v>
      </c>
      <c r="F1721" s="77">
        <v>711.7</v>
      </c>
      <c r="G1721" s="76">
        <v>3.56</v>
      </c>
    </row>
    <row r="1722" spans="1:7" x14ac:dyDescent="0.25">
      <c r="A1722" s="75">
        <v>7903101</v>
      </c>
      <c r="B1722" s="73" t="s">
        <v>1049</v>
      </c>
      <c r="C1722" s="68">
        <v>99</v>
      </c>
      <c r="D1722" s="73" t="s">
        <v>3085</v>
      </c>
      <c r="E1722" s="77">
        <v>79.444444444444443</v>
      </c>
      <c r="F1722" s="77">
        <v>1154.3725015272823</v>
      </c>
      <c r="G1722" s="76">
        <v>5.75</v>
      </c>
    </row>
    <row r="1723" spans="1:7" x14ac:dyDescent="0.25">
      <c r="A1723" s="75">
        <v>7903102</v>
      </c>
      <c r="B1723" s="73" t="s">
        <v>1562</v>
      </c>
      <c r="C1723" s="68">
        <v>99</v>
      </c>
      <c r="D1723" s="73" t="s">
        <v>3085</v>
      </c>
      <c r="E1723" s="77">
        <v>79.444444444444443</v>
      </c>
      <c r="F1723" s="77">
        <v>1154.3725015272823</v>
      </c>
      <c r="G1723" s="76">
        <v>5.75</v>
      </c>
    </row>
    <row r="1724" spans="1:7" x14ac:dyDescent="0.25">
      <c r="A1724" s="75">
        <v>7903109</v>
      </c>
      <c r="B1724" s="73" t="s">
        <v>1563</v>
      </c>
      <c r="C1724" s="68">
        <v>99</v>
      </c>
      <c r="D1724" s="73" t="s">
        <v>3085</v>
      </c>
      <c r="E1724" s="77">
        <v>79.444444444444443</v>
      </c>
      <c r="F1724" s="77">
        <v>1154.3725015272823</v>
      </c>
      <c r="G1724" s="76">
        <v>5.75</v>
      </c>
    </row>
    <row r="1725" spans="1:7" x14ac:dyDescent="0.25">
      <c r="A1725" s="75">
        <v>7903110</v>
      </c>
      <c r="B1725" s="73" t="s">
        <v>1050</v>
      </c>
      <c r="C1725" s="68">
        <v>99</v>
      </c>
      <c r="D1725" s="73" t="s">
        <v>3085</v>
      </c>
      <c r="E1725" s="77">
        <v>79.444444444444443</v>
      </c>
      <c r="F1725" s="77">
        <v>1154.3725015272823</v>
      </c>
      <c r="G1725" s="76">
        <v>5.75</v>
      </c>
    </row>
    <row r="1726" spans="1:7" x14ac:dyDescent="0.25">
      <c r="A1726" s="75">
        <v>7903201</v>
      </c>
      <c r="B1726" s="73" t="s">
        <v>1564</v>
      </c>
      <c r="C1726" s="68">
        <v>99</v>
      </c>
      <c r="D1726" s="73" t="s">
        <v>3511</v>
      </c>
      <c r="E1726" s="77">
        <v>627.22906885759005</v>
      </c>
      <c r="F1726" s="77">
        <v>495.43609397891697</v>
      </c>
      <c r="G1726" s="76">
        <v>4.5350000000000001</v>
      </c>
    </row>
    <row r="1727" spans="1:7" x14ac:dyDescent="0.25">
      <c r="A1727" s="75">
        <v>7903301</v>
      </c>
      <c r="B1727" s="73" t="s">
        <v>1051</v>
      </c>
      <c r="C1727" s="68">
        <v>99</v>
      </c>
      <c r="D1727" s="73" t="s">
        <v>3519</v>
      </c>
      <c r="E1727" s="77">
        <v>876.24166666666656</v>
      </c>
      <c r="F1727" s="77">
        <v>592.16022838398317</v>
      </c>
      <c r="G1727" s="76">
        <v>4.1388095238095239</v>
      </c>
    </row>
    <row r="1728" spans="1:7" x14ac:dyDescent="0.25">
      <c r="A1728" s="75">
        <v>7903402</v>
      </c>
      <c r="B1728" s="73" t="s">
        <v>1053</v>
      </c>
      <c r="C1728" s="68">
        <v>99</v>
      </c>
      <c r="D1728" s="73" t="s">
        <v>3532</v>
      </c>
      <c r="E1728" s="77">
        <v>156</v>
      </c>
      <c r="F1728" s="77">
        <v>258.50680651319931</v>
      </c>
      <c r="G1728" s="76">
        <v>0.5</v>
      </c>
    </row>
    <row r="1729" spans="1:7" x14ac:dyDescent="0.25">
      <c r="A1729" s="75">
        <v>7903501</v>
      </c>
      <c r="B1729" s="73" t="s">
        <v>1054</v>
      </c>
      <c r="C1729" s="68">
        <v>99</v>
      </c>
      <c r="D1729" s="73" t="s">
        <v>3533</v>
      </c>
      <c r="E1729" s="77">
        <v>89.333333333333343</v>
      </c>
      <c r="F1729" s="77">
        <v>385.49260620389367</v>
      </c>
      <c r="G1729" s="76">
        <v>5.75</v>
      </c>
    </row>
    <row r="1730" spans="1:7" x14ac:dyDescent="0.25">
      <c r="A1730" s="75">
        <v>7903601</v>
      </c>
      <c r="B1730" s="73" t="s">
        <v>1055</v>
      </c>
      <c r="C1730" s="68">
        <v>99</v>
      </c>
      <c r="D1730" s="73" t="s">
        <v>3534</v>
      </c>
      <c r="E1730" s="77">
        <v>110.6</v>
      </c>
      <c r="F1730" s="77">
        <v>120.36139137517952</v>
      </c>
      <c r="G1730" s="76">
        <v>1.6662867996201327</v>
      </c>
    </row>
    <row r="1731" spans="1:7" x14ac:dyDescent="0.25">
      <c r="A1731" s="75">
        <v>7903702</v>
      </c>
      <c r="B1731" s="73" t="s">
        <v>1056</v>
      </c>
      <c r="C1731" s="68">
        <v>99</v>
      </c>
      <c r="D1731" s="73" t="s">
        <v>3535</v>
      </c>
      <c r="E1731" s="77">
        <v>140.80000000000001</v>
      </c>
      <c r="F1731" s="77">
        <v>124.3734377543522</v>
      </c>
      <c r="G1731" s="76">
        <v>1.6662867996201327</v>
      </c>
    </row>
    <row r="1732" spans="1:7" x14ac:dyDescent="0.25">
      <c r="A1732" s="75">
        <v>7903801</v>
      </c>
      <c r="B1732" s="73" t="s">
        <v>1565</v>
      </c>
      <c r="C1732" s="68">
        <v>99</v>
      </c>
      <c r="D1732" s="73" t="s">
        <v>3536</v>
      </c>
      <c r="E1732" s="77">
        <v>126.54625009107467</v>
      </c>
      <c r="F1732" s="77">
        <v>134.66666666666669</v>
      </c>
      <c r="G1732" s="76">
        <v>0.84665445665445671</v>
      </c>
    </row>
    <row r="1733" spans="1:7" x14ac:dyDescent="0.25">
      <c r="A1733" s="75">
        <v>7903901</v>
      </c>
      <c r="B1733" s="73" t="s">
        <v>1566</v>
      </c>
      <c r="C1733" s="68">
        <v>99</v>
      </c>
      <c r="D1733" s="73" t="s">
        <v>3513</v>
      </c>
      <c r="E1733" s="77">
        <v>160.54269913377161</v>
      </c>
      <c r="F1733" s="77">
        <v>150.18002936841157</v>
      </c>
      <c r="G1733" s="76">
        <v>1.2766666666666666</v>
      </c>
    </row>
    <row r="1734" spans="1:7" x14ac:dyDescent="0.25">
      <c r="A1734" s="75">
        <v>7904001</v>
      </c>
      <c r="B1734" s="73" t="s">
        <v>1567</v>
      </c>
      <c r="C1734" s="68">
        <v>99</v>
      </c>
      <c r="D1734" s="73" t="s">
        <v>3537</v>
      </c>
      <c r="E1734" s="77">
        <v>343.33333333333337</v>
      </c>
      <c r="F1734" s="77">
        <v>150.18002936841157</v>
      </c>
      <c r="G1734" s="76">
        <v>1.2766666666666666</v>
      </c>
    </row>
    <row r="1735" spans="1:7" x14ac:dyDescent="0.25">
      <c r="A1735" s="75">
        <v>7904201</v>
      </c>
      <c r="B1735" s="73" t="s">
        <v>1568</v>
      </c>
      <c r="C1735" s="68">
        <v>99</v>
      </c>
      <c r="D1735" s="73" t="s">
        <v>3538</v>
      </c>
      <c r="E1735" s="77">
        <v>157</v>
      </c>
      <c r="F1735" s="77">
        <v>132.4</v>
      </c>
      <c r="G1735" s="76">
        <v>6.6</v>
      </c>
    </row>
    <row r="1736" spans="1:7" x14ac:dyDescent="0.25">
      <c r="A1736" s="75">
        <v>7905103</v>
      </c>
      <c r="B1736" s="73" t="s">
        <v>1569</v>
      </c>
      <c r="C1736" s="68">
        <v>99</v>
      </c>
      <c r="D1736" s="73" t="s">
        <v>3539</v>
      </c>
      <c r="E1736" s="77">
        <v>922.5</v>
      </c>
      <c r="F1736" s="77">
        <v>698.99759325442039</v>
      </c>
      <c r="G1736" s="76">
        <v>3.56</v>
      </c>
    </row>
    <row r="1737" spans="1:7" x14ac:dyDescent="0.25">
      <c r="A1737" s="75">
        <v>7905104</v>
      </c>
      <c r="B1737" s="73" t="s">
        <v>1570</v>
      </c>
      <c r="C1737" s="68">
        <v>99</v>
      </c>
      <c r="D1737" s="73" t="s">
        <v>3539</v>
      </c>
      <c r="E1737" s="77">
        <v>922.5</v>
      </c>
      <c r="F1737" s="77">
        <v>698.99759325442039</v>
      </c>
      <c r="G1737" s="76">
        <v>3.56</v>
      </c>
    </row>
    <row r="1738" spans="1:7" x14ac:dyDescent="0.25">
      <c r="A1738" s="75">
        <v>7905601</v>
      </c>
      <c r="B1738" s="73" t="s">
        <v>1571</v>
      </c>
      <c r="C1738" s="68">
        <v>99</v>
      </c>
      <c r="D1738" s="73" t="s">
        <v>3511</v>
      </c>
      <c r="E1738" s="77">
        <v>627.22906885759005</v>
      </c>
      <c r="F1738" s="77">
        <v>495.43609397891697</v>
      </c>
      <c r="G1738" s="76">
        <v>4.5350000000000001</v>
      </c>
    </row>
    <row r="1739" spans="1:7" x14ac:dyDescent="0.25">
      <c r="A1739" s="75">
        <v>7905901</v>
      </c>
      <c r="B1739" s="73" t="s">
        <v>1572</v>
      </c>
      <c r="C1739" s="68">
        <v>99</v>
      </c>
      <c r="D1739" s="73" t="s">
        <v>3540</v>
      </c>
      <c r="E1739" s="77">
        <v>835</v>
      </c>
      <c r="F1739" s="77">
        <v>374.85041875142394</v>
      </c>
      <c r="G1739" s="76">
        <v>5.4476190476190478</v>
      </c>
    </row>
    <row r="1740" spans="1:7" x14ac:dyDescent="0.25">
      <c r="A1740" s="75">
        <v>7906001</v>
      </c>
      <c r="B1740" s="73" t="s">
        <v>1573</v>
      </c>
      <c r="C1740" s="68">
        <v>99</v>
      </c>
      <c r="D1740" s="73" t="s">
        <v>3540</v>
      </c>
      <c r="E1740" s="77">
        <v>835</v>
      </c>
      <c r="F1740" s="77">
        <v>374.85041875142394</v>
      </c>
      <c r="G1740" s="76">
        <v>5.4476190476190478</v>
      </c>
    </row>
    <row r="1741" spans="1:7" x14ac:dyDescent="0.25">
      <c r="A1741" s="75">
        <v>7906005</v>
      </c>
      <c r="B1741" s="73" t="s">
        <v>1574</v>
      </c>
      <c r="C1741" s="68">
        <v>99</v>
      </c>
      <c r="D1741" s="73" t="s">
        <v>3540</v>
      </c>
      <c r="E1741" s="77">
        <v>835</v>
      </c>
      <c r="F1741" s="77">
        <v>374.85041875142394</v>
      </c>
      <c r="G1741" s="76">
        <v>5.4476190476190478</v>
      </c>
    </row>
    <row r="1742" spans="1:7" x14ac:dyDescent="0.25">
      <c r="A1742" s="75">
        <v>7906201</v>
      </c>
      <c r="B1742" s="73" t="s">
        <v>1575</v>
      </c>
      <c r="C1742" s="68">
        <v>99</v>
      </c>
      <c r="D1742" s="73" t="s">
        <v>3541</v>
      </c>
      <c r="E1742" s="77">
        <v>400</v>
      </c>
      <c r="F1742" s="77">
        <v>262</v>
      </c>
      <c r="G1742" s="76">
        <v>1.37</v>
      </c>
    </row>
    <row r="1743" spans="1:7" x14ac:dyDescent="0.25">
      <c r="A1743" s="75">
        <v>7906401</v>
      </c>
      <c r="B1743" s="73" t="s">
        <v>1576</v>
      </c>
      <c r="C1743" s="68">
        <v>99</v>
      </c>
      <c r="D1743" s="73" t="s">
        <v>3542</v>
      </c>
      <c r="E1743" s="77">
        <v>876.24166666666656</v>
      </c>
      <c r="F1743" s="77">
        <v>592.16022838398317</v>
      </c>
      <c r="G1743" s="76">
        <v>4.1388095238095239</v>
      </c>
    </row>
    <row r="1744" spans="1:7" x14ac:dyDescent="0.25">
      <c r="A1744" s="75">
        <v>7906501</v>
      </c>
      <c r="B1744" s="73" t="s">
        <v>1577</v>
      </c>
      <c r="C1744" s="68">
        <v>99</v>
      </c>
      <c r="D1744" s="73" t="s">
        <v>3543</v>
      </c>
      <c r="E1744" s="77">
        <v>400</v>
      </c>
      <c r="F1744" s="77">
        <v>262</v>
      </c>
      <c r="G1744" s="76">
        <v>1.37</v>
      </c>
    </row>
    <row r="1745" spans="1:7" x14ac:dyDescent="0.25">
      <c r="A1745" s="75">
        <v>7906601</v>
      </c>
      <c r="B1745" s="73" t="s">
        <v>1578</v>
      </c>
      <c r="C1745" s="68">
        <v>99</v>
      </c>
      <c r="D1745" s="73" t="s">
        <v>3539</v>
      </c>
      <c r="E1745" s="77">
        <v>922.5</v>
      </c>
      <c r="F1745" s="77">
        <v>698.99759325442039</v>
      </c>
      <c r="G1745" s="76">
        <v>3.56</v>
      </c>
    </row>
    <row r="1746" spans="1:7" x14ac:dyDescent="0.25">
      <c r="A1746" s="75">
        <v>7906702</v>
      </c>
      <c r="B1746" s="73" t="s">
        <v>1579</v>
      </c>
      <c r="C1746" s="68">
        <v>99</v>
      </c>
      <c r="D1746" s="73" t="s">
        <v>3154</v>
      </c>
      <c r="E1746" s="77">
        <v>79.444444444444443</v>
      </c>
      <c r="F1746" s="77">
        <v>1154.3725015272823</v>
      </c>
      <c r="G1746" s="76">
        <v>5.75</v>
      </c>
    </row>
    <row r="1747" spans="1:7" x14ac:dyDescent="0.25">
      <c r="A1747" s="75">
        <v>7906710</v>
      </c>
      <c r="B1747" s="73" t="s">
        <v>1580</v>
      </c>
      <c r="C1747" s="68">
        <v>99</v>
      </c>
      <c r="D1747" s="73" t="s">
        <v>3154</v>
      </c>
      <c r="E1747" s="77">
        <v>79.444444444444443</v>
      </c>
      <c r="F1747" s="77">
        <v>1154.3725015272823</v>
      </c>
      <c r="G1747" s="76">
        <v>5.75</v>
      </c>
    </row>
    <row r="1748" spans="1:7" x14ac:dyDescent="0.25">
      <c r="A1748" s="75">
        <v>7906801</v>
      </c>
      <c r="B1748" s="73" t="s">
        <v>1581</v>
      </c>
      <c r="C1748" s="68">
        <v>99</v>
      </c>
      <c r="D1748" s="73" t="s">
        <v>3154</v>
      </c>
      <c r="E1748" s="77">
        <v>79.444444444444443</v>
      </c>
      <c r="F1748" s="77">
        <v>1154.3725015272823</v>
      </c>
      <c r="G1748" s="76">
        <v>5.75</v>
      </c>
    </row>
    <row r="1749" spans="1:7" x14ac:dyDescent="0.25">
      <c r="A1749" s="75">
        <v>7906802</v>
      </c>
      <c r="B1749" s="73" t="s">
        <v>1582</v>
      </c>
      <c r="C1749" s="68">
        <v>99</v>
      </c>
      <c r="D1749" s="73" t="s">
        <v>3154</v>
      </c>
      <c r="E1749" s="77">
        <v>79.444444444444443</v>
      </c>
      <c r="F1749" s="77">
        <v>1154.3725015272823</v>
      </c>
      <c r="G1749" s="76">
        <v>5.75</v>
      </c>
    </row>
    <row r="1750" spans="1:7" x14ac:dyDescent="0.25">
      <c r="A1750" s="75">
        <v>7906901</v>
      </c>
      <c r="B1750" s="73" t="s">
        <v>1583</v>
      </c>
      <c r="C1750" s="68">
        <v>99</v>
      </c>
      <c r="D1750" s="73" t="s">
        <v>3533</v>
      </c>
      <c r="E1750" s="77">
        <v>89.333333333333343</v>
      </c>
      <c r="F1750" s="77">
        <v>385.49260620389367</v>
      </c>
      <c r="G1750" s="76">
        <v>5.75</v>
      </c>
    </row>
    <row r="1751" spans="1:7" x14ac:dyDescent="0.25">
      <c r="A1751" s="75">
        <v>7907101</v>
      </c>
      <c r="B1751" s="73" t="s">
        <v>1058</v>
      </c>
      <c r="C1751" s="68">
        <v>99</v>
      </c>
      <c r="D1751" s="73" t="s">
        <v>3544</v>
      </c>
      <c r="E1751" s="77">
        <v>910.1333333333331</v>
      </c>
      <c r="F1751" s="77">
        <v>421.83167817482956</v>
      </c>
      <c r="G1751" s="76">
        <v>11.5</v>
      </c>
    </row>
    <row r="1752" spans="1:7" x14ac:dyDescent="0.25">
      <c r="A1752" s="75">
        <v>7980001</v>
      </c>
      <c r="B1752" s="73" t="s">
        <v>3545</v>
      </c>
      <c r="C1752" s="68">
        <v>99</v>
      </c>
      <c r="D1752" s="73" t="s">
        <v>3546</v>
      </c>
      <c r="E1752" s="77">
        <v>110.6</v>
      </c>
      <c r="F1752" s="77">
        <v>120.36139137517952</v>
      </c>
      <c r="G1752" s="76">
        <v>1.6662867996201327</v>
      </c>
    </row>
    <row r="1753" spans="1:7" x14ac:dyDescent="0.25">
      <c r="A1753" s="75">
        <v>7980101</v>
      </c>
      <c r="B1753" s="73" t="s">
        <v>3547</v>
      </c>
      <c r="C1753" s="68">
        <v>99</v>
      </c>
      <c r="D1753" s="73" t="s">
        <v>3548</v>
      </c>
      <c r="E1753" s="77">
        <v>215.37988939364013</v>
      </c>
      <c r="F1753" s="77">
        <v>150.18002936841157</v>
      </c>
      <c r="G1753" s="76">
        <v>1.2766666666666666</v>
      </c>
    </row>
    <row r="1754" spans="1:7" x14ac:dyDescent="0.25">
      <c r="A1754" s="75"/>
      <c r="B1754" s="72" t="s">
        <v>25</v>
      </c>
      <c r="C1754" s="68"/>
      <c r="D1754" s="73"/>
      <c r="E1754" s="77"/>
      <c r="F1754" s="77"/>
      <c r="G1754" s="76"/>
    </row>
    <row r="1755" spans="1:7" x14ac:dyDescent="0.25">
      <c r="A1755" s="75">
        <v>8000101</v>
      </c>
      <c r="B1755" s="73" t="s">
        <v>3549</v>
      </c>
      <c r="C1755" s="68">
        <v>99</v>
      </c>
      <c r="D1755" s="73" t="s">
        <v>3550</v>
      </c>
      <c r="E1755" s="77">
        <v>54.709016393442631</v>
      </c>
      <c r="F1755" s="77">
        <v>187.01099089032613</v>
      </c>
      <c r="G1755" s="76">
        <v>0.5</v>
      </c>
    </row>
    <row r="1756" spans="1:7" x14ac:dyDescent="0.25">
      <c r="A1756" s="75">
        <v>8000102</v>
      </c>
      <c r="B1756" s="73" t="s">
        <v>3551</v>
      </c>
      <c r="C1756" s="68">
        <v>99</v>
      </c>
      <c r="D1756" s="73" t="s">
        <v>3550</v>
      </c>
      <c r="E1756" s="77">
        <v>54.709016393442631</v>
      </c>
      <c r="F1756" s="77">
        <v>187.01099089032613</v>
      </c>
      <c r="G1756" s="76">
        <v>0.5</v>
      </c>
    </row>
    <row r="1757" spans="1:7" x14ac:dyDescent="0.25">
      <c r="A1757" s="75">
        <v>8000103</v>
      </c>
      <c r="B1757" s="73" t="s">
        <v>1584</v>
      </c>
      <c r="C1757" s="68">
        <v>99</v>
      </c>
      <c r="D1757" s="73" t="s">
        <v>3552</v>
      </c>
      <c r="E1757" s="77">
        <v>126.45163676621728</v>
      </c>
      <c r="F1757" s="77">
        <v>104.52000000000002</v>
      </c>
      <c r="G1757" s="76">
        <v>0.67933333333333334</v>
      </c>
    </row>
    <row r="1758" spans="1:7" x14ac:dyDescent="0.25">
      <c r="A1758" s="75">
        <v>8000105</v>
      </c>
      <c r="B1758" s="73" t="s">
        <v>1059</v>
      </c>
      <c r="C1758" s="68">
        <v>99</v>
      </c>
      <c r="D1758" s="73" t="s">
        <v>3550</v>
      </c>
      <c r="E1758" s="77">
        <v>54.709016393442631</v>
      </c>
      <c r="F1758" s="77">
        <v>187.01099089032613</v>
      </c>
      <c r="G1758" s="76">
        <v>0.5</v>
      </c>
    </row>
    <row r="1759" spans="1:7" x14ac:dyDescent="0.25">
      <c r="A1759" s="75">
        <v>8000106</v>
      </c>
      <c r="B1759" s="73" t="s">
        <v>3553</v>
      </c>
      <c r="C1759" s="68">
        <v>99</v>
      </c>
      <c r="D1759" s="73" t="s">
        <v>3550</v>
      </c>
      <c r="E1759" s="77">
        <v>54.709016393442631</v>
      </c>
      <c r="F1759" s="77">
        <v>187.01099089032613</v>
      </c>
      <c r="G1759" s="76">
        <v>0.5</v>
      </c>
    </row>
    <row r="1760" spans="1:7" x14ac:dyDescent="0.25">
      <c r="A1760" s="75">
        <v>8000107</v>
      </c>
      <c r="B1760" s="73" t="s">
        <v>3554</v>
      </c>
      <c r="C1760" s="68">
        <v>99</v>
      </c>
      <c r="D1760" s="73" t="s">
        <v>3550</v>
      </c>
      <c r="E1760" s="77">
        <v>54.709016393442631</v>
      </c>
      <c r="F1760" s="77">
        <v>187.01099089032613</v>
      </c>
      <c r="G1760" s="76">
        <v>0.5</v>
      </c>
    </row>
    <row r="1761" spans="1:7" x14ac:dyDescent="0.25">
      <c r="A1761" s="75">
        <v>8000109</v>
      </c>
      <c r="B1761" s="73" t="s">
        <v>3555</v>
      </c>
      <c r="C1761" s="68">
        <v>99</v>
      </c>
      <c r="D1761" s="73" t="s">
        <v>3550</v>
      </c>
      <c r="E1761" s="77">
        <v>54.709016393442631</v>
      </c>
      <c r="F1761" s="77">
        <v>187.01099089032613</v>
      </c>
      <c r="G1761" s="76">
        <v>0.5</v>
      </c>
    </row>
    <row r="1762" spans="1:7" x14ac:dyDescent="0.25">
      <c r="A1762" s="75">
        <v>8000145</v>
      </c>
      <c r="B1762" s="73" t="s">
        <v>3556</v>
      </c>
      <c r="C1762" s="68">
        <v>99</v>
      </c>
      <c r="D1762" s="73" t="s">
        <v>3557</v>
      </c>
      <c r="E1762" s="77">
        <v>54.709016393442631</v>
      </c>
      <c r="F1762" s="77">
        <v>187.01099089032613</v>
      </c>
      <c r="G1762" s="76">
        <v>0.5</v>
      </c>
    </row>
    <row r="1763" spans="1:7" x14ac:dyDescent="0.25">
      <c r="A1763" s="75">
        <v>8000157</v>
      </c>
      <c r="B1763" s="73" t="s">
        <v>3558</v>
      </c>
      <c r="C1763" s="68">
        <v>99</v>
      </c>
      <c r="D1763" s="73" t="s">
        <v>3550</v>
      </c>
      <c r="E1763" s="77">
        <v>54.709016393442631</v>
      </c>
      <c r="F1763" s="77">
        <v>187.01099089032613</v>
      </c>
      <c r="G1763" s="76">
        <v>0.5</v>
      </c>
    </row>
    <row r="1764" spans="1:7" x14ac:dyDescent="0.25">
      <c r="A1764" s="75">
        <v>8000158</v>
      </c>
      <c r="B1764" s="73" t="s">
        <v>3559</v>
      </c>
      <c r="C1764" s="68">
        <v>99</v>
      </c>
      <c r="D1764" s="73" t="s">
        <v>3550</v>
      </c>
      <c r="E1764" s="77">
        <v>54.709016393442631</v>
      </c>
      <c r="F1764" s="77">
        <v>187.01099089032613</v>
      </c>
      <c r="G1764" s="76">
        <v>0.5</v>
      </c>
    </row>
    <row r="1765" spans="1:7" x14ac:dyDescent="0.25">
      <c r="A1765" s="75">
        <v>8000201</v>
      </c>
      <c r="B1765" s="73" t="s">
        <v>1585</v>
      </c>
      <c r="C1765" s="68">
        <v>99</v>
      </c>
      <c r="D1765" s="73" t="s">
        <v>3560</v>
      </c>
      <c r="E1765" s="77">
        <v>133.71798665542002</v>
      </c>
      <c r="F1765" s="77">
        <v>118.62519072971061</v>
      </c>
      <c r="G1765" s="76">
        <v>0.75568610283123705</v>
      </c>
    </row>
    <row r="1766" spans="1:7" x14ac:dyDescent="0.25">
      <c r="A1766" s="75">
        <v>8000203</v>
      </c>
      <c r="B1766" s="73" t="s">
        <v>1586</v>
      </c>
      <c r="C1766" s="68">
        <v>99</v>
      </c>
      <c r="D1766" s="73" t="s">
        <v>3560</v>
      </c>
      <c r="E1766" s="77">
        <v>133.71798665541999</v>
      </c>
      <c r="F1766" s="77">
        <v>118.62519072971062</v>
      </c>
      <c r="G1766" s="76">
        <v>0.75568610283123705</v>
      </c>
    </row>
    <row r="1767" spans="1:7" x14ac:dyDescent="0.25">
      <c r="A1767" s="75">
        <v>8000208</v>
      </c>
      <c r="B1767" s="73" t="s">
        <v>3561</v>
      </c>
      <c r="C1767" s="68">
        <v>99</v>
      </c>
      <c r="D1767" s="73" t="s">
        <v>3560</v>
      </c>
      <c r="E1767" s="77">
        <v>133.71798665541999</v>
      </c>
      <c r="F1767" s="77">
        <v>118.62519072971062</v>
      </c>
      <c r="G1767" s="76">
        <v>0.75568610283123705</v>
      </c>
    </row>
    <row r="1768" spans="1:7" x14ac:dyDescent="0.25">
      <c r="A1768" s="75">
        <v>8000213</v>
      </c>
      <c r="B1768" s="73" t="s">
        <v>3562</v>
      </c>
      <c r="C1768" s="68">
        <v>99</v>
      </c>
      <c r="D1768" s="73" t="s">
        <v>3563</v>
      </c>
      <c r="E1768" s="77">
        <v>126.45163676621728</v>
      </c>
      <c r="F1768" s="77">
        <v>104.52000000000002</v>
      </c>
      <c r="G1768" s="76">
        <v>0.67933333333333334</v>
      </c>
    </row>
    <row r="1769" spans="1:7" x14ac:dyDescent="0.25">
      <c r="A1769" s="75">
        <v>8000223</v>
      </c>
      <c r="B1769" s="73" t="s">
        <v>3564</v>
      </c>
      <c r="C1769" s="68">
        <v>99</v>
      </c>
      <c r="D1769" s="73" t="s">
        <v>3565</v>
      </c>
      <c r="E1769" s="77">
        <v>359.92059437005662</v>
      </c>
      <c r="F1769" s="77">
        <v>307.75594436361968</v>
      </c>
      <c r="G1769" s="76">
        <v>1.9249021593388658</v>
      </c>
    </row>
    <row r="1770" spans="1:7" x14ac:dyDescent="0.25">
      <c r="A1770" s="75">
        <v>8000229</v>
      </c>
      <c r="B1770" s="73" t="s">
        <v>1587</v>
      </c>
      <c r="C1770" s="68">
        <v>99</v>
      </c>
      <c r="D1770" s="73" t="s">
        <v>3566</v>
      </c>
      <c r="E1770" s="77">
        <v>201.33542780019258</v>
      </c>
      <c r="F1770" s="77">
        <v>1159.094057969603</v>
      </c>
      <c r="G1770" s="76">
        <v>2.0542653004603215</v>
      </c>
    </row>
    <row r="1771" spans="1:7" x14ac:dyDescent="0.25">
      <c r="A1771" s="75">
        <v>8000234</v>
      </c>
      <c r="B1771" s="73" t="s">
        <v>1588</v>
      </c>
      <c r="C1771" s="68">
        <v>99</v>
      </c>
      <c r="D1771" s="73" t="s">
        <v>3567</v>
      </c>
      <c r="E1771" s="77">
        <v>220.38464533562421</v>
      </c>
      <c r="F1771" s="77">
        <v>240.87293524101142</v>
      </c>
      <c r="G1771" s="76">
        <v>1.9781629759774799</v>
      </c>
    </row>
    <row r="1772" spans="1:7" x14ac:dyDescent="0.25">
      <c r="A1772" s="75">
        <v>8000237</v>
      </c>
      <c r="B1772" s="73" t="s">
        <v>1060</v>
      </c>
      <c r="C1772" s="68">
        <v>99</v>
      </c>
      <c r="D1772" s="73" t="s">
        <v>3568</v>
      </c>
      <c r="E1772" s="77">
        <v>93</v>
      </c>
      <c r="F1772" s="77">
        <v>104.52000000000002</v>
      </c>
      <c r="G1772" s="76">
        <v>0.67933333333333334</v>
      </c>
    </row>
    <row r="1773" spans="1:7" x14ac:dyDescent="0.25">
      <c r="A1773" s="75">
        <v>8000240</v>
      </c>
      <c r="B1773" s="73" t="s">
        <v>1589</v>
      </c>
      <c r="C1773" s="68">
        <v>99</v>
      </c>
      <c r="D1773" s="73" t="s">
        <v>3569</v>
      </c>
      <c r="E1773" s="77">
        <v>126.45163676621728</v>
      </c>
      <c r="F1773" s="77">
        <v>104.52000000000002</v>
      </c>
      <c r="G1773" s="76">
        <v>0.67933333333333334</v>
      </c>
    </row>
    <row r="1774" spans="1:7" x14ac:dyDescent="0.25">
      <c r="A1774" s="75">
        <v>8000245</v>
      </c>
      <c r="B1774" s="73" t="s">
        <v>3570</v>
      </c>
      <c r="C1774" s="68">
        <v>99</v>
      </c>
      <c r="D1774" s="73" t="s">
        <v>3571</v>
      </c>
      <c r="E1774" s="77">
        <v>126.45163676621728</v>
      </c>
      <c r="F1774" s="77">
        <v>104.52000000000002</v>
      </c>
      <c r="G1774" s="76">
        <v>0.67933333333333334</v>
      </c>
    </row>
    <row r="1775" spans="1:7" x14ac:dyDescent="0.25">
      <c r="A1775" s="75">
        <v>8000249</v>
      </c>
      <c r="B1775" s="73" t="s">
        <v>3572</v>
      </c>
      <c r="C1775" s="68">
        <v>99</v>
      </c>
      <c r="D1775" s="73" t="s">
        <v>3573</v>
      </c>
      <c r="E1775" s="77">
        <v>338.33261682087215</v>
      </c>
      <c r="F1775" s="77">
        <v>274.88044941257829</v>
      </c>
      <c r="G1775" s="76">
        <v>3.4460913328594884</v>
      </c>
    </row>
    <row r="1776" spans="1:7" x14ac:dyDescent="0.25">
      <c r="A1776" s="75">
        <v>8000501</v>
      </c>
      <c r="B1776" s="73" t="s">
        <v>1061</v>
      </c>
      <c r="C1776" s="68">
        <v>99</v>
      </c>
      <c r="D1776" s="73" t="s">
        <v>3574</v>
      </c>
      <c r="E1776" s="77">
        <v>107.64258060418408</v>
      </c>
      <c r="F1776" s="77">
        <v>87.6</v>
      </c>
      <c r="G1776" s="76">
        <v>0.5463636363636365</v>
      </c>
    </row>
    <row r="1777" spans="1:7" x14ac:dyDescent="0.25">
      <c r="A1777" s="75">
        <v>8000801</v>
      </c>
      <c r="B1777" s="73" t="s">
        <v>1590</v>
      </c>
      <c r="C1777" s="68">
        <v>99</v>
      </c>
      <c r="D1777" s="73" t="s">
        <v>3575</v>
      </c>
      <c r="E1777" s="77">
        <v>54.709016393442631</v>
      </c>
      <c r="F1777" s="77">
        <v>187.01099089032613</v>
      </c>
      <c r="G1777" s="76">
        <v>0.5</v>
      </c>
    </row>
    <row r="1778" spans="1:7" x14ac:dyDescent="0.25">
      <c r="A1778" s="75">
        <v>8001101</v>
      </c>
      <c r="B1778" s="73" t="s">
        <v>1591</v>
      </c>
      <c r="C1778" s="68">
        <v>99</v>
      </c>
      <c r="D1778" s="73" t="s">
        <v>3576</v>
      </c>
      <c r="E1778" s="77">
        <v>126.45163676621728</v>
      </c>
      <c r="F1778" s="77">
        <v>104.52000000000002</v>
      </c>
      <c r="G1778" s="76">
        <v>0.67933333333333334</v>
      </c>
    </row>
    <row r="1779" spans="1:7" x14ac:dyDescent="0.25">
      <c r="A1779" s="75">
        <v>8001301</v>
      </c>
      <c r="B1779" s="73" t="s">
        <v>3577</v>
      </c>
      <c r="C1779" s="68">
        <v>99</v>
      </c>
      <c r="D1779" s="73" t="s">
        <v>3578</v>
      </c>
      <c r="E1779" s="77">
        <v>126.45163676621728</v>
      </c>
      <c r="F1779" s="77">
        <v>104.52000000000002</v>
      </c>
      <c r="G1779" s="76">
        <v>0.67933333333333334</v>
      </c>
    </row>
    <row r="1780" spans="1:7" x14ac:dyDescent="0.25">
      <c r="A1780" s="75">
        <v>8001302</v>
      </c>
      <c r="B1780" s="73" t="s">
        <v>3579</v>
      </c>
      <c r="C1780" s="68">
        <v>99</v>
      </c>
      <c r="D1780" s="73" t="s">
        <v>3578</v>
      </c>
      <c r="E1780" s="77">
        <v>126.45163676621728</v>
      </c>
      <c r="F1780" s="77">
        <v>104.52000000000002</v>
      </c>
      <c r="G1780" s="76">
        <v>0.67933333333333334</v>
      </c>
    </row>
    <row r="1781" spans="1:7" x14ac:dyDescent="0.25">
      <c r="A1781" s="75">
        <v>8001401</v>
      </c>
      <c r="B1781" s="73" t="s">
        <v>1592</v>
      </c>
      <c r="C1781" s="68">
        <v>99</v>
      </c>
      <c r="D1781" s="73" t="s">
        <v>3571</v>
      </c>
      <c r="E1781" s="77">
        <v>126.45163676621728</v>
      </c>
      <c r="F1781" s="77">
        <v>104.52000000000002</v>
      </c>
      <c r="G1781" s="76">
        <v>0.67933333333333334</v>
      </c>
    </row>
    <row r="1782" spans="1:7" x14ac:dyDescent="0.25">
      <c r="A1782" s="75">
        <v>8001407</v>
      </c>
      <c r="B1782" s="73" t="s">
        <v>3580</v>
      </c>
      <c r="C1782" s="68">
        <v>99</v>
      </c>
      <c r="D1782" s="73" t="s">
        <v>3581</v>
      </c>
      <c r="E1782" s="77">
        <v>126.45163676621728</v>
      </c>
      <c r="F1782" s="77">
        <v>104.52000000000002</v>
      </c>
      <c r="G1782" s="76">
        <v>0.67933333333333334</v>
      </c>
    </row>
    <row r="1783" spans="1:7" x14ac:dyDescent="0.25">
      <c r="A1783" s="75">
        <v>8001408</v>
      </c>
      <c r="B1783" s="73" t="s">
        <v>3582</v>
      </c>
      <c r="C1783" s="68">
        <v>99</v>
      </c>
      <c r="D1783" s="73" t="s">
        <v>3583</v>
      </c>
      <c r="E1783" s="77">
        <v>126.45163676621728</v>
      </c>
      <c r="F1783" s="77">
        <v>104.52000000000002</v>
      </c>
      <c r="G1783" s="76">
        <v>0.67933333333333334</v>
      </c>
    </row>
    <row r="1784" spans="1:7" x14ac:dyDescent="0.25">
      <c r="A1784" s="75">
        <v>8001409</v>
      </c>
      <c r="B1784" s="73" t="s">
        <v>3584</v>
      </c>
      <c r="C1784" s="68">
        <v>99</v>
      </c>
      <c r="D1784" s="73" t="s">
        <v>3583</v>
      </c>
      <c r="E1784" s="77">
        <v>126.45163676621728</v>
      </c>
      <c r="F1784" s="77">
        <v>104.52000000000002</v>
      </c>
      <c r="G1784" s="76">
        <v>0.67933333333333334</v>
      </c>
    </row>
    <row r="1785" spans="1:7" x14ac:dyDescent="0.25">
      <c r="A1785" s="75">
        <v>8001410</v>
      </c>
      <c r="B1785" s="73" t="s">
        <v>3585</v>
      </c>
      <c r="C1785" s="68">
        <v>99</v>
      </c>
      <c r="D1785" s="73" t="s">
        <v>3578</v>
      </c>
      <c r="E1785" s="77">
        <v>126.45163676621728</v>
      </c>
      <c r="F1785" s="77">
        <v>104.52000000000002</v>
      </c>
      <c r="G1785" s="76">
        <v>0.67933333333333334</v>
      </c>
    </row>
    <row r="1786" spans="1:7" x14ac:dyDescent="0.25">
      <c r="A1786" s="75">
        <v>8001411</v>
      </c>
      <c r="B1786" s="73" t="s">
        <v>3586</v>
      </c>
      <c r="C1786" s="68">
        <v>99</v>
      </c>
      <c r="D1786" s="73" t="s">
        <v>3583</v>
      </c>
      <c r="E1786" s="77">
        <v>126.45163676621728</v>
      </c>
      <c r="F1786" s="77">
        <v>104.52000000000002</v>
      </c>
      <c r="G1786" s="76">
        <v>0.67933333333333334</v>
      </c>
    </row>
    <row r="1787" spans="1:7" x14ac:dyDescent="0.25">
      <c r="A1787" s="75">
        <v>8001412</v>
      </c>
      <c r="B1787" s="73" t="s">
        <v>3587</v>
      </c>
      <c r="C1787" s="68">
        <v>99</v>
      </c>
      <c r="D1787" s="73" t="s">
        <v>3583</v>
      </c>
      <c r="E1787" s="77">
        <v>126.45163676621728</v>
      </c>
      <c r="F1787" s="77">
        <v>104.52000000000002</v>
      </c>
      <c r="G1787" s="76">
        <v>0.67933333333333334</v>
      </c>
    </row>
    <row r="1788" spans="1:7" x14ac:dyDescent="0.25">
      <c r="A1788" s="75">
        <v>8001413</v>
      </c>
      <c r="B1788" s="73" t="s">
        <v>3588</v>
      </c>
      <c r="C1788" s="68">
        <v>99</v>
      </c>
      <c r="D1788" s="73" t="s">
        <v>3583</v>
      </c>
      <c r="E1788" s="77">
        <v>126.45163676621728</v>
      </c>
      <c r="F1788" s="77">
        <v>104.52000000000002</v>
      </c>
      <c r="G1788" s="76">
        <v>0.67933333333333334</v>
      </c>
    </row>
    <row r="1789" spans="1:7" x14ac:dyDescent="0.25">
      <c r="A1789" s="75">
        <v>8001414</v>
      </c>
      <c r="B1789" s="73" t="s">
        <v>3589</v>
      </c>
      <c r="C1789" s="68">
        <v>99</v>
      </c>
      <c r="D1789" s="73" t="s">
        <v>3583</v>
      </c>
      <c r="E1789" s="77">
        <v>126.45163676621728</v>
      </c>
      <c r="F1789" s="77">
        <v>104.52000000000002</v>
      </c>
      <c r="G1789" s="76">
        <v>0.67933333333333334</v>
      </c>
    </row>
    <row r="1790" spans="1:7" x14ac:dyDescent="0.25">
      <c r="A1790" s="75">
        <v>8001501</v>
      </c>
      <c r="B1790" s="73" t="s">
        <v>1593</v>
      </c>
      <c r="C1790" s="68">
        <v>99</v>
      </c>
      <c r="D1790" s="73" t="s">
        <v>3550</v>
      </c>
      <c r="E1790" s="77">
        <v>54.709016393442631</v>
      </c>
      <c r="F1790" s="77">
        <v>187.01099089032613</v>
      </c>
      <c r="G1790" s="76">
        <v>0.5</v>
      </c>
    </row>
    <row r="1791" spans="1:7" x14ac:dyDescent="0.25">
      <c r="A1791" s="75">
        <v>8001901</v>
      </c>
      <c r="B1791" s="73" t="s">
        <v>1063</v>
      </c>
      <c r="C1791" s="68">
        <v>99</v>
      </c>
      <c r="D1791" s="73" t="s">
        <v>3590</v>
      </c>
      <c r="E1791" s="77">
        <v>154.44999999999999</v>
      </c>
      <c r="F1791" s="77">
        <v>132.42500000000001</v>
      </c>
      <c r="G1791" s="76">
        <v>0.98166666666666647</v>
      </c>
    </row>
    <row r="1792" spans="1:7" x14ac:dyDescent="0.25">
      <c r="A1792" s="75">
        <v>8002001</v>
      </c>
      <c r="B1792" s="73" t="s">
        <v>1594</v>
      </c>
      <c r="C1792" s="68">
        <v>99</v>
      </c>
      <c r="D1792" s="73" t="s">
        <v>3560</v>
      </c>
      <c r="E1792" s="77">
        <v>133.71798665542002</v>
      </c>
      <c r="F1792" s="77">
        <v>118.62519072971062</v>
      </c>
      <c r="G1792" s="76">
        <v>0.75568610283123705</v>
      </c>
    </row>
    <row r="1793" spans="1:7" x14ac:dyDescent="0.25">
      <c r="A1793" s="75">
        <v>8002002</v>
      </c>
      <c r="B1793" s="73" t="s">
        <v>1064</v>
      </c>
      <c r="C1793" s="68">
        <v>99</v>
      </c>
      <c r="D1793" s="73" t="s">
        <v>3591</v>
      </c>
      <c r="E1793" s="77">
        <v>115.19921636207475</v>
      </c>
      <c r="F1793" s="77">
        <v>193.84698616600014</v>
      </c>
      <c r="G1793" s="76">
        <v>1.1665750520035791</v>
      </c>
    </row>
    <row r="1794" spans="1:7" x14ac:dyDescent="0.25">
      <c r="A1794" s="75">
        <v>8002101</v>
      </c>
      <c r="B1794" s="73" t="s">
        <v>1595</v>
      </c>
      <c r="C1794" s="68">
        <v>99</v>
      </c>
      <c r="D1794" s="73" t="s">
        <v>3592</v>
      </c>
      <c r="E1794" s="77">
        <v>362.58996076926354</v>
      </c>
      <c r="F1794" s="77">
        <v>282.81560216596949</v>
      </c>
      <c r="G1794" s="76">
        <v>2.0682427884130656</v>
      </c>
    </row>
    <row r="1795" spans="1:7" x14ac:dyDescent="0.25">
      <c r="A1795" s="75">
        <v>8002106</v>
      </c>
      <c r="B1795" s="73" t="s">
        <v>1596</v>
      </c>
      <c r="C1795" s="68">
        <v>99</v>
      </c>
      <c r="D1795" s="73" t="s">
        <v>3593</v>
      </c>
      <c r="E1795" s="77">
        <v>155.17500000000001</v>
      </c>
      <c r="F1795" s="77">
        <v>151.05000000000001</v>
      </c>
      <c r="G1795" s="76">
        <v>1.0449999999999999</v>
      </c>
    </row>
    <row r="1796" spans="1:7" x14ac:dyDescent="0.25">
      <c r="A1796" s="75">
        <v>8002201</v>
      </c>
      <c r="B1796" s="73" t="s">
        <v>1066</v>
      </c>
      <c r="C1796" s="68">
        <v>99</v>
      </c>
      <c r="D1796" s="73" t="s">
        <v>3594</v>
      </c>
      <c r="E1796" s="77">
        <v>155.17500000000001</v>
      </c>
      <c r="F1796" s="77">
        <v>151.05000000000001</v>
      </c>
      <c r="G1796" s="76">
        <v>1.0449999999999999</v>
      </c>
    </row>
    <row r="1797" spans="1:7" x14ac:dyDescent="0.25">
      <c r="A1797" s="75">
        <v>8002205</v>
      </c>
      <c r="B1797" s="73" t="s">
        <v>1597</v>
      </c>
      <c r="C1797" s="68">
        <v>99</v>
      </c>
      <c r="D1797" s="73" t="s">
        <v>3595</v>
      </c>
      <c r="E1797" s="77">
        <v>220</v>
      </c>
      <c r="F1797" s="77">
        <v>225.6485722150212</v>
      </c>
      <c r="G1797" s="76">
        <v>0.5</v>
      </c>
    </row>
    <row r="1798" spans="1:7" x14ac:dyDescent="0.25">
      <c r="A1798" s="75">
        <v>8002212</v>
      </c>
      <c r="B1798" s="73" t="s">
        <v>1598</v>
      </c>
      <c r="C1798" s="68">
        <v>99</v>
      </c>
      <c r="D1798" s="73" t="s">
        <v>3596</v>
      </c>
      <c r="E1798" s="77">
        <v>164.20833333333331</v>
      </c>
      <c r="F1798" s="77">
        <v>223.30833333333331</v>
      </c>
      <c r="G1798" s="76">
        <v>1.1427272727272724</v>
      </c>
    </row>
    <row r="1799" spans="1:7" x14ac:dyDescent="0.25">
      <c r="A1799" s="75">
        <v>8002217</v>
      </c>
      <c r="B1799" s="73" t="s">
        <v>3597</v>
      </c>
      <c r="C1799" s="68">
        <v>99</v>
      </c>
      <c r="D1799" s="73" t="s">
        <v>3594</v>
      </c>
      <c r="E1799" s="77">
        <v>155.17500000000001</v>
      </c>
      <c r="F1799" s="77">
        <v>151.05000000000001</v>
      </c>
      <c r="G1799" s="76">
        <v>1.0449999999999999</v>
      </c>
    </row>
    <row r="1800" spans="1:7" x14ac:dyDescent="0.25">
      <c r="A1800" s="75">
        <v>8002225</v>
      </c>
      <c r="B1800" s="73" t="s">
        <v>1067</v>
      </c>
      <c r="C1800" s="68">
        <v>99</v>
      </c>
      <c r="D1800" s="73" t="s">
        <v>3594</v>
      </c>
      <c r="E1800" s="77">
        <v>155.17500000000001</v>
      </c>
      <c r="F1800" s="77">
        <v>151.05000000000001</v>
      </c>
      <c r="G1800" s="76">
        <v>1.0449999999999999</v>
      </c>
    </row>
    <row r="1801" spans="1:7" x14ac:dyDescent="0.25">
      <c r="A1801" s="75">
        <v>8002227</v>
      </c>
      <c r="B1801" s="73" t="s">
        <v>1068</v>
      </c>
      <c r="C1801" s="68">
        <v>99</v>
      </c>
      <c r="D1801" s="73" t="s">
        <v>3595</v>
      </c>
      <c r="E1801" s="77">
        <v>220</v>
      </c>
      <c r="F1801" s="77">
        <v>225.6485722150212</v>
      </c>
      <c r="G1801" s="76">
        <v>0.5</v>
      </c>
    </row>
    <row r="1802" spans="1:7" x14ac:dyDescent="0.25">
      <c r="A1802" s="75">
        <v>8002230</v>
      </c>
      <c r="B1802" s="73" t="s">
        <v>1599</v>
      </c>
      <c r="C1802" s="68">
        <v>99</v>
      </c>
      <c r="D1802" s="73" t="s">
        <v>3598</v>
      </c>
      <c r="E1802" s="77">
        <v>220</v>
      </c>
      <c r="F1802" s="77">
        <v>225.6485722150212</v>
      </c>
      <c r="G1802" s="76">
        <v>0.5</v>
      </c>
    </row>
    <row r="1803" spans="1:7" x14ac:dyDescent="0.25">
      <c r="A1803" s="75">
        <v>8002236</v>
      </c>
      <c r="B1803" s="73" t="s">
        <v>1069</v>
      </c>
      <c r="C1803" s="68">
        <v>99</v>
      </c>
      <c r="D1803" s="73" t="s">
        <v>3599</v>
      </c>
      <c r="E1803" s="77">
        <v>100.1125</v>
      </c>
      <c r="F1803" s="77">
        <v>62.424999999999997</v>
      </c>
      <c r="G1803" s="76">
        <v>0.85375000000000012</v>
      </c>
    </row>
    <row r="1804" spans="1:7" ht="30" x14ac:dyDescent="0.25">
      <c r="A1804" s="75">
        <v>8002246</v>
      </c>
      <c r="B1804" s="73" t="s">
        <v>3600</v>
      </c>
      <c r="C1804" s="68">
        <v>99</v>
      </c>
      <c r="D1804" s="73" t="s">
        <v>3598</v>
      </c>
      <c r="E1804" s="77">
        <v>220</v>
      </c>
      <c r="F1804" s="77">
        <v>225.6485722150212</v>
      </c>
      <c r="G1804" s="76">
        <v>0.5</v>
      </c>
    </row>
    <row r="1805" spans="1:7" x14ac:dyDescent="0.25">
      <c r="A1805" s="75">
        <v>8002252</v>
      </c>
      <c r="B1805" s="73" t="s">
        <v>3601</v>
      </c>
      <c r="C1805" s="68">
        <v>99</v>
      </c>
      <c r="D1805" s="73" t="s">
        <v>3602</v>
      </c>
      <c r="E1805" s="77">
        <v>154.44999999999999</v>
      </c>
      <c r="F1805" s="77">
        <v>132.42500000000001</v>
      </c>
      <c r="G1805" s="76">
        <v>0.98166666666666647</v>
      </c>
    </row>
    <row r="1806" spans="1:7" x14ac:dyDescent="0.25">
      <c r="A1806" s="75">
        <v>8002253</v>
      </c>
      <c r="B1806" s="73" t="s">
        <v>3603</v>
      </c>
      <c r="C1806" s="68">
        <v>99</v>
      </c>
      <c r="D1806" s="73" t="s">
        <v>3590</v>
      </c>
      <c r="E1806" s="77">
        <v>154.44999999999999</v>
      </c>
      <c r="F1806" s="77">
        <v>132.42500000000001</v>
      </c>
      <c r="G1806" s="76">
        <v>0.98166666666666647</v>
      </c>
    </row>
    <row r="1807" spans="1:7" x14ac:dyDescent="0.25">
      <c r="A1807" s="75">
        <v>8002254</v>
      </c>
      <c r="B1807" s="73" t="s">
        <v>3604</v>
      </c>
      <c r="C1807" s="68">
        <v>99</v>
      </c>
      <c r="D1807" s="73" t="s">
        <v>3602</v>
      </c>
      <c r="E1807" s="77">
        <v>154.44999999999999</v>
      </c>
      <c r="F1807" s="77">
        <v>132.42500000000001</v>
      </c>
      <c r="G1807" s="76">
        <v>0.98166666666666647</v>
      </c>
    </row>
    <row r="1808" spans="1:7" x14ac:dyDescent="0.25">
      <c r="A1808" s="75">
        <v>8002255</v>
      </c>
      <c r="B1808" s="73" t="s">
        <v>3605</v>
      </c>
      <c r="C1808" s="68">
        <v>99</v>
      </c>
      <c r="D1808" s="73" t="s">
        <v>3606</v>
      </c>
      <c r="E1808" s="77">
        <v>390</v>
      </c>
      <c r="F1808" s="77">
        <v>177.2</v>
      </c>
      <c r="G1808" s="76">
        <v>1.0334717607973423</v>
      </c>
    </row>
    <row r="1809" spans="1:7" x14ac:dyDescent="0.25">
      <c r="A1809" s="75">
        <v>8002256</v>
      </c>
      <c r="B1809" s="73" t="s">
        <v>3607</v>
      </c>
      <c r="C1809" s="68">
        <v>99</v>
      </c>
      <c r="D1809" s="73" t="s">
        <v>3595</v>
      </c>
      <c r="E1809" s="77">
        <v>220</v>
      </c>
      <c r="F1809" s="77">
        <v>225.6485722150212</v>
      </c>
      <c r="G1809" s="76">
        <v>0.5</v>
      </c>
    </row>
    <row r="1810" spans="1:7" x14ac:dyDescent="0.25">
      <c r="A1810" s="75">
        <v>8002301</v>
      </c>
      <c r="B1810" s="73" t="s">
        <v>1070</v>
      </c>
      <c r="C1810" s="68">
        <v>99</v>
      </c>
      <c r="D1810" s="73" t="s">
        <v>3608</v>
      </c>
      <c r="E1810" s="77">
        <v>169.07499999999999</v>
      </c>
      <c r="F1810" s="77">
        <v>305.10000000000002</v>
      </c>
      <c r="G1810" s="76">
        <v>1.2849999999999999</v>
      </c>
    </row>
    <row r="1811" spans="1:7" x14ac:dyDescent="0.25">
      <c r="A1811" s="75">
        <v>8002302</v>
      </c>
      <c r="B1811" s="73" t="s">
        <v>1600</v>
      </c>
      <c r="C1811" s="68">
        <v>99</v>
      </c>
      <c r="D1811" s="73" t="s">
        <v>3609</v>
      </c>
      <c r="E1811" s="77">
        <v>164.20833333333331</v>
      </c>
      <c r="F1811" s="77">
        <v>223.30833333333331</v>
      </c>
      <c r="G1811" s="76">
        <v>1.1427272727272724</v>
      </c>
    </row>
    <row r="1812" spans="1:7" x14ac:dyDescent="0.25">
      <c r="A1812" s="75">
        <v>8002305</v>
      </c>
      <c r="B1812" s="73" t="s">
        <v>1601</v>
      </c>
      <c r="C1812" s="68">
        <v>99</v>
      </c>
      <c r="D1812" s="73" t="s">
        <v>5</v>
      </c>
      <c r="E1812" s="77">
        <v>320</v>
      </c>
      <c r="F1812" s="77">
        <v>187.01099089032613</v>
      </c>
      <c r="G1812" s="76">
        <v>0.5</v>
      </c>
    </row>
    <row r="1813" spans="1:7" x14ac:dyDescent="0.25">
      <c r="A1813" s="75">
        <v>8002306</v>
      </c>
      <c r="B1813" s="73" t="s">
        <v>1602</v>
      </c>
      <c r="C1813" s="68">
        <v>99</v>
      </c>
      <c r="D1813" s="73" t="s">
        <v>3608</v>
      </c>
      <c r="E1813" s="77">
        <v>169.07499999999999</v>
      </c>
      <c r="F1813" s="77">
        <v>305.10000000000002</v>
      </c>
      <c r="G1813" s="76">
        <v>1.2849999999999999</v>
      </c>
    </row>
    <row r="1814" spans="1:7" x14ac:dyDescent="0.25">
      <c r="A1814" s="75">
        <v>8002309</v>
      </c>
      <c r="B1814" s="73" t="s">
        <v>1603</v>
      </c>
      <c r="C1814" s="68">
        <v>99</v>
      </c>
      <c r="D1814" s="73" t="s">
        <v>3608</v>
      </c>
      <c r="E1814" s="77">
        <v>169.07499999999999</v>
      </c>
      <c r="F1814" s="77">
        <v>305.10000000000002</v>
      </c>
      <c r="G1814" s="76">
        <v>1.2849999999999999</v>
      </c>
    </row>
    <row r="1815" spans="1:7" x14ac:dyDescent="0.25">
      <c r="A1815" s="75">
        <v>8002315</v>
      </c>
      <c r="B1815" s="73" t="s">
        <v>1604</v>
      </c>
      <c r="C1815" s="68">
        <v>99</v>
      </c>
      <c r="D1815" s="73" t="s">
        <v>3573</v>
      </c>
      <c r="E1815" s="77">
        <v>338.33261682087209</v>
      </c>
      <c r="F1815" s="77">
        <v>274.88044941257829</v>
      </c>
      <c r="G1815" s="76">
        <v>3.4460913328594884</v>
      </c>
    </row>
    <row r="1816" spans="1:7" x14ac:dyDescent="0.25">
      <c r="A1816" s="75">
        <v>8002334</v>
      </c>
      <c r="B1816" s="73" t="s">
        <v>1071</v>
      </c>
      <c r="C1816" s="68">
        <v>99</v>
      </c>
      <c r="D1816" s="73" t="s">
        <v>3608</v>
      </c>
      <c r="E1816" s="77">
        <v>169.07499999999999</v>
      </c>
      <c r="F1816" s="77">
        <v>305.10000000000002</v>
      </c>
      <c r="G1816" s="76">
        <v>1.2849999999999999</v>
      </c>
    </row>
    <row r="1817" spans="1:7" x14ac:dyDescent="0.25">
      <c r="A1817" s="75">
        <v>8002335</v>
      </c>
      <c r="B1817" s="73" t="s">
        <v>1605</v>
      </c>
      <c r="C1817" s="68">
        <v>99</v>
      </c>
      <c r="D1817" s="73" t="s">
        <v>5</v>
      </c>
      <c r="E1817" s="77">
        <v>320</v>
      </c>
      <c r="F1817" s="77">
        <v>187.01099089032613</v>
      </c>
      <c r="G1817" s="76">
        <v>0.5</v>
      </c>
    </row>
    <row r="1818" spans="1:7" x14ac:dyDescent="0.25">
      <c r="A1818" s="75">
        <v>8002502</v>
      </c>
      <c r="B1818" s="73" t="s">
        <v>1072</v>
      </c>
      <c r="C1818" s="68">
        <v>99</v>
      </c>
      <c r="D1818" s="73" t="s">
        <v>3610</v>
      </c>
      <c r="E1818" s="77">
        <v>350.3772015883153</v>
      </c>
      <c r="F1818" s="77">
        <v>236.96211605564548</v>
      </c>
      <c r="G1818" s="76">
        <v>2.5174758621752362</v>
      </c>
    </row>
    <row r="1819" spans="1:7" x14ac:dyDescent="0.25">
      <c r="A1819" s="75">
        <v>8002503</v>
      </c>
      <c r="B1819" s="73" t="s">
        <v>1606</v>
      </c>
      <c r="C1819" s="68">
        <v>99</v>
      </c>
      <c r="D1819" s="73" t="s">
        <v>3560</v>
      </c>
      <c r="E1819" s="77">
        <v>133.71798665541999</v>
      </c>
      <c r="F1819" s="77">
        <v>118.62519072971061</v>
      </c>
      <c r="G1819" s="76">
        <v>0.75568610283123705</v>
      </c>
    </row>
    <row r="1820" spans="1:7" x14ac:dyDescent="0.25">
      <c r="A1820" s="75">
        <v>8002508</v>
      </c>
      <c r="B1820" s="73" t="s">
        <v>3611</v>
      </c>
      <c r="C1820" s="68">
        <v>99</v>
      </c>
      <c r="D1820" s="73" t="s">
        <v>3610</v>
      </c>
      <c r="E1820" s="77">
        <v>350.37720158831536</v>
      </c>
      <c r="F1820" s="77">
        <v>236.96211605564548</v>
      </c>
      <c r="G1820" s="76">
        <v>2.5174758621752362</v>
      </c>
    </row>
    <row r="1821" spans="1:7" x14ac:dyDescent="0.25">
      <c r="A1821" s="75">
        <v>8002509</v>
      </c>
      <c r="B1821" s="73" t="s">
        <v>3612</v>
      </c>
      <c r="C1821" s="68">
        <v>99</v>
      </c>
      <c r="D1821" s="73" t="s">
        <v>3610</v>
      </c>
      <c r="E1821" s="77">
        <v>350.3772015883153</v>
      </c>
      <c r="F1821" s="77">
        <v>236.96211605564545</v>
      </c>
      <c r="G1821" s="76">
        <v>2.5174758621752353</v>
      </c>
    </row>
    <row r="1822" spans="1:7" x14ac:dyDescent="0.25">
      <c r="A1822" s="75">
        <v>8002601</v>
      </c>
      <c r="B1822" s="73" t="s">
        <v>1607</v>
      </c>
      <c r="C1822" s="68">
        <v>99</v>
      </c>
      <c r="D1822" s="73" t="s">
        <v>3613</v>
      </c>
      <c r="E1822" s="77">
        <v>204.38746429475916</v>
      </c>
      <c r="F1822" s="77">
        <v>239.28894993243907</v>
      </c>
      <c r="G1822" s="76">
        <v>1.5904948765245071</v>
      </c>
    </row>
    <row r="1823" spans="1:7" x14ac:dyDescent="0.25">
      <c r="A1823" s="75">
        <v>8002605</v>
      </c>
      <c r="B1823" s="73" t="s">
        <v>1608</v>
      </c>
      <c r="C1823" s="68">
        <v>99</v>
      </c>
      <c r="D1823" s="73" t="s">
        <v>3613</v>
      </c>
      <c r="E1823" s="77">
        <v>180.45787487870078</v>
      </c>
      <c r="F1823" s="77">
        <v>245.85039707065576</v>
      </c>
      <c r="G1823" s="76">
        <v>1.6207430517069892</v>
      </c>
    </row>
    <row r="1824" spans="1:7" x14ac:dyDescent="0.25">
      <c r="A1824" s="75">
        <v>8002609</v>
      </c>
      <c r="B1824" s="73" t="s">
        <v>1609</v>
      </c>
      <c r="C1824" s="68">
        <v>99</v>
      </c>
      <c r="D1824" s="73" t="s">
        <v>3614</v>
      </c>
      <c r="E1824" s="77">
        <v>99.42798098718292</v>
      </c>
      <c r="F1824" s="77">
        <v>167.40690845173378</v>
      </c>
      <c r="G1824" s="76">
        <v>1.3118475356607611</v>
      </c>
    </row>
    <row r="1825" spans="1:7" x14ac:dyDescent="0.25">
      <c r="A1825" s="75">
        <v>8002612</v>
      </c>
      <c r="B1825" s="73" t="s">
        <v>3615</v>
      </c>
      <c r="C1825" s="68">
        <v>99</v>
      </c>
      <c r="D1825" s="73" t="s">
        <v>3613</v>
      </c>
      <c r="E1825" s="77">
        <v>204.38746429475918</v>
      </c>
      <c r="F1825" s="77">
        <v>239.28894993243904</v>
      </c>
      <c r="G1825" s="76">
        <v>1.5904948765245068</v>
      </c>
    </row>
    <row r="1826" spans="1:7" x14ac:dyDescent="0.25">
      <c r="A1826" s="75">
        <v>8002613</v>
      </c>
      <c r="B1826" s="73" t="s">
        <v>3616</v>
      </c>
      <c r="C1826" s="68">
        <v>99</v>
      </c>
      <c r="D1826" s="73" t="s">
        <v>3613</v>
      </c>
      <c r="E1826" s="77">
        <v>204.38746429475918</v>
      </c>
      <c r="F1826" s="77">
        <v>239.28894993243907</v>
      </c>
      <c r="G1826" s="76">
        <v>1.5904948765245071</v>
      </c>
    </row>
    <row r="1827" spans="1:7" x14ac:dyDescent="0.25">
      <c r="A1827" s="75">
        <v>8002701</v>
      </c>
      <c r="B1827" s="73" t="s">
        <v>1928</v>
      </c>
      <c r="C1827" s="68">
        <v>99</v>
      </c>
      <c r="D1827" s="73" t="s">
        <v>3617</v>
      </c>
      <c r="E1827" s="77">
        <v>240.47690022938536</v>
      </c>
      <c r="F1827" s="77">
        <v>182.20435645483042</v>
      </c>
      <c r="G1827" s="76">
        <v>1.8830483163290244</v>
      </c>
    </row>
    <row r="1828" spans="1:7" x14ac:dyDescent="0.25">
      <c r="A1828" s="75">
        <v>8002702</v>
      </c>
      <c r="B1828" s="73" t="s">
        <v>1610</v>
      </c>
      <c r="C1828" s="68">
        <v>99</v>
      </c>
      <c r="D1828" s="73" t="s">
        <v>3617</v>
      </c>
      <c r="E1828" s="77">
        <v>240.47690022938539</v>
      </c>
      <c r="F1828" s="77">
        <v>182.20435645483039</v>
      </c>
      <c r="G1828" s="76">
        <v>1.8830483163290244</v>
      </c>
    </row>
    <row r="1829" spans="1:7" x14ac:dyDescent="0.25">
      <c r="A1829" s="75">
        <v>8002703</v>
      </c>
      <c r="B1829" s="73" t="s">
        <v>1611</v>
      </c>
      <c r="C1829" s="68">
        <v>99</v>
      </c>
      <c r="D1829" s="73" t="s">
        <v>3617</v>
      </c>
      <c r="E1829" s="77">
        <v>240.47690022938539</v>
      </c>
      <c r="F1829" s="77">
        <v>182.20435645483042</v>
      </c>
      <c r="G1829" s="76">
        <v>1.8830483163290244</v>
      </c>
    </row>
    <row r="1830" spans="1:7" x14ac:dyDescent="0.25">
      <c r="A1830" s="75">
        <v>8002704</v>
      </c>
      <c r="B1830" s="73" t="s">
        <v>1612</v>
      </c>
      <c r="C1830" s="68">
        <v>99</v>
      </c>
      <c r="D1830" s="73" t="s">
        <v>3617</v>
      </c>
      <c r="E1830" s="77">
        <v>240.47690022938539</v>
      </c>
      <c r="F1830" s="77">
        <v>182.20435645483042</v>
      </c>
      <c r="G1830" s="76">
        <v>1.8830483163290244</v>
      </c>
    </row>
    <row r="1831" spans="1:7" x14ac:dyDescent="0.25">
      <c r="A1831" s="75">
        <v>8002705</v>
      </c>
      <c r="B1831" s="73" t="s">
        <v>3618</v>
      </c>
      <c r="C1831" s="68">
        <v>99</v>
      </c>
      <c r="D1831" s="73" t="s">
        <v>3617</v>
      </c>
      <c r="E1831" s="77">
        <v>240.47690022938539</v>
      </c>
      <c r="F1831" s="77">
        <v>182.20435645483042</v>
      </c>
      <c r="G1831" s="76">
        <v>1.8830483163290244</v>
      </c>
    </row>
    <row r="1832" spans="1:7" x14ac:dyDescent="0.25">
      <c r="A1832" s="75">
        <v>8002801</v>
      </c>
      <c r="B1832" s="73" t="s">
        <v>1613</v>
      </c>
      <c r="C1832" s="68">
        <v>99</v>
      </c>
      <c r="D1832" s="73" t="s">
        <v>3617</v>
      </c>
      <c r="E1832" s="77">
        <v>240.47690022938539</v>
      </c>
      <c r="F1832" s="77">
        <v>182.20435645483039</v>
      </c>
      <c r="G1832" s="76">
        <v>1.8830483163290244</v>
      </c>
    </row>
    <row r="1833" spans="1:7" x14ac:dyDescent="0.25">
      <c r="A1833" s="75">
        <v>8002901</v>
      </c>
      <c r="B1833" s="73" t="s">
        <v>1614</v>
      </c>
      <c r="C1833" s="68">
        <v>99</v>
      </c>
      <c r="D1833" s="73" t="s">
        <v>3617</v>
      </c>
      <c r="E1833" s="77">
        <v>240.47690022938536</v>
      </c>
      <c r="F1833" s="77">
        <v>182.20435645483042</v>
      </c>
      <c r="G1833" s="76">
        <v>1.8830483163290244</v>
      </c>
    </row>
    <row r="1834" spans="1:7" x14ac:dyDescent="0.25">
      <c r="A1834" s="75">
        <v>8003101</v>
      </c>
      <c r="B1834" s="73" t="s">
        <v>1615</v>
      </c>
      <c r="C1834" s="68">
        <v>99</v>
      </c>
      <c r="D1834" s="73" t="s">
        <v>3617</v>
      </c>
      <c r="E1834" s="77">
        <v>240.47690022938536</v>
      </c>
      <c r="F1834" s="77">
        <v>182.20435645483045</v>
      </c>
      <c r="G1834" s="76">
        <v>1.8830483163290244</v>
      </c>
    </row>
    <row r="1835" spans="1:7" x14ac:dyDescent="0.25">
      <c r="A1835" s="75">
        <v>8003501</v>
      </c>
      <c r="B1835" s="73" t="s">
        <v>1073</v>
      </c>
      <c r="C1835" s="68">
        <v>99</v>
      </c>
      <c r="D1835" s="73" t="s">
        <v>3619</v>
      </c>
      <c r="E1835" s="77">
        <v>300</v>
      </c>
      <c r="F1835" s="77">
        <v>195.65333333333331</v>
      </c>
      <c r="G1835" s="76">
        <v>1.2832539682539683</v>
      </c>
    </row>
    <row r="1836" spans="1:7" x14ac:dyDescent="0.25">
      <c r="A1836" s="75">
        <v>8003601</v>
      </c>
      <c r="B1836" s="73" t="s">
        <v>1616</v>
      </c>
      <c r="C1836" s="68">
        <v>99</v>
      </c>
      <c r="D1836" s="73" t="s">
        <v>3620</v>
      </c>
      <c r="E1836" s="77">
        <v>1182.6229993595935</v>
      </c>
      <c r="F1836" s="77">
        <v>783.19287677569298</v>
      </c>
      <c r="G1836" s="76">
        <v>4.9496875138180716</v>
      </c>
    </row>
    <row r="1837" spans="1:7" x14ac:dyDescent="0.25">
      <c r="A1837" s="75">
        <v>8003701</v>
      </c>
      <c r="B1837" s="73" t="s">
        <v>1617</v>
      </c>
      <c r="C1837" s="68">
        <v>99</v>
      </c>
      <c r="D1837" s="73" t="s">
        <v>3621</v>
      </c>
      <c r="E1837" s="77">
        <v>85.912403358230037</v>
      </c>
      <c r="F1837" s="77">
        <v>142.460828155977</v>
      </c>
      <c r="G1837" s="76">
        <v>1.1252198374127234</v>
      </c>
    </row>
    <row r="1838" spans="1:7" x14ac:dyDescent="0.25">
      <c r="A1838" s="75">
        <v>8003702</v>
      </c>
      <c r="B1838" s="73" t="s">
        <v>1618</v>
      </c>
      <c r="C1838" s="68">
        <v>99</v>
      </c>
      <c r="D1838" s="73" t="s">
        <v>3614</v>
      </c>
      <c r="E1838" s="77">
        <v>99.42798098718292</v>
      </c>
      <c r="F1838" s="77">
        <v>167.40690845173378</v>
      </c>
      <c r="G1838" s="76">
        <v>1.3118475356607611</v>
      </c>
    </row>
    <row r="1839" spans="1:7" x14ac:dyDescent="0.25">
      <c r="A1839" s="75">
        <v>8003703</v>
      </c>
      <c r="B1839" s="73" t="s">
        <v>3622</v>
      </c>
      <c r="C1839" s="68">
        <v>99</v>
      </c>
      <c r="D1839" s="73" t="s">
        <v>3621</v>
      </c>
      <c r="E1839" s="77">
        <v>85.912403358230037</v>
      </c>
      <c r="F1839" s="77">
        <v>142.46082815597703</v>
      </c>
      <c r="G1839" s="76">
        <v>1.1252198374127234</v>
      </c>
    </row>
    <row r="1840" spans="1:7" x14ac:dyDescent="0.25">
      <c r="A1840" s="75">
        <v>8003704</v>
      </c>
      <c r="B1840" s="73" t="s">
        <v>3623</v>
      </c>
      <c r="C1840" s="68">
        <v>99</v>
      </c>
      <c r="D1840" s="73" t="s">
        <v>3621</v>
      </c>
      <c r="E1840" s="77">
        <v>85.912403358230023</v>
      </c>
      <c r="F1840" s="77">
        <v>142.46082815597703</v>
      </c>
      <c r="G1840" s="76">
        <v>1.1252198374127234</v>
      </c>
    </row>
    <row r="1841" spans="1:7" x14ac:dyDescent="0.25">
      <c r="A1841" s="75">
        <v>8003801</v>
      </c>
      <c r="B1841" s="73" t="s">
        <v>1619</v>
      </c>
      <c r="C1841" s="68">
        <v>99</v>
      </c>
      <c r="D1841" s="73" t="s">
        <v>3624</v>
      </c>
      <c r="E1841" s="77">
        <v>296.15916892879784</v>
      </c>
      <c r="F1841" s="77">
        <v>364.0953048349358</v>
      </c>
      <c r="G1841" s="76">
        <v>3.6260126530086607</v>
      </c>
    </row>
    <row r="1842" spans="1:7" x14ac:dyDescent="0.25">
      <c r="A1842" s="75">
        <v>8003802</v>
      </c>
      <c r="B1842" s="73" t="s">
        <v>3625</v>
      </c>
      <c r="C1842" s="68">
        <v>99</v>
      </c>
      <c r="D1842" s="73" t="s">
        <v>3624</v>
      </c>
      <c r="E1842" s="77">
        <v>273.65556491419926</v>
      </c>
      <c r="F1842" s="77">
        <v>375.16774688067642</v>
      </c>
      <c r="G1842" s="76">
        <v>3.6770564486290995</v>
      </c>
    </row>
    <row r="1843" spans="1:7" x14ac:dyDescent="0.25">
      <c r="A1843" s="75">
        <v>8003902</v>
      </c>
      <c r="B1843" s="73" t="s">
        <v>1074</v>
      </c>
      <c r="C1843" s="68">
        <v>99</v>
      </c>
      <c r="D1843" s="73" t="s">
        <v>3563</v>
      </c>
      <c r="E1843" s="77">
        <v>126.45163676621728</v>
      </c>
      <c r="F1843" s="77">
        <v>104.52000000000002</v>
      </c>
      <c r="G1843" s="76">
        <v>0.67933333333333334</v>
      </c>
    </row>
    <row r="1844" spans="1:7" x14ac:dyDescent="0.25">
      <c r="A1844" s="75">
        <v>8004001</v>
      </c>
      <c r="B1844" s="73" t="s">
        <v>1620</v>
      </c>
      <c r="C1844" s="68">
        <v>99</v>
      </c>
      <c r="D1844" s="73" t="s">
        <v>3626</v>
      </c>
      <c r="E1844" s="77">
        <v>217.25154626646386</v>
      </c>
      <c r="F1844" s="77">
        <v>184.2330666021555</v>
      </c>
      <c r="G1844" s="76">
        <v>1.7657610728046904</v>
      </c>
    </row>
    <row r="1845" spans="1:7" x14ac:dyDescent="0.25">
      <c r="A1845" s="75">
        <v>8004101</v>
      </c>
      <c r="B1845" s="73" t="s">
        <v>1621</v>
      </c>
      <c r="C1845" s="68">
        <v>99</v>
      </c>
      <c r="D1845" s="73" t="s">
        <v>3565</v>
      </c>
      <c r="E1845" s="77">
        <v>383.33164364012964</v>
      </c>
      <c r="F1845" s="77">
        <v>299.55413544084882</v>
      </c>
      <c r="G1845" s="76">
        <v>1.8870919403607633</v>
      </c>
    </row>
    <row r="1846" spans="1:7" x14ac:dyDescent="0.25">
      <c r="A1846" s="75">
        <v>8004201</v>
      </c>
      <c r="B1846" s="73" t="s">
        <v>1622</v>
      </c>
      <c r="C1846" s="68">
        <v>99</v>
      </c>
      <c r="D1846" s="73" t="s">
        <v>3627</v>
      </c>
      <c r="E1846" s="77">
        <v>146.27251369862444</v>
      </c>
      <c r="F1846" s="77">
        <v>178.77752531394981</v>
      </c>
      <c r="G1846" s="76">
        <v>1.0893500534420386</v>
      </c>
    </row>
    <row r="1847" spans="1:7" x14ac:dyDescent="0.25">
      <c r="A1847" s="75">
        <v>8004403</v>
      </c>
      <c r="B1847" s="73" t="s">
        <v>3628</v>
      </c>
      <c r="C1847" s="68">
        <v>99</v>
      </c>
      <c r="D1847" s="73" t="s">
        <v>3629</v>
      </c>
      <c r="E1847" s="77">
        <v>161.53700889494738</v>
      </c>
      <c r="F1847" s="77">
        <v>211.61332269370922</v>
      </c>
      <c r="G1847" s="76">
        <v>1.2327976729684587</v>
      </c>
    </row>
    <row r="1848" spans="1:7" x14ac:dyDescent="0.25">
      <c r="A1848" s="75">
        <v>8004601</v>
      </c>
      <c r="B1848" s="73" t="s">
        <v>1623</v>
      </c>
      <c r="C1848" s="68">
        <v>99</v>
      </c>
      <c r="D1848" s="73" t="s">
        <v>3573</v>
      </c>
      <c r="E1848" s="77">
        <v>360.18804565298888</v>
      </c>
      <c r="F1848" s="77">
        <v>261.7575551361449</v>
      </c>
      <c r="G1848" s="76">
        <v>3.3855949824945251</v>
      </c>
    </row>
    <row r="1849" spans="1:7" x14ac:dyDescent="0.25">
      <c r="A1849" s="75">
        <v>8004602</v>
      </c>
      <c r="B1849" s="73" t="s">
        <v>3630</v>
      </c>
      <c r="C1849" s="68">
        <v>99</v>
      </c>
      <c r="D1849" s="73" t="s">
        <v>3573</v>
      </c>
      <c r="E1849" s="77">
        <v>338.33261682087215</v>
      </c>
      <c r="F1849" s="77">
        <v>274.88044941257823</v>
      </c>
      <c r="G1849" s="76">
        <v>3.4460913328594884</v>
      </c>
    </row>
    <row r="1850" spans="1:7" x14ac:dyDescent="0.25">
      <c r="A1850" s="75">
        <v>8004603</v>
      </c>
      <c r="B1850" s="73" t="s">
        <v>3631</v>
      </c>
      <c r="C1850" s="68">
        <v>99</v>
      </c>
      <c r="D1850" s="73" t="s">
        <v>3573</v>
      </c>
      <c r="E1850" s="77">
        <v>360.18804565298893</v>
      </c>
      <c r="F1850" s="77">
        <v>261.7575551361449</v>
      </c>
      <c r="G1850" s="76">
        <v>3.3855949824945246</v>
      </c>
    </row>
    <row r="1851" spans="1:7" x14ac:dyDescent="0.25">
      <c r="A1851" s="75">
        <v>8004701</v>
      </c>
      <c r="B1851" s="73" t="s">
        <v>1624</v>
      </c>
      <c r="C1851" s="68">
        <v>99</v>
      </c>
      <c r="D1851" s="73" t="s">
        <v>3613</v>
      </c>
      <c r="E1851" s="77">
        <v>180.45787487870078</v>
      </c>
      <c r="F1851" s="77">
        <v>245.85039707065573</v>
      </c>
      <c r="G1851" s="76">
        <v>1.620743051706989</v>
      </c>
    </row>
    <row r="1852" spans="1:7" x14ac:dyDescent="0.25">
      <c r="A1852" s="75">
        <v>8004801</v>
      </c>
      <c r="B1852" s="73" t="s">
        <v>1076</v>
      </c>
      <c r="C1852" s="68">
        <v>99</v>
      </c>
      <c r="D1852" s="73" t="s">
        <v>3632</v>
      </c>
      <c r="E1852" s="77">
        <v>181.7</v>
      </c>
      <c r="F1852" s="77">
        <v>172</v>
      </c>
      <c r="G1852" s="76">
        <v>1.0699999999999998</v>
      </c>
    </row>
    <row r="1853" spans="1:7" x14ac:dyDescent="0.25">
      <c r="A1853" s="75">
        <v>8004807</v>
      </c>
      <c r="B1853" s="73" t="s">
        <v>1625</v>
      </c>
      <c r="C1853" s="68">
        <v>99</v>
      </c>
      <c r="D1853" s="73" t="s">
        <v>3633</v>
      </c>
      <c r="E1853" s="77">
        <v>164.20833333333331</v>
      </c>
      <c r="F1853" s="77">
        <v>223.30833333333331</v>
      </c>
      <c r="G1853" s="76">
        <v>1.1427272727272724</v>
      </c>
    </row>
    <row r="1854" spans="1:7" x14ac:dyDescent="0.25">
      <c r="A1854" s="75">
        <v>8004809</v>
      </c>
      <c r="B1854" s="73" t="s">
        <v>1626</v>
      </c>
      <c r="C1854" s="68">
        <v>99</v>
      </c>
      <c r="D1854" s="73" t="s">
        <v>3632</v>
      </c>
      <c r="E1854" s="77">
        <v>181.7</v>
      </c>
      <c r="F1854" s="77">
        <v>172</v>
      </c>
      <c r="G1854" s="76">
        <v>1.0699999999999998</v>
      </c>
    </row>
    <row r="1855" spans="1:7" x14ac:dyDescent="0.25">
      <c r="A1855" s="75">
        <v>8004810</v>
      </c>
      <c r="B1855" s="73" t="s">
        <v>1077</v>
      </c>
      <c r="C1855" s="68">
        <v>99</v>
      </c>
      <c r="D1855" s="73" t="s">
        <v>3632</v>
      </c>
      <c r="E1855" s="77">
        <v>181.7</v>
      </c>
      <c r="F1855" s="77">
        <v>172</v>
      </c>
      <c r="G1855" s="76">
        <v>1.0699999999999998</v>
      </c>
    </row>
    <row r="1856" spans="1:7" x14ac:dyDescent="0.25">
      <c r="A1856" s="75">
        <v>8004813</v>
      </c>
      <c r="B1856" s="73" t="s">
        <v>1078</v>
      </c>
      <c r="C1856" s="68">
        <v>99</v>
      </c>
      <c r="D1856" s="73" t="s">
        <v>3560</v>
      </c>
      <c r="E1856" s="77">
        <v>133.71798665541999</v>
      </c>
      <c r="F1856" s="77">
        <v>118.62519072971061</v>
      </c>
      <c r="G1856" s="76">
        <v>0.75568610283123705</v>
      </c>
    </row>
    <row r="1857" spans="1:7" x14ac:dyDescent="0.25">
      <c r="A1857" s="75">
        <v>8004814</v>
      </c>
      <c r="B1857" s="73" t="s">
        <v>1627</v>
      </c>
      <c r="C1857" s="68">
        <v>99</v>
      </c>
      <c r="D1857" s="73" t="s">
        <v>3632</v>
      </c>
      <c r="E1857" s="77">
        <v>181.7</v>
      </c>
      <c r="F1857" s="77">
        <v>172</v>
      </c>
      <c r="G1857" s="76">
        <v>1.0699999999999998</v>
      </c>
    </row>
    <row r="1858" spans="1:7" x14ac:dyDescent="0.25">
      <c r="A1858" s="75">
        <v>8005201</v>
      </c>
      <c r="B1858" s="73" t="s">
        <v>1079</v>
      </c>
      <c r="C1858" s="68">
        <v>99</v>
      </c>
      <c r="D1858" s="73" t="s">
        <v>3594</v>
      </c>
      <c r="E1858" s="77">
        <v>155.17500000000001</v>
      </c>
      <c r="F1858" s="77">
        <v>151.05000000000001</v>
      </c>
      <c r="G1858" s="76">
        <v>1.0449999999999999</v>
      </c>
    </row>
    <row r="1859" spans="1:7" x14ac:dyDescent="0.25">
      <c r="A1859" s="75">
        <v>8006101</v>
      </c>
      <c r="B1859" s="73" t="s">
        <v>1628</v>
      </c>
      <c r="C1859" s="68">
        <v>99</v>
      </c>
      <c r="D1859" s="73" t="s">
        <v>3634</v>
      </c>
      <c r="E1859" s="77">
        <v>823.25582082084486</v>
      </c>
      <c r="F1859" s="77">
        <v>577.44245230048432</v>
      </c>
      <c r="G1859" s="76">
        <v>3.290553064737928</v>
      </c>
    </row>
    <row r="1860" spans="1:7" x14ac:dyDescent="0.25">
      <c r="A1860" s="75">
        <v>8006102</v>
      </c>
      <c r="B1860" s="73" t="s">
        <v>3635</v>
      </c>
      <c r="C1860" s="68">
        <v>99</v>
      </c>
      <c r="D1860" s="73" t="s">
        <v>3636</v>
      </c>
      <c r="E1860" s="77">
        <v>201.10312834848688</v>
      </c>
      <c r="F1860" s="77">
        <v>203.71371284860135</v>
      </c>
      <c r="G1860" s="76">
        <v>1.227100242583208</v>
      </c>
    </row>
    <row r="1861" spans="1:7" x14ac:dyDescent="0.25">
      <c r="A1861" s="75">
        <v>8006103</v>
      </c>
      <c r="B1861" s="73" t="s">
        <v>3637</v>
      </c>
      <c r="C1861" s="68">
        <v>99</v>
      </c>
      <c r="D1861" s="73" t="s">
        <v>3638</v>
      </c>
      <c r="E1861" s="77">
        <v>213.62306699971504</v>
      </c>
      <c r="F1861" s="77">
        <v>779.73985804019242</v>
      </c>
      <c r="G1861" s="76">
        <v>1.8660282658138745</v>
      </c>
    </row>
    <row r="1862" spans="1:7" x14ac:dyDescent="0.25">
      <c r="A1862" s="75">
        <v>8006104</v>
      </c>
      <c r="B1862" s="73" t="s">
        <v>3639</v>
      </c>
      <c r="C1862" s="68">
        <v>99</v>
      </c>
      <c r="D1862" s="73" t="s">
        <v>3638</v>
      </c>
      <c r="E1862" s="77">
        <v>213.62306699971506</v>
      </c>
      <c r="F1862" s="77">
        <v>779.7398580401923</v>
      </c>
      <c r="G1862" s="76">
        <v>1.8660282658138745</v>
      </c>
    </row>
    <row r="1863" spans="1:7" x14ac:dyDescent="0.25">
      <c r="A1863" s="75">
        <v>8006105</v>
      </c>
      <c r="B1863" s="73" t="s">
        <v>3640</v>
      </c>
      <c r="C1863" s="68">
        <v>99</v>
      </c>
      <c r="D1863" s="73" t="s">
        <v>3636</v>
      </c>
      <c r="E1863" s="77">
        <v>201.1031283484869</v>
      </c>
      <c r="F1863" s="77">
        <v>203.71371284860135</v>
      </c>
      <c r="G1863" s="76">
        <v>1.227100242583208</v>
      </c>
    </row>
    <row r="1864" spans="1:7" x14ac:dyDescent="0.25">
      <c r="A1864" s="75">
        <v>8006107</v>
      </c>
      <c r="B1864" s="73" t="s">
        <v>3641</v>
      </c>
      <c r="C1864" s="68">
        <v>99</v>
      </c>
      <c r="D1864" s="73" t="s">
        <v>3636</v>
      </c>
      <c r="E1864" s="77">
        <v>201.1031283484869</v>
      </c>
      <c r="F1864" s="77">
        <v>203.71371284860135</v>
      </c>
      <c r="G1864" s="76">
        <v>1.227100242583208</v>
      </c>
    </row>
    <row r="1865" spans="1:7" x14ac:dyDescent="0.25">
      <c r="A1865" s="75">
        <v>8006108</v>
      </c>
      <c r="B1865" s="73" t="s">
        <v>3642</v>
      </c>
      <c r="C1865" s="68">
        <v>99</v>
      </c>
      <c r="D1865" s="73" t="s">
        <v>3638</v>
      </c>
      <c r="E1865" s="77">
        <v>213.62306699971504</v>
      </c>
      <c r="F1865" s="77">
        <v>779.7398580401923</v>
      </c>
      <c r="G1865" s="76">
        <v>1.8660282658138747</v>
      </c>
    </row>
    <row r="1866" spans="1:7" x14ac:dyDescent="0.25">
      <c r="A1866" s="75">
        <v>8006401</v>
      </c>
      <c r="B1866" s="73" t="s">
        <v>3643</v>
      </c>
      <c r="C1866" s="68">
        <v>99</v>
      </c>
      <c r="D1866" s="73" t="s">
        <v>3581</v>
      </c>
      <c r="E1866" s="77">
        <v>126.45163676621728</v>
      </c>
      <c r="F1866" s="77">
        <v>104.52000000000002</v>
      </c>
      <c r="G1866" s="76">
        <v>0.67933333333333334</v>
      </c>
    </row>
    <row r="1867" spans="1:7" x14ac:dyDescent="0.25">
      <c r="A1867" s="75">
        <v>8006501</v>
      </c>
      <c r="B1867" s="73" t="s">
        <v>1629</v>
      </c>
      <c r="C1867" s="68">
        <v>99</v>
      </c>
      <c r="D1867" s="73" t="s">
        <v>3644</v>
      </c>
      <c r="E1867" s="77">
        <v>126.45163676621728</v>
      </c>
      <c r="F1867" s="77">
        <v>104.52000000000002</v>
      </c>
      <c r="G1867" s="76">
        <v>0.67933333333333334</v>
      </c>
    </row>
    <row r="1868" spans="1:7" x14ac:dyDescent="0.25">
      <c r="A1868" s="75">
        <v>8006601</v>
      </c>
      <c r="B1868" s="73" t="s">
        <v>1630</v>
      </c>
      <c r="C1868" s="68">
        <v>99</v>
      </c>
      <c r="D1868" s="73" t="s">
        <v>3644</v>
      </c>
      <c r="E1868" s="77">
        <v>126.45163676621728</v>
      </c>
      <c r="F1868" s="77">
        <v>104.52000000000002</v>
      </c>
      <c r="G1868" s="76">
        <v>0.67933333333333334</v>
      </c>
    </row>
    <row r="1869" spans="1:7" x14ac:dyDescent="0.25">
      <c r="A1869" s="75">
        <v>8006701</v>
      </c>
      <c r="B1869" s="73" t="s">
        <v>3645</v>
      </c>
      <c r="C1869" s="68">
        <v>99</v>
      </c>
      <c r="D1869" s="73" t="s">
        <v>3575</v>
      </c>
      <c r="E1869" s="77">
        <v>54.709016393442631</v>
      </c>
      <c r="F1869" s="77">
        <v>187.01099089032613</v>
      </c>
      <c r="G1869" s="76">
        <v>0.5</v>
      </c>
    </row>
    <row r="1870" spans="1:7" x14ac:dyDescent="0.25">
      <c r="A1870" s="75">
        <v>8006801</v>
      </c>
      <c r="B1870" s="73" t="s">
        <v>1631</v>
      </c>
      <c r="C1870" s="68">
        <v>99</v>
      </c>
      <c r="D1870" s="73" t="s">
        <v>3644</v>
      </c>
      <c r="E1870" s="77">
        <v>126.45163676621728</v>
      </c>
      <c r="F1870" s="77">
        <v>104.52000000000002</v>
      </c>
      <c r="G1870" s="76">
        <v>0.67933333333333334</v>
      </c>
    </row>
    <row r="1871" spans="1:7" x14ac:dyDescent="0.25">
      <c r="A1871" s="75">
        <v>8007101</v>
      </c>
      <c r="B1871" s="73" t="s">
        <v>1632</v>
      </c>
      <c r="C1871" s="68">
        <v>99</v>
      </c>
      <c r="D1871" s="73" t="s">
        <v>3646</v>
      </c>
      <c r="E1871" s="77">
        <v>117.48355292902751</v>
      </c>
      <c r="F1871" s="77">
        <v>121.83211291780502</v>
      </c>
      <c r="G1871" s="76">
        <v>1.5803041261565764</v>
      </c>
    </row>
    <row r="1872" spans="1:7" x14ac:dyDescent="0.25">
      <c r="A1872" s="75">
        <v>8007302</v>
      </c>
      <c r="B1872" s="73" t="s">
        <v>1633</v>
      </c>
      <c r="C1872" s="68">
        <v>99</v>
      </c>
      <c r="D1872" s="73" t="s">
        <v>3647</v>
      </c>
      <c r="E1872" s="77">
        <v>88.687578906198809</v>
      </c>
      <c r="F1872" s="77">
        <v>149.64251080424276</v>
      </c>
      <c r="G1872" s="76">
        <v>1.1454771326897171</v>
      </c>
    </row>
    <row r="1873" spans="1:7" x14ac:dyDescent="0.25">
      <c r="A1873" s="75">
        <v>8007501</v>
      </c>
      <c r="B1873" s="73" t="s">
        <v>1634</v>
      </c>
      <c r="C1873" s="68">
        <v>99</v>
      </c>
      <c r="D1873" s="73" t="s">
        <v>3648</v>
      </c>
      <c r="E1873" s="77">
        <v>1259.8927612529978</v>
      </c>
      <c r="F1873" s="77">
        <v>1190.0038991502176</v>
      </c>
      <c r="G1873" s="76">
        <v>4.5929320603893622</v>
      </c>
    </row>
    <row r="1874" spans="1:7" x14ac:dyDescent="0.25">
      <c r="A1874" s="75">
        <v>8008201</v>
      </c>
      <c r="B1874" s="73" t="s">
        <v>1635</v>
      </c>
      <c r="C1874" s="68">
        <v>99</v>
      </c>
      <c r="D1874" s="73" t="s">
        <v>3649</v>
      </c>
      <c r="E1874" s="77">
        <v>1274.0727884843086</v>
      </c>
      <c r="F1874" s="77">
        <v>617.38757788058865</v>
      </c>
      <c r="G1874" s="76">
        <v>1.9446748123789188</v>
      </c>
    </row>
    <row r="1875" spans="1:7" x14ac:dyDescent="0.25">
      <c r="A1875" s="75">
        <v>8008301</v>
      </c>
      <c r="B1875" s="73" t="s">
        <v>1636</v>
      </c>
      <c r="C1875" s="68">
        <v>99</v>
      </c>
      <c r="D1875" s="73" t="s">
        <v>3650</v>
      </c>
      <c r="E1875" s="77">
        <v>164.20833333333331</v>
      </c>
      <c r="F1875" s="77">
        <v>223.30833333333331</v>
      </c>
      <c r="G1875" s="76">
        <v>1.1427272727272724</v>
      </c>
    </row>
    <row r="1876" spans="1:7" x14ac:dyDescent="0.25">
      <c r="A1876" s="75">
        <v>8008305</v>
      </c>
      <c r="B1876" s="73" t="s">
        <v>1637</v>
      </c>
      <c r="C1876" s="68">
        <v>99</v>
      </c>
      <c r="D1876" s="73" t="s">
        <v>3651</v>
      </c>
      <c r="E1876" s="77">
        <v>164.20833333333331</v>
      </c>
      <c r="F1876" s="77">
        <v>223.30833333333331</v>
      </c>
      <c r="G1876" s="76">
        <v>1.1427272727272724</v>
      </c>
    </row>
    <row r="1877" spans="1:7" x14ac:dyDescent="0.25">
      <c r="A1877" s="75">
        <v>8008310</v>
      </c>
      <c r="B1877" s="73" t="s">
        <v>1080</v>
      </c>
      <c r="C1877" s="68">
        <v>99</v>
      </c>
      <c r="D1877" s="73" t="s">
        <v>3650</v>
      </c>
      <c r="E1877" s="77">
        <v>164.20833333333331</v>
      </c>
      <c r="F1877" s="77">
        <v>223.30833333333331</v>
      </c>
      <c r="G1877" s="76">
        <v>1.1427272727272724</v>
      </c>
    </row>
    <row r="1878" spans="1:7" x14ac:dyDescent="0.25">
      <c r="A1878" s="75">
        <v>8008401</v>
      </c>
      <c r="B1878" s="73" t="s">
        <v>1638</v>
      </c>
      <c r="C1878" s="68">
        <v>99</v>
      </c>
      <c r="D1878" s="73" t="s">
        <v>3652</v>
      </c>
      <c r="E1878" s="77">
        <v>164.20833333333331</v>
      </c>
      <c r="F1878" s="77">
        <v>223.30833333333331</v>
      </c>
      <c r="G1878" s="76">
        <v>1.1427272727272724</v>
      </c>
    </row>
    <row r="1879" spans="1:7" x14ac:dyDescent="0.25">
      <c r="A1879" s="75">
        <v>8008408</v>
      </c>
      <c r="B1879" s="73" t="s">
        <v>1639</v>
      </c>
      <c r="C1879" s="68">
        <v>99</v>
      </c>
      <c r="D1879" s="73" t="s">
        <v>3652</v>
      </c>
      <c r="E1879" s="77">
        <v>164.20833333333331</v>
      </c>
      <c r="F1879" s="77">
        <v>223.30833333333331</v>
      </c>
      <c r="G1879" s="76">
        <v>1.1427272727272724</v>
      </c>
    </row>
    <row r="1880" spans="1:7" x14ac:dyDescent="0.25">
      <c r="A1880" s="75">
        <v>8008410</v>
      </c>
      <c r="B1880" s="73" t="s">
        <v>1640</v>
      </c>
      <c r="C1880" s="68">
        <v>99</v>
      </c>
      <c r="D1880" s="73" t="s">
        <v>3652</v>
      </c>
      <c r="E1880" s="77">
        <v>164.20833333333331</v>
      </c>
      <c r="F1880" s="77">
        <v>223.30833333333331</v>
      </c>
      <c r="G1880" s="76">
        <v>1.1427272727272724</v>
      </c>
    </row>
    <row r="1881" spans="1:7" x14ac:dyDescent="0.25">
      <c r="A1881" s="75">
        <v>8010034</v>
      </c>
      <c r="B1881" s="73" t="s">
        <v>1641</v>
      </c>
      <c r="C1881" s="68">
        <v>99</v>
      </c>
      <c r="D1881" s="73" t="s">
        <v>3567</v>
      </c>
      <c r="E1881" s="77">
        <v>220.38464533562421</v>
      </c>
      <c r="F1881" s="77">
        <v>240.87293524101142</v>
      </c>
      <c r="G1881" s="76">
        <v>1.9781629759774799</v>
      </c>
    </row>
    <row r="1882" spans="1:7" x14ac:dyDescent="0.25">
      <c r="A1882" s="75">
        <v>8010101</v>
      </c>
      <c r="B1882" s="73" t="s">
        <v>1642</v>
      </c>
      <c r="C1882" s="68">
        <v>99</v>
      </c>
      <c r="D1882" s="73" t="s">
        <v>3653</v>
      </c>
      <c r="E1882" s="77">
        <v>119.6</v>
      </c>
      <c r="F1882" s="77">
        <v>69.44</v>
      </c>
      <c r="G1882" s="76">
        <v>0.95499999999999985</v>
      </c>
    </row>
    <row r="1883" spans="1:7" x14ac:dyDescent="0.25">
      <c r="A1883" s="75">
        <v>8010125</v>
      </c>
      <c r="B1883" s="73" t="s">
        <v>1643</v>
      </c>
      <c r="C1883" s="68">
        <v>99</v>
      </c>
      <c r="D1883" s="73" t="s">
        <v>3653</v>
      </c>
      <c r="E1883" s="77">
        <v>119.6</v>
      </c>
      <c r="F1883" s="77">
        <v>69.44</v>
      </c>
      <c r="G1883" s="76">
        <v>0.95499999999999985</v>
      </c>
    </row>
    <row r="1884" spans="1:7" x14ac:dyDescent="0.25">
      <c r="A1884" s="75">
        <v>8010127</v>
      </c>
      <c r="B1884" s="73" t="s">
        <v>1644</v>
      </c>
      <c r="C1884" s="68">
        <v>99</v>
      </c>
      <c r="D1884" s="73" t="s">
        <v>3654</v>
      </c>
      <c r="E1884" s="77">
        <v>79.444444444444443</v>
      </c>
      <c r="F1884" s="77">
        <v>1154.3725015272823</v>
      </c>
      <c r="G1884" s="76">
        <v>5.75</v>
      </c>
    </row>
    <row r="1885" spans="1:7" x14ac:dyDescent="0.25">
      <c r="A1885" s="75">
        <v>8010401</v>
      </c>
      <c r="B1885" s="73" t="s">
        <v>1645</v>
      </c>
      <c r="C1885" s="68">
        <v>99</v>
      </c>
      <c r="D1885" s="73" t="s">
        <v>3655</v>
      </c>
      <c r="E1885" s="77">
        <v>164.20833333333331</v>
      </c>
      <c r="F1885" s="77">
        <v>223.30833333333331</v>
      </c>
      <c r="G1885" s="76">
        <v>1.1427272727272724</v>
      </c>
    </row>
    <row r="1886" spans="1:7" x14ac:dyDescent="0.25">
      <c r="A1886" s="75">
        <v>8010434</v>
      </c>
      <c r="B1886" s="73" t="s">
        <v>1646</v>
      </c>
      <c r="C1886" s="68">
        <v>99</v>
      </c>
      <c r="D1886" s="73" t="s">
        <v>3655</v>
      </c>
      <c r="E1886" s="77">
        <v>164.20833333333331</v>
      </c>
      <c r="F1886" s="77">
        <v>223.30833333333331</v>
      </c>
      <c r="G1886" s="76">
        <v>1.1427272727272724</v>
      </c>
    </row>
    <row r="1887" spans="1:7" x14ac:dyDescent="0.25">
      <c r="A1887" s="75">
        <v>8010501</v>
      </c>
      <c r="B1887" s="73" t="s">
        <v>1647</v>
      </c>
      <c r="C1887" s="68">
        <v>99</v>
      </c>
      <c r="D1887" s="73" t="s">
        <v>3656</v>
      </c>
      <c r="E1887" s="77">
        <v>164.20833333333331</v>
      </c>
      <c r="F1887" s="77">
        <v>223.30833333333331</v>
      </c>
      <c r="G1887" s="76">
        <v>1.1427272727272724</v>
      </c>
    </row>
    <row r="1888" spans="1:7" x14ac:dyDescent="0.25">
      <c r="A1888" s="75">
        <v>8010534</v>
      </c>
      <c r="B1888" s="73" t="s">
        <v>1648</v>
      </c>
      <c r="C1888" s="68">
        <v>99</v>
      </c>
      <c r="D1888" s="73" t="s">
        <v>3656</v>
      </c>
      <c r="E1888" s="77">
        <v>164.20833333333331</v>
      </c>
      <c r="F1888" s="77">
        <v>223.30833333333331</v>
      </c>
      <c r="G1888" s="76">
        <v>1.1427272727272724</v>
      </c>
    </row>
    <row r="1889" spans="1:7" x14ac:dyDescent="0.25">
      <c r="A1889" s="75">
        <v>8010601</v>
      </c>
      <c r="B1889" s="73" t="s">
        <v>1649</v>
      </c>
      <c r="C1889" s="68">
        <v>99</v>
      </c>
      <c r="D1889" s="73" t="s">
        <v>3657</v>
      </c>
      <c r="E1889" s="77">
        <v>256.08078830818846</v>
      </c>
      <c r="F1889" s="77">
        <v>214.55155540345558</v>
      </c>
      <c r="G1889" s="76">
        <v>1.9644886075188359</v>
      </c>
    </row>
    <row r="1890" spans="1:7" x14ac:dyDescent="0.25">
      <c r="A1890" s="75">
        <v>8010602</v>
      </c>
      <c r="B1890" s="73" t="s">
        <v>3658</v>
      </c>
      <c r="C1890" s="68">
        <v>99</v>
      </c>
      <c r="D1890" s="73" t="s">
        <v>3659</v>
      </c>
      <c r="E1890" s="77">
        <v>316.17508943115769</v>
      </c>
      <c r="F1890" s="77">
        <v>227.83880007779527</v>
      </c>
      <c r="G1890" s="76">
        <v>2.9768405310610113</v>
      </c>
    </row>
    <row r="1891" spans="1:7" x14ac:dyDescent="0.25">
      <c r="A1891" s="75">
        <v>8010604</v>
      </c>
      <c r="B1891" s="73" t="s">
        <v>3660</v>
      </c>
      <c r="C1891" s="68">
        <v>99</v>
      </c>
      <c r="D1891" s="73" t="s">
        <v>3657</v>
      </c>
      <c r="E1891" s="77">
        <v>256.08078830818846</v>
      </c>
      <c r="F1891" s="77">
        <v>214.55155540345558</v>
      </c>
      <c r="G1891" s="76">
        <v>1.9644886075188359</v>
      </c>
    </row>
    <row r="1892" spans="1:7" x14ac:dyDescent="0.25">
      <c r="A1892" s="75">
        <v>8010605</v>
      </c>
      <c r="B1892" s="73" t="s">
        <v>3661</v>
      </c>
      <c r="C1892" s="68">
        <v>99</v>
      </c>
      <c r="D1892" s="73" t="s">
        <v>3626</v>
      </c>
      <c r="E1892" s="77">
        <v>217.25154626646386</v>
      </c>
      <c r="F1892" s="77">
        <v>184.23306660215547</v>
      </c>
      <c r="G1892" s="76">
        <v>1.7657610728046906</v>
      </c>
    </row>
    <row r="1893" spans="1:7" x14ac:dyDescent="0.25">
      <c r="A1893" s="75">
        <v>8011601</v>
      </c>
      <c r="B1893" s="73" t="s">
        <v>3662</v>
      </c>
      <c r="C1893" s="68">
        <v>99</v>
      </c>
      <c r="D1893" s="73" t="s">
        <v>3581</v>
      </c>
      <c r="E1893" s="77">
        <v>126.45163676621728</v>
      </c>
      <c r="F1893" s="77">
        <v>104.52000000000002</v>
      </c>
      <c r="G1893" s="76">
        <v>0.67933333333333334</v>
      </c>
    </row>
    <row r="1894" spans="1:7" x14ac:dyDescent="0.25">
      <c r="A1894" s="75">
        <v>8011602</v>
      </c>
      <c r="B1894" s="73" t="s">
        <v>3663</v>
      </c>
      <c r="C1894" s="68">
        <v>99</v>
      </c>
      <c r="D1894" s="73" t="s">
        <v>3576</v>
      </c>
      <c r="E1894" s="77">
        <v>126.45163676621728</v>
      </c>
      <c r="F1894" s="77">
        <v>104.52000000000002</v>
      </c>
      <c r="G1894" s="76">
        <v>0.67933333333333334</v>
      </c>
    </row>
    <row r="1895" spans="1:7" x14ac:dyDescent="0.25">
      <c r="A1895" s="75">
        <v>8011701</v>
      </c>
      <c r="B1895" s="73" t="s">
        <v>3664</v>
      </c>
      <c r="C1895" s="68">
        <v>99</v>
      </c>
      <c r="D1895" s="73" t="s">
        <v>3665</v>
      </c>
      <c r="E1895" s="77">
        <v>156.9165527826253</v>
      </c>
      <c r="F1895" s="77">
        <v>212.28077490041466</v>
      </c>
      <c r="G1895" s="76">
        <v>1.3862809186083787</v>
      </c>
    </row>
    <row r="1896" spans="1:7" x14ac:dyDescent="0.25">
      <c r="A1896" s="75">
        <v>8011801</v>
      </c>
      <c r="B1896" s="73" t="s">
        <v>3666</v>
      </c>
      <c r="C1896" s="68">
        <v>99</v>
      </c>
      <c r="D1896" s="73" t="s">
        <v>3667</v>
      </c>
      <c r="E1896" s="77">
        <v>181.16130941297382</v>
      </c>
      <c r="F1896" s="77">
        <v>136.01599999999999</v>
      </c>
      <c r="G1896" s="76">
        <v>0.81746666666666656</v>
      </c>
    </row>
    <row r="1897" spans="1:7" x14ac:dyDescent="0.25">
      <c r="A1897" s="75">
        <v>8011901</v>
      </c>
      <c r="B1897" s="73" t="s">
        <v>3668</v>
      </c>
      <c r="C1897" s="68">
        <v>99</v>
      </c>
      <c r="D1897" s="73" t="s">
        <v>2768</v>
      </c>
      <c r="E1897" s="77">
        <v>155.17500000000001</v>
      </c>
      <c r="F1897" s="77">
        <v>151.05000000000001</v>
      </c>
      <c r="G1897" s="76">
        <v>1.0449999999999999</v>
      </c>
    </row>
    <row r="1898" spans="1:7" x14ac:dyDescent="0.25">
      <c r="A1898" s="75">
        <v>8012601</v>
      </c>
      <c r="B1898" s="73" t="s">
        <v>3669</v>
      </c>
      <c r="C1898" s="68">
        <v>99</v>
      </c>
      <c r="D1898" s="73" t="s">
        <v>3560</v>
      </c>
      <c r="E1898" s="77">
        <v>159.59210161892366</v>
      </c>
      <c r="F1898" s="77">
        <v>118.21510028357207</v>
      </c>
      <c r="G1898" s="76">
        <v>0.75379559188233192</v>
      </c>
    </row>
    <row r="1899" spans="1:7" x14ac:dyDescent="0.25">
      <c r="A1899" s="75">
        <v>8012602</v>
      </c>
      <c r="B1899" s="73" t="s">
        <v>3670</v>
      </c>
      <c r="C1899" s="68">
        <v>99</v>
      </c>
      <c r="D1899" s="73" t="s">
        <v>3560</v>
      </c>
      <c r="E1899" s="77">
        <v>133.71798665541999</v>
      </c>
      <c r="F1899" s="77">
        <v>118.62519072971061</v>
      </c>
      <c r="G1899" s="76">
        <v>0.75568610283123705</v>
      </c>
    </row>
    <row r="1900" spans="1:7" x14ac:dyDescent="0.25">
      <c r="A1900" s="75">
        <v>8012701</v>
      </c>
      <c r="B1900" s="73" t="s">
        <v>3671</v>
      </c>
      <c r="C1900" s="68">
        <v>99</v>
      </c>
      <c r="D1900" s="73" t="s">
        <v>3565</v>
      </c>
      <c r="E1900" s="77">
        <v>383.33164364012958</v>
      </c>
      <c r="F1900" s="77">
        <v>299.55413544084882</v>
      </c>
      <c r="G1900" s="76">
        <v>1.8870919403607633</v>
      </c>
    </row>
    <row r="1901" spans="1:7" ht="30" x14ac:dyDescent="0.25">
      <c r="A1901" s="75">
        <v>8012702</v>
      </c>
      <c r="B1901" s="73" t="s">
        <v>3672</v>
      </c>
      <c r="C1901" s="68">
        <v>99</v>
      </c>
      <c r="D1901" s="73" t="s">
        <v>3673</v>
      </c>
      <c r="E1901" s="77">
        <v>177.79463163401388</v>
      </c>
      <c r="F1901" s="77">
        <v>861.12594890550758</v>
      </c>
      <c r="G1901" s="76">
        <v>1.9489154912835984</v>
      </c>
    </row>
    <row r="1902" spans="1:7" x14ac:dyDescent="0.25">
      <c r="A1902" s="75">
        <v>8012901</v>
      </c>
      <c r="B1902" s="73" t="s">
        <v>3674</v>
      </c>
      <c r="C1902" s="68">
        <v>99</v>
      </c>
      <c r="D1902" s="73" t="s">
        <v>3675</v>
      </c>
      <c r="E1902" s="77">
        <v>155.18171771176975</v>
      </c>
      <c r="F1902" s="77">
        <v>277.0864038057295</v>
      </c>
      <c r="G1902" s="76">
        <v>1.246785499014949</v>
      </c>
    </row>
    <row r="1903" spans="1:7" x14ac:dyDescent="0.25">
      <c r="A1903" s="75">
        <v>8013001</v>
      </c>
      <c r="B1903" s="73" t="s">
        <v>3676</v>
      </c>
      <c r="C1903" s="68">
        <v>99</v>
      </c>
      <c r="D1903" s="73" t="s">
        <v>3677</v>
      </c>
      <c r="E1903" s="77">
        <v>282.7152939054327</v>
      </c>
      <c r="F1903" s="77">
        <v>990.84839652124992</v>
      </c>
      <c r="G1903" s="76">
        <v>3.7245793569687033</v>
      </c>
    </row>
    <row r="1904" spans="1:7" x14ac:dyDescent="0.25">
      <c r="A1904" s="75">
        <v>8013201</v>
      </c>
      <c r="B1904" s="73" t="s">
        <v>3678</v>
      </c>
      <c r="C1904" s="68">
        <v>99</v>
      </c>
      <c r="D1904" s="73" t="s">
        <v>3573</v>
      </c>
      <c r="E1904" s="77">
        <v>360.18804565298893</v>
      </c>
      <c r="F1904" s="77">
        <v>261.7575551361449</v>
      </c>
      <c r="G1904" s="76">
        <v>3.3855949824945246</v>
      </c>
    </row>
    <row r="1905" spans="1:7" x14ac:dyDescent="0.25">
      <c r="A1905" s="75">
        <v>8013301</v>
      </c>
      <c r="B1905" s="73" t="s">
        <v>3679</v>
      </c>
      <c r="C1905" s="68">
        <v>99</v>
      </c>
      <c r="D1905" s="73" t="s">
        <v>3191</v>
      </c>
      <c r="E1905" s="77">
        <v>337.8664415466111</v>
      </c>
      <c r="F1905" s="77">
        <v>1092.3332179215313</v>
      </c>
      <c r="G1905" s="76">
        <v>3.7792950223009045</v>
      </c>
    </row>
    <row r="1906" spans="1:7" x14ac:dyDescent="0.25">
      <c r="A1906" s="75">
        <v>8013302</v>
      </c>
      <c r="B1906" s="73" t="s">
        <v>3680</v>
      </c>
      <c r="C1906" s="68">
        <v>99</v>
      </c>
      <c r="D1906" s="73" t="s">
        <v>3673</v>
      </c>
      <c r="E1906" s="77">
        <v>154.51321740043721</v>
      </c>
      <c r="F1906" s="77">
        <v>869.73784827441705</v>
      </c>
      <c r="G1906" s="76">
        <v>1.9886162212106058</v>
      </c>
    </row>
    <row r="1907" spans="1:7" ht="30" x14ac:dyDescent="0.25">
      <c r="A1907" s="75">
        <v>8013303</v>
      </c>
      <c r="B1907" s="73" t="s">
        <v>3681</v>
      </c>
      <c r="C1907" s="68">
        <v>99</v>
      </c>
      <c r="D1907" s="73" t="s">
        <v>3122</v>
      </c>
      <c r="E1907" s="77">
        <v>301.94893123379995</v>
      </c>
      <c r="F1907" s="77">
        <v>984.65420437356261</v>
      </c>
      <c r="G1907" s="76">
        <v>3.2615427086267927</v>
      </c>
    </row>
    <row r="1908" spans="1:7" x14ac:dyDescent="0.25">
      <c r="A1908" s="75">
        <v>8013401</v>
      </c>
      <c r="B1908" s="73" t="s">
        <v>3682</v>
      </c>
      <c r="C1908" s="68">
        <v>99</v>
      </c>
      <c r="D1908" s="73" t="s">
        <v>3573</v>
      </c>
      <c r="E1908" s="77">
        <v>360.18804565298893</v>
      </c>
      <c r="F1908" s="77">
        <v>261.7575551361449</v>
      </c>
      <c r="G1908" s="76">
        <v>3.3855949824945251</v>
      </c>
    </row>
    <row r="1909" spans="1:7" x14ac:dyDescent="0.25">
      <c r="A1909" s="75">
        <v>8013601</v>
      </c>
      <c r="B1909" s="73" t="s">
        <v>3683</v>
      </c>
      <c r="C1909" s="68">
        <v>99</v>
      </c>
      <c r="D1909" s="73" t="s">
        <v>3122</v>
      </c>
      <c r="E1909" s="77">
        <v>301.94893123379995</v>
      </c>
      <c r="F1909" s="77">
        <v>984.65420437356261</v>
      </c>
      <c r="G1909" s="76">
        <v>3.2615427086267932</v>
      </c>
    </row>
    <row r="1910" spans="1:7" x14ac:dyDescent="0.25">
      <c r="A1910" s="75">
        <v>8013701</v>
      </c>
      <c r="B1910" s="73" t="s">
        <v>3684</v>
      </c>
      <c r="C1910" s="68">
        <v>99</v>
      </c>
      <c r="D1910" s="73" t="s">
        <v>3125</v>
      </c>
      <c r="E1910" s="77">
        <v>359.46736999530901</v>
      </c>
      <c r="F1910" s="77">
        <v>254.47151074082288</v>
      </c>
      <c r="G1910" s="76">
        <v>2.0929253042248854</v>
      </c>
    </row>
    <row r="1911" spans="1:7" x14ac:dyDescent="0.25">
      <c r="A1911" s="75">
        <v>8013801</v>
      </c>
      <c r="B1911" s="73" t="s">
        <v>3685</v>
      </c>
      <c r="C1911" s="68">
        <v>99</v>
      </c>
      <c r="D1911" s="73" t="s">
        <v>3686</v>
      </c>
      <c r="E1911" s="77">
        <v>165.16130941297382</v>
      </c>
      <c r="F1911" s="77">
        <v>121.01819817806523</v>
      </c>
      <c r="G1911" s="76">
        <v>0.64346666666666663</v>
      </c>
    </row>
    <row r="1912" spans="1:7" x14ac:dyDescent="0.25">
      <c r="A1912" s="75">
        <v>8013901</v>
      </c>
      <c r="B1912" s="73" t="s">
        <v>3687</v>
      </c>
      <c r="C1912" s="68">
        <v>99</v>
      </c>
      <c r="D1912" s="73" t="s">
        <v>3688</v>
      </c>
      <c r="E1912" s="77">
        <v>345.01614573635209</v>
      </c>
      <c r="F1912" s="77">
        <v>288.52001823837327</v>
      </c>
      <c r="G1912" s="76">
        <v>1.2945333333333333</v>
      </c>
    </row>
    <row r="1913" spans="1:7" x14ac:dyDescent="0.25">
      <c r="A1913" s="75">
        <v>8080001</v>
      </c>
      <c r="B1913" s="73" t="s">
        <v>3689</v>
      </c>
      <c r="C1913" s="68">
        <v>99</v>
      </c>
      <c r="D1913" s="73" t="s">
        <v>3690</v>
      </c>
      <c r="E1913" s="77">
        <v>54.709016393442631</v>
      </c>
      <c r="F1913" s="77">
        <v>187.01099089032613</v>
      </c>
      <c r="G1913" s="76">
        <v>0.5</v>
      </c>
    </row>
    <row r="1914" spans="1:7" x14ac:dyDescent="0.25">
      <c r="A1914" s="75">
        <v>8080101</v>
      </c>
      <c r="B1914" s="73" t="s">
        <v>3691</v>
      </c>
      <c r="C1914" s="68">
        <v>99</v>
      </c>
      <c r="D1914" s="73" t="s">
        <v>2781</v>
      </c>
      <c r="E1914" s="77">
        <v>49.218840362548818</v>
      </c>
      <c r="F1914" s="77">
        <v>153.65146498307487</v>
      </c>
      <c r="G1914" s="76">
        <v>0.70431000518798814</v>
      </c>
    </row>
    <row r="1915" spans="1:7" x14ac:dyDescent="0.25">
      <c r="A1915" s="75">
        <v>8080102</v>
      </c>
      <c r="B1915" s="73" t="s">
        <v>3692</v>
      </c>
      <c r="C1915" s="68">
        <v>99</v>
      </c>
      <c r="D1915" s="73" t="s">
        <v>3693</v>
      </c>
      <c r="E1915" s="77">
        <v>136.59456651622054</v>
      </c>
      <c r="F1915" s="77">
        <v>206.65877929236885</v>
      </c>
      <c r="G1915" s="76">
        <v>1.8159149990081787</v>
      </c>
    </row>
    <row r="1916" spans="1:7" x14ac:dyDescent="0.25">
      <c r="A1916" s="75">
        <v>8080103</v>
      </c>
      <c r="B1916" s="73" t="s">
        <v>3694</v>
      </c>
      <c r="C1916" s="68">
        <v>99</v>
      </c>
      <c r="D1916" s="73" t="s">
        <v>3132</v>
      </c>
      <c r="E1916" s="77">
        <v>349.75968679249934</v>
      </c>
      <c r="F1916" s="77">
        <v>269.47616172160036</v>
      </c>
      <c r="G1916" s="76">
        <v>1.2712365658883535</v>
      </c>
    </row>
    <row r="1917" spans="1:7" x14ac:dyDescent="0.25">
      <c r="A1917" s="75">
        <v>8080104</v>
      </c>
      <c r="B1917" s="73" t="s">
        <v>3695</v>
      </c>
      <c r="C1917" s="68">
        <v>99</v>
      </c>
      <c r="D1917" s="73" t="s">
        <v>3696</v>
      </c>
      <c r="E1917" s="77">
        <v>927.02904703810373</v>
      </c>
      <c r="F1917" s="77">
        <v>901.03726485394839</v>
      </c>
      <c r="G1917" s="76">
        <v>1.6439553525347508</v>
      </c>
    </row>
    <row r="1918" spans="1:7" x14ac:dyDescent="0.25">
      <c r="A1918" s="75">
        <v>8080105</v>
      </c>
      <c r="B1918" s="73" t="s">
        <v>3697</v>
      </c>
      <c r="C1918" s="68">
        <v>99</v>
      </c>
      <c r="D1918" s="73" t="s">
        <v>3698</v>
      </c>
      <c r="E1918" s="77">
        <v>304.26324999999997</v>
      </c>
      <c r="F1918" s="77">
        <v>303.13135025293445</v>
      </c>
      <c r="G1918" s="76">
        <v>1.6478214285714285</v>
      </c>
    </row>
    <row r="1919" spans="1:7" x14ac:dyDescent="0.25">
      <c r="A1919" s="75">
        <v>8080106</v>
      </c>
      <c r="B1919" s="73" t="s">
        <v>3699</v>
      </c>
      <c r="C1919" s="68">
        <v>99</v>
      </c>
      <c r="D1919" s="73" t="s">
        <v>3700</v>
      </c>
      <c r="E1919" s="77">
        <v>192.67228238826891</v>
      </c>
      <c r="F1919" s="77">
        <v>244.97641799703581</v>
      </c>
      <c r="G1919" s="76">
        <v>1.2796403379130148</v>
      </c>
    </row>
    <row r="1920" spans="1:7" x14ac:dyDescent="0.25">
      <c r="A1920" s="75"/>
      <c r="B1920" s="72" t="s">
        <v>26</v>
      </c>
      <c r="C1920" s="68"/>
      <c r="D1920" s="73"/>
      <c r="E1920" s="77"/>
      <c r="F1920" s="77"/>
      <c r="G1920" s="76"/>
    </row>
    <row r="1921" spans="1:7" x14ac:dyDescent="0.25">
      <c r="A1921" s="75">
        <v>8100101</v>
      </c>
      <c r="B1921" s="73" t="s">
        <v>969</v>
      </c>
      <c r="C1921" s="68">
        <v>1</v>
      </c>
      <c r="D1921" s="73" t="s">
        <v>3701</v>
      </c>
      <c r="E1921" s="77">
        <v>5010.7886469206915</v>
      </c>
      <c r="F1921" s="77">
        <v>4697.7394306734259</v>
      </c>
      <c r="G1921" s="76">
        <v>3.5342261597554812</v>
      </c>
    </row>
    <row r="1922" spans="1:7" x14ac:dyDescent="0.25">
      <c r="A1922" s="75">
        <v>8100101</v>
      </c>
      <c r="B1922" s="73" t="s">
        <v>969</v>
      </c>
      <c r="C1922" s="68">
        <v>2</v>
      </c>
      <c r="D1922" s="73" t="s">
        <v>3702</v>
      </c>
      <c r="E1922" s="77">
        <v>4773.1984794076079</v>
      </c>
      <c r="F1922" s="77">
        <v>4474.3508793587034</v>
      </c>
      <c r="G1922" s="76">
        <v>3.4111731289135867</v>
      </c>
    </row>
    <row r="1923" spans="1:7" x14ac:dyDescent="0.25">
      <c r="A1923" s="75">
        <v>8100101</v>
      </c>
      <c r="B1923" s="73" t="s">
        <v>969</v>
      </c>
      <c r="C1923" s="68">
        <v>3</v>
      </c>
      <c r="D1923" s="73" t="s">
        <v>3701</v>
      </c>
      <c r="E1923" s="77">
        <v>5020.3111469206915</v>
      </c>
      <c r="F1923" s="77">
        <v>4697.7394306734259</v>
      </c>
      <c r="G1923" s="76">
        <v>3.5342261597554812</v>
      </c>
    </row>
    <row r="1924" spans="1:7" x14ac:dyDescent="0.25">
      <c r="A1924" s="75">
        <v>8100101</v>
      </c>
      <c r="B1924" s="73" t="s">
        <v>969</v>
      </c>
      <c r="C1924" s="68">
        <v>4</v>
      </c>
      <c r="D1924" s="73" t="s">
        <v>3701</v>
      </c>
      <c r="E1924" s="77">
        <v>3507.552052844484</v>
      </c>
      <c r="F1924" s="77">
        <v>3288.4176014713971</v>
      </c>
      <c r="G1924" s="76">
        <v>2.4739583118288366</v>
      </c>
    </row>
    <row r="1925" spans="1:7" x14ac:dyDescent="0.25">
      <c r="A1925" s="75">
        <v>8100101</v>
      </c>
      <c r="B1925" s="73" t="s">
        <v>969</v>
      </c>
      <c r="C1925" s="68">
        <v>6</v>
      </c>
      <c r="D1925" s="73" t="s">
        <v>3702</v>
      </c>
      <c r="E1925" s="77">
        <v>4783.990646074275</v>
      </c>
      <c r="F1925" s="77">
        <v>4474.3508793587034</v>
      </c>
      <c r="G1925" s="76">
        <v>3.4111731289135867</v>
      </c>
    </row>
    <row r="1926" spans="1:7" x14ac:dyDescent="0.25">
      <c r="A1926" s="75">
        <v>8100101</v>
      </c>
      <c r="B1926" s="73" t="s">
        <v>969</v>
      </c>
      <c r="C1926" s="68">
        <v>7</v>
      </c>
      <c r="D1926" s="73" t="s">
        <v>3703</v>
      </c>
      <c r="E1926" s="77">
        <v>4636.1582218337035</v>
      </c>
      <c r="F1926" s="77">
        <v>4356.2645201449759</v>
      </c>
      <c r="G1926" s="76">
        <v>3.5554880669750424</v>
      </c>
    </row>
    <row r="1927" spans="1:7" x14ac:dyDescent="0.25">
      <c r="A1927" s="75">
        <v>8100101</v>
      </c>
      <c r="B1927" s="73" t="s">
        <v>969</v>
      </c>
      <c r="C1927" s="68">
        <v>8</v>
      </c>
      <c r="D1927" s="73" t="s">
        <v>3701</v>
      </c>
      <c r="E1927" s="77">
        <v>5010.7886469206915</v>
      </c>
      <c r="F1927" s="77">
        <v>4697.7394306734259</v>
      </c>
      <c r="G1927" s="76">
        <v>3.5342261597554812</v>
      </c>
    </row>
    <row r="1928" spans="1:7" x14ac:dyDescent="0.25">
      <c r="A1928" s="75">
        <v>8100101</v>
      </c>
      <c r="B1928" s="73" t="s">
        <v>969</v>
      </c>
      <c r="C1928" s="68">
        <v>9</v>
      </c>
      <c r="D1928" s="73" t="s">
        <v>3702</v>
      </c>
      <c r="E1928" s="77">
        <v>4785.8951460742737</v>
      </c>
      <c r="F1928" s="77">
        <v>4474.3508793587043</v>
      </c>
      <c r="G1928" s="76">
        <v>3.4111731289135871</v>
      </c>
    </row>
    <row r="1929" spans="1:7" x14ac:dyDescent="0.25">
      <c r="A1929" s="75">
        <v>8100101</v>
      </c>
      <c r="B1929" s="73" t="s">
        <v>969</v>
      </c>
      <c r="C1929" s="68">
        <v>99</v>
      </c>
      <c r="D1929" s="73" t="s">
        <v>3701</v>
      </c>
      <c r="E1929" s="77">
        <v>5020.3111469206915</v>
      </c>
      <c r="F1929" s="77">
        <v>4697.7394306734259</v>
      </c>
      <c r="G1929" s="76">
        <v>3.5342261597554812</v>
      </c>
    </row>
    <row r="1930" spans="1:7" x14ac:dyDescent="0.25">
      <c r="A1930" s="75">
        <v>8100102</v>
      </c>
      <c r="B1930" s="73" t="s">
        <v>1278</v>
      </c>
      <c r="C1930" s="68">
        <v>1</v>
      </c>
      <c r="D1930" s="73" t="s">
        <v>3701</v>
      </c>
      <c r="E1930" s="77">
        <v>5010.7886469206915</v>
      </c>
      <c r="F1930" s="77">
        <v>4697.7394306734259</v>
      </c>
      <c r="G1930" s="76">
        <v>3.5342261597554812</v>
      </c>
    </row>
    <row r="1931" spans="1:7" x14ac:dyDescent="0.25">
      <c r="A1931" s="75">
        <v>8100102</v>
      </c>
      <c r="B1931" s="73" t="s">
        <v>1278</v>
      </c>
      <c r="C1931" s="68">
        <v>2</v>
      </c>
      <c r="D1931" s="73" t="s">
        <v>3702</v>
      </c>
      <c r="E1931" s="77">
        <v>4773.1984794076079</v>
      </c>
      <c r="F1931" s="77">
        <v>4474.3508793587034</v>
      </c>
      <c r="G1931" s="76">
        <v>3.4111731289135867</v>
      </c>
    </row>
    <row r="1932" spans="1:7" x14ac:dyDescent="0.25">
      <c r="A1932" s="75">
        <v>8100102</v>
      </c>
      <c r="B1932" s="73" t="s">
        <v>1278</v>
      </c>
      <c r="C1932" s="68">
        <v>3</v>
      </c>
      <c r="D1932" s="73" t="s">
        <v>3701</v>
      </c>
      <c r="E1932" s="77">
        <v>5020.3111469206915</v>
      </c>
      <c r="F1932" s="77">
        <v>4697.7394306734259</v>
      </c>
      <c r="G1932" s="76">
        <v>3.5342261597554812</v>
      </c>
    </row>
    <row r="1933" spans="1:7" x14ac:dyDescent="0.25">
      <c r="A1933" s="75">
        <v>8100102</v>
      </c>
      <c r="B1933" s="73" t="s">
        <v>1278</v>
      </c>
      <c r="C1933" s="68">
        <v>4</v>
      </c>
      <c r="D1933" s="73" t="s">
        <v>3701</v>
      </c>
      <c r="E1933" s="77">
        <v>3507.552052844484</v>
      </c>
      <c r="F1933" s="77">
        <v>3288.4176014713971</v>
      </c>
      <c r="G1933" s="76">
        <v>2.4739583118288366</v>
      </c>
    </row>
    <row r="1934" spans="1:7" x14ac:dyDescent="0.25">
      <c r="A1934" s="75">
        <v>8100102</v>
      </c>
      <c r="B1934" s="73" t="s">
        <v>1278</v>
      </c>
      <c r="C1934" s="68">
        <v>6</v>
      </c>
      <c r="D1934" s="73" t="s">
        <v>3702</v>
      </c>
      <c r="E1934" s="77">
        <v>4783.990646074275</v>
      </c>
      <c r="F1934" s="77">
        <v>4474.3508793587034</v>
      </c>
      <c r="G1934" s="76">
        <v>3.4111731289135867</v>
      </c>
    </row>
    <row r="1935" spans="1:7" x14ac:dyDescent="0.25">
      <c r="A1935" s="75">
        <v>8100102</v>
      </c>
      <c r="B1935" s="73" t="s">
        <v>1278</v>
      </c>
      <c r="C1935" s="68">
        <v>7</v>
      </c>
      <c r="D1935" s="73" t="s">
        <v>3703</v>
      </c>
      <c r="E1935" s="77">
        <v>4636.1582218337035</v>
      </c>
      <c r="F1935" s="77">
        <v>4356.2645201449759</v>
      </c>
      <c r="G1935" s="76">
        <v>3.5554880669750424</v>
      </c>
    </row>
    <row r="1936" spans="1:7" x14ac:dyDescent="0.25">
      <c r="A1936" s="75">
        <v>8100102</v>
      </c>
      <c r="B1936" s="73" t="s">
        <v>1278</v>
      </c>
      <c r="C1936" s="68">
        <v>8</v>
      </c>
      <c r="D1936" s="73" t="s">
        <v>3701</v>
      </c>
      <c r="E1936" s="77">
        <v>5010.7886469206915</v>
      </c>
      <c r="F1936" s="77">
        <v>4697.7394306734259</v>
      </c>
      <c r="G1936" s="76">
        <v>3.5342261597554812</v>
      </c>
    </row>
    <row r="1937" spans="1:7" x14ac:dyDescent="0.25">
      <c r="A1937" s="75">
        <v>8100102</v>
      </c>
      <c r="B1937" s="73" t="s">
        <v>1278</v>
      </c>
      <c r="C1937" s="68">
        <v>9</v>
      </c>
      <c r="D1937" s="73" t="s">
        <v>3702</v>
      </c>
      <c r="E1937" s="77">
        <v>4785.8951460742746</v>
      </c>
      <c r="F1937" s="77">
        <v>4474.3508793587034</v>
      </c>
      <c r="G1937" s="76">
        <v>3.4111731289135867</v>
      </c>
    </row>
    <row r="1938" spans="1:7" x14ac:dyDescent="0.25">
      <c r="A1938" s="75">
        <v>8100102</v>
      </c>
      <c r="B1938" s="73" t="s">
        <v>1278</v>
      </c>
      <c r="C1938" s="68">
        <v>99</v>
      </c>
      <c r="D1938" s="73" t="s">
        <v>3701</v>
      </c>
      <c r="E1938" s="77">
        <v>5020.3111469206915</v>
      </c>
      <c r="F1938" s="77">
        <v>4697.7394306734259</v>
      </c>
      <c r="G1938" s="76">
        <v>3.5342261597554812</v>
      </c>
    </row>
    <row r="1939" spans="1:7" x14ac:dyDescent="0.25">
      <c r="A1939" s="75">
        <v>8100103</v>
      </c>
      <c r="B1939" s="73" t="s">
        <v>1279</v>
      </c>
      <c r="C1939" s="68">
        <v>1</v>
      </c>
      <c r="D1939" s="73" t="s">
        <v>3701</v>
      </c>
      <c r="E1939" s="77">
        <v>5010.7886469206915</v>
      </c>
      <c r="F1939" s="77">
        <v>4697.7394306734259</v>
      </c>
      <c r="G1939" s="76">
        <v>3.5342261597554812</v>
      </c>
    </row>
    <row r="1940" spans="1:7" x14ac:dyDescent="0.25">
      <c r="A1940" s="75">
        <v>8100103</v>
      </c>
      <c r="B1940" s="73" t="s">
        <v>1279</v>
      </c>
      <c r="C1940" s="68">
        <v>2</v>
      </c>
      <c r="D1940" s="73" t="s">
        <v>3702</v>
      </c>
      <c r="E1940" s="77">
        <v>4773.1984794076079</v>
      </c>
      <c r="F1940" s="77">
        <v>4474.3508793587043</v>
      </c>
      <c r="G1940" s="76">
        <v>3.4111731289135867</v>
      </c>
    </row>
    <row r="1941" spans="1:7" x14ac:dyDescent="0.25">
      <c r="A1941" s="75">
        <v>8100103</v>
      </c>
      <c r="B1941" s="73" t="s">
        <v>1279</v>
      </c>
      <c r="C1941" s="68">
        <v>3</v>
      </c>
      <c r="D1941" s="73" t="s">
        <v>3701</v>
      </c>
      <c r="E1941" s="77">
        <v>5020.3111469206915</v>
      </c>
      <c r="F1941" s="77">
        <v>4697.7394306734259</v>
      </c>
      <c r="G1941" s="76">
        <v>3.5342261597554812</v>
      </c>
    </row>
    <row r="1942" spans="1:7" x14ac:dyDescent="0.25">
      <c r="A1942" s="75">
        <v>8100103</v>
      </c>
      <c r="B1942" s="73" t="s">
        <v>1279</v>
      </c>
      <c r="C1942" s="68">
        <v>7</v>
      </c>
      <c r="D1942" s="73" t="s">
        <v>3703</v>
      </c>
      <c r="E1942" s="77">
        <v>4636.1582218337035</v>
      </c>
      <c r="F1942" s="77">
        <v>4356.2645201449759</v>
      </c>
      <c r="G1942" s="76">
        <v>3.5554880669750424</v>
      </c>
    </row>
    <row r="1943" spans="1:7" x14ac:dyDescent="0.25">
      <c r="A1943" s="75">
        <v>8100103</v>
      </c>
      <c r="B1943" s="73" t="s">
        <v>1279</v>
      </c>
      <c r="C1943" s="68">
        <v>99</v>
      </c>
      <c r="D1943" s="73" t="s">
        <v>3701</v>
      </c>
      <c r="E1943" s="77">
        <v>5020.3111469206915</v>
      </c>
      <c r="F1943" s="77">
        <v>4697.7394306734259</v>
      </c>
      <c r="G1943" s="76">
        <v>3.5342261597554812</v>
      </c>
    </row>
    <row r="1944" spans="1:7" x14ac:dyDescent="0.25">
      <c r="A1944" s="75">
        <v>8100201</v>
      </c>
      <c r="B1944" s="73" t="s">
        <v>1280</v>
      </c>
      <c r="C1944" s="68">
        <v>1</v>
      </c>
      <c r="D1944" s="73" t="s">
        <v>3701</v>
      </c>
      <c r="E1944" s="77">
        <v>5010.7886469206915</v>
      </c>
      <c r="F1944" s="77">
        <v>4697.7394306734259</v>
      </c>
      <c r="G1944" s="76">
        <v>3.5342261597554812</v>
      </c>
    </row>
    <row r="1945" spans="1:7" x14ac:dyDescent="0.25">
      <c r="A1945" s="75">
        <v>8100201</v>
      </c>
      <c r="B1945" s="73" t="s">
        <v>1280</v>
      </c>
      <c r="C1945" s="68">
        <v>2</v>
      </c>
      <c r="D1945" s="73" t="s">
        <v>3702</v>
      </c>
      <c r="E1945" s="77">
        <v>4773.1984794076079</v>
      </c>
      <c r="F1945" s="77">
        <v>4474.3508793587034</v>
      </c>
      <c r="G1945" s="76">
        <v>3.4111731289135867</v>
      </c>
    </row>
    <row r="1946" spans="1:7" x14ac:dyDescent="0.25">
      <c r="A1946" s="75">
        <v>8100201</v>
      </c>
      <c r="B1946" s="73" t="s">
        <v>1280</v>
      </c>
      <c r="C1946" s="68">
        <v>3</v>
      </c>
      <c r="D1946" s="73" t="s">
        <v>3701</v>
      </c>
      <c r="E1946" s="77">
        <v>5020.3111469206915</v>
      </c>
      <c r="F1946" s="77">
        <v>4697.7394306734259</v>
      </c>
      <c r="G1946" s="76">
        <v>3.5342261597554812</v>
      </c>
    </row>
    <row r="1947" spans="1:7" x14ac:dyDescent="0.25">
      <c r="A1947" s="75">
        <v>8100201</v>
      </c>
      <c r="B1947" s="73" t="s">
        <v>1280</v>
      </c>
      <c r="C1947" s="68">
        <v>7</v>
      </c>
      <c r="D1947" s="73" t="s">
        <v>3703</v>
      </c>
      <c r="E1947" s="77">
        <v>4636.1582218337035</v>
      </c>
      <c r="F1947" s="77">
        <v>4356.2645201449759</v>
      </c>
      <c r="G1947" s="76">
        <v>3.5554880669750424</v>
      </c>
    </row>
    <row r="1948" spans="1:7" x14ac:dyDescent="0.25">
      <c r="A1948" s="75">
        <v>8100201</v>
      </c>
      <c r="B1948" s="73" t="s">
        <v>1280</v>
      </c>
      <c r="C1948" s="68">
        <v>8</v>
      </c>
      <c r="D1948" s="73" t="s">
        <v>3701</v>
      </c>
      <c r="E1948" s="77">
        <v>5010.7886469206915</v>
      </c>
      <c r="F1948" s="77">
        <v>4697.7394306734259</v>
      </c>
      <c r="G1948" s="76">
        <v>3.5342261597554812</v>
      </c>
    </row>
    <row r="1949" spans="1:7" x14ac:dyDescent="0.25">
      <c r="A1949" s="75">
        <v>8100201</v>
      </c>
      <c r="B1949" s="73" t="s">
        <v>1280</v>
      </c>
      <c r="C1949" s="68">
        <v>9</v>
      </c>
      <c r="D1949" s="73" t="s">
        <v>3702</v>
      </c>
      <c r="E1949" s="77">
        <v>4785.8951460742746</v>
      </c>
      <c r="F1949" s="77">
        <v>4474.3508793587034</v>
      </c>
      <c r="G1949" s="76">
        <v>3.4111731289135867</v>
      </c>
    </row>
    <row r="1950" spans="1:7" x14ac:dyDescent="0.25">
      <c r="A1950" s="75">
        <v>8100201</v>
      </c>
      <c r="B1950" s="73" t="s">
        <v>1280</v>
      </c>
      <c r="C1950" s="68">
        <v>99</v>
      </c>
      <c r="D1950" s="73" t="s">
        <v>3701</v>
      </c>
      <c r="E1950" s="77">
        <v>5020.3111469206915</v>
      </c>
      <c r="F1950" s="77">
        <v>4697.7394306734259</v>
      </c>
      <c r="G1950" s="76">
        <v>3.5342261597554812</v>
      </c>
    </row>
    <row r="1951" spans="1:7" x14ac:dyDescent="0.25">
      <c r="A1951" s="75">
        <v>8100202</v>
      </c>
      <c r="B1951" s="73" t="s">
        <v>1281</v>
      </c>
      <c r="C1951" s="68">
        <v>1</v>
      </c>
      <c r="D1951" s="73" t="s">
        <v>3701</v>
      </c>
      <c r="E1951" s="77">
        <v>5010.7886469206915</v>
      </c>
      <c r="F1951" s="77">
        <v>4697.7394306734259</v>
      </c>
      <c r="G1951" s="76">
        <v>3.5342261597554812</v>
      </c>
    </row>
    <row r="1952" spans="1:7" x14ac:dyDescent="0.25">
      <c r="A1952" s="75">
        <v>8100202</v>
      </c>
      <c r="B1952" s="73" t="s">
        <v>1281</v>
      </c>
      <c r="C1952" s="68">
        <v>7</v>
      </c>
      <c r="D1952" s="73" t="s">
        <v>3703</v>
      </c>
      <c r="E1952" s="77">
        <v>4636.1582218337035</v>
      </c>
      <c r="F1952" s="77">
        <v>4356.2645201449759</v>
      </c>
      <c r="G1952" s="76">
        <v>3.5554880669750424</v>
      </c>
    </row>
    <row r="1953" spans="1:7" x14ac:dyDescent="0.25">
      <c r="A1953" s="75">
        <v>8100502</v>
      </c>
      <c r="B1953" s="73" t="s">
        <v>1282</v>
      </c>
      <c r="C1953" s="68">
        <v>1</v>
      </c>
      <c r="D1953" s="73" t="s">
        <v>3704</v>
      </c>
      <c r="E1953" s="77">
        <v>2104.3910714285716</v>
      </c>
      <c r="F1953" s="77">
        <v>1249.1428571428573</v>
      </c>
      <c r="G1953" s="76">
        <v>7.4285714285714288</v>
      </c>
    </row>
    <row r="1954" spans="1:7" x14ac:dyDescent="0.25">
      <c r="A1954" s="75">
        <v>8100502</v>
      </c>
      <c r="B1954" s="73" t="s">
        <v>1282</v>
      </c>
      <c r="C1954" s="68">
        <v>2</v>
      </c>
      <c r="D1954" s="73" t="s">
        <v>3705</v>
      </c>
      <c r="E1954" s="77">
        <v>1976.3171428571429</v>
      </c>
      <c r="F1954" s="77">
        <v>1208.1508667391049</v>
      </c>
      <c r="G1954" s="76">
        <v>7.2471428571428582</v>
      </c>
    </row>
    <row r="1955" spans="1:7" x14ac:dyDescent="0.25">
      <c r="A1955" s="75">
        <v>8100502</v>
      </c>
      <c r="B1955" s="73" t="s">
        <v>1282</v>
      </c>
      <c r="C1955" s="68">
        <v>5</v>
      </c>
      <c r="D1955" s="73" t="s">
        <v>3705</v>
      </c>
      <c r="E1955" s="77">
        <v>1985.839642857143</v>
      </c>
      <c r="F1955" s="77">
        <v>1208.1508667391049</v>
      </c>
      <c r="G1955" s="76">
        <v>7.2471428571428582</v>
      </c>
    </row>
    <row r="1956" spans="1:7" x14ac:dyDescent="0.25">
      <c r="A1956" s="75">
        <v>8100502</v>
      </c>
      <c r="B1956" s="73" t="s">
        <v>1282</v>
      </c>
      <c r="C1956" s="68">
        <v>6</v>
      </c>
      <c r="D1956" s="73" t="s">
        <v>3706</v>
      </c>
      <c r="E1956" s="77">
        <v>1703.7052476100043</v>
      </c>
      <c r="F1956" s="77">
        <v>1007.8657295506256</v>
      </c>
      <c r="G1956" s="76">
        <v>6.0076661700647467</v>
      </c>
    </row>
    <row r="1957" spans="1:7" x14ac:dyDescent="0.25">
      <c r="A1957" s="75">
        <v>8100502</v>
      </c>
      <c r="B1957" s="73" t="s">
        <v>1282</v>
      </c>
      <c r="C1957" s="68">
        <v>7</v>
      </c>
      <c r="D1957" s="73" t="s">
        <v>3705</v>
      </c>
      <c r="E1957" s="77">
        <v>1985.839642857143</v>
      </c>
      <c r="F1957" s="77">
        <v>1208.1508667391049</v>
      </c>
      <c r="G1957" s="76">
        <v>7.2471428571428582</v>
      </c>
    </row>
    <row r="1958" spans="1:7" x14ac:dyDescent="0.25">
      <c r="A1958" s="75">
        <v>8100502</v>
      </c>
      <c r="B1958" s="73" t="s">
        <v>1282</v>
      </c>
      <c r="C1958" s="68">
        <v>8</v>
      </c>
      <c r="D1958" s="73" t="s">
        <v>3704</v>
      </c>
      <c r="E1958" s="77">
        <v>2071.4285714285716</v>
      </c>
      <c r="F1958" s="77">
        <v>1249.1428571428573</v>
      </c>
      <c r="G1958" s="76">
        <v>7.4285714285714288</v>
      </c>
    </row>
    <row r="1959" spans="1:7" x14ac:dyDescent="0.25">
      <c r="A1959" s="75">
        <v>8100502</v>
      </c>
      <c r="B1959" s="73" t="s">
        <v>1282</v>
      </c>
      <c r="C1959" s="68">
        <v>99</v>
      </c>
      <c r="D1959" s="73" t="s">
        <v>3704</v>
      </c>
      <c r="E1959" s="77">
        <v>2071.4285714285716</v>
      </c>
      <c r="F1959" s="77">
        <v>1249.1428571428573</v>
      </c>
      <c r="G1959" s="76">
        <v>7.4285714285714288</v>
      </c>
    </row>
    <row r="1960" spans="1:7" x14ac:dyDescent="0.25">
      <c r="A1960" s="75">
        <v>8100802</v>
      </c>
      <c r="B1960" s="73" t="s">
        <v>1650</v>
      </c>
      <c r="C1960" s="68">
        <v>99</v>
      </c>
      <c r="D1960" s="73" t="s">
        <v>3707</v>
      </c>
      <c r="E1960" s="77">
        <v>1161.961524390244</v>
      </c>
      <c r="F1960" s="77">
        <v>1059.5221291548614</v>
      </c>
      <c r="G1960" s="76">
        <v>2.780487804878049</v>
      </c>
    </row>
    <row r="1961" spans="1:7" x14ac:dyDescent="0.25">
      <c r="A1961" s="75">
        <v>8101005</v>
      </c>
      <c r="B1961" s="73" t="s">
        <v>958</v>
      </c>
      <c r="C1961" s="68">
        <v>1</v>
      </c>
      <c r="D1961" s="73" t="s">
        <v>3300</v>
      </c>
      <c r="E1961" s="77">
        <v>1000.8449999999999</v>
      </c>
      <c r="F1961" s="77">
        <v>705.28692703272895</v>
      </c>
      <c r="G1961" s="76">
        <v>2.09</v>
      </c>
    </row>
    <row r="1962" spans="1:7" x14ac:dyDescent="0.25">
      <c r="A1962" s="75">
        <v>8101005</v>
      </c>
      <c r="B1962" s="73" t="s">
        <v>958</v>
      </c>
      <c r="C1962" s="68">
        <v>2</v>
      </c>
      <c r="D1962" s="73" t="s">
        <v>3300</v>
      </c>
      <c r="E1962" s="77">
        <v>973.01</v>
      </c>
      <c r="F1962" s="77">
        <v>705.28692703272895</v>
      </c>
      <c r="G1962" s="76">
        <v>2.09</v>
      </c>
    </row>
    <row r="1963" spans="1:7" x14ac:dyDescent="0.25">
      <c r="A1963" s="75">
        <v>8101005</v>
      </c>
      <c r="B1963" s="73" t="s">
        <v>958</v>
      </c>
      <c r="C1963" s="68">
        <v>3</v>
      </c>
      <c r="D1963" s="73" t="s">
        <v>3300</v>
      </c>
      <c r="E1963" s="77">
        <v>973.01</v>
      </c>
      <c r="F1963" s="77">
        <v>705.28692703272895</v>
      </c>
      <c r="G1963" s="76">
        <v>2.09</v>
      </c>
    </row>
    <row r="1964" spans="1:7" x14ac:dyDescent="0.25">
      <c r="A1964" s="75">
        <v>8101005</v>
      </c>
      <c r="B1964" s="73" t="s">
        <v>958</v>
      </c>
      <c r="C1964" s="68">
        <v>4</v>
      </c>
      <c r="D1964" s="73" t="s">
        <v>3300</v>
      </c>
      <c r="E1964" s="77">
        <v>934.92</v>
      </c>
      <c r="F1964" s="77">
        <v>705.28692703272895</v>
      </c>
      <c r="G1964" s="76">
        <v>2.09</v>
      </c>
    </row>
    <row r="1965" spans="1:7" x14ac:dyDescent="0.25">
      <c r="A1965" s="75">
        <v>8101005</v>
      </c>
      <c r="B1965" s="73" t="s">
        <v>958</v>
      </c>
      <c r="C1965" s="68">
        <v>7</v>
      </c>
      <c r="D1965" s="73" t="s">
        <v>3300</v>
      </c>
      <c r="E1965" s="77">
        <v>947.61666666666667</v>
      </c>
      <c r="F1965" s="77">
        <v>705.28692703272895</v>
      </c>
      <c r="G1965" s="76">
        <v>2.09</v>
      </c>
    </row>
    <row r="1966" spans="1:7" x14ac:dyDescent="0.25">
      <c r="A1966" s="75">
        <v>8101005</v>
      </c>
      <c r="B1966" s="73" t="s">
        <v>958</v>
      </c>
      <c r="C1966" s="68">
        <v>8</v>
      </c>
      <c r="D1966" s="73" t="s">
        <v>3300</v>
      </c>
      <c r="E1966" s="77">
        <v>934.92</v>
      </c>
      <c r="F1966" s="77">
        <v>705.28692703272895</v>
      </c>
      <c r="G1966" s="76">
        <v>2.09</v>
      </c>
    </row>
    <row r="1967" spans="1:7" x14ac:dyDescent="0.25">
      <c r="A1967" s="75">
        <v>8101005</v>
      </c>
      <c r="B1967" s="73" t="s">
        <v>958</v>
      </c>
      <c r="C1967" s="68">
        <v>99</v>
      </c>
      <c r="D1967" s="73" t="s">
        <v>3300</v>
      </c>
      <c r="E1967" s="77">
        <v>947.61666666666667</v>
      </c>
      <c r="F1967" s="77">
        <v>705.28692703272895</v>
      </c>
      <c r="G1967" s="76">
        <v>2.09</v>
      </c>
    </row>
    <row r="1968" spans="1:7" x14ac:dyDescent="0.25">
      <c r="A1968" s="75">
        <v>8101101</v>
      </c>
      <c r="B1968" s="73" t="s">
        <v>1283</v>
      </c>
      <c r="C1968" s="68">
        <v>1</v>
      </c>
      <c r="D1968" s="73" t="s">
        <v>3708</v>
      </c>
      <c r="E1968" s="77">
        <v>636.53392857142865</v>
      </c>
      <c r="F1968" s="77">
        <v>1249.1428571428573</v>
      </c>
      <c r="G1968" s="76">
        <v>7.4285714285714288</v>
      </c>
    </row>
    <row r="1969" spans="1:7" x14ac:dyDescent="0.25">
      <c r="A1969" s="75">
        <v>8101101</v>
      </c>
      <c r="B1969" s="73" t="s">
        <v>1283</v>
      </c>
      <c r="C1969" s="68">
        <v>7</v>
      </c>
      <c r="D1969" s="73" t="s">
        <v>3476</v>
      </c>
      <c r="E1969" s="77">
        <v>501.755</v>
      </c>
      <c r="F1969" s="77">
        <v>1026.6303049067806</v>
      </c>
      <c r="G1969" s="76">
        <v>6.2299999999999995</v>
      </c>
    </row>
    <row r="1970" spans="1:7" x14ac:dyDescent="0.25">
      <c r="A1970" s="75">
        <v>8101101</v>
      </c>
      <c r="B1970" s="73" t="s">
        <v>1283</v>
      </c>
      <c r="C1970" s="68">
        <v>8</v>
      </c>
      <c r="D1970" s="73" t="s">
        <v>3708</v>
      </c>
      <c r="E1970" s="77">
        <v>603.57142857142867</v>
      </c>
      <c r="F1970" s="77">
        <v>1249.1428571428573</v>
      </c>
      <c r="G1970" s="76">
        <v>7.4285714285714288</v>
      </c>
    </row>
    <row r="1971" spans="1:7" x14ac:dyDescent="0.25">
      <c r="A1971" s="75">
        <v>8101101</v>
      </c>
      <c r="B1971" s="73" t="s">
        <v>1283</v>
      </c>
      <c r="C1971" s="68">
        <v>99</v>
      </c>
      <c r="D1971" s="73" t="s">
        <v>3708</v>
      </c>
      <c r="E1971" s="77">
        <v>603.57142857142867</v>
      </c>
      <c r="F1971" s="77">
        <v>1249.1428571428573</v>
      </c>
      <c r="G1971" s="76">
        <v>7.4285714285714288</v>
      </c>
    </row>
    <row r="1972" spans="1:7" x14ac:dyDescent="0.25">
      <c r="A1972" s="75">
        <v>8102101</v>
      </c>
      <c r="B1972" s="73" t="s">
        <v>1081</v>
      </c>
      <c r="C1972" s="68">
        <v>1</v>
      </c>
      <c r="D1972" s="73" t="s">
        <v>3427</v>
      </c>
      <c r="E1972" s="77">
        <v>354.17462121212117</v>
      </c>
      <c r="F1972" s="77">
        <v>1163.6363636363635</v>
      </c>
      <c r="G1972" s="76">
        <v>4.7272727272727266</v>
      </c>
    </row>
    <row r="1973" spans="1:7" x14ac:dyDescent="0.25">
      <c r="A1973" s="75">
        <v>8102101</v>
      </c>
      <c r="B1973" s="73" t="s">
        <v>3709</v>
      </c>
      <c r="C1973" s="68">
        <v>2</v>
      </c>
      <c r="D1973" s="73" t="s">
        <v>3427</v>
      </c>
      <c r="E1973" s="77">
        <v>321.21212121212119</v>
      </c>
      <c r="F1973" s="77">
        <v>1163.6363636363635</v>
      </c>
      <c r="G1973" s="76">
        <v>4.7272727272727266</v>
      </c>
    </row>
    <row r="1974" spans="1:7" x14ac:dyDescent="0.25">
      <c r="A1974" s="75">
        <v>8102101</v>
      </c>
      <c r="B1974" s="73" t="s">
        <v>1081</v>
      </c>
      <c r="C1974" s="68">
        <v>3</v>
      </c>
      <c r="D1974" s="73" t="s">
        <v>3427</v>
      </c>
      <c r="E1974" s="77">
        <v>321.21212121212119</v>
      </c>
      <c r="F1974" s="77">
        <v>1163.6363636363635</v>
      </c>
      <c r="G1974" s="76">
        <v>4.7272727272727266</v>
      </c>
    </row>
    <row r="1975" spans="1:7" x14ac:dyDescent="0.25">
      <c r="A1975" s="75">
        <v>8102101</v>
      </c>
      <c r="B1975" s="73" t="s">
        <v>1081</v>
      </c>
      <c r="C1975" s="68">
        <v>4</v>
      </c>
      <c r="D1975" s="73" t="s">
        <v>3710</v>
      </c>
      <c r="E1975" s="77">
        <v>353.33333333333337</v>
      </c>
      <c r="F1975" s="77">
        <v>1280</v>
      </c>
      <c r="G1975" s="76">
        <v>5.2</v>
      </c>
    </row>
    <row r="1976" spans="1:7" x14ac:dyDescent="0.25">
      <c r="A1976" s="75">
        <v>8102101</v>
      </c>
      <c r="B1976" s="73" t="s">
        <v>1081</v>
      </c>
      <c r="C1976" s="68">
        <v>5</v>
      </c>
      <c r="D1976" s="73" t="s">
        <v>3711</v>
      </c>
      <c r="E1976" s="77">
        <v>2408.782159977372</v>
      </c>
      <c r="F1976" s="77">
        <v>2125.0310282063274</v>
      </c>
      <c r="G1976" s="76">
        <v>7.2721031165937102</v>
      </c>
    </row>
    <row r="1977" spans="1:7" x14ac:dyDescent="0.25">
      <c r="A1977" s="75">
        <v>8102101</v>
      </c>
      <c r="B1977" s="73" t="s">
        <v>1081</v>
      </c>
      <c r="C1977" s="68">
        <v>6</v>
      </c>
      <c r="D1977" s="73" t="s">
        <v>3427</v>
      </c>
      <c r="E1977" s="77">
        <v>327.56045454545455</v>
      </c>
      <c r="F1977" s="77">
        <v>1163.6363636363635</v>
      </c>
      <c r="G1977" s="76">
        <v>4.7272727272727266</v>
      </c>
    </row>
    <row r="1978" spans="1:7" x14ac:dyDescent="0.25">
      <c r="A1978" s="75">
        <v>8102101</v>
      </c>
      <c r="B1978" s="73" t="s">
        <v>1081</v>
      </c>
      <c r="C1978" s="68">
        <v>7</v>
      </c>
      <c r="D1978" s="73" t="s">
        <v>3711</v>
      </c>
      <c r="E1978" s="77">
        <v>2408.782159977372</v>
      </c>
      <c r="F1978" s="77">
        <v>2125.0310282063274</v>
      </c>
      <c r="G1978" s="76">
        <v>7.2721031165937102</v>
      </c>
    </row>
    <row r="1979" spans="1:7" x14ac:dyDescent="0.25">
      <c r="A1979" s="75">
        <v>8102101</v>
      </c>
      <c r="B1979" s="73" t="s">
        <v>1081</v>
      </c>
      <c r="C1979" s="68">
        <v>8</v>
      </c>
      <c r="D1979" s="73" t="s">
        <v>3427</v>
      </c>
      <c r="E1979" s="77">
        <v>321.21212121212119</v>
      </c>
      <c r="F1979" s="77">
        <v>1163.6363636363635</v>
      </c>
      <c r="G1979" s="76">
        <v>4.7272727272727266</v>
      </c>
    </row>
    <row r="1980" spans="1:7" x14ac:dyDescent="0.25">
      <c r="A1980" s="75">
        <v>8102101</v>
      </c>
      <c r="B1980" s="73" t="s">
        <v>1081</v>
      </c>
      <c r="C1980" s="68">
        <v>9</v>
      </c>
      <c r="D1980" s="73" t="s">
        <v>3427</v>
      </c>
      <c r="E1980" s="77">
        <v>327.56045454545455</v>
      </c>
      <c r="F1980" s="77">
        <v>1163.6363636363635</v>
      </c>
      <c r="G1980" s="76">
        <v>4.7272727272727266</v>
      </c>
    </row>
    <row r="1981" spans="1:7" x14ac:dyDescent="0.25">
      <c r="A1981" s="75">
        <v>8102101</v>
      </c>
      <c r="B1981" s="73" t="s">
        <v>1081</v>
      </c>
      <c r="C1981" s="68">
        <v>99</v>
      </c>
      <c r="D1981" s="73" t="s">
        <v>3427</v>
      </c>
      <c r="E1981" s="77">
        <v>353.33333333333337</v>
      </c>
      <c r="F1981" s="77">
        <v>1280</v>
      </c>
      <c r="G1981" s="76">
        <v>5.2</v>
      </c>
    </row>
    <row r="1982" spans="1:7" x14ac:dyDescent="0.25">
      <c r="A1982" s="75">
        <v>8102103</v>
      </c>
      <c r="B1982" s="73" t="s">
        <v>3712</v>
      </c>
      <c r="C1982" s="68">
        <v>1</v>
      </c>
      <c r="D1982" s="73" t="s">
        <v>3713</v>
      </c>
      <c r="E1982" s="77">
        <v>2637.840548780488</v>
      </c>
      <c r="F1982" s="77">
        <v>2282.9268292682927</v>
      </c>
      <c r="G1982" s="76">
        <v>7.609756097560977</v>
      </c>
    </row>
    <row r="1983" spans="1:7" x14ac:dyDescent="0.25">
      <c r="A1983" s="75">
        <v>8102103</v>
      </c>
      <c r="B1983" s="73" t="s">
        <v>3712</v>
      </c>
      <c r="C1983" s="68">
        <v>2</v>
      </c>
      <c r="D1983" s="73" t="s">
        <v>3713</v>
      </c>
      <c r="E1983" s="77">
        <v>2604.8780487804879</v>
      </c>
      <c r="F1983" s="77">
        <v>2282.9268292682927</v>
      </c>
      <c r="G1983" s="76">
        <v>7.609756097560977</v>
      </c>
    </row>
    <row r="1984" spans="1:7" x14ac:dyDescent="0.25">
      <c r="A1984" s="75">
        <v>8102103</v>
      </c>
      <c r="B1984" s="73" t="s">
        <v>3712</v>
      </c>
      <c r="C1984" s="68">
        <v>3</v>
      </c>
      <c r="D1984" s="73" t="s">
        <v>3713</v>
      </c>
      <c r="E1984" s="77">
        <v>2604.8780487804879</v>
      </c>
      <c r="F1984" s="77">
        <v>2282.9268292682927</v>
      </c>
      <c r="G1984" s="76">
        <v>7.609756097560977</v>
      </c>
    </row>
    <row r="1985" spans="1:7" x14ac:dyDescent="0.25">
      <c r="A1985" s="75">
        <v>8102103</v>
      </c>
      <c r="B1985" s="73" t="s">
        <v>3712</v>
      </c>
      <c r="C1985" s="68">
        <v>4</v>
      </c>
      <c r="D1985" s="73" t="s">
        <v>3713</v>
      </c>
      <c r="E1985" s="77">
        <v>1780</v>
      </c>
      <c r="F1985" s="77">
        <v>1560</v>
      </c>
      <c r="G1985" s="76">
        <v>5.2</v>
      </c>
    </row>
    <row r="1986" spans="1:7" x14ac:dyDescent="0.25">
      <c r="A1986" s="75">
        <v>8102103</v>
      </c>
      <c r="B1986" s="73" t="s">
        <v>3712</v>
      </c>
      <c r="C1986" s="68">
        <v>7</v>
      </c>
      <c r="D1986" s="73" t="s">
        <v>3711</v>
      </c>
      <c r="E1986" s="77">
        <v>2408.782159977372</v>
      </c>
      <c r="F1986" s="77">
        <v>2125.0310282063274</v>
      </c>
      <c r="G1986" s="76">
        <v>7.2721031165937102</v>
      </c>
    </row>
    <row r="1987" spans="1:7" x14ac:dyDescent="0.25">
      <c r="A1987" s="75">
        <v>8102103</v>
      </c>
      <c r="B1987" s="73" t="s">
        <v>3712</v>
      </c>
      <c r="C1987" s="68">
        <v>8</v>
      </c>
      <c r="D1987" s="73" t="s">
        <v>3713</v>
      </c>
      <c r="E1987" s="77">
        <v>2604.8780487804879</v>
      </c>
      <c r="F1987" s="77">
        <v>2282.9268292682927</v>
      </c>
      <c r="G1987" s="76">
        <v>7.609756097560977</v>
      </c>
    </row>
    <row r="1988" spans="1:7" x14ac:dyDescent="0.25">
      <c r="A1988" s="75">
        <v>8102103</v>
      </c>
      <c r="B1988" s="73" t="s">
        <v>3712</v>
      </c>
      <c r="C1988" s="68">
        <v>99</v>
      </c>
      <c r="D1988" s="73" t="s">
        <v>3713</v>
      </c>
      <c r="E1988" s="77">
        <v>2604.8780487804879</v>
      </c>
      <c r="F1988" s="77">
        <v>2282.9268292682927</v>
      </c>
      <c r="G1988" s="76">
        <v>7.609756097560977</v>
      </c>
    </row>
    <row r="1989" spans="1:7" x14ac:dyDescent="0.25">
      <c r="A1989" s="75">
        <v>8102204</v>
      </c>
      <c r="B1989" s="73" t="s">
        <v>3714</v>
      </c>
      <c r="C1989" s="68">
        <v>1</v>
      </c>
      <c r="D1989" s="73" t="s">
        <v>3715</v>
      </c>
      <c r="E1989" s="77">
        <v>2626.1996770533988</v>
      </c>
      <c r="F1989" s="77">
        <v>2272.653728205983</v>
      </c>
      <c r="G1989" s="76">
        <v>7.5755124273532779</v>
      </c>
    </row>
    <row r="1990" spans="1:7" x14ac:dyDescent="0.25">
      <c r="A1990" s="75">
        <v>8102204</v>
      </c>
      <c r="B1990" s="73" t="s">
        <v>1923</v>
      </c>
      <c r="C1990" s="68">
        <v>2</v>
      </c>
      <c r="D1990" s="73" t="s">
        <v>3716</v>
      </c>
      <c r="E1990" s="77">
        <v>2477.8290498564252</v>
      </c>
      <c r="F1990" s="77">
        <v>2179.22768770434</v>
      </c>
      <c r="G1990" s="76">
        <v>7.2780151164832887</v>
      </c>
    </row>
    <row r="1991" spans="1:7" x14ac:dyDescent="0.25">
      <c r="A1991" s="75">
        <v>8102204</v>
      </c>
      <c r="B1991" s="73" t="s">
        <v>3714</v>
      </c>
      <c r="C1991" s="68">
        <v>3</v>
      </c>
      <c r="D1991" s="73" t="s">
        <v>3715</v>
      </c>
      <c r="E1991" s="77">
        <v>2593.2371770533987</v>
      </c>
      <c r="F1991" s="77">
        <v>2272.653728205983</v>
      </c>
      <c r="G1991" s="76">
        <v>7.5755124273532779</v>
      </c>
    </row>
    <row r="1992" spans="1:7" x14ac:dyDescent="0.25">
      <c r="A1992" s="75">
        <v>8102204</v>
      </c>
      <c r="B1992" s="73" t="s">
        <v>3714</v>
      </c>
      <c r="C1992" s="68">
        <v>4</v>
      </c>
      <c r="D1992" s="73" t="s">
        <v>3715</v>
      </c>
      <c r="E1992" s="77">
        <v>1772.0710543191431</v>
      </c>
      <c r="F1992" s="77">
        <v>1552.9800476074215</v>
      </c>
      <c r="G1992" s="76">
        <v>5.1766001586914054</v>
      </c>
    </row>
    <row r="1993" spans="1:7" x14ac:dyDescent="0.25">
      <c r="A1993" s="75">
        <v>8102204</v>
      </c>
      <c r="B1993" s="73" t="s">
        <v>3714</v>
      </c>
      <c r="C1993" s="68">
        <v>6</v>
      </c>
      <c r="D1993" s="73" t="s">
        <v>3716</v>
      </c>
      <c r="E1993" s="77">
        <v>2485.4470498564251</v>
      </c>
      <c r="F1993" s="77">
        <v>2179.2276877043396</v>
      </c>
      <c r="G1993" s="76">
        <v>7.2780151164832887</v>
      </c>
    </row>
    <row r="1994" spans="1:7" x14ac:dyDescent="0.25">
      <c r="A1994" s="75">
        <v>8102204</v>
      </c>
      <c r="B1994" s="73" t="s">
        <v>3714</v>
      </c>
      <c r="C1994" s="68">
        <v>7</v>
      </c>
      <c r="D1994" s="73" t="s">
        <v>3711</v>
      </c>
      <c r="E1994" s="77">
        <v>2408.782159977372</v>
      </c>
      <c r="F1994" s="77">
        <v>2125.0310282063274</v>
      </c>
      <c r="G1994" s="76">
        <v>7.2721031165937102</v>
      </c>
    </row>
    <row r="1995" spans="1:7" x14ac:dyDescent="0.25">
      <c r="A1995" s="75">
        <v>8102204</v>
      </c>
      <c r="B1995" s="73" t="s">
        <v>3714</v>
      </c>
      <c r="C1995" s="68">
        <v>8</v>
      </c>
      <c r="D1995" s="73" t="s">
        <v>3715</v>
      </c>
      <c r="E1995" s="77">
        <v>2593.2371770533987</v>
      </c>
      <c r="F1995" s="77">
        <v>2272.653728205983</v>
      </c>
      <c r="G1995" s="76">
        <v>7.5755124273532779</v>
      </c>
    </row>
    <row r="1996" spans="1:7" x14ac:dyDescent="0.25">
      <c r="A1996" s="75">
        <v>8102204</v>
      </c>
      <c r="B1996" s="73" t="s">
        <v>3714</v>
      </c>
      <c r="C1996" s="68">
        <v>9</v>
      </c>
      <c r="D1996" s="73" t="s">
        <v>3716</v>
      </c>
      <c r="E1996" s="77">
        <v>2487.3515498564252</v>
      </c>
      <c r="F1996" s="77">
        <v>2179.22768770434</v>
      </c>
      <c r="G1996" s="76">
        <v>7.2780151164832887</v>
      </c>
    </row>
    <row r="1997" spans="1:7" x14ac:dyDescent="0.25">
      <c r="A1997" s="75">
        <v>8102204</v>
      </c>
      <c r="B1997" s="73" t="s">
        <v>3714</v>
      </c>
      <c r="C1997" s="68">
        <v>99</v>
      </c>
      <c r="D1997" s="73" t="s">
        <v>3715</v>
      </c>
      <c r="E1997" s="77">
        <v>2626.1996770533988</v>
      </c>
      <c r="F1997" s="77">
        <v>2272.653728205983</v>
      </c>
      <c r="G1997" s="76">
        <v>7.5755124273532779</v>
      </c>
    </row>
    <row r="1998" spans="1:7" x14ac:dyDescent="0.25">
      <c r="A1998" s="75">
        <v>8102205</v>
      </c>
      <c r="B1998" s="73" t="s">
        <v>3717</v>
      </c>
      <c r="C1998" s="68">
        <v>1</v>
      </c>
      <c r="D1998" s="73" t="s">
        <v>3718</v>
      </c>
      <c r="E1998" s="77">
        <v>2626.1996770533988</v>
      </c>
      <c r="F1998" s="77">
        <v>2272.653728205983</v>
      </c>
      <c r="G1998" s="76">
        <v>7.5755124273532779</v>
      </c>
    </row>
    <row r="1999" spans="1:7" x14ac:dyDescent="0.25">
      <c r="A1999" s="75">
        <v>8102205</v>
      </c>
      <c r="B1999" s="73" t="s">
        <v>3717</v>
      </c>
      <c r="C1999" s="68">
        <v>2</v>
      </c>
      <c r="D1999" s="73" t="s">
        <v>3719</v>
      </c>
      <c r="E1999" s="77">
        <v>2482.4137466620409</v>
      </c>
      <c r="F1999" s="77">
        <v>2188.3137773562939</v>
      </c>
      <c r="G1999" s="76">
        <v>7.402168299930854</v>
      </c>
    </row>
    <row r="2000" spans="1:7" x14ac:dyDescent="0.25">
      <c r="A2000" s="75">
        <v>8102205</v>
      </c>
      <c r="B2000" s="73" t="s">
        <v>3720</v>
      </c>
      <c r="C2000" s="68">
        <v>3</v>
      </c>
      <c r="D2000" s="73" t="s">
        <v>3721</v>
      </c>
      <c r="E2000" s="77">
        <v>2593.2371770533987</v>
      </c>
      <c r="F2000" s="77">
        <v>2272.653728205983</v>
      </c>
      <c r="G2000" s="76">
        <v>7.5755124273532779</v>
      </c>
    </row>
    <row r="2001" spans="1:7" x14ac:dyDescent="0.25">
      <c r="A2001" s="75">
        <v>8102205</v>
      </c>
      <c r="B2001" s="73" t="s">
        <v>3720</v>
      </c>
      <c r="C2001" s="68">
        <v>4</v>
      </c>
      <c r="D2001" s="73" t="s">
        <v>3719</v>
      </c>
      <c r="E2001" s="77">
        <v>1698.7796003205776</v>
      </c>
      <c r="F2001" s="77">
        <v>1501.5332895514157</v>
      </c>
      <c r="G2001" s="76">
        <v>5.1129000072479256</v>
      </c>
    </row>
    <row r="2002" spans="1:7" x14ac:dyDescent="0.25">
      <c r="A2002" s="75">
        <v>8102205</v>
      </c>
      <c r="B2002" s="73" t="s">
        <v>3720</v>
      </c>
      <c r="C2002" s="68">
        <v>6</v>
      </c>
      <c r="D2002" s="73" t="s">
        <v>3719</v>
      </c>
      <c r="E2002" s="77">
        <v>2490.0317466620409</v>
      </c>
      <c r="F2002" s="77">
        <v>2188.3137773562939</v>
      </c>
      <c r="G2002" s="76">
        <v>7.402168299930854</v>
      </c>
    </row>
    <row r="2003" spans="1:7" x14ac:dyDescent="0.25">
      <c r="A2003" s="75">
        <v>8102205</v>
      </c>
      <c r="B2003" s="73" t="s">
        <v>3720</v>
      </c>
      <c r="C2003" s="68">
        <v>7</v>
      </c>
      <c r="D2003" s="73" t="s">
        <v>3722</v>
      </c>
      <c r="E2003" s="77">
        <v>2622.9415487783422</v>
      </c>
      <c r="F2003" s="77">
        <v>2304.3919817216829</v>
      </c>
      <c r="G2003" s="76">
        <v>7.7997560975609774</v>
      </c>
    </row>
    <row r="2004" spans="1:7" x14ac:dyDescent="0.25">
      <c r="A2004" s="75">
        <v>8102205</v>
      </c>
      <c r="B2004" s="73" t="s">
        <v>3720</v>
      </c>
      <c r="C2004" s="68">
        <v>8</v>
      </c>
      <c r="D2004" s="73" t="s">
        <v>3718</v>
      </c>
      <c r="E2004" s="77">
        <v>2593.2371770533987</v>
      </c>
      <c r="F2004" s="77">
        <v>2272.653728205983</v>
      </c>
      <c r="G2004" s="76">
        <v>7.5755124273532779</v>
      </c>
    </row>
    <row r="2005" spans="1:7" x14ac:dyDescent="0.25">
      <c r="A2005" s="75">
        <v>8102205</v>
      </c>
      <c r="B2005" s="73" t="s">
        <v>3720</v>
      </c>
      <c r="C2005" s="68">
        <v>9</v>
      </c>
      <c r="D2005" s="73" t="s">
        <v>3723</v>
      </c>
      <c r="E2005" s="77">
        <v>2487.3515498564252</v>
      </c>
      <c r="F2005" s="77">
        <v>2179.2276877043396</v>
      </c>
      <c r="G2005" s="76">
        <v>7.2780151164832887</v>
      </c>
    </row>
    <row r="2006" spans="1:7" x14ac:dyDescent="0.25">
      <c r="A2006" s="75">
        <v>8102205</v>
      </c>
      <c r="B2006" s="73" t="s">
        <v>3720</v>
      </c>
      <c r="C2006" s="68">
        <v>99</v>
      </c>
      <c r="D2006" s="73" t="s">
        <v>3718</v>
      </c>
      <c r="E2006" s="77">
        <v>2626.1996770533988</v>
      </c>
      <c r="F2006" s="77">
        <v>2272.653728205983</v>
      </c>
      <c r="G2006" s="76">
        <v>7.5755124273532779</v>
      </c>
    </row>
    <row r="2007" spans="1:7" x14ac:dyDescent="0.25">
      <c r="A2007" s="75">
        <v>8102207</v>
      </c>
      <c r="B2007" s="73" t="s">
        <v>1284</v>
      </c>
      <c r="C2007" s="68">
        <v>1</v>
      </c>
      <c r="D2007" s="73" t="s">
        <v>3724</v>
      </c>
      <c r="E2007" s="77">
        <v>651.25518292682932</v>
      </c>
      <c r="F2007" s="77">
        <v>1279.6097560975611</v>
      </c>
      <c r="G2007" s="76">
        <v>7.609756097560977</v>
      </c>
    </row>
    <row r="2008" spans="1:7" x14ac:dyDescent="0.25">
      <c r="A2008" s="75">
        <v>8102207</v>
      </c>
      <c r="B2008" s="73" t="s">
        <v>1284</v>
      </c>
      <c r="C2008" s="68">
        <v>2</v>
      </c>
      <c r="D2008" s="73" t="s">
        <v>3724</v>
      </c>
      <c r="E2008" s="77">
        <v>618.29268292682934</v>
      </c>
      <c r="F2008" s="77">
        <v>1279.6097560975611</v>
      </c>
      <c r="G2008" s="76">
        <v>7.609756097560977</v>
      </c>
    </row>
    <row r="2009" spans="1:7" x14ac:dyDescent="0.25">
      <c r="A2009" s="75">
        <v>8102207</v>
      </c>
      <c r="B2009" s="73" t="s">
        <v>1284</v>
      </c>
      <c r="C2009" s="68">
        <v>3</v>
      </c>
      <c r="D2009" s="73" t="s">
        <v>3724</v>
      </c>
      <c r="E2009" s="77">
        <v>618.29268292682934</v>
      </c>
      <c r="F2009" s="77">
        <v>1279.6097560975611</v>
      </c>
      <c r="G2009" s="76">
        <v>7.609756097560977</v>
      </c>
    </row>
    <row r="2010" spans="1:7" x14ac:dyDescent="0.25">
      <c r="A2010" s="75">
        <v>8102207</v>
      </c>
      <c r="B2010" s="73" t="s">
        <v>1284</v>
      </c>
      <c r="C2010" s="68">
        <v>4</v>
      </c>
      <c r="D2010" s="73" t="s">
        <v>3724</v>
      </c>
      <c r="E2010" s="77">
        <v>422.5</v>
      </c>
      <c r="F2010" s="77">
        <v>874.4</v>
      </c>
      <c r="G2010" s="76">
        <v>5.2</v>
      </c>
    </row>
    <row r="2011" spans="1:7" x14ac:dyDescent="0.25">
      <c r="A2011" s="75">
        <v>8102207</v>
      </c>
      <c r="B2011" s="73" t="s">
        <v>1284</v>
      </c>
      <c r="C2011" s="68">
        <v>7</v>
      </c>
      <c r="D2011" s="73" t="s">
        <v>3725</v>
      </c>
      <c r="E2011" s="77">
        <v>616.17241893099003</v>
      </c>
      <c r="F2011" s="77">
        <v>1256.9218816883483</v>
      </c>
      <c r="G2011" s="76">
        <v>7.4996598093742284</v>
      </c>
    </row>
    <row r="2012" spans="1:7" x14ac:dyDescent="0.25">
      <c r="A2012" s="75">
        <v>8102207</v>
      </c>
      <c r="B2012" s="73" t="s">
        <v>1284</v>
      </c>
      <c r="C2012" s="68">
        <v>8</v>
      </c>
      <c r="D2012" s="73" t="s">
        <v>3724</v>
      </c>
      <c r="E2012" s="77">
        <v>618.29268292682934</v>
      </c>
      <c r="F2012" s="77">
        <v>1279.6097560975611</v>
      </c>
      <c r="G2012" s="76">
        <v>7.609756097560977</v>
      </c>
    </row>
    <row r="2013" spans="1:7" x14ac:dyDescent="0.25">
      <c r="A2013" s="75">
        <v>8102207</v>
      </c>
      <c r="B2013" s="73" t="s">
        <v>1284</v>
      </c>
      <c r="C2013" s="68">
        <v>99</v>
      </c>
      <c r="D2013" s="73" t="s">
        <v>3724</v>
      </c>
      <c r="E2013" s="77">
        <v>618.29268292682934</v>
      </c>
      <c r="F2013" s="77">
        <v>1279.6097560975611</v>
      </c>
      <c r="G2013" s="76">
        <v>7.609756097560977</v>
      </c>
    </row>
    <row r="2014" spans="1:7" x14ac:dyDescent="0.25">
      <c r="A2014" s="75">
        <v>8102401</v>
      </c>
      <c r="B2014" s="73" t="s">
        <v>1651</v>
      </c>
      <c r="C2014" s="68">
        <v>1</v>
      </c>
      <c r="D2014" s="73" t="s">
        <v>3713</v>
      </c>
      <c r="E2014" s="77">
        <v>2637.840548780488</v>
      </c>
      <c r="F2014" s="77">
        <v>2282.9268292682927</v>
      </c>
      <c r="G2014" s="76">
        <v>7.609756097560977</v>
      </c>
    </row>
    <row r="2015" spans="1:7" x14ac:dyDescent="0.25">
      <c r="A2015" s="75">
        <v>8102401</v>
      </c>
      <c r="B2015" s="73" t="s">
        <v>1651</v>
      </c>
      <c r="C2015" s="68">
        <v>7</v>
      </c>
      <c r="D2015" s="73" t="s">
        <v>3711</v>
      </c>
      <c r="E2015" s="77">
        <v>2408.782159977372</v>
      </c>
      <c r="F2015" s="77">
        <v>2125.0310282063274</v>
      </c>
      <c r="G2015" s="76">
        <v>7.2721031165937102</v>
      </c>
    </row>
    <row r="2016" spans="1:7" x14ac:dyDescent="0.25">
      <c r="A2016" s="75">
        <v>8102401</v>
      </c>
      <c r="B2016" s="73" t="s">
        <v>1651</v>
      </c>
      <c r="C2016" s="68">
        <v>99</v>
      </c>
      <c r="D2016" s="73" t="s">
        <v>3713</v>
      </c>
      <c r="E2016" s="77">
        <v>2604.8780487804879</v>
      </c>
      <c r="F2016" s="77">
        <v>2282.9268292682927</v>
      </c>
      <c r="G2016" s="76">
        <v>7.609756097560977</v>
      </c>
    </row>
    <row r="2017" spans="1:7" x14ac:dyDescent="0.25">
      <c r="A2017" s="75">
        <v>8102402</v>
      </c>
      <c r="B2017" s="73" t="s">
        <v>1652</v>
      </c>
      <c r="C2017" s="68">
        <v>7</v>
      </c>
      <c r="D2017" s="73" t="s">
        <v>3711</v>
      </c>
      <c r="E2017" s="77">
        <v>2408.782159977372</v>
      </c>
      <c r="F2017" s="77">
        <v>2125.0310282063274</v>
      </c>
      <c r="G2017" s="76">
        <v>7.2721031165937102</v>
      </c>
    </row>
    <row r="2018" spans="1:7" x14ac:dyDescent="0.25">
      <c r="A2018" s="75">
        <v>8102402</v>
      </c>
      <c r="B2018" s="73" t="s">
        <v>1652</v>
      </c>
      <c r="C2018" s="68">
        <v>99</v>
      </c>
      <c r="D2018" s="73" t="s">
        <v>3713</v>
      </c>
      <c r="E2018" s="77">
        <v>2604.8780487804879</v>
      </c>
      <c r="F2018" s="77">
        <v>2282.9268292682927</v>
      </c>
      <c r="G2018" s="76">
        <v>7.609756097560977</v>
      </c>
    </row>
    <row r="2019" spans="1:7" x14ac:dyDescent="0.25">
      <c r="A2019" s="75">
        <v>8102403</v>
      </c>
      <c r="B2019" s="73" t="s">
        <v>1285</v>
      </c>
      <c r="C2019" s="68">
        <v>1</v>
      </c>
      <c r="D2019" s="73" t="s">
        <v>3713</v>
      </c>
      <c r="E2019" s="77">
        <v>2637.840548780488</v>
      </c>
      <c r="F2019" s="77">
        <v>2282.9268292682927</v>
      </c>
      <c r="G2019" s="76">
        <v>7.609756097560977</v>
      </c>
    </row>
    <row r="2020" spans="1:7" x14ac:dyDescent="0.25">
      <c r="A2020" s="75">
        <v>8102403</v>
      </c>
      <c r="B2020" s="73" t="s">
        <v>1285</v>
      </c>
      <c r="C2020" s="68">
        <v>3</v>
      </c>
      <c r="D2020" s="73" t="s">
        <v>3713</v>
      </c>
      <c r="E2020" s="77">
        <v>2604.8780487804879</v>
      </c>
      <c r="F2020" s="77">
        <v>2282.9268292682927</v>
      </c>
      <c r="G2020" s="76">
        <v>7.609756097560977</v>
      </c>
    </row>
    <row r="2021" spans="1:7" x14ac:dyDescent="0.25">
      <c r="A2021" s="75">
        <v>8102403</v>
      </c>
      <c r="B2021" s="73" t="s">
        <v>1285</v>
      </c>
      <c r="C2021" s="68">
        <v>4</v>
      </c>
      <c r="D2021" s="73" t="s">
        <v>3713</v>
      </c>
      <c r="E2021" s="77">
        <v>1780</v>
      </c>
      <c r="F2021" s="77">
        <v>1560</v>
      </c>
      <c r="G2021" s="76">
        <v>5.2</v>
      </c>
    </row>
    <row r="2022" spans="1:7" x14ac:dyDescent="0.25">
      <c r="A2022" s="75">
        <v>8102403</v>
      </c>
      <c r="B2022" s="73" t="s">
        <v>1285</v>
      </c>
      <c r="C2022" s="68">
        <v>7</v>
      </c>
      <c r="D2022" s="73" t="s">
        <v>3711</v>
      </c>
      <c r="E2022" s="77">
        <v>2408.782159977372</v>
      </c>
      <c r="F2022" s="77">
        <v>2125.0310282063274</v>
      </c>
      <c r="G2022" s="76">
        <v>7.2721031165937102</v>
      </c>
    </row>
    <row r="2023" spans="1:7" x14ac:dyDescent="0.25">
      <c r="A2023" s="75">
        <v>8102403</v>
      </c>
      <c r="B2023" s="73" t="s">
        <v>1285</v>
      </c>
      <c r="C2023" s="68">
        <v>99</v>
      </c>
      <c r="D2023" s="73" t="s">
        <v>3713</v>
      </c>
      <c r="E2023" s="77">
        <v>2604.8780487804879</v>
      </c>
      <c r="F2023" s="77">
        <v>2282.9268292682927</v>
      </c>
      <c r="G2023" s="76">
        <v>7.609756097560977</v>
      </c>
    </row>
    <row r="2024" spans="1:7" x14ac:dyDescent="0.25">
      <c r="A2024" s="75">
        <v>8102501</v>
      </c>
      <c r="B2024" s="73" t="s">
        <v>1286</v>
      </c>
      <c r="C2024" s="68">
        <v>2</v>
      </c>
      <c r="D2024" s="73" t="s">
        <v>3719</v>
      </c>
      <c r="E2024" s="77">
        <v>2482.4137466620409</v>
      </c>
      <c r="F2024" s="77">
        <v>2188.3137773562939</v>
      </c>
      <c r="G2024" s="76">
        <v>7.402168299930854</v>
      </c>
    </row>
    <row r="2025" spans="1:7" x14ac:dyDescent="0.25">
      <c r="A2025" s="75">
        <v>8102601</v>
      </c>
      <c r="B2025" s="73" t="s">
        <v>1653</v>
      </c>
      <c r="C2025" s="68">
        <v>1</v>
      </c>
      <c r="D2025" s="73" t="s">
        <v>6</v>
      </c>
      <c r="E2025" s="77">
        <v>1162.9625000000001</v>
      </c>
      <c r="F2025" s="77">
        <v>1000</v>
      </c>
      <c r="G2025" s="76">
        <v>5.2</v>
      </c>
    </row>
    <row r="2026" spans="1:7" x14ac:dyDescent="0.25">
      <c r="A2026" s="75">
        <v>8102601</v>
      </c>
      <c r="B2026" s="73" t="s">
        <v>1653</v>
      </c>
      <c r="C2026" s="68">
        <v>2</v>
      </c>
      <c r="D2026" s="73" t="s">
        <v>6</v>
      </c>
      <c r="E2026" s="77">
        <v>1130</v>
      </c>
      <c r="F2026" s="77">
        <v>1000</v>
      </c>
      <c r="G2026" s="76">
        <v>5.2</v>
      </c>
    </row>
    <row r="2027" spans="1:7" x14ac:dyDescent="0.25">
      <c r="A2027" s="75">
        <v>8102601</v>
      </c>
      <c r="B2027" s="73" t="s">
        <v>1653</v>
      </c>
      <c r="C2027" s="68">
        <v>3</v>
      </c>
      <c r="D2027" s="73" t="s">
        <v>6</v>
      </c>
      <c r="E2027" s="77">
        <v>1130</v>
      </c>
      <c r="F2027" s="77">
        <v>1000</v>
      </c>
      <c r="G2027" s="76">
        <v>5.2</v>
      </c>
    </row>
    <row r="2028" spans="1:7" x14ac:dyDescent="0.25">
      <c r="A2028" s="75">
        <v>8102601</v>
      </c>
      <c r="B2028" s="73" t="s">
        <v>1653</v>
      </c>
      <c r="C2028" s="68">
        <v>4</v>
      </c>
      <c r="D2028" s="73" t="s">
        <v>6</v>
      </c>
      <c r="E2028" s="77">
        <v>1130</v>
      </c>
      <c r="F2028" s="77">
        <v>1000</v>
      </c>
      <c r="G2028" s="76">
        <v>5.2</v>
      </c>
    </row>
    <row r="2029" spans="1:7" x14ac:dyDescent="0.25">
      <c r="A2029" s="75">
        <v>8102601</v>
      </c>
      <c r="B2029" s="73" t="s">
        <v>1653</v>
      </c>
      <c r="C2029" s="68">
        <v>6</v>
      </c>
      <c r="D2029" s="73" t="s">
        <v>6</v>
      </c>
      <c r="E2029" s="77">
        <v>1136.3483333333334</v>
      </c>
      <c r="F2029" s="77">
        <v>1000</v>
      </c>
      <c r="G2029" s="76">
        <v>5.2</v>
      </c>
    </row>
    <row r="2030" spans="1:7" x14ac:dyDescent="0.25">
      <c r="A2030" s="75">
        <v>8102601</v>
      </c>
      <c r="B2030" s="73" t="s">
        <v>1653</v>
      </c>
      <c r="C2030" s="68">
        <v>7</v>
      </c>
      <c r="D2030" s="73" t="s">
        <v>6</v>
      </c>
      <c r="E2030" s="77">
        <v>1136.3483333333334</v>
      </c>
      <c r="F2030" s="77">
        <v>1000</v>
      </c>
      <c r="G2030" s="76">
        <v>5.2</v>
      </c>
    </row>
    <row r="2031" spans="1:7" x14ac:dyDescent="0.25">
      <c r="A2031" s="75">
        <v>8102601</v>
      </c>
      <c r="B2031" s="73" t="s">
        <v>1653</v>
      </c>
      <c r="C2031" s="68">
        <v>8</v>
      </c>
      <c r="D2031" s="73" t="s">
        <v>6</v>
      </c>
      <c r="E2031" s="77">
        <v>1130</v>
      </c>
      <c r="F2031" s="77">
        <v>1000</v>
      </c>
      <c r="G2031" s="76">
        <v>5.2</v>
      </c>
    </row>
    <row r="2032" spans="1:7" x14ac:dyDescent="0.25">
      <c r="A2032" s="75">
        <v>8102601</v>
      </c>
      <c r="B2032" s="73" t="s">
        <v>1653</v>
      </c>
      <c r="C2032" s="68">
        <v>9</v>
      </c>
      <c r="D2032" s="73" t="s">
        <v>6</v>
      </c>
      <c r="E2032" s="77">
        <v>1136.3483333333334</v>
      </c>
      <c r="F2032" s="77">
        <v>1000</v>
      </c>
      <c r="G2032" s="76">
        <v>5.2</v>
      </c>
    </row>
    <row r="2033" spans="1:7" x14ac:dyDescent="0.25">
      <c r="A2033" s="75">
        <v>8102601</v>
      </c>
      <c r="B2033" s="73" t="s">
        <v>1653</v>
      </c>
      <c r="C2033" s="68">
        <v>99</v>
      </c>
      <c r="D2033" s="73" t="s">
        <v>6</v>
      </c>
      <c r="E2033" s="77">
        <v>1130</v>
      </c>
      <c r="F2033" s="77">
        <v>1000</v>
      </c>
      <c r="G2033" s="76">
        <v>5.2</v>
      </c>
    </row>
    <row r="2034" spans="1:7" x14ac:dyDescent="0.25">
      <c r="A2034" s="75">
        <v>8102701</v>
      </c>
      <c r="B2034" s="73" t="s">
        <v>1654</v>
      </c>
      <c r="C2034" s="68">
        <v>1</v>
      </c>
      <c r="D2034" s="73" t="s">
        <v>3726</v>
      </c>
      <c r="E2034" s="77">
        <v>1162.9625000000001</v>
      </c>
      <c r="F2034" s="77">
        <v>1000</v>
      </c>
      <c r="G2034" s="76">
        <v>5.2</v>
      </c>
    </row>
    <row r="2035" spans="1:7" x14ac:dyDescent="0.25">
      <c r="A2035" s="75">
        <v>8102701</v>
      </c>
      <c r="B2035" s="73" t="s">
        <v>1654</v>
      </c>
      <c r="C2035" s="68">
        <v>3</v>
      </c>
      <c r="D2035" s="73" t="s">
        <v>3726</v>
      </c>
      <c r="E2035" s="77">
        <v>1130</v>
      </c>
      <c r="F2035" s="77">
        <v>1000</v>
      </c>
      <c r="G2035" s="76">
        <v>5.2</v>
      </c>
    </row>
    <row r="2036" spans="1:7" x14ac:dyDescent="0.25">
      <c r="A2036" s="75">
        <v>8102701</v>
      </c>
      <c r="B2036" s="73" t="s">
        <v>1654</v>
      </c>
      <c r="C2036" s="68">
        <v>4</v>
      </c>
      <c r="D2036" s="73" t="s">
        <v>3726</v>
      </c>
      <c r="E2036" s="77">
        <v>1130</v>
      </c>
      <c r="F2036" s="77">
        <v>1000</v>
      </c>
      <c r="G2036" s="76">
        <v>5.2</v>
      </c>
    </row>
    <row r="2037" spans="1:7" x14ac:dyDescent="0.25">
      <c r="A2037" s="75">
        <v>8102701</v>
      </c>
      <c r="B2037" s="73" t="s">
        <v>1654</v>
      </c>
      <c r="C2037" s="68">
        <v>7</v>
      </c>
      <c r="D2037" s="73" t="s">
        <v>3711</v>
      </c>
      <c r="E2037" s="77">
        <v>2408.782159977372</v>
      </c>
      <c r="F2037" s="77">
        <v>2125.0310282063274</v>
      </c>
      <c r="G2037" s="76">
        <v>7.2721031165937102</v>
      </c>
    </row>
    <row r="2038" spans="1:7" x14ac:dyDescent="0.25">
      <c r="A2038" s="75">
        <v>8102701</v>
      </c>
      <c r="B2038" s="73" t="s">
        <v>1654</v>
      </c>
      <c r="C2038" s="68">
        <v>8</v>
      </c>
      <c r="D2038" s="73" t="s">
        <v>3726</v>
      </c>
      <c r="E2038" s="77">
        <v>1130</v>
      </c>
      <c r="F2038" s="77">
        <v>1000</v>
      </c>
      <c r="G2038" s="76">
        <v>5.2</v>
      </c>
    </row>
    <row r="2039" spans="1:7" x14ac:dyDescent="0.25">
      <c r="A2039" s="75">
        <v>8102701</v>
      </c>
      <c r="B2039" s="73" t="s">
        <v>1654</v>
      </c>
      <c r="C2039" s="68">
        <v>99</v>
      </c>
      <c r="D2039" s="73" t="s">
        <v>3726</v>
      </c>
      <c r="E2039" s="77">
        <v>1130</v>
      </c>
      <c r="F2039" s="77">
        <v>1000</v>
      </c>
      <c r="G2039" s="76">
        <v>5.2</v>
      </c>
    </row>
    <row r="2040" spans="1:7" x14ac:dyDescent="0.25">
      <c r="A2040" s="75">
        <v>8102702</v>
      </c>
      <c r="B2040" s="73" t="s">
        <v>1146</v>
      </c>
      <c r="C2040" s="68">
        <v>1</v>
      </c>
      <c r="D2040" s="73" t="s">
        <v>3726</v>
      </c>
      <c r="E2040" s="77">
        <v>1162.9625000000001</v>
      </c>
      <c r="F2040" s="77">
        <v>1000</v>
      </c>
      <c r="G2040" s="76">
        <v>5.2</v>
      </c>
    </row>
    <row r="2041" spans="1:7" x14ac:dyDescent="0.25">
      <c r="A2041" s="75">
        <v>8102702</v>
      </c>
      <c r="B2041" s="73" t="s">
        <v>1146</v>
      </c>
      <c r="C2041" s="68">
        <v>3</v>
      </c>
      <c r="D2041" s="73" t="s">
        <v>3726</v>
      </c>
      <c r="E2041" s="77">
        <v>1130</v>
      </c>
      <c r="F2041" s="77">
        <v>1000</v>
      </c>
      <c r="G2041" s="76">
        <v>5.2</v>
      </c>
    </row>
    <row r="2042" spans="1:7" x14ac:dyDescent="0.25">
      <c r="A2042" s="75">
        <v>8102702</v>
      </c>
      <c r="B2042" s="73" t="s">
        <v>1146</v>
      </c>
      <c r="C2042" s="68">
        <v>4</v>
      </c>
      <c r="D2042" s="73" t="s">
        <v>3726</v>
      </c>
      <c r="E2042" s="77">
        <v>1130</v>
      </c>
      <c r="F2042" s="77">
        <v>1000</v>
      </c>
      <c r="G2042" s="76">
        <v>5.2</v>
      </c>
    </row>
    <row r="2043" spans="1:7" x14ac:dyDescent="0.25">
      <c r="A2043" s="75">
        <v>8102702</v>
      </c>
      <c r="B2043" s="73" t="s">
        <v>1146</v>
      </c>
      <c r="C2043" s="68">
        <v>7</v>
      </c>
      <c r="D2043" s="73" t="s">
        <v>3711</v>
      </c>
      <c r="E2043" s="77">
        <v>2408.782159977372</v>
      </c>
      <c r="F2043" s="77">
        <v>2125.0310282063274</v>
      </c>
      <c r="G2043" s="76">
        <v>7.2721031165937102</v>
      </c>
    </row>
    <row r="2044" spans="1:7" x14ac:dyDescent="0.25">
      <c r="A2044" s="75">
        <v>8102702</v>
      </c>
      <c r="B2044" s="73" t="s">
        <v>1146</v>
      </c>
      <c r="C2044" s="68">
        <v>9</v>
      </c>
      <c r="D2044" s="73" t="s">
        <v>3726</v>
      </c>
      <c r="E2044" s="77">
        <v>1136.3483333333334</v>
      </c>
      <c r="F2044" s="77">
        <v>1000</v>
      </c>
      <c r="G2044" s="76">
        <v>5.2</v>
      </c>
    </row>
    <row r="2045" spans="1:7" x14ac:dyDescent="0.25">
      <c r="A2045" s="75">
        <v>8102702</v>
      </c>
      <c r="B2045" s="73" t="s">
        <v>1146</v>
      </c>
      <c r="C2045" s="68">
        <v>99</v>
      </c>
      <c r="D2045" s="73" t="s">
        <v>3726</v>
      </c>
      <c r="E2045" s="77">
        <v>1130</v>
      </c>
      <c r="F2045" s="77">
        <v>1000</v>
      </c>
      <c r="G2045" s="76">
        <v>5.2</v>
      </c>
    </row>
    <row r="2046" spans="1:7" x14ac:dyDescent="0.25">
      <c r="A2046" s="75">
        <v>8102801</v>
      </c>
      <c r="B2046" s="73" t="s">
        <v>1655</v>
      </c>
      <c r="C2046" s="68">
        <v>4</v>
      </c>
      <c r="D2046" s="73" t="s">
        <v>3727</v>
      </c>
      <c r="E2046" s="77">
        <v>422.5</v>
      </c>
      <c r="F2046" s="77">
        <v>874.4</v>
      </c>
      <c r="G2046" s="76">
        <v>5.2</v>
      </c>
    </row>
    <row r="2047" spans="1:7" x14ac:dyDescent="0.25">
      <c r="A2047" s="75">
        <v>8102901</v>
      </c>
      <c r="B2047" s="73" t="s">
        <v>960</v>
      </c>
      <c r="C2047" s="68">
        <v>1</v>
      </c>
      <c r="D2047" s="73" t="s">
        <v>3707</v>
      </c>
      <c r="E2047" s="77">
        <v>1152.439024390244</v>
      </c>
      <c r="F2047" s="77">
        <v>1059.5221291548614</v>
      </c>
      <c r="G2047" s="76">
        <v>2.780487804878049</v>
      </c>
    </row>
    <row r="2048" spans="1:7" x14ac:dyDescent="0.25">
      <c r="A2048" s="75">
        <v>8102901</v>
      </c>
      <c r="B2048" s="73" t="s">
        <v>960</v>
      </c>
      <c r="C2048" s="68">
        <v>2</v>
      </c>
      <c r="D2048" s="73" t="s">
        <v>3707</v>
      </c>
      <c r="E2048" s="77">
        <v>1161.961524390244</v>
      </c>
      <c r="F2048" s="77">
        <v>1059.5221291548614</v>
      </c>
      <c r="G2048" s="76">
        <v>2.780487804878049</v>
      </c>
    </row>
    <row r="2049" spans="1:7" x14ac:dyDescent="0.25">
      <c r="A2049" s="75">
        <v>8102901</v>
      </c>
      <c r="B2049" s="73" t="s">
        <v>960</v>
      </c>
      <c r="C2049" s="68">
        <v>3</v>
      </c>
      <c r="D2049" s="73" t="s">
        <v>3707</v>
      </c>
      <c r="E2049" s="77">
        <v>1161.961524390244</v>
      </c>
      <c r="F2049" s="77">
        <v>1059.5221291548614</v>
      </c>
      <c r="G2049" s="76">
        <v>2.780487804878049</v>
      </c>
    </row>
    <row r="2050" spans="1:7" x14ac:dyDescent="0.25">
      <c r="A2050" s="75">
        <v>8102901</v>
      </c>
      <c r="B2050" s="73" t="s">
        <v>960</v>
      </c>
      <c r="C2050" s="68">
        <v>4</v>
      </c>
      <c r="D2050" s="73" t="s">
        <v>3707</v>
      </c>
      <c r="E2050" s="77">
        <v>787.5</v>
      </c>
      <c r="F2050" s="77">
        <v>724.0067882558219</v>
      </c>
      <c r="G2050" s="76">
        <v>1.9</v>
      </c>
    </row>
    <row r="2051" spans="1:7" x14ac:dyDescent="0.25">
      <c r="A2051" s="75">
        <v>8102901</v>
      </c>
      <c r="B2051" s="73" t="s">
        <v>960</v>
      </c>
      <c r="C2051" s="68">
        <v>7</v>
      </c>
      <c r="D2051" s="73" t="s">
        <v>3707</v>
      </c>
      <c r="E2051" s="77">
        <v>1161.961524390244</v>
      </c>
      <c r="F2051" s="77">
        <v>1059.5221291548614</v>
      </c>
      <c r="G2051" s="76">
        <v>2.780487804878049</v>
      </c>
    </row>
    <row r="2052" spans="1:7" x14ac:dyDescent="0.25">
      <c r="A2052" s="75">
        <v>8102901</v>
      </c>
      <c r="B2052" s="73" t="s">
        <v>960</v>
      </c>
      <c r="C2052" s="68">
        <v>8</v>
      </c>
      <c r="D2052" s="73" t="s">
        <v>3707</v>
      </c>
      <c r="E2052" s="77">
        <v>1152.439024390244</v>
      </c>
      <c r="F2052" s="77">
        <v>1059.5221291548614</v>
      </c>
      <c r="G2052" s="76">
        <v>2.780487804878049</v>
      </c>
    </row>
    <row r="2053" spans="1:7" x14ac:dyDescent="0.25">
      <c r="A2053" s="75">
        <v>8102901</v>
      </c>
      <c r="B2053" s="73" t="s">
        <v>960</v>
      </c>
      <c r="C2053" s="68">
        <v>9</v>
      </c>
      <c r="D2053" s="73" t="s">
        <v>3707</v>
      </c>
      <c r="E2053" s="77">
        <v>1171.484024390244</v>
      </c>
      <c r="F2053" s="77">
        <v>1059.5221291548614</v>
      </c>
      <c r="G2053" s="76">
        <v>2.780487804878049</v>
      </c>
    </row>
    <row r="2054" spans="1:7" x14ac:dyDescent="0.25">
      <c r="A2054" s="75">
        <v>8102901</v>
      </c>
      <c r="B2054" s="73" t="s">
        <v>960</v>
      </c>
      <c r="C2054" s="68">
        <v>99</v>
      </c>
      <c r="D2054" s="73" t="s">
        <v>3707</v>
      </c>
      <c r="E2054" s="77">
        <v>787.5</v>
      </c>
      <c r="F2054" s="77">
        <v>724.0067882558219</v>
      </c>
      <c r="G2054" s="76">
        <v>1.9</v>
      </c>
    </row>
    <row r="2055" spans="1:7" x14ac:dyDescent="0.25">
      <c r="A2055" s="75">
        <v>8102905</v>
      </c>
      <c r="B2055" s="73" t="s">
        <v>3728</v>
      </c>
      <c r="C2055" s="68">
        <v>4</v>
      </c>
      <c r="D2055" s="73" t="s">
        <v>3729</v>
      </c>
      <c r="E2055" s="77">
        <v>787.5</v>
      </c>
      <c r="F2055" s="77">
        <v>724.0067882558219</v>
      </c>
      <c r="G2055" s="76">
        <v>1.9</v>
      </c>
    </row>
    <row r="2056" spans="1:7" x14ac:dyDescent="0.25">
      <c r="A2056" s="75">
        <v>8102905</v>
      </c>
      <c r="B2056" s="73" t="s">
        <v>3728</v>
      </c>
      <c r="C2056" s="68">
        <v>99</v>
      </c>
      <c r="D2056" s="73" t="s">
        <v>3729</v>
      </c>
      <c r="E2056" s="77">
        <v>787.5</v>
      </c>
      <c r="F2056" s="77">
        <v>724.0067882558219</v>
      </c>
      <c r="G2056" s="76">
        <v>1.9</v>
      </c>
    </row>
    <row r="2057" spans="1:7" x14ac:dyDescent="0.25">
      <c r="A2057" s="75">
        <v>8103003</v>
      </c>
      <c r="B2057" s="73" t="s">
        <v>3730</v>
      </c>
      <c r="C2057" s="68">
        <v>7</v>
      </c>
      <c r="D2057" s="73" t="s">
        <v>3398</v>
      </c>
      <c r="E2057" s="77">
        <v>848.21986940710599</v>
      </c>
      <c r="F2057" s="77">
        <v>122.28298595571735</v>
      </c>
      <c r="G2057" s="76">
        <v>6.9090180609884664</v>
      </c>
    </row>
    <row r="2058" spans="1:7" x14ac:dyDescent="0.25">
      <c r="A2058" s="75">
        <v>8103101</v>
      </c>
      <c r="B2058" s="73" t="s">
        <v>1287</v>
      </c>
      <c r="C2058" s="68">
        <v>1</v>
      </c>
      <c r="D2058" s="73" t="s">
        <v>3704</v>
      </c>
      <c r="E2058" s="77">
        <v>2104.3910714285716</v>
      </c>
      <c r="F2058" s="77">
        <v>1249.1428571428573</v>
      </c>
      <c r="G2058" s="76">
        <v>7.4285714285714288</v>
      </c>
    </row>
    <row r="2059" spans="1:7" x14ac:dyDescent="0.25">
      <c r="A2059" s="75">
        <v>8103101</v>
      </c>
      <c r="B2059" s="73" t="s">
        <v>1287</v>
      </c>
      <c r="C2059" s="68">
        <v>4</v>
      </c>
      <c r="D2059" s="73" t="s">
        <v>3704</v>
      </c>
      <c r="E2059" s="77">
        <v>1450</v>
      </c>
      <c r="F2059" s="77">
        <v>874.4</v>
      </c>
      <c r="G2059" s="76">
        <v>5.2</v>
      </c>
    </row>
    <row r="2060" spans="1:7" x14ac:dyDescent="0.25">
      <c r="A2060" s="75">
        <v>8103101</v>
      </c>
      <c r="B2060" s="73" t="s">
        <v>1287</v>
      </c>
      <c r="C2060" s="68">
        <v>7</v>
      </c>
      <c r="D2060" s="73" t="s">
        <v>3705</v>
      </c>
      <c r="E2060" s="77">
        <v>1985.839642857143</v>
      </c>
      <c r="F2060" s="77">
        <v>1208.1508667391049</v>
      </c>
      <c r="G2060" s="76">
        <v>7.2471428571428582</v>
      </c>
    </row>
    <row r="2061" spans="1:7" x14ac:dyDescent="0.25">
      <c r="A2061" s="75">
        <v>8103101</v>
      </c>
      <c r="B2061" s="73" t="s">
        <v>1287</v>
      </c>
      <c r="C2061" s="68">
        <v>8</v>
      </c>
      <c r="D2061" s="73" t="s">
        <v>3704</v>
      </c>
      <c r="E2061" s="77">
        <v>2071.4285714285716</v>
      </c>
      <c r="F2061" s="77">
        <v>1249.1428571428573</v>
      </c>
      <c r="G2061" s="76">
        <v>7.4285714285714288</v>
      </c>
    </row>
    <row r="2062" spans="1:7" x14ac:dyDescent="0.25">
      <c r="A2062" s="75">
        <v>8103101</v>
      </c>
      <c r="B2062" s="73" t="s">
        <v>1287</v>
      </c>
      <c r="C2062" s="68">
        <v>9</v>
      </c>
      <c r="D2062" s="73" t="s">
        <v>3704</v>
      </c>
      <c r="E2062" s="77">
        <v>2077.7769047619049</v>
      </c>
      <c r="F2062" s="77">
        <v>1249.1428571428573</v>
      </c>
      <c r="G2062" s="76">
        <v>7.4285714285714288</v>
      </c>
    </row>
    <row r="2063" spans="1:7" x14ac:dyDescent="0.25">
      <c r="A2063" s="75">
        <v>8103101</v>
      </c>
      <c r="B2063" s="73" t="s">
        <v>1287</v>
      </c>
      <c r="C2063" s="68">
        <v>99</v>
      </c>
      <c r="D2063" s="73" t="s">
        <v>3704</v>
      </c>
      <c r="E2063" s="77">
        <v>2071.4285714285716</v>
      </c>
      <c r="F2063" s="77">
        <v>1249.1428571428573</v>
      </c>
      <c r="G2063" s="76">
        <v>7.4285714285714288</v>
      </c>
    </row>
    <row r="2064" spans="1:7" x14ac:dyDescent="0.25">
      <c r="A2064" s="75">
        <v>8103601</v>
      </c>
      <c r="B2064" s="73" t="s">
        <v>1656</v>
      </c>
      <c r="C2064" s="68">
        <v>1</v>
      </c>
      <c r="D2064" s="73" t="s">
        <v>3707</v>
      </c>
      <c r="E2064" s="77">
        <v>1152.439024390244</v>
      </c>
      <c r="F2064" s="77">
        <v>1059.5221291548614</v>
      </c>
      <c r="G2064" s="76">
        <v>2.780487804878049</v>
      </c>
    </row>
    <row r="2065" spans="1:7" x14ac:dyDescent="0.25">
      <c r="A2065" s="75">
        <v>8103601</v>
      </c>
      <c r="B2065" s="73" t="s">
        <v>1656</v>
      </c>
      <c r="C2065" s="68">
        <v>2</v>
      </c>
      <c r="D2065" s="73" t="s">
        <v>3425</v>
      </c>
      <c r="E2065" s="77">
        <v>775.60975609756099</v>
      </c>
      <c r="F2065" s="77">
        <v>1279.6097560975611</v>
      </c>
      <c r="G2065" s="76">
        <v>7.609756097560977</v>
      </c>
    </row>
    <row r="2066" spans="1:7" x14ac:dyDescent="0.25">
      <c r="A2066" s="75">
        <v>8103601</v>
      </c>
      <c r="B2066" s="73" t="s">
        <v>1656</v>
      </c>
      <c r="C2066" s="68">
        <v>3</v>
      </c>
      <c r="D2066" s="73" t="s">
        <v>3425</v>
      </c>
      <c r="E2066" s="77">
        <v>775.60975609756099</v>
      </c>
      <c r="F2066" s="77">
        <v>1279.6097560975611</v>
      </c>
      <c r="G2066" s="76">
        <v>7.609756097560977</v>
      </c>
    </row>
    <row r="2067" spans="1:7" x14ac:dyDescent="0.25">
      <c r="A2067" s="75">
        <v>8103601</v>
      </c>
      <c r="B2067" s="73" t="s">
        <v>1656</v>
      </c>
      <c r="C2067" s="68">
        <v>4</v>
      </c>
      <c r="D2067" s="73" t="s">
        <v>3425</v>
      </c>
      <c r="E2067" s="77">
        <v>530</v>
      </c>
      <c r="F2067" s="77">
        <v>874.4</v>
      </c>
      <c r="G2067" s="76">
        <v>5.2</v>
      </c>
    </row>
    <row r="2068" spans="1:7" x14ac:dyDescent="0.25">
      <c r="A2068" s="75">
        <v>8103601</v>
      </c>
      <c r="B2068" s="73" t="s">
        <v>1656</v>
      </c>
      <c r="C2068" s="68">
        <v>99</v>
      </c>
      <c r="D2068" s="73" t="s">
        <v>3425</v>
      </c>
      <c r="E2068" s="77">
        <v>530</v>
      </c>
      <c r="F2068" s="77">
        <v>874.4</v>
      </c>
      <c r="G2068" s="76">
        <v>5.2</v>
      </c>
    </row>
    <row r="2069" spans="1:7" x14ac:dyDescent="0.25">
      <c r="A2069" s="75">
        <v>8103901</v>
      </c>
      <c r="B2069" s="73" t="s">
        <v>1657</v>
      </c>
      <c r="C2069" s="68">
        <v>1</v>
      </c>
      <c r="D2069" s="73" t="s">
        <v>3300</v>
      </c>
      <c r="E2069" s="77">
        <v>1000.8449999999999</v>
      </c>
      <c r="F2069" s="77">
        <v>705.28692703272895</v>
      </c>
      <c r="G2069" s="76">
        <v>2.09</v>
      </c>
    </row>
    <row r="2070" spans="1:7" x14ac:dyDescent="0.25">
      <c r="A2070" s="75">
        <v>8103901</v>
      </c>
      <c r="B2070" s="73" t="s">
        <v>1657</v>
      </c>
      <c r="C2070" s="68">
        <v>7</v>
      </c>
      <c r="D2070" s="73" t="s">
        <v>3300</v>
      </c>
      <c r="E2070" s="77">
        <v>947.61666666666667</v>
      </c>
      <c r="F2070" s="77">
        <v>705.28692703272895</v>
      </c>
      <c r="G2070" s="76">
        <v>2.09</v>
      </c>
    </row>
    <row r="2071" spans="1:7" x14ac:dyDescent="0.25">
      <c r="A2071" s="75">
        <v>8103901</v>
      </c>
      <c r="B2071" s="73" t="s">
        <v>1657</v>
      </c>
      <c r="C2071" s="68">
        <v>99</v>
      </c>
      <c r="D2071" s="73" t="s">
        <v>3300</v>
      </c>
      <c r="E2071" s="77">
        <v>947.61666666666667</v>
      </c>
      <c r="F2071" s="77">
        <v>705.28692703272895</v>
      </c>
      <c r="G2071" s="76">
        <v>2.09</v>
      </c>
    </row>
    <row r="2072" spans="1:7" x14ac:dyDescent="0.25">
      <c r="A2072" s="75">
        <v>8103902</v>
      </c>
      <c r="B2072" s="73" t="s">
        <v>1658</v>
      </c>
      <c r="C2072" s="68">
        <v>1</v>
      </c>
      <c r="D2072" s="73" t="s">
        <v>3300</v>
      </c>
      <c r="E2072" s="77">
        <v>1000.8449999999999</v>
      </c>
      <c r="F2072" s="77">
        <v>705.28692703272895</v>
      </c>
      <c r="G2072" s="76">
        <v>2.09</v>
      </c>
    </row>
    <row r="2073" spans="1:7" x14ac:dyDescent="0.25">
      <c r="A2073" s="75">
        <v>8103902</v>
      </c>
      <c r="B2073" s="73" t="s">
        <v>3731</v>
      </c>
      <c r="C2073" s="68">
        <v>2</v>
      </c>
      <c r="D2073" s="73" t="s">
        <v>3300</v>
      </c>
      <c r="E2073" s="77">
        <v>973.01</v>
      </c>
      <c r="F2073" s="77">
        <v>705.28692703272895</v>
      </c>
      <c r="G2073" s="76">
        <v>2.09</v>
      </c>
    </row>
    <row r="2074" spans="1:7" x14ac:dyDescent="0.25">
      <c r="A2074" s="75">
        <v>8103902</v>
      </c>
      <c r="B2074" s="73" t="s">
        <v>1658</v>
      </c>
      <c r="C2074" s="68">
        <v>4</v>
      </c>
      <c r="D2074" s="73" t="s">
        <v>3300</v>
      </c>
      <c r="E2074" s="77">
        <v>934.92</v>
      </c>
      <c r="F2074" s="77">
        <v>705.28692703272895</v>
      </c>
      <c r="G2074" s="76">
        <v>2.09</v>
      </c>
    </row>
    <row r="2075" spans="1:7" x14ac:dyDescent="0.25">
      <c r="A2075" s="75">
        <v>8103902</v>
      </c>
      <c r="B2075" s="73" t="s">
        <v>3731</v>
      </c>
      <c r="C2075" s="68">
        <v>7</v>
      </c>
      <c r="D2075" s="73" t="s">
        <v>3300</v>
      </c>
      <c r="E2075" s="77">
        <v>947.61666666666667</v>
      </c>
      <c r="F2075" s="77">
        <v>705.28692703272895</v>
      </c>
      <c r="G2075" s="76">
        <v>2.09</v>
      </c>
    </row>
    <row r="2076" spans="1:7" x14ac:dyDescent="0.25">
      <c r="A2076" s="75">
        <v>8103903</v>
      </c>
      <c r="B2076" s="73" t="s">
        <v>3732</v>
      </c>
      <c r="C2076" s="68">
        <v>1</v>
      </c>
      <c r="D2076" s="73" t="s">
        <v>3291</v>
      </c>
      <c r="E2076" s="77">
        <v>741.38121994430264</v>
      </c>
      <c r="F2076" s="77">
        <v>1266.1381260659434</v>
      </c>
      <c r="G2076" s="76">
        <v>5.8804306679787741</v>
      </c>
    </row>
    <row r="2077" spans="1:7" x14ac:dyDescent="0.25">
      <c r="A2077" s="75">
        <v>8104001</v>
      </c>
      <c r="B2077" s="73" t="s">
        <v>3733</v>
      </c>
      <c r="C2077" s="68">
        <v>2</v>
      </c>
      <c r="D2077" s="73" t="s">
        <v>3421</v>
      </c>
      <c r="E2077" s="77">
        <v>530</v>
      </c>
      <c r="F2077" s="77">
        <v>874.4</v>
      </c>
      <c r="G2077" s="76">
        <v>5.2</v>
      </c>
    </row>
    <row r="2078" spans="1:7" x14ac:dyDescent="0.25">
      <c r="A2078" s="75">
        <v>8104001</v>
      </c>
      <c r="B2078" s="73" t="s">
        <v>3734</v>
      </c>
      <c r="C2078" s="68">
        <v>3</v>
      </c>
      <c r="D2078" s="73" t="s">
        <v>3421</v>
      </c>
      <c r="E2078" s="77">
        <v>530</v>
      </c>
      <c r="F2078" s="77">
        <v>874.4</v>
      </c>
      <c r="G2078" s="76">
        <v>5.2</v>
      </c>
    </row>
    <row r="2079" spans="1:7" x14ac:dyDescent="0.25">
      <c r="A2079" s="75">
        <v>8104001</v>
      </c>
      <c r="B2079" s="73" t="s">
        <v>3733</v>
      </c>
      <c r="C2079" s="68">
        <v>4</v>
      </c>
      <c r="D2079" s="73" t="s">
        <v>3421</v>
      </c>
      <c r="E2079" s="77">
        <v>530</v>
      </c>
      <c r="F2079" s="77">
        <v>874.4</v>
      </c>
      <c r="G2079" s="76">
        <v>5.2</v>
      </c>
    </row>
    <row r="2080" spans="1:7" x14ac:dyDescent="0.25">
      <c r="A2080" s="75">
        <v>8104001</v>
      </c>
      <c r="B2080" s="73" t="s">
        <v>3734</v>
      </c>
      <c r="C2080" s="68">
        <v>9</v>
      </c>
      <c r="D2080" s="73" t="s">
        <v>3421</v>
      </c>
      <c r="E2080" s="77">
        <v>536.34833333333336</v>
      </c>
      <c r="F2080" s="77">
        <v>874.4</v>
      </c>
      <c r="G2080" s="76">
        <v>5.2</v>
      </c>
    </row>
    <row r="2081" spans="1:7" x14ac:dyDescent="0.25">
      <c r="A2081" s="75">
        <v>8104001</v>
      </c>
      <c r="B2081" s="73" t="s">
        <v>3734</v>
      </c>
      <c r="C2081" s="68">
        <v>99</v>
      </c>
      <c r="D2081" s="73" t="s">
        <v>3421</v>
      </c>
      <c r="E2081" s="77">
        <v>530</v>
      </c>
      <c r="F2081" s="77">
        <v>874.4</v>
      </c>
      <c r="G2081" s="76">
        <v>5.2</v>
      </c>
    </row>
    <row r="2082" spans="1:7" x14ac:dyDescent="0.25">
      <c r="A2082" s="75">
        <v>8104601</v>
      </c>
      <c r="B2082" s="73" t="s">
        <v>1288</v>
      </c>
      <c r="C2082" s="68">
        <v>1</v>
      </c>
      <c r="D2082" s="73" t="s">
        <v>3735</v>
      </c>
      <c r="E2082" s="77">
        <v>4496.8616062108777</v>
      </c>
      <c r="F2082" s="77">
        <v>4215.9200018864067</v>
      </c>
      <c r="G2082" s="76">
        <v>3.1717414254215854</v>
      </c>
    </row>
    <row r="2083" spans="1:7" x14ac:dyDescent="0.25">
      <c r="A2083" s="75">
        <v>8104601</v>
      </c>
      <c r="B2083" s="73" t="s">
        <v>1288</v>
      </c>
      <c r="C2083" s="68">
        <v>2</v>
      </c>
      <c r="D2083" s="73" t="s">
        <v>3702</v>
      </c>
      <c r="E2083" s="77">
        <v>4773.1984794076079</v>
      </c>
      <c r="F2083" s="77">
        <v>4474.3508793587034</v>
      </c>
      <c r="G2083" s="76">
        <v>3.4111731289135867</v>
      </c>
    </row>
    <row r="2084" spans="1:7" x14ac:dyDescent="0.25">
      <c r="A2084" s="75">
        <v>8104601</v>
      </c>
      <c r="B2084" s="73" t="s">
        <v>1288</v>
      </c>
      <c r="C2084" s="68">
        <v>3</v>
      </c>
      <c r="D2084" s="73" t="s">
        <v>3735</v>
      </c>
      <c r="E2084" s="77">
        <v>4506.3841062108777</v>
      </c>
      <c r="F2084" s="77">
        <v>4215.9200018864067</v>
      </c>
      <c r="G2084" s="76">
        <v>3.1717414254215854</v>
      </c>
    </row>
    <row r="2085" spans="1:7" x14ac:dyDescent="0.25">
      <c r="A2085" s="75">
        <v>8104601</v>
      </c>
      <c r="B2085" s="73" t="s">
        <v>1288</v>
      </c>
      <c r="C2085" s="68">
        <v>7</v>
      </c>
      <c r="D2085" s="73" t="s">
        <v>3703</v>
      </c>
      <c r="E2085" s="77">
        <v>4636.1582218337035</v>
      </c>
      <c r="F2085" s="77">
        <v>4356.2645201449759</v>
      </c>
      <c r="G2085" s="76">
        <v>3.5554880669750424</v>
      </c>
    </row>
    <row r="2086" spans="1:7" x14ac:dyDescent="0.25">
      <c r="A2086" s="75">
        <v>8104601</v>
      </c>
      <c r="B2086" s="73" t="s">
        <v>1288</v>
      </c>
      <c r="C2086" s="68">
        <v>99</v>
      </c>
      <c r="D2086" s="73" t="s">
        <v>3735</v>
      </c>
      <c r="E2086" s="77">
        <v>4506.3841062108777</v>
      </c>
      <c r="F2086" s="77">
        <v>4215.9200018864067</v>
      </c>
      <c r="G2086" s="76">
        <v>3.1717414254215854</v>
      </c>
    </row>
    <row r="2087" spans="1:7" x14ac:dyDescent="0.25">
      <c r="A2087" s="75">
        <v>8104904</v>
      </c>
      <c r="B2087" s="73" t="s">
        <v>1289</v>
      </c>
      <c r="C2087" s="68">
        <v>1</v>
      </c>
      <c r="D2087" s="73" t="s">
        <v>3477</v>
      </c>
      <c r="E2087" s="77">
        <v>561.08749999999998</v>
      </c>
      <c r="F2087" s="77">
        <v>1093</v>
      </c>
      <c r="G2087" s="76">
        <v>6.5</v>
      </c>
    </row>
    <row r="2088" spans="1:7" x14ac:dyDescent="0.25">
      <c r="A2088" s="75">
        <v>8104904</v>
      </c>
      <c r="B2088" s="73" t="s">
        <v>1289</v>
      </c>
      <c r="C2088" s="68">
        <v>5</v>
      </c>
      <c r="D2088" s="73" t="s">
        <v>3476</v>
      </c>
      <c r="E2088" s="77">
        <v>501.755</v>
      </c>
      <c r="F2088" s="77">
        <v>1026.6303049067806</v>
      </c>
      <c r="G2088" s="76">
        <v>6.2299999999999995</v>
      </c>
    </row>
    <row r="2089" spans="1:7" x14ac:dyDescent="0.25">
      <c r="A2089" s="75">
        <v>8104904</v>
      </c>
      <c r="B2089" s="73" t="s">
        <v>1289</v>
      </c>
      <c r="C2089" s="68">
        <v>7</v>
      </c>
      <c r="D2089" s="73" t="s">
        <v>3476</v>
      </c>
      <c r="E2089" s="77">
        <v>501.755</v>
      </c>
      <c r="F2089" s="77">
        <v>1026.6303049067806</v>
      </c>
      <c r="G2089" s="76">
        <v>6.2299999999999995</v>
      </c>
    </row>
    <row r="2090" spans="1:7" x14ac:dyDescent="0.25">
      <c r="A2090" s="75">
        <v>8104904</v>
      </c>
      <c r="B2090" s="73" t="s">
        <v>1289</v>
      </c>
      <c r="C2090" s="68">
        <v>99</v>
      </c>
      <c r="D2090" s="73" t="s">
        <v>3476</v>
      </c>
      <c r="E2090" s="77">
        <v>501.755</v>
      </c>
      <c r="F2090" s="77">
        <v>1026.6303049067806</v>
      </c>
      <c r="G2090" s="76">
        <v>6.2299999999999995</v>
      </c>
    </row>
    <row r="2091" spans="1:7" x14ac:dyDescent="0.25">
      <c r="A2091" s="75">
        <v>8105001</v>
      </c>
      <c r="B2091" s="73" t="s">
        <v>1659</v>
      </c>
      <c r="C2091" s="68">
        <v>3</v>
      </c>
      <c r="D2091" s="73" t="s">
        <v>3736</v>
      </c>
      <c r="E2091" s="77">
        <v>1130</v>
      </c>
      <c r="F2091" s="77">
        <v>1000</v>
      </c>
      <c r="G2091" s="76">
        <v>5.2</v>
      </c>
    </row>
    <row r="2092" spans="1:7" x14ac:dyDescent="0.25">
      <c r="A2092" s="75">
        <v>8105001</v>
      </c>
      <c r="B2092" s="73" t="s">
        <v>1659</v>
      </c>
      <c r="C2092" s="68">
        <v>4</v>
      </c>
      <c r="D2092" s="73" t="s">
        <v>3736</v>
      </c>
      <c r="E2092" s="77">
        <v>1130</v>
      </c>
      <c r="F2092" s="77">
        <v>1000</v>
      </c>
      <c r="G2092" s="76">
        <v>5.2</v>
      </c>
    </row>
    <row r="2093" spans="1:7" x14ac:dyDescent="0.25">
      <c r="A2093" s="75">
        <v>8105001</v>
      </c>
      <c r="B2093" s="73" t="s">
        <v>1659</v>
      </c>
      <c r="C2093" s="68">
        <v>7</v>
      </c>
      <c r="D2093" s="73" t="s">
        <v>3736</v>
      </c>
      <c r="E2093" s="77">
        <v>1136.3483333333334</v>
      </c>
      <c r="F2093" s="77">
        <v>1000</v>
      </c>
      <c r="G2093" s="76">
        <v>5.2</v>
      </c>
    </row>
    <row r="2094" spans="1:7" x14ac:dyDescent="0.25">
      <c r="A2094" s="75"/>
      <c r="B2094" s="72" t="s">
        <v>27</v>
      </c>
      <c r="C2094" s="68"/>
      <c r="D2094" s="73"/>
      <c r="E2094" s="77"/>
      <c r="F2094" s="77"/>
      <c r="G2094" s="76"/>
    </row>
    <row r="2095" spans="1:7" x14ac:dyDescent="0.25">
      <c r="A2095" s="75">
        <v>8200101</v>
      </c>
      <c r="B2095" s="73" t="s">
        <v>1082</v>
      </c>
      <c r="C2095" s="68">
        <v>99</v>
      </c>
      <c r="D2095" s="73" t="s">
        <v>3737</v>
      </c>
      <c r="E2095" s="77">
        <v>68.75</v>
      </c>
      <c r="F2095" s="77">
        <v>45</v>
      </c>
      <c r="G2095" s="76">
        <v>0.2</v>
      </c>
    </row>
    <row r="2096" spans="1:7" x14ac:dyDescent="0.25">
      <c r="A2096" s="75">
        <v>8200102</v>
      </c>
      <c r="B2096" s="73" t="s">
        <v>1084</v>
      </c>
      <c r="C2096" s="68">
        <v>99</v>
      </c>
      <c r="D2096" s="73" t="s">
        <v>3737</v>
      </c>
      <c r="E2096" s="77">
        <v>68.75</v>
      </c>
      <c r="F2096" s="77">
        <v>45</v>
      </c>
      <c r="G2096" s="76">
        <v>0.2</v>
      </c>
    </row>
    <row r="2097" spans="1:7" x14ac:dyDescent="0.25">
      <c r="A2097" s="75">
        <v>8200202</v>
      </c>
      <c r="B2097" s="73" t="s">
        <v>1660</v>
      </c>
      <c r="C2097" s="68">
        <v>99</v>
      </c>
      <c r="D2097" s="73" t="s">
        <v>3738</v>
      </c>
      <c r="E2097" s="77">
        <v>45.1</v>
      </c>
      <c r="F2097" s="77">
        <v>45</v>
      </c>
      <c r="G2097" s="76">
        <v>0.2</v>
      </c>
    </row>
    <row r="2098" spans="1:7" x14ac:dyDescent="0.25">
      <c r="A2098" s="75">
        <v>8200208</v>
      </c>
      <c r="B2098" s="73" t="s">
        <v>1661</v>
      </c>
      <c r="C2098" s="68">
        <v>99</v>
      </c>
      <c r="D2098" s="73" t="s">
        <v>3738</v>
      </c>
      <c r="E2098" s="77">
        <v>45.1</v>
      </c>
      <c r="F2098" s="77">
        <v>45</v>
      </c>
      <c r="G2098" s="76">
        <v>0.2</v>
      </c>
    </row>
    <row r="2099" spans="1:7" x14ac:dyDescent="0.25">
      <c r="A2099" s="75">
        <v>8200211</v>
      </c>
      <c r="B2099" s="73" t="s">
        <v>3739</v>
      </c>
      <c r="C2099" s="68">
        <v>99</v>
      </c>
      <c r="D2099" s="73" t="s">
        <v>3738</v>
      </c>
      <c r="E2099" s="77">
        <v>45.1</v>
      </c>
      <c r="F2099" s="77">
        <v>45</v>
      </c>
      <c r="G2099" s="76">
        <v>0.2</v>
      </c>
    </row>
    <row r="2100" spans="1:7" x14ac:dyDescent="0.25">
      <c r="A2100" s="75">
        <v>8200301</v>
      </c>
      <c r="B2100" s="73" t="s">
        <v>1662</v>
      </c>
      <c r="C2100" s="68">
        <v>99</v>
      </c>
      <c r="D2100" s="73" t="s">
        <v>3740</v>
      </c>
      <c r="E2100" s="77">
        <v>45.1</v>
      </c>
      <c r="F2100" s="77">
        <v>45</v>
      </c>
      <c r="G2100" s="76">
        <v>0.2</v>
      </c>
    </row>
    <row r="2101" spans="1:7" x14ac:dyDescent="0.25">
      <c r="A2101" s="75">
        <v>8200302</v>
      </c>
      <c r="B2101" s="73" t="s">
        <v>1663</v>
      </c>
      <c r="C2101" s="68">
        <v>99</v>
      </c>
      <c r="D2101" s="73" t="s">
        <v>3740</v>
      </c>
      <c r="E2101" s="77">
        <v>45.1</v>
      </c>
      <c r="F2101" s="77">
        <v>45</v>
      </c>
      <c r="G2101" s="76">
        <v>0.2</v>
      </c>
    </row>
    <row r="2102" spans="1:7" x14ac:dyDescent="0.25">
      <c r="A2102" s="75">
        <v>8200308</v>
      </c>
      <c r="B2102" s="73" t="s">
        <v>3741</v>
      </c>
      <c r="C2102" s="68">
        <v>99</v>
      </c>
      <c r="D2102" s="73" t="s">
        <v>3740</v>
      </c>
      <c r="E2102" s="77">
        <v>45.1</v>
      </c>
      <c r="F2102" s="77">
        <v>45</v>
      </c>
      <c r="G2102" s="76">
        <v>0.2</v>
      </c>
    </row>
    <row r="2103" spans="1:7" x14ac:dyDescent="0.25">
      <c r="A2103" s="75">
        <v>8200407</v>
      </c>
      <c r="B2103" s="73" t="s">
        <v>1085</v>
      </c>
      <c r="C2103" s="68">
        <v>99</v>
      </c>
      <c r="D2103" s="73" t="s">
        <v>3742</v>
      </c>
      <c r="E2103" s="77">
        <v>32.700000000000003</v>
      </c>
      <c r="F2103" s="77">
        <v>45</v>
      </c>
      <c r="G2103" s="76">
        <v>0.2</v>
      </c>
    </row>
    <row r="2104" spans="1:7" x14ac:dyDescent="0.25">
      <c r="A2104" s="75">
        <v>8200411</v>
      </c>
      <c r="B2104" s="73" t="s">
        <v>3743</v>
      </c>
      <c r="C2104" s="68">
        <v>99</v>
      </c>
      <c r="D2104" s="73" t="s">
        <v>3742</v>
      </c>
      <c r="E2104" s="77">
        <v>32.700000000000003</v>
      </c>
      <c r="F2104" s="77">
        <v>45</v>
      </c>
      <c r="G2104" s="76">
        <v>0.2</v>
      </c>
    </row>
    <row r="2105" spans="1:7" x14ac:dyDescent="0.25">
      <c r="A2105" s="75">
        <v>8200505</v>
      </c>
      <c r="B2105" s="73" t="s">
        <v>1664</v>
      </c>
      <c r="C2105" s="68">
        <v>99</v>
      </c>
      <c r="D2105" s="73" t="s">
        <v>3738</v>
      </c>
      <c r="E2105" s="77">
        <v>45.1</v>
      </c>
      <c r="F2105" s="77">
        <v>45</v>
      </c>
      <c r="G2105" s="76">
        <v>0.2</v>
      </c>
    </row>
    <row r="2106" spans="1:7" x14ac:dyDescent="0.25">
      <c r="A2106" s="75">
        <v>8200507</v>
      </c>
      <c r="B2106" s="73" t="s">
        <v>3744</v>
      </c>
      <c r="C2106" s="68">
        <v>99</v>
      </c>
      <c r="D2106" s="73" t="s">
        <v>3738</v>
      </c>
      <c r="E2106" s="77">
        <v>45.1</v>
      </c>
      <c r="F2106" s="77">
        <v>45</v>
      </c>
      <c r="G2106" s="76">
        <v>0.2</v>
      </c>
    </row>
    <row r="2107" spans="1:7" x14ac:dyDescent="0.25">
      <c r="A2107" s="75">
        <v>8200701</v>
      </c>
      <c r="B2107" s="73" t="s">
        <v>1086</v>
      </c>
      <c r="C2107" s="68">
        <v>99</v>
      </c>
      <c r="D2107" s="73" t="s">
        <v>3745</v>
      </c>
      <c r="E2107" s="77">
        <v>27.4</v>
      </c>
      <c r="F2107" s="77">
        <v>45</v>
      </c>
      <c r="G2107" s="76">
        <v>0.2</v>
      </c>
    </row>
    <row r="2108" spans="1:7" x14ac:dyDescent="0.25">
      <c r="A2108" s="75">
        <v>8200702</v>
      </c>
      <c r="B2108" s="73" t="s">
        <v>1087</v>
      </c>
      <c r="C2108" s="68">
        <v>99</v>
      </c>
      <c r="D2108" s="73" t="s">
        <v>3745</v>
      </c>
      <c r="E2108" s="77">
        <v>27.4</v>
      </c>
      <c r="F2108" s="77">
        <v>45</v>
      </c>
      <c r="G2108" s="76">
        <v>0.2</v>
      </c>
    </row>
    <row r="2109" spans="1:7" x14ac:dyDescent="0.25">
      <c r="A2109" s="75">
        <v>8200801</v>
      </c>
      <c r="B2109" s="73" t="s">
        <v>1088</v>
      </c>
      <c r="C2109" s="68">
        <v>99</v>
      </c>
      <c r="D2109" s="73" t="s">
        <v>3745</v>
      </c>
      <c r="E2109" s="77">
        <v>27.4</v>
      </c>
      <c r="F2109" s="77">
        <v>45</v>
      </c>
      <c r="G2109" s="76">
        <v>0.2</v>
      </c>
    </row>
    <row r="2110" spans="1:7" x14ac:dyDescent="0.25">
      <c r="A2110" s="75">
        <v>8201004</v>
      </c>
      <c r="B2110" s="73" t="s">
        <v>3746</v>
      </c>
      <c r="C2110" s="68">
        <v>99</v>
      </c>
      <c r="D2110" s="73" t="s">
        <v>3747</v>
      </c>
      <c r="E2110" s="77">
        <v>20.433333333333334</v>
      </c>
      <c r="F2110" s="77">
        <v>1.2</v>
      </c>
      <c r="G2110" s="76">
        <v>2.125</v>
      </c>
    </row>
    <row r="2111" spans="1:7" x14ac:dyDescent="0.25">
      <c r="A2111" s="75">
        <v>8201005</v>
      </c>
      <c r="B2111" s="73" t="s">
        <v>3748</v>
      </c>
      <c r="C2111" s="68">
        <v>99</v>
      </c>
      <c r="D2111" s="73" t="s">
        <v>3747</v>
      </c>
      <c r="E2111" s="77">
        <v>20.65</v>
      </c>
      <c r="F2111" s="77">
        <v>1.2</v>
      </c>
      <c r="G2111" s="76">
        <v>2.125</v>
      </c>
    </row>
    <row r="2112" spans="1:7" x14ac:dyDescent="0.25">
      <c r="A2112" s="75">
        <v>8201007</v>
      </c>
      <c r="B2112" s="73" t="s">
        <v>3749</v>
      </c>
      <c r="C2112" s="68">
        <v>99</v>
      </c>
      <c r="D2112" s="73" t="s">
        <v>3747</v>
      </c>
      <c r="E2112" s="77">
        <v>20</v>
      </c>
      <c r="F2112" s="77">
        <v>1.2</v>
      </c>
      <c r="G2112" s="76">
        <v>2.125</v>
      </c>
    </row>
    <row r="2113" spans="1:7" x14ac:dyDescent="0.25">
      <c r="A2113" s="75">
        <v>8201015</v>
      </c>
      <c r="B2113" s="73" t="s">
        <v>3750</v>
      </c>
      <c r="C2113" s="68">
        <v>99</v>
      </c>
      <c r="D2113" s="73" t="s">
        <v>3751</v>
      </c>
      <c r="E2113" s="77">
        <v>45.1</v>
      </c>
      <c r="F2113" s="77">
        <v>45</v>
      </c>
      <c r="G2113" s="76">
        <v>0.2</v>
      </c>
    </row>
    <row r="2114" spans="1:7" x14ac:dyDescent="0.25">
      <c r="A2114" s="75">
        <v>8201017</v>
      </c>
      <c r="B2114" s="73" t="s">
        <v>3752</v>
      </c>
      <c r="C2114" s="68">
        <v>99</v>
      </c>
      <c r="D2114" s="73" t="s">
        <v>3751</v>
      </c>
      <c r="E2114" s="77">
        <v>45.1</v>
      </c>
      <c r="F2114" s="77">
        <v>45</v>
      </c>
      <c r="G2114" s="76">
        <v>0.2</v>
      </c>
    </row>
    <row r="2115" spans="1:7" x14ac:dyDescent="0.25">
      <c r="A2115" s="75">
        <v>8201104</v>
      </c>
      <c r="B2115" s="73" t="s">
        <v>1665</v>
      </c>
      <c r="C2115" s="68">
        <v>99</v>
      </c>
      <c r="D2115" s="73" t="s">
        <v>3753</v>
      </c>
      <c r="E2115" s="77">
        <v>33</v>
      </c>
      <c r="F2115" s="77">
        <v>740.41882297760048</v>
      </c>
      <c r="G2115" s="76">
        <v>4.7</v>
      </c>
    </row>
    <row r="2116" spans="1:7" x14ac:dyDescent="0.25">
      <c r="A2116" s="75">
        <v>8201511</v>
      </c>
      <c r="B2116" s="73" t="s">
        <v>3754</v>
      </c>
      <c r="C2116" s="68">
        <v>99</v>
      </c>
      <c r="D2116" s="73" t="s">
        <v>3755</v>
      </c>
      <c r="E2116" s="77">
        <v>45.1</v>
      </c>
      <c r="F2116" s="77">
        <v>45</v>
      </c>
      <c r="G2116" s="76">
        <v>0.2</v>
      </c>
    </row>
    <row r="2117" spans="1:7" x14ac:dyDescent="0.25">
      <c r="A2117" s="75">
        <v>8201601</v>
      </c>
      <c r="B2117" s="73" t="s">
        <v>1666</v>
      </c>
      <c r="C2117" s="68">
        <v>99</v>
      </c>
      <c r="D2117" s="73" t="s">
        <v>3756</v>
      </c>
      <c r="E2117" s="77">
        <v>45.1</v>
      </c>
      <c r="F2117" s="77">
        <v>45</v>
      </c>
      <c r="G2117" s="76">
        <v>0.2</v>
      </c>
    </row>
    <row r="2118" spans="1:7" x14ac:dyDescent="0.25">
      <c r="A2118" s="75">
        <v>8201602</v>
      </c>
      <c r="B2118" s="73" t="s">
        <v>1667</v>
      </c>
      <c r="C2118" s="68">
        <v>99</v>
      </c>
      <c r="D2118" s="73" t="s">
        <v>3756</v>
      </c>
      <c r="E2118" s="77">
        <v>45.1</v>
      </c>
      <c r="F2118" s="77">
        <v>45</v>
      </c>
      <c r="G2118" s="76">
        <v>0.2</v>
      </c>
    </row>
    <row r="2119" spans="1:7" x14ac:dyDescent="0.25">
      <c r="A2119" s="75">
        <v>8201802</v>
      </c>
      <c r="B2119" s="73" t="s">
        <v>1668</v>
      </c>
      <c r="C2119" s="68">
        <v>99</v>
      </c>
      <c r="D2119" s="73" t="s">
        <v>3740</v>
      </c>
      <c r="E2119" s="77">
        <v>45.1</v>
      </c>
      <c r="F2119" s="77">
        <v>45</v>
      </c>
      <c r="G2119" s="76">
        <v>0.2</v>
      </c>
    </row>
    <row r="2120" spans="1:7" x14ac:dyDescent="0.25">
      <c r="A2120" s="75">
        <v>8202001</v>
      </c>
      <c r="B2120" s="73" t="s">
        <v>1669</v>
      </c>
      <c r="C2120" s="68">
        <v>99</v>
      </c>
      <c r="D2120" s="73" t="s">
        <v>3002</v>
      </c>
      <c r="E2120" s="77">
        <v>98.290708733486838</v>
      </c>
      <c r="F2120" s="77">
        <v>17.595330474337111</v>
      </c>
      <c r="G2120" s="76">
        <v>0.48457619739041813</v>
      </c>
    </row>
    <row r="2121" spans="1:7" x14ac:dyDescent="0.25">
      <c r="A2121" s="75">
        <v>8202002</v>
      </c>
      <c r="B2121" s="73" t="s">
        <v>1670</v>
      </c>
      <c r="C2121" s="68">
        <v>99</v>
      </c>
      <c r="D2121" s="73" t="s">
        <v>3002</v>
      </c>
      <c r="E2121" s="77">
        <v>98.290708733486838</v>
      </c>
      <c r="F2121" s="77">
        <v>17.595330474337111</v>
      </c>
      <c r="G2121" s="76">
        <v>0.48457619739041813</v>
      </c>
    </row>
    <row r="2122" spans="1:7" x14ac:dyDescent="0.25">
      <c r="A2122" s="75">
        <v>8202101</v>
      </c>
      <c r="B2122" s="73" t="s">
        <v>1671</v>
      </c>
      <c r="C2122" s="68">
        <v>99</v>
      </c>
      <c r="D2122" s="73" t="s">
        <v>3757</v>
      </c>
      <c r="E2122" s="77">
        <v>72.829107237189646</v>
      </c>
      <c r="F2122" s="77">
        <v>207.16080837668224</v>
      </c>
      <c r="G2122" s="76">
        <v>1.1000000000000001</v>
      </c>
    </row>
    <row r="2123" spans="1:7" x14ac:dyDescent="0.25">
      <c r="A2123" s="75">
        <v>8202402</v>
      </c>
      <c r="B2123" s="73" t="s">
        <v>1672</v>
      </c>
      <c r="C2123" s="68">
        <v>99</v>
      </c>
      <c r="D2123" s="73" t="s">
        <v>3758</v>
      </c>
      <c r="E2123" s="77">
        <v>47.77</v>
      </c>
      <c r="F2123" s="77">
        <v>1154.3725015272823</v>
      </c>
      <c r="G2123" s="76">
        <v>5.75</v>
      </c>
    </row>
    <row r="2124" spans="1:7" x14ac:dyDescent="0.25">
      <c r="A2124" s="75">
        <v>8202403</v>
      </c>
      <c r="B2124" s="73" t="s">
        <v>1673</v>
      </c>
      <c r="C2124" s="68">
        <v>99</v>
      </c>
      <c r="D2124" s="73" t="s">
        <v>3758</v>
      </c>
      <c r="E2124" s="77">
        <v>47.77</v>
      </c>
      <c r="F2124" s="77">
        <v>1154.3725015272823</v>
      </c>
      <c r="G2124" s="76">
        <v>5.75</v>
      </c>
    </row>
    <row r="2125" spans="1:7" x14ac:dyDescent="0.25">
      <c r="A2125" s="75">
        <v>8202701</v>
      </c>
      <c r="B2125" s="73" t="s">
        <v>3759</v>
      </c>
      <c r="C2125" s="68">
        <v>99</v>
      </c>
      <c r="D2125" s="73" t="s">
        <v>3760</v>
      </c>
      <c r="E2125" s="77">
        <v>3.2731676566765664</v>
      </c>
      <c r="F2125" s="77">
        <v>2.2212786817196188</v>
      </c>
      <c r="G2125" s="76">
        <v>1.4100141001410016E-2</v>
      </c>
    </row>
    <row r="2126" spans="1:7" x14ac:dyDescent="0.25">
      <c r="A2126" s="75">
        <v>8202801</v>
      </c>
      <c r="B2126" s="73" t="s">
        <v>3761</v>
      </c>
      <c r="C2126" s="68">
        <v>99</v>
      </c>
      <c r="D2126" s="73" t="s">
        <v>3762</v>
      </c>
      <c r="E2126" s="77">
        <v>3.2731676566765664</v>
      </c>
      <c r="F2126" s="77">
        <v>2.2212786817196188</v>
      </c>
      <c r="G2126" s="76">
        <v>1.4100141001410016E-2</v>
      </c>
    </row>
    <row r="2127" spans="1:7" x14ac:dyDescent="0.25">
      <c r="A2127" s="75">
        <v>8202803</v>
      </c>
      <c r="B2127" s="73" t="s">
        <v>1674</v>
      </c>
      <c r="C2127" s="68">
        <v>99</v>
      </c>
      <c r="D2127" s="73" t="s">
        <v>3753</v>
      </c>
      <c r="E2127" s="77">
        <v>33</v>
      </c>
      <c r="F2127" s="77">
        <v>740.41882297760048</v>
      </c>
      <c r="G2127" s="76">
        <v>4.7</v>
      </c>
    </row>
    <row r="2128" spans="1:7" x14ac:dyDescent="0.25">
      <c r="A2128" s="75">
        <v>8202804</v>
      </c>
      <c r="B2128" s="73" t="s">
        <v>1675</v>
      </c>
      <c r="C2128" s="68">
        <v>99</v>
      </c>
      <c r="D2128" s="73" t="s">
        <v>3753</v>
      </c>
      <c r="E2128" s="77">
        <v>33</v>
      </c>
      <c r="F2128" s="77">
        <v>740.41882297760048</v>
      </c>
      <c r="G2128" s="76">
        <v>4.7</v>
      </c>
    </row>
    <row r="2129" spans="1:7" x14ac:dyDescent="0.25">
      <c r="A2129" s="75">
        <v>8202805</v>
      </c>
      <c r="B2129" s="73" t="s">
        <v>1676</v>
      </c>
      <c r="C2129" s="68">
        <v>99</v>
      </c>
      <c r="D2129" s="73" t="s">
        <v>3753</v>
      </c>
      <c r="E2129" s="77">
        <v>33</v>
      </c>
      <c r="F2129" s="77">
        <v>740.41882297760048</v>
      </c>
      <c r="G2129" s="76">
        <v>4.7</v>
      </c>
    </row>
    <row r="2130" spans="1:7" x14ac:dyDescent="0.25">
      <c r="A2130" s="75">
        <v>8203501</v>
      </c>
      <c r="B2130" s="73" t="s">
        <v>1091</v>
      </c>
      <c r="C2130" s="68">
        <v>99</v>
      </c>
      <c r="D2130" s="73" t="s">
        <v>3737</v>
      </c>
      <c r="E2130" s="77">
        <v>68.75</v>
      </c>
      <c r="F2130" s="77">
        <v>45</v>
      </c>
      <c r="G2130" s="76">
        <v>0.2</v>
      </c>
    </row>
    <row r="2131" spans="1:7" x14ac:dyDescent="0.25">
      <c r="A2131" s="75">
        <v>8203603</v>
      </c>
      <c r="B2131" s="73" t="s">
        <v>1092</v>
      </c>
      <c r="C2131" s="68">
        <v>99</v>
      </c>
      <c r="D2131" s="73" t="s">
        <v>3763</v>
      </c>
      <c r="E2131" s="77">
        <v>12.835368053680536</v>
      </c>
      <c r="F2131" s="77">
        <v>0.36421113263760124</v>
      </c>
      <c r="G2131" s="76">
        <v>2.6400264002640035E-3</v>
      </c>
    </row>
    <row r="2132" spans="1:7" x14ac:dyDescent="0.25">
      <c r="A2132" s="75">
        <v>8204503</v>
      </c>
      <c r="B2132" s="73" t="s">
        <v>1677</v>
      </c>
      <c r="C2132" s="68">
        <v>99</v>
      </c>
      <c r="D2132" s="73" t="s">
        <v>3085</v>
      </c>
      <c r="E2132" s="77">
        <v>79.444444444444443</v>
      </c>
      <c r="F2132" s="77">
        <v>1154.3725015272823</v>
      </c>
      <c r="G2132" s="76">
        <v>5.75</v>
      </c>
    </row>
    <row r="2133" spans="1:7" x14ac:dyDescent="0.25">
      <c r="A2133" s="75">
        <v>8204902</v>
      </c>
      <c r="B2133" s="73" t="s">
        <v>1678</v>
      </c>
      <c r="C2133" s="68">
        <v>99</v>
      </c>
      <c r="D2133" s="73" t="s">
        <v>3764</v>
      </c>
      <c r="E2133" s="77">
        <v>45.1</v>
      </c>
      <c r="F2133" s="77">
        <v>45</v>
      </c>
      <c r="G2133" s="76">
        <v>0.2</v>
      </c>
    </row>
    <row r="2134" spans="1:7" ht="30" x14ac:dyDescent="0.25">
      <c r="A2134" s="75">
        <v>8205201</v>
      </c>
      <c r="B2134" s="73" t="s">
        <v>1679</v>
      </c>
      <c r="C2134" s="68">
        <v>99</v>
      </c>
      <c r="D2134" s="73" t="s">
        <v>3765</v>
      </c>
      <c r="E2134" s="77">
        <v>9.6215009900098991</v>
      </c>
      <c r="F2134" s="77">
        <v>2.2212786817196188</v>
      </c>
      <c r="G2134" s="76">
        <v>1.4100141001410016E-2</v>
      </c>
    </row>
    <row r="2135" spans="1:7" x14ac:dyDescent="0.25">
      <c r="A2135" s="75">
        <v>8205801</v>
      </c>
      <c r="B2135" s="73" t="s">
        <v>3766</v>
      </c>
      <c r="C2135" s="68">
        <v>99</v>
      </c>
      <c r="D2135" s="73" t="s">
        <v>12</v>
      </c>
      <c r="E2135" s="77">
        <v>47.77</v>
      </c>
      <c r="F2135" s="77">
        <v>1154.3725015272823</v>
      </c>
      <c r="G2135" s="76">
        <v>5.75</v>
      </c>
    </row>
    <row r="2136" spans="1:7" x14ac:dyDescent="0.25">
      <c r="A2136" s="75">
        <v>8205803</v>
      </c>
      <c r="B2136" s="73" t="s">
        <v>1680</v>
      </c>
      <c r="C2136" s="68">
        <v>99</v>
      </c>
      <c r="D2136" s="73" t="s">
        <v>3767</v>
      </c>
      <c r="E2136" s="77">
        <v>47.77</v>
      </c>
      <c r="F2136" s="77">
        <v>1154.3725015272823</v>
      </c>
      <c r="G2136" s="76">
        <v>5.75</v>
      </c>
    </row>
    <row r="2137" spans="1:7" x14ac:dyDescent="0.25">
      <c r="A2137" s="75">
        <v>8205805</v>
      </c>
      <c r="B2137" s="73" t="s">
        <v>3768</v>
      </c>
      <c r="C2137" s="68">
        <v>99</v>
      </c>
      <c r="D2137" s="73" t="s">
        <v>3767</v>
      </c>
      <c r="E2137" s="77">
        <v>47.77</v>
      </c>
      <c r="F2137" s="77">
        <v>1154.3725015272823</v>
      </c>
      <c r="G2137" s="76">
        <v>5.75</v>
      </c>
    </row>
    <row r="2138" spans="1:7" x14ac:dyDescent="0.25">
      <c r="A2138" s="75">
        <v>8205901</v>
      </c>
      <c r="B2138" s="73" t="s">
        <v>1681</v>
      </c>
      <c r="C2138" s="68">
        <v>99</v>
      </c>
      <c r="D2138" s="73" t="s">
        <v>12</v>
      </c>
      <c r="E2138" s="77">
        <v>47.77</v>
      </c>
      <c r="F2138" s="77">
        <v>1154.3725015272823</v>
      </c>
      <c r="G2138" s="76">
        <v>5.75</v>
      </c>
    </row>
    <row r="2139" spans="1:7" ht="30" x14ac:dyDescent="0.25">
      <c r="A2139" s="75">
        <v>8206301</v>
      </c>
      <c r="B2139" s="73" t="s">
        <v>1094</v>
      </c>
      <c r="C2139" s="68">
        <v>99</v>
      </c>
      <c r="D2139" s="73" t="s">
        <v>3765</v>
      </c>
      <c r="E2139" s="77">
        <v>9.6215009900098991</v>
      </c>
      <c r="F2139" s="77">
        <v>2.2212786817196188</v>
      </c>
      <c r="G2139" s="76">
        <v>1.4100141001410016E-2</v>
      </c>
    </row>
    <row r="2140" spans="1:7" x14ac:dyDescent="0.25">
      <c r="A2140" s="75">
        <v>8207401</v>
      </c>
      <c r="B2140" s="73" t="s">
        <v>1682</v>
      </c>
      <c r="C2140" s="68">
        <v>99</v>
      </c>
      <c r="D2140" s="73" t="s">
        <v>3756</v>
      </c>
      <c r="E2140" s="77">
        <v>45.1</v>
      </c>
      <c r="F2140" s="77">
        <v>45</v>
      </c>
      <c r="G2140" s="76">
        <v>0.2</v>
      </c>
    </row>
    <row r="2141" spans="1:7" x14ac:dyDescent="0.25">
      <c r="A2141" s="75">
        <v>8207402</v>
      </c>
      <c r="B2141" s="73" t="s">
        <v>1683</v>
      </c>
      <c r="C2141" s="68">
        <v>99</v>
      </c>
      <c r="D2141" s="73" t="s">
        <v>3756</v>
      </c>
      <c r="E2141" s="77">
        <v>45.1</v>
      </c>
      <c r="F2141" s="77">
        <v>45</v>
      </c>
      <c r="G2141" s="76">
        <v>0.2</v>
      </c>
    </row>
    <row r="2142" spans="1:7" x14ac:dyDescent="0.25">
      <c r="A2142" s="75">
        <v>8207501</v>
      </c>
      <c r="B2142" s="73" t="s">
        <v>3769</v>
      </c>
      <c r="C2142" s="68">
        <v>99</v>
      </c>
      <c r="D2142" s="73" t="s">
        <v>3770</v>
      </c>
      <c r="E2142" s="77">
        <v>45.1</v>
      </c>
      <c r="F2142" s="77">
        <v>45</v>
      </c>
      <c r="G2142" s="76">
        <v>0.2</v>
      </c>
    </row>
    <row r="2143" spans="1:7" x14ac:dyDescent="0.25">
      <c r="A2143" s="75">
        <v>8207601</v>
      </c>
      <c r="B2143" s="73" t="s">
        <v>1096</v>
      </c>
      <c r="C2143" s="68">
        <v>99</v>
      </c>
      <c r="D2143" s="73" t="s">
        <v>3770</v>
      </c>
      <c r="E2143" s="77">
        <v>45.1</v>
      </c>
      <c r="F2143" s="77">
        <v>45</v>
      </c>
      <c r="G2143" s="76">
        <v>0.2</v>
      </c>
    </row>
    <row r="2144" spans="1:7" x14ac:dyDescent="0.25">
      <c r="A2144" s="75">
        <v>8207701</v>
      </c>
      <c r="B2144" s="73" t="s">
        <v>3771</v>
      </c>
      <c r="C2144" s="68">
        <v>99</v>
      </c>
      <c r="D2144" s="73" t="s">
        <v>3772</v>
      </c>
      <c r="E2144" s="77">
        <v>45.1</v>
      </c>
      <c r="F2144" s="77">
        <v>45</v>
      </c>
      <c r="G2144" s="76">
        <v>0.2</v>
      </c>
    </row>
    <row r="2145" spans="1:7" x14ac:dyDescent="0.25">
      <c r="A2145" s="75">
        <v>8209002</v>
      </c>
      <c r="B2145" s="73" t="s">
        <v>1684</v>
      </c>
      <c r="C2145" s="68">
        <v>99</v>
      </c>
      <c r="D2145" s="73" t="s">
        <v>3772</v>
      </c>
      <c r="E2145" s="77">
        <v>45.1</v>
      </c>
      <c r="F2145" s="77">
        <v>45</v>
      </c>
      <c r="G2145" s="76">
        <v>0.2</v>
      </c>
    </row>
    <row r="2146" spans="1:7" x14ac:dyDescent="0.25">
      <c r="A2146" s="75">
        <v>8211002</v>
      </c>
      <c r="B2146" s="73" t="s">
        <v>1685</v>
      </c>
      <c r="C2146" s="68">
        <v>99</v>
      </c>
      <c r="D2146" s="73" t="s">
        <v>3751</v>
      </c>
      <c r="E2146" s="77">
        <v>45.1</v>
      </c>
      <c r="F2146" s="77">
        <v>45</v>
      </c>
      <c r="G2146" s="76">
        <v>0.2</v>
      </c>
    </row>
    <row r="2147" spans="1:7" x14ac:dyDescent="0.25">
      <c r="A2147" s="75">
        <v>8211102</v>
      </c>
      <c r="B2147" s="73" t="s">
        <v>1686</v>
      </c>
      <c r="C2147" s="68">
        <v>99</v>
      </c>
      <c r="D2147" s="73" t="s">
        <v>3751</v>
      </c>
      <c r="E2147" s="77">
        <v>45.1</v>
      </c>
      <c r="F2147" s="77">
        <v>45</v>
      </c>
      <c r="G2147" s="76">
        <v>0.2</v>
      </c>
    </row>
    <row r="2148" spans="1:7" x14ac:dyDescent="0.25">
      <c r="A2148" s="75">
        <v>8212802</v>
      </c>
      <c r="B2148" s="73" t="s">
        <v>3773</v>
      </c>
      <c r="C2148" s="68">
        <v>99</v>
      </c>
      <c r="D2148" s="73" t="s">
        <v>3753</v>
      </c>
      <c r="E2148" s="77">
        <v>33</v>
      </c>
      <c r="F2148" s="77">
        <v>740.41882297760048</v>
      </c>
      <c r="G2148" s="76">
        <v>4.7</v>
      </c>
    </row>
    <row r="2149" spans="1:7" x14ac:dyDescent="0.25">
      <c r="A2149" s="75">
        <v>8212902</v>
      </c>
      <c r="B2149" s="73" t="s">
        <v>1687</v>
      </c>
      <c r="C2149" s="68">
        <v>99</v>
      </c>
      <c r="D2149" s="73" t="s">
        <v>3772</v>
      </c>
      <c r="E2149" s="77">
        <v>45.1</v>
      </c>
      <c r="F2149" s="77">
        <v>45</v>
      </c>
      <c r="G2149" s="76">
        <v>0.2</v>
      </c>
    </row>
    <row r="2150" spans="1:7" x14ac:dyDescent="0.25">
      <c r="A2150" s="75">
        <v>8213301</v>
      </c>
      <c r="B2150" s="73" t="s">
        <v>3774</v>
      </c>
      <c r="C2150" s="68">
        <v>99</v>
      </c>
      <c r="D2150" s="73" t="s">
        <v>3760</v>
      </c>
      <c r="E2150" s="77">
        <v>3.2731676566765664</v>
      </c>
      <c r="F2150" s="77">
        <v>2.2212786817196188</v>
      </c>
      <c r="G2150" s="76">
        <v>1.4100141001410016E-2</v>
      </c>
    </row>
    <row r="2151" spans="1:7" x14ac:dyDescent="0.25">
      <c r="A2151" s="75">
        <v>8213601</v>
      </c>
      <c r="B2151" s="73" t="s">
        <v>1688</v>
      </c>
      <c r="C2151" s="68">
        <v>99</v>
      </c>
      <c r="D2151" s="73" t="s">
        <v>3775</v>
      </c>
      <c r="E2151" s="77">
        <v>13.833752675664348</v>
      </c>
      <c r="F2151" s="77">
        <v>41.243468631665657</v>
      </c>
      <c r="G2151" s="76">
        <v>0.16859597146871366</v>
      </c>
    </row>
    <row r="2152" spans="1:7" x14ac:dyDescent="0.25">
      <c r="A2152" s="75">
        <v>8215701</v>
      </c>
      <c r="B2152" s="73" t="s">
        <v>3776</v>
      </c>
      <c r="C2152" s="68">
        <v>99</v>
      </c>
      <c r="D2152" s="73" t="s">
        <v>3760</v>
      </c>
      <c r="E2152" s="77">
        <v>3.2731676566765664</v>
      </c>
      <c r="F2152" s="77">
        <v>2.2212786817196188</v>
      </c>
      <c r="G2152" s="76">
        <v>1.4100141001410016E-2</v>
      </c>
    </row>
    <row r="2153" spans="1:7" x14ac:dyDescent="0.25">
      <c r="A2153" s="75">
        <v>8215801</v>
      </c>
      <c r="B2153" s="73" t="s">
        <v>3777</v>
      </c>
      <c r="C2153" s="68">
        <v>99</v>
      </c>
      <c r="D2153" s="73" t="s">
        <v>3760</v>
      </c>
      <c r="E2153" s="77">
        <v>3.2731676566765664</v>
      </c>
      <c r="F2153" s="77">
        <v>2.2212786817196188</v>
      </c>
      <c r="G2153" s="76">
        <v>1.4100141001410016E-2</v>
      </c>
    </row>
    <row r="2154" spans="1:7" x14ac:dyDescent="0.25">
      <c r="A2154" s="75">
        <v>8215901</v>
      </c>
      <c r="B2154" s="73" t="s">
        <v>3778</v>
      </c>
      <c r="C2154" s="68">
        <v>99</v>
      </c>
      <c r="D2154" s="73" t="s">
        <v>3765</v>
      </c>
      <c r="E2154" s="77">
        <v>9.6215009900098991</v>
      </c>
      <c r="F2154" s="77">
        <v>2.2212786817196188</v>
      </c>
      <c r="G2154" s="76">
        <v>1.4100141001410016E-2</v>
      </c>
    </row>
    <row r="2155" spans="1:7" x14ac:dyDescent="0.25">
      <c r="A2155" s="75">
        <v>8216001</v>
      </c>
      <c r="B2155" s="73" t="s">
        <v>3779</v>
      </c>
      <c r="C2155" s="68">
        <v>99</v>
      </c>
      <c r="D2155" s="73" t="s">
        <v>3775</v>
      </c>
      <c r="E2155" s="77">
        <v>13.833752675664348</v>
      </c>
      <c r="F2155" s="77">
        <v>41.24346863166565</v>
      </c>
      <c r="G2155" s="76">
        <v>0.16859597146871369</v>
      </c>
    </row>
    <row r="2156" spans="1:7" x14ac:dyDescent="0.25">
      <c r="A2156" s="75">
        <v>8216101</v>
      </c>
      <c r="B2156" s="73" t="s">
        <v>3780</v>
      </c>
      <c r="C2156" s="68">
        <v>99</v>
      </c>
      <c r="D2156" s="73" t="s">
        <v>3775</v>
      </c>
      <c r="E2156" s="77">
        <v>13.833752675664348</v>
      </c>
      <c r="F2156" s="77">
        <v>41.24346863166565</v>
      </c>
      <c r="G2156" s="76">
        <v>0.16859597146871369</v>
      </c>
    </row>
    <row r="2157" spans="1:7" x14ac:dyDescent="0.25">
      <c r="A2157" s="75">
        <v>8216201</v>
      </c>
      <c r="B2157" s="73" t="s">
        <v>3781</v>
      </c>
      <c r="C2157" s="68">
        <v>99</v>
      </c>
      <c r="D2157" s="73" t="s">
        <v>3775</v>
      </c>
      <c r="E2157" s="77">
        <v>13.83375267566435</v>
      </c>
      <c r="F2157" s="77">
        <v>41.24346863166565</v>
      </c>
      <c r="G2157" s="76">
        <v>0.16859597146871372</v>
      </c>
    </row>
    <row r="2158" spans="1:7" x14ac:dyDescent="0.25">
      <c r="A2158" s="75">
        <v>8216301</v>
      </c>
      <c r="B2158" s="73" t="s">
        <v>3782</v>
      </c>
      <c r="C2158" s="68">
        <v>99</v>
      </c>
      <c r="D2158" s="73" t="s">
        <v>3747</v>
      </c>
      <c r="E2158" s="77">
        <v>0</v>
      </c>
      <c r="F2158" s="77">
        <v>0</v>
      </c>
      <c r="G2158" s="76">
        <v>0</v>
      </c>
    </row>
    <row r="2159" spans="1:7" x14ac:dyDescent="0.25">
      <c r="A2159" s="75">
        <v>8216501</v>
      </c>
      <c r="B2159" s="73" t="s">
        <v>3783</v>
      </c>
      <c r="C2159" s="68">
        <v>99</v>
      </c>
      <c r="D2159" s="73" t="s">
        <v>3784</v>
      </c>
      <c r="E2159" s="77">
        <v>29.955833333333331</v>
      </c>
      <c r="F2159" s="77">
        <v>1.2</v>
      </c>
      <c r="G2159" s="76">
        <v>2.125</v>
      </c>
    </row>
    <row r="2160" spans="1:7" x14ac:dyDescent="0.25">
      <c r="A2160" s="75">
        <v>8216601</v>
      </c>
      <c r="B2160" s="73" t="s">
        <v>3785</v>
      </c>
      <c r="C2160" s="68">
        <v>99</v>
      </c>
      <c r="D2160" s="73" t="s">
        <v>3786</v>
      </c>
      <c r="E2160" s="77">
        <v>5.2771783578750542</v>
      </c>
      <c r="F2160" s="77">
        <v>13.926822376009827</v>
      </c>
      <c r="G2160" s="76">
        <v>0.10209285607915594</v>
      </c>
    </row>
    <row r="2161" spans="1:7" x14ac:dyDescent="0.25">
      <c r="A2161" s="75">
        <v>8216701</v>
      </c>
      <c r="B2161" s="73" t="s">
        <v>3787</v>
      </c>
      <c r="C2161" s="68">
        <v>99</v>
      </c>
      <c r="D2161" s="73" t="s">
        <v>3788</v>
      </c>
      <c r="E2161" s="77">
        <v>0.1387138713871387</v>
      </c>
      <c r="F2161" s="77">
        <v>0.3642439149177667</v>
      </c>
      <c r="G2161" s="76">
        <v>2.6402640264026399E-3</v>
      </c>
    </row>
    <row r="2162" spans="1:7" x14ac:dyDescent="0.25">
      <c r="A2162" s="75">
        <v>8217001</v>
      </c>
      <c r="B2162" s="73" t="s">
        <v>3789</v>
      </c>
      <c r="C2162" s="68">
        <v>99</v>
      </c>
      <c r="D2162" s="73" t="s">
        <v>3790</v>
      </c>
      <c r="E2162" s="77">
        <v>65</v>
      </c>
      <c r="F2162" s="77">
        <v>52.499825594233926</v>
      </c>
      <c r="G2162" s="76">
        <v>1.1000000000000001</v>
      </c>
    </row>
    <row r="2163" spans="1:7" x14ac:dyDescent="0.25">
      <c r="A2163" s="75">
        <v>8217101</v>
      </c>
      <c r="B2163" s="73" t="s">
        <v>3791</v>
      </c>
      <c r="C2163" s="68">
        <v>99</v>
      </c>
      <c r="D2163" s="73" t="s">
        <v>3775</v>
      </c>
      <c r="E2163" s="77">
        <v>13.833752675664348</v>
      </c>
      <c r="F2163" s="77">
        <v>41.24346863166565</v>
      </c>
      <c r="G2163" s="76">
        <v>0.16859597146871369</v>
      </c>
    </row>
    <row r="2164" spans="1:7" x14ac:dyDescent="0.25">
      <c r="A2164" s="75">
        <v>8217201</v>
      </c>
      <c r="B2164" s="73" t="s">
        <v>3792</v>
      </c>
      <c r="C2164" s="68">
        <v>99</v>
      </c>
      <c r="D2164" s="73" t="s">
        <v>3793</v>
      </c>
      <c r="E2164" s="77">
        <v>41.211882430031494</v>
      </c>
      <c r="F2164" s="77">
        <v>59.479212695219708</v>
      </c>
      <c r="G2164" s="76">
        <v>0.597942130617375</v>
      </c>
    </row>
    <row r="2165" spans="1:7" x14ac:dyDescent="0.25">
      <c r="A2165" s="75">
        <v>8217301</v>
      </c>
      <c r="B2165" s="73" t="s">
        <v>3794</v>
      </c>
      <c r="C2165" s="68">
        <v>99</v>
      </c>
      <c r="D2165" s="73" t="s">
        <v>3795</v>
      </c>
      <c r="E2165" s="77">
        <v>34.426059748869882</v>
      </c>
      <c r="F2165" s="77">
        <v>71.430880813318936</v>
      </c>
      <c r="G2165" s="76">
        <v>0.55810171515082496</v>
      </c>
    </row>
    <row r="2166" spans="1:7" x14ac:dyDescent="0.25">
      <c r="A2166" s="75">
        <v>8217401</v>
      </c>
      <c r="B2166" s="73" t="s">
        <v>3796</v>
      </c>
      <c r="C2166" s="68">
        <v>99</v>
      </c>
      <c r="D2166" s="73" t="s">
        <v>3790</v>
      </c>
      <c r="E2166" s="77">
        <v>65</v>
      </c>
      <c r="F2166" s="77">
        <v>52.499825594233926</v>
      </c>
      <c r="G2166" s="76">
        <v>1.1000000000000001</v>
      </c>
    </row>
    <row r="2167" spans="1:7" x14ac:dyDescent="0.25">
      <c r="A2167" s="75">
        <v>8273902</v>
      </c>
      <c r="B2167" s="73" t="s">
        <v>1689</v>
      </c>
      <c r="C2167" s="68">
        <v>99</v>
      </c>
      <c r="D2167" s="73" t="s">
        <v>3797</v>
      </c>
      <c r="E2167" s="77">
        <v>32.923667161671617</v>
      </c>
      <c r="F2167" s="77">
        <v>84.533128789794958</v>
      </c>
      <c r="G2167" s="76">
        <v>0.43280007800078002</v>
      </c>
    </row>
    <row r="2168" spans="1:7" x14ac:dyDescent="0.25">
      <c r="A2168" s="75">
        <v>8280001</v>
      </c>
      <c r="B2168" s="73" t="s">
        <v>3798</v>
      </c>
      <c r="C2168" s="68">
        <v>99</v>
      </c>
      <c r="D2168" s="73" t="s">
        <v>3799</v>
      </c>
      <c r="E2168" s="77">
        <v>20.433333333333334</v>
      </c>
      <c r="F2168" s="77">
        <v>1.2</v>
      </c>
      <c r="G2168" s="76">
        <v>2.125</v>
      </c>
    </row>
    <row r="2169" spans="1:7" x14ac:dyDescent="0.25">
      <c r="A2169" s="75">
        <v>8280101</v>
      </c>
      <c r="B2169" s="73" t="s">
        <v>3800</v>
      </c>
      <c r="C2169" s="68">
        <v>99</v>
      </c>
      <c r="D2169" s="73" t="s">
        <v>3801</v>
      </c>
      <c r="E2169" s="77">
        <v>65</v>
      </c>
      <c r="F2169" s="77">
        <v>52.499825594233926</v>
      </c>
      <c r="G2169" s="76">
        <v>1.1000000000000001</v>
      </c>
    </row>
    <row r="2170" spans="1:7" ht="30" x14ac:dyDescent="0.25">
      <c r="A2170" s="75">
        <v>8280201</v>
      </c>
      <c r="B2170" s="73" t="s">
        <v>3802</v>
      </c>
      <c r="C2170" s="68">
        <v>99</v>
      </c>
      <c r="D2170" s="73" t="s">
        <v>3803</v>
      </c>
      <c r="E2170" s="77">
        <v>28.619591528592675</v>
      </c>
      <c r="F2170" s="77">
        <v>180.64755881406245</v>
      </c>
      <c r="G2170" s="76">
        <v>0.20103696383878861</v>
      </c>
    </row>
    <row r="2171" spans="1:7" x14ac:dyDescent="0.25">
      <c r="A2171" s="75">
        <v>8280301</v>
      </c>
      <c r="B2171" s="73" t="s">
        <v>3804</v>
      </c>
      <c r="C2171" s="68">
        <v>99</v>
      </c>
      <c r="D2171" s="73" t="s">
        <v>3805</v>
      </c>
      <c r="E2171" s="77">
        <v>92.826617306071157</v>
      </c>
      <c r="F2171" s="77">
        <v>32.212601342070968</v>
      </c>
      <c r="G2171" s="76">
        <v>0.64186783060201102</v>
      </c>
    </row>
    <row r="2172" spans="1:7" x14ac:dyDescent="0.25">
      <c r="A2172" s="75">
        <v>8280401</v>
      </c>
      <c r="B2172" s="73" t="s">
        <v>3806</v>
      </c>
      <c r="C2172" s="68">
        <v>99</v>
      </c>
      <c r="D2172" s="73" t="s">
        <v>3807</v>
      </c>
      <c r="E2172" s="77">
        <v>65</v>
      </c>
      <c r="F2172" s="77">
        <v>52.499825594233926</v>
      </c>
      <c r="G2172" s="76">
        <v>1.1000000000000001</v>
      </c>
    </row>
    <row r="2173" spans="1:7" x14ac:dyDescent="0.25">
      <c r="A2173" s="75">
        <v>8280501</v>
      </c>
      <c r="B2173" s="73" t="s">
        <v>3808</v>
      </c>
      <c r="C2173" s="68">
        <v>99</v>
      </c>
      <c r="D2173" s="73" t="s">
        <v>3801</v>
      </c>
      <c r="E2173" s="77">
        <v>65</v>
      </c>
      <c r="F2173" s="77">
        <v>52.499825594233926</v>
      </c>
      <c r="G2173" s="76">
        <v>1.1000000000000001</v>
      </c>
    </row>
    <row r="2174" spans="1:7" x14ac:dyDescent="0.25">
      <c r="A2174" s="75"/>
      <c r="B2174" s="72" t="s">
        <v>28</v>
      </c>
      <c r="C2174" s="68"/>
      <c r="D2174" s="73"/>
      <c r="E2174" s="77"/>
      <c r="F2174" s="77"/>
      <c r="G2174" s="76"/>
    </row>
    <row r="2175" spans="1:7" x14ac:dyDescent="0.25">
      <c r="A2175" s="75">
        <v>8300101</v>
      </c>
      <c r="B2175" s="73" t="s">
        <v>1097</v>
      </c>
      <c r="C2175" s="68">
        <v>99</v>
      </c>
      <c r="D2175" s="73" t="s">
        <v>3809</v>
      </c>
      <c r="E2175" s="77">
        <v>124.5</v>
      </c>
      <c r="F2175" s="77">
        <v>45.250899863661196</v>
      </c>
      <c r="G2175" s="76">
        <v>0.45</v>
      </c>
    </row>
    <row r="2176" spans="1:7" x14ac:dyDescent="0.25">
      <c r="A2176" s="75">
        <v>8300201</v>
      </c>
      <c r="B2176" s="73" t="s">
        <v>1690</v>
      </c>
      <c r="C2176" s="68">
        <v>99</v>
      </c>
      <c r="D2176" s="73" t="s">
        <v>3809</v>
      </c>
      <c r="E2176" s="77">
        <v>124.5</v>
      </c>
      <c r="F2176" s="77">
        <v>45.250899863661196</v>
      </c>
      <c r="G2176" s="76">
        <v>0.45</v>
      </c>
    </row>
    <row r="2177" spans="1:7" x14ac:dyDescent="0.25">
      <c r="A2177" s="75">
        <v>8300301</v>
      </c>
      <c r="B2177" s="73" t="s">
        <v>1691</v>
      </c>
      <c r="C2177" s="68">
        <v>99</v>
      </c>
      <c r="D2177" s="73" t="s">
        <v>3810</v>
      </c>
      <c r="E2177" s="77">
        <v>529.5</v>
      </c>
      <c r="F2177" s="77">
        <v>50.331988193593688</v>
      </c>
      <c r="G2177" s="76">
        <v>4.0999999999999996</v>
      </c>
    </row>
    <row r="2178" spans="1:7" x14ac:dyDescent="0.25">
      <c r="A2178" s="75">
        <v>8300302</v>
      </c>
      <c r="B2178" s="73" t="s">
        <v>1692</v>
      </c>
      <c r="C2178" s="68">
        <v>99</v>
      </c>
      <c r="D2178" s="73" t="s">
        <v>3810</v>
      </c>
      <c r="E2178" s="77">
        <v>529.5</v>
      </c>
      <c r="F2178" s="77">
        <v>50.331988193593688</v>
      </c>
      <c r="G2178" s="76">
        <v>4.0999999999999996</v>
      </c>
    </row>
    <row r="2179" spans="1:7" x14ac:dyDescent="0.25">
      <c r="A2179" s="75">
        <v>8300501</v>
      </c>
      <c r="B2179" s="73" t="s">
        <v>1693</v>
      </c>
      <c r="C2179" s="68">
        <v>99</v>
      </c>
      <c r="D2179" s="73" t="s">
        <v>3811</v>
      </c>
      <c r="E2179" s="77">
        <v>184.65409819486482</v>
      </c>
      <c r="F2179" s="77">
        <v>529.57327335099603</v>
      </c>
      <c r="G2179" s="76">
        <v>1.4154689424473963</v>
      </c>
    </row>
    <row r="2180" spans="1:7" x14ac:dyDescent="0.25">
      <c r="A2180" s="75">
        <v>8300701</v>
      </c>
      <c r="B2180" s="73" t="s">
        <v>1694</v>
      </c>
      <c r="C2180" s="68">
        <v>99</v>
      </c>
      <c r="D2180" s="73" t="s">
        <v>3812</v>
      </c>
      <c r="E2180" s="77">
        <v>529.5</v>
      </c>
      <c r="F2180" s="77">
        <v>50.331988193593688</v>
      </c>
      <c r="G2180" s="76">
        <v>4.0999999999999996</v>
      </c>
    </row>
    <row r="2181" spans="1:7" x14ac:dyDescent="0.25">
      <c r="A2181" s="75">
        <v>8300801</v>
      </c>
      <c r="B2181" s="73" t="s">
        <v>1695</v>
      </c>
      <c r="C2181" s="68">
        <v>99</v>
      </c>
      <c r="D2181" s="73" t="s">
        <v>3812</v>
      </c>
      <c r="E2181" s="77">
        <v>529.5</v>
      </c>
      <c r="F2181" s="77">
        <v>50.331988193593688</v>
      </c>
      <c r="G2181" s="76">
        <v>4.0999999999999996</v>
      </c>
    </row>
    <row r="2182" spans="1:7" x14ac:dyDescent="0.25">
      <c r="A2182" s="75">
        <v>8301001</v>
      </c>
      <c r="B2182" s="73" t="s">
        <v>1696</v>
      </c>
      <c r="C2182" s="68">
        <v>99</v>
      </c>
      <c r="D2182" s="73" t="s">
        <v>3812</v>
      </c>
      <c r="E2182" s="77">
        <v>529.5</v>
      </c>
      <c r="F2182" s="77">
        <v>50.331988193593688</v>
      </c>
      <c r="G2182" s="76">
        <v>4.0999999999999996</v>
      </c>
    </row>
    <row r="2183" spans="1:7" x14ac:dyDescent="0.25">
      <c r="A2183" s="75">
        <v>8301002</v>
      </c>
      <c r="B2183" s="73" t="s">
        <v>1099</v>
      </c>
      <c r="C2183" s="68">
        <v>99</v>
      </c>
      <c r="D2183" s="73" t="s">
        <v>3812</v>
      </c>
      <c r="E2183" s="77">
        <v>529.5</v>
      </c>
      <c r="F2183" s="77">
        <v>50.331988193593688</v>
      </c>
      <c r="G2183" s="76">
        <v>4.0999999999999996</v>
      </c>
    </row>
    <row r="2184" spans="1:7" x14ac:dyDescent="0.25">
      <c r="A2184" s="75">
        <v>8301201</v>
      </c>
      <c r="B2184" s="73" t="s">
        <v>1100</v>
      </c>
      <c r="C2184" s="68">
        <v>99</v>
      </c>
      <c r="D2184" s="73" t="s">
        <v>3813</v>
      </c>
      <c r="E2184" s="77">
        <v>220</v>
      </c>
      <c r="F2184" s="77">
        <v>50.331988193593688</v>
      </c>
      <c r="G2184" s="76">
        <v>1.6</v>
      </c>
    </row>
    <row r="2185" spans="1:7" x14ac:dyDescent="0.25">
      <c r="A2185" s="75">
        <v>8301202</v>
      </c>
      <c r="B2185" s="73" t="s">
        <v>1102</v>
      </c>
      <c r="C2185" s="68">
        <v>99</v>
      </c>
      <c r="D2185" s="73" t="s">
        <v>3813</v>
      </c>
      <c r="E2185" s="77">
        <v>220</v>
      </c>
      <c r="F2185" s="77">
        <v>50.331988193593688</v>
      </c>
      <c r="G2185" s="76">
        <v>1.6</v>
      </c>
    </row>
    <row r="2186" spans="1:7" x14ac:dyDescent="0.25">
      <c r="A2186" s="75">
        <v>8301203</v>
      </c>
      <c r="B2186" s="73" t="s">
        <v>3814</v>
      </c>
      <c r="C2186" s="68">
        <v>99</v>
      </c>
      <c r="D2186" s="73" t="s">
        <v>3815</v>
      </c>
      <c r="E2186" s="77">
        <v>140</v>
      </c>
      <c r="F2186" s="77">
        <v>50.331988193593688</v>
      </c>
      <c r="G2186" s="76">
        <v>2.125</v>
      </c>
    </row>
    <row r="2187" spans="1:7" x14ac:dyDescent="0.25">
      <c r="A2187" s="75">
        <v>8301301</v>
      </c>
      <c r="B2187" s="73" t="s">
        <v>3816</v>
      </c>
      <c r="C2187" s="68">
        <v>99</v>
      </c>
      <c r="D2187" s="73" t="s">
        <v>3817</v>
      </c>
      <c r="E2187" s="77">
        <v>220</v>
      </c>
      <c r="F2187" s="77">
        <v>40.967897366878582</v>
      </c>
      <c r="G2187" s="76">
        <v>1.6</v>
      </c>
    </row>
    <row r="2188" spans="1:7" x14ac:dyDescent="0.25">
      <c r="A2188" s="75">
        <v>8301601</v>
      </c>
      <c r="B2188" s="73" t="s">
        <v>1106</v>
      </c>
      <c r="C2188" s="68">
        <v>99</v>
      </c>
      <c r="D2188" s="73" t="s">
        <v>3818</v>
      </c>
      <c r="E2188" s="77">
        <v>759</v>
      </c>
      <c r="F2188" s="77">
        <v>50.331988193593688</v>
      </c>
      <c r="G2188" s="76">
        <v>4.0999999999999996</v>
      </c>
    </row>
    <row r="2189" spans="1:7" x14ac:dyDescent="0.25">
      <c r="A2189" s="75">
        <v>8301701</v>
      </c>
      <c r="B2189" s="73" t="s">
        <v>1697</v>
      </c>
      <c r="C2189" s="68">
        <v>99</v>
      </c>
      <c r="D2189" s="73" t="s">
        <v>3818</v>
      </c>
      <c r="E2189" s="77">
        <v>759</v>
      </c>
      <c r="F2189" s="77">
        <v>50.331988193593688</v>
      </c>
      <c r="G2189" s="76">
        <v>4.0999999999999996</v>
      </c>
    </row>
    <row r="2190" spans="1:7" x14ac:dyDescent="0.25">
      <c r="A2190" s="75">
        <v>8301901</v>
      </c>
      <c r="B2190" s="73" t="s">
        <v>1698</v>
      </c>
      <c r="C2190" s="68">
        <v>99</v>
      </c>
      <c r="D2190" s="73" t="s">
        <v>3812</v>
      </c>
      <c r="E2190" s="77">
        <v>529.5</v>
      </c>
      <c r="F2190" s="77">
        <v>50.331988193593688</v>
      </c>
      <c r="G2190" s="76">
        <v>4.0999999999999996</v>
      </c>
    </row>
    <row r="2191" spans="1:7" x14ac:dyDescent="0.25">
      <c r="A2191" s="75">
        <v>8302409</v>
      </c>
      <c r="B2191" s="73" t="s">
        <v>1699</v>
      </c>
      <c r="C2191" s="68">
        <v>99</v>
      </c>
      <c r="D2191" s="73" t="s">
        <v>3819</v>
      </c>
      <c r="E2191" s="77">
        <v>12.477786666666667</v>
      </c>
      <c r="F2191" s="77">
        <v>12.824984559531845</v>
      </c>
      <c r="G2191" s="76">
        <v>0.18423755360805522</v>
      </c>
    </row>
    <row r="2192" spans="1:7" x14ac:dyDescent="0.25">
      <c r="A2192" s="75">
        <v>8302415</v>
      </c>
      <c r="B2192" s="73" t="s">
        <v>1108</v>
      </c>
      <c r="C2192" s="68">
        <v>99</v>
      </c>
      <c r="D2192" s="73" t="s">
        <v>3820</v>
      </c>
      <c r="E2192" s="77">
        <v>220</v>
      </c>
      <c r="F2192" s="77">
        <v>40.967897366878582</v>
      </c>
      <c r="G2192" s="76">
        <v>1.6</v>
      </c>
    </row>
    <row r="2193" spans="1:7" x14ac:dyDescent="0.25">
      <c r="A2193" s="75">
        <v>8302416</v>
      </c>
      <c r="B2193" s="73" t="s">
        <v>1700</v>
      </c>
      <c r="C2193" s="68">
        <v>99</v>
      </c>
      <c r="D2193" s="73" t="s">
        <v>3820</v>
      </c>
      <c r="E2193" s="77">
        <v>220</v>
      </c>
      <c r="F2193" s="77">
        <v>40.967897366878582</v>
      </c>
      <c r="G2193" s="76">
        <v>1.6</v>
      </c>
    </row>
    <row r="2194" spans="1:7" x14ac:dyDescent="0.25">
      <c r="A2194" s="75">
        <v>8302901</v>
      </c>
      <c r="B2194" s="73" t="s">
        <v>1701</v>
      </c>
      <c r="C2194" s="68">
        <v>99</v>
      </c>
      <c r="D2194" s="73" t="s">
        <v>3821</v>
      </c>
      <c r="E2194" s="77">
        <v>192.50765912170186</v>
      </c>
      <c r="F2194" s="77">
        <v>112.93611184166664</v>
      </c>
      <c r="G2194" s="76">
        <v>1.0594874108651244</v>
      </c>
    </row>
    <row r="2195" spans="1:7" x14ac:dyDescent="0.25">
      <c r="A2195" s="75">
        <v>8303101</v>
      </c>
      <c r="B2195" s="73" t="s">
        <v>1702</v>
      </c>
      <c r="C2195" s="68">
        <v>99</v>
      </c>
      <c r="D2195" s="73" t="s">
        <v>3822</v>
      </c>
      <c r="E2195" s="77">
        <v>329.66095008180571</v>
      </c>
      <c r="F2195" s="77">
        <v>67.496919208957152</v>
      </c>
      <c r="G2195" s="76">
        <v>2.7499135975837605</v>
      </c>
    </row>
    <row r="2196" spans="1:7" x14ac:dyDescent="0.25">
      <c r="A2196" s="75">
        <v>8303102</v>
      </c>
      <c r="B2196" s="73" t="s">
        <v>3823</v>
      </c>
      <c r="C2196" s="68">
        <v>99</v>
      </c>
      <c r="D2196" s="73" t="s">
        <v>3822</v>
      </c>
      <c r="E2196" s="77">
        <v>329.66095008180571</v>
      </c>
      <c r="F2196" s="77">
        <v>67.496919208957152</v>
      </c>
      <c r="G2196" s="76">
        <v>2.7499135975837605</v>
      </c>
    </row>
    <row r="2197" spans="1:7" x14ac:dyDescent="0.25">
      <c r="A2197" s="75">
        <v>8303301</v>
      </c>
      <c r="B2197" s="73" t="s">
        <v>3824</v>
      </c>
      <c r="C2197" s="68">
        <v>99</v>
      </c>
      <c r="D2197" s="73" t="s">
        <v>3825</v>
      </c>
      <c r="E2197" s="77">
        <v>124.5</v>
      </c>
      <c r="F2197" s="77">
        <v>45.250899863661196</v>
      </c>
      <c r="G2197" s="76">
        <v>0.45</v>
      </c>
    </row>
    <row r="2198" spans="1:7" x14ac:dyDescent="0.25">
      <c r="A2198" s="75">
        <v>8303501</v>
      </c>
      <c r="B2198" s="73" t="s">
        <v>1109</v>
      </c>
      <c r="C2198" s="68">
        <v>99</v>
      </c>
      <c r="D2198" s="73" t="s">
        <v>3810</v>
      </c>
      <c r="E2198" s="77">
        <v>529.5</v>
      </c>
      <c r="F2198" s="77">
        <v>50.331988193593688</v>
      </c>
      <c r="G2198" s="76">
        <v>4.0999999999999996</v>
      </c>
    </row>
    <row r="2199" spans="1:7" x14ac:dyDescent="0.25">
      <c r="A2199" s="75">
        <v>8304601</v>
      </c>
      <c r="B2199" s="73" t="s">
        <v>3826</v>
      </c>
      <c r="C2199" s="68">
        <v>99</v>
      </c>
      <c r="D2199" s="73" t="s">
        <v>3827</v>
      </c>
      <c r="E2199" s="77">
        <v>221.1060323418435</v>
      </c>
      <c r="F2199" s="77">
        <v>38.90619808389998</v>
      </c>
      <c r="G2199" s="76">
        <v>1.7476792284502212</v>
      </c>
    </row>
    <row r="2200" spans="1:7" x14ac:dyDescent="0.25">
      <c r="A2200" s="75">
        <v>8304901</v>
      </c>
      <c r="B2200" s="73" t="s">
        <v>3828</v>
      </c>
      <c r="C2200" s="68">
        <v>99</v>
      </c>
      <c r="D2200" s="73" t="s">
        <v>3821</v>
      </c>
      <c r="E2200" s="77">
        <v>192.50765912170186</v>
      </c>
      <c r="F2200" s="77">
        <v>112.93611184166664</v>
      </c>
      <c r="G2200" s="76">
        <v>1.0594874108651244</v>
      </c>
    </row>
    <row r="2201" spans="1:7" x14ac:dyDescent="0.25">
      <c r="A2201" s="75">
        <v>8305001</v>
      </c>
      <c r="B2201" s="73" t="s">
        <v>3829</v>
      </c>
      <c r="C2201" s="68">
        <v>99</v>
      </c>
      <c r="D2201" s="73" t="s">
        <v>3830</v>
      </c>
      <c r="E2201" s="77">
        <v>172.52200953216936</v>
      </c>
      <c r="F2201" s="77">
        <v>142.3299766482109</v>
      </c>
      <c r="G2201" s="76">
        <v>1.0259170401870064</v>
      </c>
    </row>
    <row r="2202" spans="1:7" x14ac:dyDescent="0.25">
      <c r="A2202" s="75">
        <v>8305201</v>
      </c>
      <c r="B2202" s="73" t="s">
        <v>3831</v>
      </c>
      <c r="C2202" s="68">
        <v>99</v>
      </c>
      <c r="D2202" s="73" t="s">
        <v>3821</v>
      </c>
      <c r="E2202" s="77">
        <v>192.50765912170186</v>
      </c>
      <c r="F2202" s="77">
        <v>112.93611184166664</v>
      </c>
      <c r="G2202" s="76">
        <v>1.0594874108651244</v>
      </c>
    </row>
    <row r="2203" spans="1:7" x14ac:dyDescent="0.25">
      <c r="A2203" s="75">
        <v>8305401</v>
      </c>
      <c r="B2203" s="73" t="s">
        <v>3832</v>
      </c>
      <c r="C2203" s="68">
        <v>99</v>
      </c>
      <c r="D2203" s="73" t="s">
        <v>3833</v>
      </c>
      <c r="E2203" s="77">
        <v>96.581584199617538</v>
      </c>
      <c r="F2203" s="77">
        <v>60.080469702895854</v>
      </c>
      <c r="G2203" s="76">
        <v>0.86049111690973745</v>
      </c>
    </row>
    <row r="2204" spans="1:7" x14ac:dyDescent="0.25">
      <c r="A2204" s="75">
        <v>8305501</v>
      </c>
      <c r="B2204" s="73" t="s">
        <v>3834</v>
      </c>
      <c r="C2204" s="68">
        <v>99</v>
      </c>
      <c r="D2204" s="73" t="s">
        <v>3835</v>
      </c>
      <c r="E2204" s="77">
        <v>529.5</v>
      </c>
      <c r="F2204" s="77">
        <v>50.331988193593688</v>
      </c>
      <c r="G2204" s="76">
        <v>4.0999999999999996</v>
      </c>
    </row>
    <row r="2205" spans="1:7" x14ac:dyDescent="0.25">
      <c r="A2205" s="75">
        <v>8305701</v>
      </c>
      <c r="B2205" s="73" t="s">
        <v>3836</v>
      </c>
      <c r="C2205" s="68">
        <v>99</v>
      </c>
      <c r="D2205" s="73" t="s">
        <v>3837</v>
      </c>
      <c r="E2205" s="77">
        <v>217.02786360464887</v>
      </c>
      <c r="F2205" s="77">
        <v>61.247316803907054</v>
      </c>
      <c r="G2205" s="76">
        <v>1.3504763686586647</v>
      </c>
    </row>
    <row r="2206" spans="1:7" x14ac:dyDescent="0.25">
      <c r="A2206" s="75">
        <v>8305801</v>
      </c>
      <c r="B2206" s="73" t="s">
        <v>3838</v>
      </c>
      <c r="C2206" s="68">
        <v>99</v>
      </c>
      <c r="D2206" s="73" t="s">
        <v>3839</v>
      </c>
      <c r="E2206" s="77">
        <v>126.6002271849067</v>
      </c>
      <c r="F2206" s="77">
        <v>33.550759132151775</v>
      </c>
      <c r="G2206" s="76">
        <v>0.94283349702526209</v>
      </c>
    </row>
    <row r="2207" spans="1:7" x14ac:dyDescent="0.25">
      <c r="A2207" s="75">
        <v>8305901</v>
      </c>
      <c r="B2207" s="73" t="s">
        <v>3840</v>
      </c>
      <c r="C2207" s="68">
        <v>99</v>
      </c>
      <c r="D2207" s="73" t="s">
        <v>3801</v>
      </c>
      <c r="E2207" s="77">
        <v>65</v>
      </c>
      <c r="F2207" s="77">
        <v>52.499825594233926</v>
      </c>
      <c r="G2207" s="76">
        <v>1.1000000000000001</v>
      </c>
    </row>
    <row r="2208" spans="1:7" x14ac:dyDescent="0.25">
      <c r="A2208" s="75"/>
      <c r="B2208" s="72" t="s">
        <v>29</v>
      </c>
      <c r="C2208" s="68"/>
      <c r="D2208" s="73"/>
      <c r="E2208" s="77"/>
      <c r="F2208" s="77"/>
      <c r="G2208" s="76"/>
    </row>
    <row r="2209" spans="1:7" x14ac:dyDescent="0.25">
      <c r="A2209" s="75">
        <v>8400101</v>
      </c>
      <c r="B2209" s="73" t="s">
        <v>1111</v>
      </c>
      <c r="C2209" s="68">
        <v>99</v>
      </c>
      <c r="D2209" s="73" t="s">
        <v>3841</v>
      </c>
      <c r="E2209" s="77">
        <v>294.14969082125606</v>
      </c>
      <c r="F2209" s="77">
        <v>736</v>
      </c>
      <c r="G2209" s="76">
        <v>7.5416666666666679</v>
      </c>
    </row>
    <row r="2210" spans="1:7" x14ac:dyDescent="0.25">
      <c r="A2210" s="75">
        <v>8400301</v>
      </c>
      <c r="B2210" s="73" t="s">
        <v>1114</v>
      </c>
      <c r="C2210" s="68">
        <v>99</v>
      </c>
      <c r="D2210" s="73" t="s">
        <v>3842</v>
      </c>
      <c r="E2210" s="77">
        <v>169.2</v>
      </c>
      <c r="F2210" s="77">
        <v>429.30304906780583</v>
      </c>
      <c r="G2210" s="76">
        <v>3.8</v>
      </c>
    </row>
    <row r="2211" spans="1:7" x14ac:dyDescent="0.25">
      <c r="A2211" s="75">
        <v>8400401</v>
      </c>
      <c r="B2211" s="73" t="s">
        <v>3843</v>
      </c>
      <c r="C2211" s="68">
        <v>99</v>
      </c>
      <c r="D2211" s="73" t="s">
        <v>3844</v>
      </c>
      <c r="E2211" s="77">
        <v>169.2</v>
      </c>
      <c r="F2211" s="77">
        <v>429.30304906780583</v>
      </c>
      <c r="G2211" s="76">
        <v>3.8</v>
      </c>
    </row>
    <row r="2212" spans="1:7" x14ac:dyDescent="0.25">
      <c r="A2212" s="75">
        <v>8403601</v>
      </c>
      <c r="B2212" s="73" t="s">
        <v>3845</v>
      </c>
      <c r="C2212" s="68">
        <v>99</v>
      </c>
      <c r="D2212" s="73" t="s">
        <v>3846</v>
      </c>
      <c r="E2212" s="77">
        <v>169.2</v>
      </c>
      <c r="F2212" s="77">
        <v>429.30304906780583</v>
      </c>
      <c r="G2212" s="76">
        <v>3.8</v>
      </c>
    </row>
    <row r="2213" spans="1:7" x14ac:dyDescent="0.25">
      <c r="A2213" s="75"/>
      <c r="B2213" s="72" t="s">
        <v>30</v>
      </c>
      <c r="C2213" s="68"/>
      <c r="D2213" s="73"/>
      <c r="E2213" s="77"/>
      <c r="F2213" s="77"/>
      <c r="G2213" s="76"/>
    </row>
    <row r="2214" spans="1:7" x14ac:dyDescent="0.25">
      <c r="A2214" s="75">
        <v>8500201</v>
      </c>
      <c r="B2214" s="73" t="s">
        <v>1703</v>
      </c>
      <c r="C2214" s="68">
        <v>99</v>
      </c>
      <c r="D2214" s="73" t="s">
        <v>3847</v>
      </c>
      <c r="E2214" s="77">
        <v>352.07767765084901</v>
      </c>
      <c r="F2214" s="77">
        <v>197.86990200952505</v>
      </c>
      <c r="G2214" s="76">
        <v>1.3202750320434571</v>
      </c>
    </row>
    <row r="2215" spans="1:7" x14ac:dyDescent="0.25">
      <c r="A2215" s="75">
        <v>8500202</v>
      </c>
      <c r="B2215" s="73" t="s">
        <v>1704</v>
      </c>
      <c r="C2215" s="68">
        <v>99</v>
      </c>
      <c r="D2215" s="73" t="s">
        <v>2788</v>
      </c>
      <c r="E2215" s="77">
        <v>1561.3945906326737</v>
      </c>
      <c r="F2215" s="77">
        <v>1026.0685550132421</v>
      </c>
      <c r="G2215" s="76">
        <v>6.157580298617086</v>
      </c>
    </row>
    <row r="2216" spans="1:7" x14ac:dyDescent="0.25">
      <c r="A2216" s="75">
        <v>8500203</v>
      </c>
      <c r="B2216" s="73" t="s">
        <v>1705</v>
      </c>
      <c r="C2216" s="68">
        <v>99</v>
      </c>
      <c r="D2216" s="73" t="s">
        <v>3847</v>
      </c>
      <c r="E2216" s="77">
        <v>352.07767765084901</v>
      </c>
      <c r="F2216" s="77">
        <v>197.86990200952505</v>
      </c>
      <c r="G2216" s="76">
        <v>1.3202750320434571</v>
      </c>
    </row>
    <row r="2217" spans="1:7" x14ac:dyDescent="0.25">
      <c r="A2217" s="75">
        <v>8500205</v>
      </c>
      <c r="B2217" s="73" t="s">
        <v>1143</v>
      </c>
      <c r="C2217" s="68">
        <v>99</v>
      </c>
      <c r="D2217" s="73" t="s">
        <v>3848</v>
      </c>
      <c r="E2217" s="77">
        <v>369.52249999999998</v>
      </c>
      <c r="F2217" s="77">
        <v>173.02020304029807</v>
      </c>
      <c r="G2217" s="76">
        <v>1.05</v>
      </c>
    </row>
    <row r="2218" spans="1:7" x14ac:dyDescent="0.25">
      <c r="A2218" s="75">
        <v>8500206</v>
      </c>
      <c r="B2218" s="73" t="s">
        <v>1706</v>
      </c>
      <c r="C2218" s="68">
        <v>99</v>
      </c>
      <c r="D2218" s="73" t="s">
        <v>3849</v>
      </c>
      <c r="E2218" s="77">
        <v>189.74617436488606</v>
      </c>
      <c r="F2218" s="77">
        <v>281.9295577728368</v>
      </c>
      <c r="G2218" s="76">
        <v>2.5798592294906828</v>
      </c>
    </row>
    <row r="2219" spans="1:7" x14ac:dyDescent="0.25">
      <c r="A2219" s="75">
        <v>8500207</v>
      </c>
      <c r="B2219" s="73" t="s">
        <v>3850</v>
      </c>
      <c r="C2219" s="68">
        <v>99</v>
      </c>
      <c r="D2219" s="73" t="s">
        <v>3851</v>
      </c>
      <c r="E2219" s="77">
        <v>1343.6030966948938</v>
      </c>
      <c r="F2219" s="77">
        <v>631.87227699826951</v>
      </c>
      <c r="G2219" s="76">
        <v>11.231969046591763</v>
      </c>
    </row>
    <row r="2220" spans="1:7" x14ac:dyDescent="0.25">
      <c r="A2220" s="75">
        <v>8500209</v>
      </c>
      <c r="B2220" s="73" t="s">
        <v>1707</v>
      </c>
      <c r="C2220" s="68">
        <v>99</v>
      </c>
      <c r="D2220" s="73" t="s">
        <v>3852</v>
      </c>
      <c r="E2220" s="77">
        <v>662.46830646890794</v>
      </c>
      <c r="F2220" s="77">
        <v>174.24390772883754</v>
      </c>
      <c r="G2220" s="76">
        <v>8.8592237347333498</v>
      </c>
    </row>
    <row r="2221" spans="1:7" x14ac:dyDescent="0.25">
      <c r="A2221" s="75">
        <v>8500210</v>
      </c>
      <c r="B2221" s="73" t="s">
        <v>1708</v>
      </c>
      <c r="C2221" s="68">
        <v>99</v>
      </c>
      <c r="D2221" s="73" t="s">
        <v>3300</v>
      </c>
      <c r="E2221" s="77">
        <v>947.61666666666667</v>
      </c>
      <c r="F2221" s="77">
        <v>705.28692703272895</v>
      </c>
      <c r="G2221" s="76">
        <v>2.09</v>
      </c>
    </row>
    <row r="2222" spans="1:7" x14ac:dyDescent="0.25">
      <c r="A2222" s="75">
        <v>8500211</v>
      </c>
      <c r="B2222" s="73" t="s">
        <v>1709</v>
      </c>
      <c r="C2222" s="68">
        <v>99</v>
      </c>
      <c r="D2222" s="73" t="s">
        <v>3853</v>
      </c>
      <c r="E2222" s="77">
        <v>2133.0419820900806</v>
      </c>
      <c r="F2222" s="77">
        <v>1445.5512304508479</v>
      </c>
      <c r="G2222" s="76">
        <v>9.1284826776294423</v>
      </c>
    </row>
    <row r="2223" spans="1:7" x14ac:dyDescent="0.25">
      <c r="A2223" s="75">
        <v>8500212</v>
      </c>
      <c r="B2223" s="73" t="s">
        <v>1710</v>
      </c>
      <c r="C2223" s="68">
        <v>99</v>
      </c>
      <c r="D2223" s="73" t="s">
        <v>3852</v>
      </c>
      <c r="E2223" s="77">
        <v>662.46830646890794</v>
      </c>
      <c r="F2223" s="77">
        <v>174.24390772883757</v>
      </c>
      <c r="G2223" s="76">
        <v>8.8592237347333516</v>
      </c>
    </row>
    <row r="2224" spans="1:7" x14ac:dyDescent="0.25">
      <c r="A2224" s="75">
        <v>8500213</v>
      </c>
      <c r="B2224" s="73" t="s">
        <v>1711</v>
      </c>
      <c r="C2224" s="68">
        <v>99</v>
      </c>
      <c r="D2224" s="73" t="s">
        <v>3854</v>
      </c>
      <c r="E2224" s="77">
        <v>3058.1781635628549</v>
      </c>
      <c r="F2224" s="77">
        <v>2900.8949228629003</v>
      </c>
      <c r="G2224" s="76">
        <v>2.6212161191074914</v>
      </c>
    </row>
    <row r="2225" spans="1:7" x14ac:dyDescent="0.25">
      <c r="A2225" s="75">
        <v>8500215</v>
      </c>
      <c r="B2225" s="73" t="s">
        <v>1712</v>
      </c>
      <c r="C2225" s="68">
        <v>99</v>
      </c>
      <c r="D2225" s="73" t="s">
        <v>3855</v>
      </c>
      <c r="E2225" s="77">
        <v>66.503731723401259</v>
      </c>
      <c r="F2225" s="77">
        <v>174.74541816098724</v>
      </c>
      <c r="G2225" s="76">
        <v>0.97584998130798317</v>
      </c>
    </row>
    <row r="2226" spans="1:7" x14ac:dyDescent="0.25">
      <c r="A2226" s="75">
        <v>8500217</v>
      </c>
      <c r="B2226" s="73" t="s">
        <v>1713</v>
      </c>
      <c r="C2226" s="68">
        <v>99</v>
      </c>
      <c r="D2226" s="73" t="s">
        <v>2771</v>
      </c>
      <c r="E2226" s="77">
        <v>45.268177493669327</v>
      </c>
      <c r="F2226" s="77">
        <v>91.854366959530665</v>
      </c>
      <c r="G2226" s="76">
        <v>0.4360850461979503</v>
      </c>
    </row>
    <row r="2227" spans="1:7" x14ac:dyDescent="0.25">
      <c r="A2227" s="75">
        <v>8500218</v>
      </c>
      <c r="B2227" s="73" t="s">
        <v>1714</v>
      </c>
      <c r="C2227" s="68">
        <v>99</v>
      </c>
      <c r="D2227" s="73" t="s">
        <v>2771</v>
      </c>
      <c r="E2227" s="77">
        <v>45.268177493669327</v>
      </c>
      <c r="F2227" s="77">
        <v>91.854366959530665</v>
      </c>
      <c r="G2227" s="76">
        <v>0.4360850461979503</v>
      </c>
    </row>
    <row r="2228" spans="1:7" x14ac:dyDescent="0.25">
      <c r="A2228" s="75">
        <v>8500222</v>
      </c>
      <c r="B2228" s="73" t="s">
        <v>1715</v>
      </c>
      <c r="C2228" s="68">
        <v>99</v>
      </c>
      <c r="D2228" s="73" t="s">
        <v>3856</v>
      </c>
      <c r="E2228" s="77">
        <v>807.39991061275771</v>
      </c>
      <c r="F2228" s="77">
        <v>592.28565493478277</v>
      </c>
      <c r="G2228" s="76">
        <v>3.6279070652188623</v>
      </c>
    </row>
    <row r="2229" spans="1:7" x14ac:dyDescent="0.25">
      <c r="A2229" s="75">
        <v>8500223</v>
      </c>
      <c r="B2229" s="73" t="s">
        <v>1716</v>
      </c>
      <c r="C2229" s="68">
        <v>99</v>
      </c>
      <c r="D2229" s="73" t="s">
        <v>3857</v>
      </c>
      <c r="E2229" s="77">
        <v>1715.0977225957461</v>
      </c>
      <c r="F2229" s="77">
        <v>1196.0115115624999</v>
      </c>
      <c r="G2229" s="76">
        <v>7.4304312387289295</v>
      </c>
    </row>
    <row r="2230" spans="1:7" x14ac:dyDescent="0.25">
      <c r="A2230" s="75">
        <v>8500224</v>
      </c>
      <c r="B2230" s="73" t="s">
        <v>1717</v>
      </c>
      <c r="C2230" s="68">
        <v>99</v>
      </c>
      <c r="D2230" s="73" t="s">
        <v>3858</v>
      </c>
      <c r="E2230" s="77">
        <v>278.54651896519749</v>
      </c>
      <c r="F2230" s="77">
        <v>225.17939786431356</v>
      </c>
      <c r="G2230" s="76">
        <v>1.2948351823576691</v>
      </c>
    </row>
    <row r="2231" spans="1:7" x14ac:dyDescent="0.25">
      <c r="A2231" s="75">
        <v>8500225</v>
      </c>
      <c r="B2231" s="73" t="s">
        <v>1718</v>
      </c>
      <c r="C2231" s="68">
        <v>99</v>
      </c>
      <c r="D2231" s="73" t="s">
        <v>3858</v>
      </c>
      <c r="E2231" s="77">
        <v>278.54651896519749</v>
      </c>
      <c r="F2231" s="77">
        <v>225.17939786431359</v>
      </c>
      <c r="G2231" s="76">
        <v>1.2948351823576691</v>
      </c>
    </row>
    <row r="2232" spans="1:7" x14ac:dyDescent="0.25">
      <c r="A2232" s="75">
        <v>8500226</v>
      </c>
      <c r="B2232" s="73" t="s">
        <v>1719</v>
      </c>
      <c r="C2232" s="68">
        <v>99</v>
      </c>
      <c r="D2232" s="73" t="s">
        <v>3859</v>
      </c>
      <c r="E2232" s="77">
        <v>272.75171644502575</v>
      </c>
      <c r="F2232" s="77">
        <v>355.8436698688439</v>
      </c>
      <c r="G2232" s="76">
        <v>2.1595427501257083</v>
      </c>
    </row>
    <row r="2233" spans="1:7" x14ac:dyDescent="0.25">
      <c r="A2233" s="75">
        <v>8500227</v>
      </c>
      <c r="B2233" s="73" t="s">
        <v>1720</v>
      </c>
      <c r="C2233" s="68">
        <v>99</v>
      </c>
      <c r="D2233" s="73" t="s">
        <v>3860</v>
      </c>
      <c r="E2233" s="77">
        <v>492.29406943723018</v>
      </c>
      <c r="F2233" s="77">
        <v>448.4205221007017</v>
      </c>
      <c r="G2233" s="76">
        <v>1.8783620065639859</v>
      </c>
    </row>
    <row r="2234" spans="1:7" x14ac:dyDescent="0.25">
      <c r="A2234" s="75">
        <v>8500228</v>
      </c>
      <c r="B2234" s="73" t="s">
        <v>1721</v>
      </c>
      <c r="C2234" s="68">
        <v>99</v>
      </c>
      <c r="D2234" s="73" t="s">
        <v>3861</v>
      </c>
      <c r="E2234" s="77">
        <v>133.68616732277206</v>
      </c>
      <c r="F2234" s="77">
        <v>129.60726310243814</v>
      </c>
      <c r="G2234" s="76">
        <v>1.3398665990546068</v>
      </c>
    </row>
    <row r="2235" spans="1:7" x14ac:dyDescent="0.25">
      <c r="A2235" s="75">
        <v>8500232</v>
      </c>
      <c r="B2235" s="73" t="s">
        <v>1722</v>
      </c>
      <c r="C2235" s="68">
        <v>99</v>
      </c>
      <c r="D2235" s="73" t="s">
        <v>3862</v>
      </c>
      <c r="E2235" s="77">
        <v>261.48916187591874</v>
      </c>
      <c r="F2235" s="77">
        <v>151.57946017202883</v>
      </c>
      <c r="G2235" s="76">
        <v>11.772673868995632</v>
      </c>
    </row>
    <row r="2236" spans="1:7" x14ac:dyDescent="0.25">
      <c r="A2236" s="75">
        <v>8500302</v>
      </c>
      <c r="B2236" s="73" t="s">
        <v>1723</v>
      </c>
      <c r="C2236" s="68">
        <v>99</v>
      </c>
      <c r="D2236" s="73" t="s">
        <v>3863</v>
      </c>
      <c r="E2236" s="77">
        <v>198.62235702602663</v>
      </c>
      <c r="F2236" s="77">
        <v>383.96463936598093</v>
      </c>
      <c r="G2236" s="76">
        <v>2.9938584068298337</v>
      </c>
    </row>
    <row r="2237" spans="1:7" x14ac:dyDescent="0.25">
      <c r="A2237" s="75">
        <v>8500303</v>
      </c>
      <c r="B2237" s="73" t="s">
        <v>1119</v>
      </c>
      <c r="C2237" s="68">
        <v>99</v>
      </c>
      <c r="D2237" s="73" t="s">
        <v>3864</v>
      </c>
      <c r="E2237" s="77">
        <v>750.02232320469784</v>
      </c>
      <c r="F2237" s="77">
        <v>444.56379174268568</v>
      </c>
      <c r="G2237" s="76">
        <v>3.6544742256754921</v>
      </c>
    </row>
    <row r="2238" spans="1:7" x14ac:dyDescent="0.25">
      <c r="A2238" s="75">
        <v>8500304</v>
      </c>
      <c r="B2238" s="73" t="s">
        <v>1724</v>
      </c>
      <c r="C2238" s="68">
        <v>99</v>
      </c>
      <c r="D2238" s="73" t="s">
        <v>3865</v>
      </c>
      <c r="E2238" s="77">
        <v>996.40361787093445</v>
      </c>
      <c r="F2238" s="77">
        <v>625.18611425056827</v>
      </c>
      <c r="G2238" s="76">
        <v>3.8589494047619044</v>
      </c>
    </row>
    <row r="2239" spans="1:7" x14ac:dyDescent="0.25">
      <c r="A2239" s="75">
        <v>8500305</v>
      </c>
      <c r="B2239" s="73" t="s">
        <v>1725</v>
      </c>
      <c r="C2239" s="68">
        <v>99</v>
      </c>
      <c r="D2239" s="73" t="s">
        <v>3866</v>
      </c>
      <c r="E2239" s="77">
        <v>741.15899829931971</v>
      </c>
      <c r="F2239" s="77">
        <v>477.5895107899504</v>
      </c>
      <c r="G2239" s="76">
        <v>2.9469823504395838</v>
      </c>
    </row>
    <row r="2240" spans="1:7" x14ac:dyDescent="0.25">
      <c r="A2240" s="75">
        <v>8500307</v>
      </c>
      <c r="B2240" s="73" t="s">
        <v>1726</v>
      </c>
      <c r="C2240" s="68">
        <v>99</v>
      </c>
      <c r="D2240" s="73" t="s">
        <v>3867</v>
      </c>
      <c r="E2240" s="77">
        <v>448.74200547564652</v>
      </c>
      <c r="F2240" s="77">
        <v>366.40276536244909</v>
      </c>
      <c r="G2240" s="76">
        <v>1.483790673541205</v>
      </c>
    </row>
    <row r="2241" spans="1:7" x14ac:dyDescent="0.25">
      <c r="A2241" s="75">
        <v>8500308</v>
      </c>
      <c r="B2241" s="73" t="s">
        <v>1727</v>
      </c>
      <c r="C2241" s="68">
        <v>99</v>
      </c>
      <c r="D2241" s="73" t="s">
        <v>3868</v>
      </c>
      <c r="E2241" s="77">
        <v>418.98835175699878</v>
      </c>
      <c r="F2241" s="77">
        <v>352.66768040478559</v>
      </c>
      <c r="G2241" s="76">
        <v>1.7053155627457244</v>
      </c>
    </row>
    <row r="2242" spans="1:7" x14ac:dyDescent="0.25">
      <c r="A2242" s="75">
        <v>8500313</v>
      </c>
      <c r="B2242" s="73" t="s">
        <v>1728</v>
      </c>
      <c r="C2242" s="68">
        <v>99</v>
      </c>
      <c r="D2242" s="73" t="s">
        <v>3869</v>
      </c>
      <c r="E2242" s="77">
        <v>454.85450819672133</v>
      </c>
      <c r="F2242" s="77">
        <v>452.43219250911858</v>
      </c>
      <c r="G2242" s="76">
        <v>1.615</v>
      </c>
    </row>
    <row r="2243" spans="1:7" x14ac:dyDescent="0.25">
      <c r="A2243" s="75">
        <v>8500315</v>
      </c>
      <c r="B2243" s="73" t="s">
        <v>1729</v>
      </c>
      <c r="C2243" s="68">
        <v>99</v>
      </c>
      <c r="D2243" s="73" t="s">
        <v>3870</v>
      </c>
      <c r="E2243" s="77">
        <v>419.79811489282918</v>
      </c>
      <c r="F2243" s="77">
        <v>367.05930646862919</v>
      </c>
      <c r="G2243" s="76">
        <v>2.117086902409508</v>
      </c>
    </row>
    <row r="2244" spans="1:7" x14ac:dyDescent="0.25">
      <c r="A2244" s="75">
        <v>8500316</v>
      </c>
      <c r="B2244" s="73" t="s">
        <v>1730</v>
      </c>
      <c r="C2244" s="68">
        <v>99</v>
      </c>
      <c r="D2244" s="73" t="s">
        <v>3871</v>
      </c>
      <c r="E2244" s="77">
        <v>457.94313524590166</v>
      </c>
      <c r="F2244" s="77">
        <v>491.88186930645384</v>
      </c>
      <c r="G2244" s="76">
        <v>2.2625000000000002</v>
      </c>
    </row>
    <row r="2245" spans="1:7" x14ac:dyDescent="0.25">
      <c r="A2245" s="75">
        <v>8500317</v>
      </c>
      <c r="B2245" s="73" t="s">
        <v>1731</v>
      </c>
      <c r="C2245" s="68">
        <v>99</v>
      </c>
      <c r="D2245" s="73" t="s">
        <v>3872</v>
      </c>
      <c r="E2245" s="77">
        <v>329.50563524590166</v>
      </c>
      <c r="F2245" s="77">
        <v>388.38441490238705</v>
      </c>
      <c r="G2245" s="76">
        <v>1.0249999999999999</v>
      </c>
    </row>
    <row r="2246" spans="1:7" x14ac:dyDescent="0.25">
      <c r="A2246" s="75">
        <v>8500318</v>
      </c>
      <c r="B2246" s="73" t="s">
        <v>1732</v>
      </c>
      <c r="C2246" s="68">
        <v>99</v>
      </c>
      <c r="D2246" s="73" t="s">
        <v>3873</v>
      </c>
      <c r="E2246" s="77">
        <v>523.78927770275391</v>
      </c>
      <c r="F2246" s="77">
        <v>439.02158852693111</v>
      </c>
      <c r="G2246" s="76">
        <v>1.7976990301767983</v>
      </c>
    </row>
    <row r="2247" spans="1:7" x14ac:dyDescent="0.25">
      <c r="A2247" s="75">
        <v>8500319</v>
      </c>
      <c r="B2247" s="73" t="s">
        <v>1733</v>
      </c>
      <c r="C2247" s="68">
        <v>99</v>
      </c>
      <c r="D2247" s="73" t="s">
        <v>3874</v>
      </c>
      <c r="E2247" s="77">
        <v>457.94313524590166</v>
      </c>
      <c r="F2247" s="77">
        <v>491.88186930645384</v>
      </c>
      <c r="G2247" s="76">
        <v>2.2625000000000002</v>
      </c>
    </row>
    <row r="2248" spans="1:7" x14ac:dyDescent="0.25">
      <c r="A2248" s="75">
        <v>8500320</v>
      </c>
      <c r="B2248" s="73" t="s">
        <v>1734</v>
      </c>
      <c r="C2248" s="68">
        <v>99</v>
      </c>
      <c r="D2248" s="73" t="s">
        <v>3875</v>
      </c>
      <c r="E2248" s="77">
        <v>480.35774199767189</v>
      </c>
      <c r="F2248" s="77">
        <v>289.47739735545389</v>
      </c>
      <c r="G2248" s="76">
        <v>3.1989261527288528</v>
      </c>
    </row>
    <row r="2249" spans="1:7" x14ac:dyDescent="0.25">
      <c r="A2249" s="75">
        <v>8500321</v>
      </c>
      <c r="B2249" s="73" t="s">
        <v>1735</v>
      </c>
      <c r="C2249" s="68">
        <v>99</v>
      </c>
      <c r="D2249" s="73" t="s">
        <v>3866</v>
      </c>
      <c r="E2249" s="77">
        <v>741.15899829931971</v>
      </c>
      <c r="F2249" s="77">
        <v>477.58951078995034</v>
      </c>
      <c r="G2249" s="76">
        <v>2.9469823504395838</v>
      </c>
    </row>
    <row r="2250" spans="1:7" x14ac:dyDescent="0.25">
      <c r="A2250" s="75">
        <v>8500322</v>
      </c>
      <c r="B2250" s="73" t="s">
        <v>1736</v>
      </c>
      <c r="C2250" s="68">
        <v>99</v>
      </c>
      <c r="D2250" s="73" t="s">
        <v>3876</v>
      </c>
      <c r="E2250" s="77">
        <v>692.16523122885451</v>
      </c>
      <c r="F2250" s="77">
        <v>439.51626468526177</v>
      </c>
      <c r="G2250" s="76">
        <v>2.9901561644348202</v>
      </c>
    </row>
    <row r="2251" spans="1:7" x14ac:dyDescent="0.25">
      <c r="A2251" s="75">
        <v>8500323</v>
      </c>
      <c r="B2251" s="73" t="s">
        <v>1737</v>
      </c>
      <c r="C2251" s="68">
        <v>99</v>
      </c>
      <c r="D2251" s="73" t="s">
        <v>3877</v>
      </c>
      <c r="E2251" s="77">
        <v>285.55828710913153</v>
      </c>
      <c r="F2251" s="77">
        <v>142.59075048630558</v>
      </c>
      <c r="G2251" s="76">
        <v>1.9648031672393902</v>
      </c>
    </row>
    <row r="2252" spans="1:7" x14ac:dyDescent="0.25">
      <c r="A2252" s="75">
        <v>8500328</v>
      </c>
      <c r="B2252" s="73" t="s">
        <v>3878</v>
      </c>
      <c r="C2252" s="68">
        <v>99</v>
      </c>
      <c r="D2252" s="73" t="s">
        <v>3879</v>
      </c>
      <c r="E2252" s="77">
        <v>262.92558112231814</v>
      </c>
      <c r="F2252" s="77">
        <v>427.85245426755466</v>
      </c>
      <c r="G2252" s="76">
        <v>1.9638502642724611</v>
      </c>
    </row>
    <row r="2253" spans="1:7" x14ac:dyDescent="0.25">
      <c r="A2253" s="75">
        <v>8500329</v>
      </c>
      <c r="B2253" s="73" t="s">
        <v>3880</v>
      </c>
      <c r="C2253" s="68">
        <v>99</v>
      </c>
      <c r="D2253" s="73" t="s">
        <v>3865</v>
      </c>
      <c r="E2253" s="77">
        <v>996.40361787093445</v>
      </c>
      <c r="F2253" s="77">
        <v>625.18611425056827</v>
      </c>
      <c r="G2253" s="76">
        <v>3.8589494047619044</v>
      </c>
    </row>
    <row r="2254" spans="1:7" x14ac:dyDescent="0.25">
      <c r="A2254" s="75">
        <v>8500330</v>
      </c>
      <c r="B2254" s="73" t="s">
        <v>3881</v>
      </c>
      <c r="C2254" s="68">
        <v>99</v>
      </c>
      <c r="D2254" s="73" t="s">
        <v>3882</v>
      </c>
      <c r="E2254" s="77">
        <v>902.98530751898431</v>
      </c>
      <c r="F2254" s="77">
        <v>560.4982724607421</v>
      </c>
      <c r="G2254" s="76">
        <v>3.8022602616264707</v>
      </c>
    </row>
    <row r="2255" spans="1:7" x14ac:dyDescent="0.25">
      <c r="A2255" s="75">
        <v>8500331</v>
      </c>
      <c r="B2255" s="73" t="s">
        <v>3883</v>
      </c>
      <c r="C2255" s="68">
        <v>99</v>
      </c>
      <c r="D2255" s="73" t="s">
        <v>3867</v>
      </c>
      <c r="E2255" s="77">
        <v>448.74200547564658</v>
      </c>
      <c r="F2255" s="77">
        <v>366.40276536244909</v>
      </c>
      <c r="G2255" s="76">
        <v>1.483790673541205</v>
      </c>
    </row>
    <row r="2256" spans="1:7" x14ac:dyDescent="0.25">
      <c r="A2256" s="75">
        <v>8500332</v>
      </c>
      <c r="B2256" s="73" t="s">
        <v>3884</v>
      </c>
      <c r="C2256" s="68">
        <v>99</v>
      </c>
      <c r="D2256" s="73" t="s">
        <v>3867</v>
      </c>
      <c r="E2256" s="77">
        <v>448.74200547564658</v>
      </c>
      <c r="F2256" s="77">
        <v>366.40276536244909</v>
      </c>
      <c r="G2256" s="76">
        <v>1.4837906735412048</v>
      </c>
    </row>
    <row r="2257" spans="1:7" x14ac:dyDescent="0.25">
      <c r="A2257" s="75">
        <v>8500333</v>
      </c>
      <c r="B2257" s="73" t="s">
        <v>3885</v>
      </c>
      <c r="C2257" s="68">
        <v>99</v>
      </c>
      <c r="D2257" s="73" t="s">
        <v>3886</v>
      </c>
      <c r="E2257" s="77">
        <v>380.13063524590166</v>
      </c>
      <c r="F2257" s="77">
        <v>383.76936930645383</v>
      </c>
      <c r="G2257" s="76">
        <v>1.6475</v>
      </c>
    </row>
    <row r="2258" spans="1:7" x14ac:dyDescent="0.25">
      <c r="A2258" s="75">
        <v>8500334</v>
      </c>
      <c r="B2258" s="73" t="s">
        <v>3887</v>
      </c>
      <c r="C2258" s="68">
        <v>99</v>
      </c>
      <c r="D2258" s="73" t="s">
        <v>3871</v>
      </c>
      <c r="E2258" s="77">
        <v>457.94313524590166</v>
      </c>
      <c r="F2258" s="77">
        <v>491.88186930645384</v>
      </c>
      <c r="G2258" s="76">
        <v>2.2625000000000002</v>
      </c>
    </row>
    <row r="2259" spans="1:7" x14ac:dyDescent="0.25">
      <c r="A2259" s="75">
        <v>8500335</v>
      </c>
      <c r="B2259" s="73" t="s">
        <v>3888</v>
      </c>
      <c r="C2259" s="68">
        <v>99</v>
      </c>
      <c r="D2259" s="73" t="s">
        <v>3872</v>
      </c>
      <c r="E2259" s="77">
        <v>329.50563524590166</v>
      </c>
      <c r="F2259" s="77">
        <v>388.38441490238705</v>
      </c>
      <c r="G2259" s="76">
        <v>1.0249999999999999</v>
      </c>
    </row>
    <row r="2260" spans="1:7" x14ac:dyDescent="0.25">
      <c r="A2260" s="75">
        <v>8500336</v>
      </c>
      <c r="B2260" s="73" t="s">
        <v>3889</v>
      </c>
      <c r="C2260" s="68">
        <v>99</v>
      </c>
      <c r="D2260" s="73" t="s">
        <v>3873</v>
      </c>
      <c r="E2260" s="77">
        <v>523.78927770275402</v>
      </c>
      <c r="F2260" s="77">
        <v>439.02158852693111</v>
      </c>
      <c r="G2260" s="76">
        <v>1.7976990301767986</v>
      </c>
    </row>
    <row r="2261" spans="1:7" x14ac:dyDescent="0.25">
      <c r="A2261" s="75">
        <v>8500337</v>
      </c>
      <c r="B2261" s="73" t="s">
        <v>3890</v>
      </c>
      <c r="C2261" s="68">
        <v>99</v>
      </c>
      <c r="D2261" s="73" t="s">
        <v>3874</v>
      </c>
      <c r="E2261" s="77">
        <v>457.94313524590166</v>
      </c>
      <c r="F2261" s="77">
        <v>491.88186930645384</v>
      </c>
      <c r="G2261" s="76">
        <v>2.2625000000000002</v>
      </c>
    </row>
    <row r="2262" spans="1:7" x14ac:dyDescent="0.25">
      <c r="A2262" s="75">
        <v>8500338</v>
      </c>
      <c r="B2262" s="73" t="s">
        <v>3891</v>
      </c>
      <c r="C2262" s="68">
        <v>99</v>
      </c>
      <c r="D2262" s="73" t="s">
        <v>3892</v>
      </c>
      <c r="E2262" s="77">
        <v>278.37107470229569</v>
      </c>
      <c r="F2262" s="77">
        <v>186.91322552642822</v>
      </c>
      <c r="G2262" s="76">
        <v>1.7847336115143282</v>
      </c>
    </row>
    <row r="2263" spans="1:7" x14ac:dyDescent="0.25">
      <c r="A2263" s="75">
        <v>8500339</v>
      </c>
      <c r="B2263" s="73" t="s">
        <v>3893</v>
      </c>
      <c r="C2263" s="68">
        <v>99</v>
      </c>
      <c r="D2263" s="73" t="s">
        <v>3894</v>
      </c>
      <c r="E2263" s="77">
        <v>281.37129030209201</v>
      </c>
      <c r="F2263" s="77">
        <v>71.397259343572259</v>
      </c>
      <c r="G2263" s="76">
        <v>2.5031818181818184</v>
      </c>
    </row>
    <row r="2264" spans="1:7" x14ac:dyDescent="0.25">
      <c r="A2264" s="75">
        <v>8500340</v>
      </c>
      <c r="B2264" s="73" t="s">
        <v>3895</v>
      </c>
      <c r="C2264" s="68">
        <v>99</v>
      </c>
      <c r="D2264" s="73" t="s">
        <v>3896</v>
      </c>
      <c r="E2264" s="77">
        <v>1288.091991503898</v>
      </c>
      <c r="F2264" s="77">
        <v>888.15489970722695</v>
      </c>
      <c r="G2264" s="76">
        <v>5.4782306790306192</v>
      </c>
    </row>
    <row r="2265" spans="1:7" x14ac:dyDescent="0.25">
      <c r="A2265" s="75">
        <v>8500341</v>
      </c>
      <c r="B2265" s="73" t="s">
        <v>3897</v>
      </c>
      <c r="C2265" s="68">
        <v>99</v>
      </c>
      <c r="D2265" s="73" t="s">
        <v>3898</v>
      </c>
      <c r="E2265" s="77">
        <v>1969.9079840802967</v>
      </c>
      <c r="F2265" s="77">
        <v>1350.7646189614238</v>
      </c>
      <c r="G2265" s="76">
        <v>8.3409919382821247</v>
      </c>
    </row>
    <row r="2266" spans="1:7" x14ac:dyDescent="0.25">
      <c r="A2266" s="75">
        <v>8500342</v>
      </c>
      <c r="B2266" s="73" t="s">
        <v>3899</v>
      </c>
      <c r="C2266" s="68">
        <v>99</v>
      </c>
      <c r="D2266" s="73" t="s">
        <v>3900</v>
      </c>
      <c r="E2266" s="77">
        <v>1662.4567304935099</v>
      </c>
      <c r="F2266" s="77">
        <v>1190.1531946200819</v>
      </c>
      <c r="G2266" s="76">
        <v>7.0638479376173144</v>
      </c>
    </row>
    <row r="2267" spans="1:7" x14ac:dyDescent="0.25">
      <c r="A2267" s="75">
        <v>8500343</v>
      </c>
      <c r="B2267" s="73" t="s">
        <v>3901</v>
      </c>
      <c r="C2267" s="68">
        <v>99</v>
      </c>
      <c r="D2267" s="73" t="s">
        <v>3900</v>
      </c>
      <c r="E2267" s="77">
        <v>1662.4567304935101</v>
      </c>
      <c r="F2267" s="77">
        <v>1190.1531946200821</v>
      </c>
      <c r="G2267" s="76">
        <v>7.0638479376173144</v>
      </c>
    </row>
    <row r="2268" spans="1:7" x14ac:dyDescent="0.25">
      <c r="A2268" s="75">
        <v>8500344</v>
      </c>
      <c r="B2268" s="73" t="s">
        <v>3902</v>
      </c>
      <c r="C2268" s="68">
        <v>99</v>
      </c>
      <c r="D2268" s="73" t="s">
        <v>3900</v>
      </c>
      <c r="E2268" s="77">
        <v>1662.4567304935101</v>
      </c>
      <c r="F2268" s="77">
        <v>1190.1531946200821</v>
      </c>
      <c r="G2268" s="76">
        <v>7.0638479376173144</v>
      </c>
    </row>
    <row r="2269" spans="1:7" x14ac:dyDescent="0.25">
      <c r="A2269" s="75">
        <v>8500345</v>
      </c>
      <c r="B2269" s="73" t="s">
        <v>3903</v>
      </c>
      <c r="C2269" s="68">
        <v>99</v>
      </c>
      <c r="D2269" s="73" t="s">
        <v>3900</v>
      </c>
      <c r="E2269" s="77">
        <v>1662.4567304935099</v>
      </c>
      <c r="F2269" s="77">
        <v>1190.1531946200819</v>
      </c>
      <c r="G2269" s="76">
        <v>7.0638479376173144</v>
      </c>
    </row>
    <row r="2270" spans="1:7" x14ac:dyDescent="0.25">
      <c r="A2270" s="75">
        <v>8500346</v>
      </c>
      <c r="B2270" s="73" t="s">
        <v>3904</v>
      </c>
      <c r="C2270" s="68">
        <v>99</v>
      </c>
      <c r="D2270" s="73" t="s">
        <v>3905</v>
      </c>
      <c r="E2270" s="77">
        <v>312.89049476020841</v>
      </c>
      <c r="F2270" s="77">
        <v>524.83996886016189</v>
      </c>
      <c r="G2270" s="76">
        <v>2.3289890792296677</v>
      </c>
    </row>
    <row r="2271" spans="1:7" x14ac:dyDescent="0.25">
      <c r="A2271" s="75">
        <v>8500347</v>
      </c>
      <c r="B2271" s="73" t="s">
        <v>3906</v>
      </c>
      <c r="C2271" s="68">
        <v>99</v>
      </c>
      <c r="D2271" s="73" t="s">
        <v>3907</v>
      </c>
      <c r="E2271" s="77">
        <v>346.33869631931009</v>
      </c>
      <c r="F2271" s="77">
        <v>638.39158775620399</v>
      </c>
      <c r="G2271" s="76">
        <v>2.86216890806688</v>
      </c>
    </row>
    <row r="2272" spans="1:7" x14ac:dyDescent="0.25">
      <c r="A2272" s="75">
        <v>8500348</v>
      </c>
      <c r="B2272" s="73" t="s">
        <v>3908</v>
      </c>
      <c r="C2272" s="68">
        <v>99</v>
      </c>
      <c r="D2272" s="73" t="s">
        <v>3909</v>
      </c>
      <c r="E2272" s="77">
        <v>201.32527120047303</v>
      </c>
      <c r="F2272" s="77">
        <v>244.53105919191725</v>
      </c>
      <c r="G2272" s="76">
        <v>1.4514096824961755</v>
      </c>
    </row>
    <row r="2273" spans="1:7" x14ac:dyDescent="0.25">
      <c r="A2273" s="75">
        <v>8500349</v>
      </c>
      <c r="B2273" s="73" t="s">
        <v>3910</v>
      </c>
      <c r="C2273" s="68">
        <v>99</v>
      </c>
      <c r="D2273" s="73" t="s">
        <v>3911</v>
      </c>
      <c r="E2273" s="77">
        <v>291.54995070964412</v>
      </c>
      <c r="F2273" s="77">
        <v>357.3891334302445</v>
      </c>
      <c r="G2273" s="76">
        <v>2.1490386827939392</v>
      </c>
    </row>
    <row r="2274" spans="1:7" x14ac:dyDescent="0.25">
      <c r="A2274" s="75">
        <v>8500350</v>
      </c>
      <c r="B2274" s="73" t="s">
        <v>3912</v>
      </c>
      <c r="C2274" s="68">
        <v>99</v>
      </c>
      <c r="D2274" s="73" t="s">
        <v>3913</v>
      </c>
      <c r="E2274" s="77">
        <v>318.92302134341878</v>
      </c>
      <c r="F2274" s="77">
        <v>361.46552348496607</v>
      </c>
      <c r="G2274" s="76">
        <v>1.6576619642257686</v>
      </c>
    </row>
    <row r="2275" spans="1:7" x14ac:dyDescent="0.25">
      <c r="A2275" s="75">
        <v>8500351</v>
      </c>
      <c r="B2275" s="73" t="s">
        <v>3914</v>
      </c>
      <c r="C2275" s="68">
        <v>99</v>
      </c>
      <c r="D2275" s="73" t="s">
        <v>3915</v>
      </c>
      <c r="E2275" s="77">
        <v>175.19313524590166</v>
      </c>
      <c r="F2275" s="77">
        <v>284.67408747249635</v>
      </c>
      <c r="G2275" s="76">
        <v>1.3062499999999999</v>
      </c>
    </row>
    <row r="2276" spans="1:7" x14ac:dyDescent="0.25">
      <c r="A2276" s="75">
        <v>8500354</v>
      </c>
      <c r="B2276" s="73" t="s">
        <v>3916</v>
      </c>
      <c r="C2276" s="68">
        <v>99</v>
      </c>
      <c r="D2276" s="73" t="s">
        <v>3917</v>
      </c>
      <c r="E2276" s="77">
        <v>224.1397574935427</v>
      </c>
      <c r="F2276" s="77">
        <v>73.066803307058422</v>
      </c>
      <c r="G2276" s="76">
        <v>1.7409541684073768</v>
      </c>
    </row>
    <row r="2277" spans="1:7" x14ac:dyDescent="0.25">
      <c r="A2277" s="75">
        <v>8500355</v>
      </c>
      <c r="B2277" s="73" t="s">
        <v>3918</v>
      </c>
      <c r="C2277" s="68">
        <v>99</v>
      </c>
      <c r="D2277" s="73" t="s">
        <v>3919</v>
      </c>
      <c r="E2277" s="77">
        <v>281.37129030209201</v>
      </c>
      <c r="F2277" s="77">
        <v>71.397259343572259</v>
      </c>
      <c r="G2277" s="76">
        <v>2.5031818181818184</v>
      </c>
    </row>
    <row r="2278" spans="1:7" x14ac:dyDescent="0.25">
      <c r="A2278" s="75">
        <v>8500356</v>
      </c>
      <c r="B2278" s="73" t="s">
        <v>3920</v>
      </c>
      <c r="C2278" s="68">
        <v>99</v>
      </c>
      <c r="D2278" s="73" t="s">
        <v>3921</v>
      </c>
      <c r="E2278" s="77">
        <v>192.86975369055631</v>
      </c>
      <c r="F2278" s="77">
        <v>143.23052305088345</v>
      </c>
      <c r="G2278" s="76">
        <v>1.077294265518834</v>
      </c>
    </row>
    <row r="2279" spans="1:7" x14ac:dyDescent="0.25">
      <c r="A2279" s="75">
        <v>8500357</v>
      </c>
      <c r="B2279" s="73" t="s">
        <v>3922</v>
      </c>
      <c r="C2279" s="68">
        <v>99</v>
      </c>
      <c r="D2279" s="73" t="s">
        <v>3923</v>
      </c>
      <c r="E2279" s="77">
        <v>187.43222265720971</v>
      </c>
      <c r="F2279" s="77">
        <v>232.44357973493976</v>
      </c>
      <c r="G2279" s="76">
        <v>1.4152453523217208</v>
      </c>
    </row>
    <row r="2280" spans="1:7" x14ac:dyDescent="0.25">
      <c r="A2280" s="75">
        <v>8500358</v>
      </c>
      <c r="B2280" s="73" t="s">
        <v>3924</v>
      </c>
      <c r="C2280" s="68">
        <v>99</v>
      </c>
      <c r="D2280" s="73" t="s">
        <v>3925</v>
      </c>
      <c r="E2280" s="77">
        <v>290.51026177543162</v>
      </c>
      <c r="F2280" s="77">
        <v>150.25988122310048</v>
      </c>
      <c r="G2280" s="76">
        <v>1.7322448952221263</v>
      </c>
    </row>
    <row r="2281" spans="1:7" x14ac:dyDescent="0.25">
      <c r="A2281" s="75">
        <v>8500359</v>
      </c>
      <c r="B2281" s="73" t="s">
        <v>3926</v>
      </c>
      <c r="C2281" s="68">
        <v>99</v>
      </c>
      <c r="D2281" s="73" t="s">
        <v>3866</v>
      </c>
      <c r="E2281" s="77">
        <v>734.81066496598646</v>
      </c>
      <c r="F2281" s="77">
        <v>477.5895107899504</v>
      </c>
      <c r="G2281" s="76">
        <v>2.9469823504395838</v>
      </c>
    </row>
    <row r="2282" spans="1:7" ht="30" x14ac:dyDescent="0.25">
      <c r="A2282" s="75">
        <v>8500360</v>
      </c>
      <c r="B2282" s="73" t="s">
        <v>3927</v>
      </c>
      <c r="C2282" s="68">
        <v>99</v>
      </c>
      <c r="D2282" s="73" t="s">
        <v>3928</v>
      </c>
      <c r="E2282" s="77">
        <v>900</v>
      </c>
      <c r="F2282" s="77">
        <v>874.4</v>
      </c>
      <c r="G2282" s="76">
        <v>5.2</v>
      </c>
    </row>
    <row r="2283" spans="1:7" ht="30" x14ac:dyDescent="0.25">
      <c r="A2283" s="75">
        <v>8500361</v>
      </c>
      <c r="B2283" s="73" t="s">
        <v>3929</v>
      </c>
      <c r="C2283" s="68">
        <v>99</v>
      </c>
      <c r="D2283" s="73" t="s">
        <v>3928</v>
      </c>
      <c r="E2283" s="77">
        <v>900</v>
      </c>
      <c r="F2283" s="77">
        <v>874.4</v>
      </c>
      <c r="G2283" s="76">
        <v>5.2</v>
      </c>
    </row>
    <row r="2284" spans="1:7" x14ac:dyDescent="0.25">
      <c r="A2284" s="75">
        <v>8500362</v>
      </c>
      <c r="B2284" s="73" t="s">
        <v>3930</v>
      </c>
      <c r="C2284" s="68">
        <v>99</v>
      </c>
      <c r="D2284" s="73" t="s">
        <v>3876</v>
      </c>
      <c r="E2284" s="77">
        <v>685.81689789552104</v>
      </c>
      <c r="F2284" s="77">
        <v>439.51626468526177</v>
      </c>
      <c r="G2284" s="76">
        <v>2.9901561644348202</v>
      </c>
    </row>
    <row r="2285" spans="1:7" x14ac:dyDescent="0.25">
      <c r="A2285" s="75">
        <v>8500363</v>
      </c>
      <c r="B2285" s="73" t="s">
        <v>3931</v>
      </c>
      <c r="C2285" s="68">
        <v>99</v>
      </c>
      <c r="D2285" s="73" t="s">
        <v>3886</v>
      </c>
      <c r="E2285" s="77">
        <v>380.13063524590166</v>
      </c>
      <c r="F2285" s="77">
        <v>383.76936930645383</v>
      </c>
      <c r="G2285" s="76">
        <v>1.6475</v>
      </c>
    </row>
    <row r="2286" spans="1:7" x14ac:dyDescent="0.25">
      <c r="A2286" s="75">
        <v>8500364</v>
      </c>
      <c r="B2286" s="73" t="s">
        <v>3932</v>
      </c>
      <c r="C2286" s="68">
        <v>99</v>
      </c>
      <c r="D2286" s="73" t="s">
        <v>3933</v>
      </c>
      <c r="E2286" s="77">
        <v>487.36784153005465</v>
      </c>
      <c r="F2286" s="77">
        <v>420.36866326264601</v>
      </c>
      <c r="G2286" s="76">
        <v>2.8239999999999998</v>
      </c>
    </row>
    <row r="2287" spans="1:7" x14ac:dyDescent="0.25">
      <c r="A2287" s="75">
        <v>8500401</v>
      </c>
      <c r="B2287" s="73" t="s">
        <v>1121</v>
      </c>
      <c r="C2287" s="68">
        <v>99</v>
      </c>
      <c r="D2287" s="73" t="s">
        <v>3790</v>
      </c>
      <c r="E2287" s="77">
        <v>65</v>
      </c>
      <c r="F2287" s="77">
        <v>52.499825594233926</v>
      </c>
      <c r="G2287" s="76">
        <v>1.1000000000000001</v>
      </c>
    </row>
    <row r="2288" spans="1:7" x14ac:dyDescent="0.25">
      <c r="A2288" s="75">
        <v>8500402</v>
      </c>
      <c r="B2288" s="73" t="s">
        <v>1123</v>
      </c>
      <c r="C2288" s="68">
        <v>99</v>
      </c>
      <c r="D2288" s="73" t="s">
        <v>3934</v>
      </c>
      <c r="E2288" s="77">
        <v>13.694736255806149</v>
      </c>
      <c r="F2288" s="77">
        <v>8.3971334936772752</v>
      </c>
      <c r="G2288" s="76">
        <v>0.2566196534394603</v>
      </c>
    </row>
    <row r="2289" spans="1:7" x14ac:dyDescent="0.25">
      <c r="A2289" s="75">
        <v>8500403</v>
      </c>
      <c r="B2289" s="73" t="s">
        <v>1738</v>
      </c>
      <c r="C2289" s="68">
        <v>99</v>
      </c>
      <c r="D2289" s="73" t="s">
        <v>3935</v>
      </c>
      <c r="E2289" s="77">
        <v>13.916949302511153</v>
      </c>
      <c r="F2289" s="77">
        <v>93.043481057021523</v>
      </c>
      <c r="G2289" s="76">
        <v>9.5622708737720885E-2</v>
      </c>
    </row>
    <row r="2290" spans="1:7" x14ac:dyDescent="0.25">
      <c r="A2290" s="75">
        <v>8500404</v>
      </c>
      <c r="B2290" s="73" t="s">
        <v>1739</v>
      </c>
      <c r="C2290" s="68">
        <v>99</v>
      </c>
      <c r="D2290" s="73" t="s">
        <v>3936</v>
      </c>
      <c r="E2290" s="77">
        <v>3.956834573095664</v>
      </c>
      <c r="F2290" s="77">
        <v>28.74436915867156</v>
      </c>
      <c r="G2290" s="76">
        <v>1.7985611695889379E-2</v>
      </c>
    </row>
    <row r="2291" spans="1:7" x14ac:dyDescent="0.25">
      <c r="A2291" s="75">
        <v>8500405</v>
      </c>
      <c r="B2291" s="73" t="s">
        <v>1740</v>
      </c>
      <c r="C2291" s="68">
        <v>99</v>
      </c>
      <c r="D2291" s="73" t="s">
        <v>3937</v>
      </c>
      <c r="E2291" s="77">
        <v>18.83256926046219</v>
      </c>
      <c r="F2291" s="77">
        <v>125.90746457089459</v>
      </c>
      <c r="G2291" s="76">
        <v>0.12939770390995059</v>
      </c>
    </row>
    <row r="2292" spans="1:7" x14ac:dyDescent="0.25">
      <c r="A2292" s="75">
        <v>8500406</v>
      </c>
      <c r="B2292" s="73" t="s">
        <v>1741</v>
      </c>
      <c r="C2292" s="68">
        <v>99</v>
      </c>
      <c r="D2292" s="73" t="s">
        <v>3938</v>
      </c>
      <c r="E2292" s="77">
        <v>7.4244318584118743</v>
      </c>
      <c r="F2292" s="77">
        <v>77.401164251686197</v>
      </c>
      <c r="G2292" s="76">
        <v>0.40446758691741203</v>
      </c>
    </row>
    <row r="2293" spans="1:7" x14ac:dyDescent="0.25">
      <c r="A2293" s="75">
        <v>8500407</v>
      </c>
      <c r="B2293" s="73" t="s">
        <v>1125</v>
      </c>
      <c r="C2293" s="68">
        <v>99</v>
      </c>
      <c r="D2293" s="73" t="s">
        <v>3790</v>
      </c>
      <c r="E2293" s="77">
        <v>65</v>
      </c>
      <c r="F2293" s="77">
        <v>52.499825594233926</v>
      </c>
      <c r="G2293" s="76">
        <v>1.1000000000000001</v>
      </c>
    </row>
    <row r="2294" spans="1:7" x14ac:dyDescent="0.25">
      <c r="A2294" s="75">
        <v>8500408</v>
      </c>
      <c r="B2294" s="73" t="s">
        <v>1742</v>
      </c>
      <c r="C2294" s="68">
        <v>99</v>
      </c>
      <c r="D2294" s="73" t="s">
        <v>3939</v>
      </c>
      <c r="E2294" s="77">
        <v>51.185800716037733</v>
      </c>
      <c r="F2294" s="77">
        <v>64.479760678935151</v>
      </c>
      <c r="G2294" s="76">
        <v>0.56653093096787788</v>
      </c>
    </row>
    <row r="2295" spans="1:7" x14ac:dyDescent="0.25">
      <c r="A2295" s="75">
        <v>8500409</v>
      </c>
      <c r="B2295" s="73" t="s">
        <v>1743</v>
      </c>
      <c r="C2295" s="68">
        <v>99</v>
      </c>
      <c r="D2295" s="73" t="s">
        <v>3940</v>
      </c>
      <c r="E2295" s="77">
        <v>33.129151883428669</v>
      </c>
      <c r="F2295" s="77">
        <v>70.462518983590087</v>
      </c>
      <c r="G2295" s="76">
        <v>0.57759257249684526</v>
      </c>
    </row>
    <row r="2296" spans="1:7" x14ac:dyDescent="0.25">
      <c r="A2296" s="75">
        <v>8500410</v>
      </c>
      <c r="B2296" s="73" t="s">
        <v>1744</v>
      </c>
      <c r="C2296" s="68">
        <v>99</v>
      </c>
      <c r="D2296" s="73" t="s">
        <v>3941</v>
      </c>
      <c r="E2296" s="77">
        <v>36.800789414659391</v>
      </c>
      <c r="F2296" s="77">
        <v>71.028861838796487</v>
      </c>
      <c r="G2296" s="76">
        <v>0.56659142718375299</v>
      </c>
    </row>
    <row r="2297" spans="1:7" x14ac:dyDescent="0.25">
      <c r="A2297" s="75">
        <v>8500411</v>
      </c>
      <c r="B2297" s="73" t="s">
        <v>1745</v>
      </c>
      <c r="C2297" s="68">
        <v>99</v>
      </c>
      <c r="D2297" s="73" t="s">
        <v>3795</v>
      </c>
      <c r="E2297" s="77">
        <v>34.426059748869889</v>
      </c>
      <c r="F2297" s="77">
        <v>71.430880813318922</v>
      </c>
      <c r="G2297" s="76">
        <v>0.55810171515082496</v>
      </c>
    </row>
    <row r="2298" spans="1:7" x14ac:dyDescent="0.25">
      <c r="A2298" s="75">
        <v>8500412</v>
      </c>
      <c r="B2298" s="73" t="s">
        <v>1746</v>
      </c>
      <c r="C2298" s="68">
        <v>99</v>
      </c>
      <c r="D2298" s="73" t="s">
        <v>3942</v>
      </c>
      <c r="E2298" s="77">
        <v>53.074753816000374</v>
      </c>
      <c r="F2298" s="77">
        <v>17.784396166684783</v>
      </c>
      <c r="G2298" s="76">
        <v>0.36447955600168735</v>
      </c>
    </row>
    <row r="2299" spans="1:7" x14ac:dyDescent="0.25">
      <c r="A2299" s="75">
        <v>8500413</v>
      </c>
      <c r="B2299" s="73" t="s">
        <v>1747</v>
      </c>
      <c r="C2299" s="68">
        <v>99</v>
      </c>
      <c r="D2299" s="73" t="s">
        <v>3943</v>
      </c>
      <c r="E2299" s="77">
        <v>4.7495855227332413</v>
      </c>
      <c r="F2299" s="77">
        <v>49.515364432362524</v>
      </c>
      <c r="G2299" s="76">
        <v>0.25874752868278234</v>
      </c>
    </row>
    <row r="2300" spans="1:7" x14ac:dyDescent="0.25">
      <c r="A2300" s="75">
        <v>8500414</v>
      </c>
      <c r="B2300" s="73" t="s">
        <v>1748</v>
      </c>
      <c r="C2300" s="68">
        <v>99</v>
      </c>
      <c r="D2300" s="73" t="s">
        <v>3944</v>
      </c>
      <c r="E2300" s="77">
        <v>2.2131147292297202</v>
      </c>
      <c r="F2300" s="77">
        <v>72.315701630131812</v>
      </c>
      <c r="G2300" s="76">
        <v>7.4320341367109466E-2</v>
      </c>
    </row>
    <row r="2301" spans="1:7" x14ac:dyDescent="0.25">
      <c r="A2301" s="75">
        <v>8500415</v>
      </c>
      <c r="B2301" s="73" t="s">
        <v>1749</v>
      </c>
      <c r="C2301" s="68">
        <v>99</v>
      </c>
      <c r="D2301" s="73" t="s">
        <v>3945</v>
      </c>
      <c r="E2301" s="77">
        <v>55.785715235739353</v>
      </c>
      <c r="F2301" s="77">
        <v>14.611826483154896</v>
      </c>
      <c r="G2301" s="76">
        <v>0.38309650555984603</v>
      </c>
    </row>
    <row r="2302" spans="1:7" x14ac:dyDescent="0.25">
      <c r="A2302" s="75">
        <v>8500416</v>
      </c>
      <c r="B2302" s="73" t="s">
        <v>1750</v>
      </c>
      <c r="C2302" s="68">
        <v>99</v>
      </c>
      <c r="D2302" s="73" t="s">
        <v>3946</v>
      </c>
      <c r="E2302" s="77">
        <v>35.410425499670431</v>
      </c>
      <c r="F2302" s="77">
        <v>32.354022787265912</v>
      </c>
      <c r="G2302" s="76">
        <v>9.9435029320097568E-2</v>
      </c>
    </row>
    <row r="2303" spans="1:7" x14ac:dyDescent="0.25">
      <c r="A2303" s="75">
        <v>8500417</v>
      </c>
      <c r="B2303" s="73" t="s">
        <v>1751</v>
      </c>
      <c r="C2303" s="68">
        <v>99</v>
      </c>
      <c r="D2303" s="73" t="s">
        <v>3947</v>
      </c>
      <c r="E2303" s="77">
        <v>47.77</v>
      </c>
      <c r="F2303" s="77">
        <v>1154.3725015272823</v>
      </c>
      <c r="G2303" s="76">
        <v>5.75</v>
      </c>
    </row>
    <row r="2304" spans="1:7" x14ac:dyDescent="0.25">
      <c r="A2304" s="75">
        <v>8500418</v>
      </c>
      <c r="B2304" s="73" t="s">
        <v>1752</v>
      </c>
      <c r="C2304" s="68">
        <v>99</v>
      </c>
      <c r="D2304" s="73" t="s">
        <v>3947</v>
      </c>
      <c r="E2304" s="77">
        <v>47.77</v>
      </c>
      <c r="F2304" s="77">
        <v>1154.3725015272823</v>
      </c>
      <c r="G2304" s="76">
        <v>5.75</v>
      </c>
    </row>
    <row r="2305" spans="1:7" x14ac:dyDescent="0.25">
      <c r="A2305" s="75">
        <v>8500501</v>
      </c>
      <c r="B2305" s="73" t="s">
        <v>1753</v>
      </c>
      <c r="C2305" s="68">
        <v>99</v>
      </c>
      <c r="D2305" s="73" t="s">
        <v>3948</v>
      </c>
      <c r="E2305" s="77">
        <v>125.35010392554616</v>
      </c>
      <c r="F2305" s="77">
        <v>134.14626943540108</v>
      </c>
      <c r="G2305" s="76">
        <v>0.78872859133562079</v>
      </c>
    </row>
    <row r="2306" spans="1:7" x14ac:dyDescent="0.25">
      <c r="A2306" s="75">
        <v>8500503</v>
      </c>
      <c r="B2306" s="73" t="s">
        <v>1754</v>
      </c>
      <c r="C2306" s="68">
        <v>99</v>
      </c>
      <c r="D2306" s="73" t="s">
        <v>3948</v>
      </c>
      <c r="E2306" s="77">
        <v>125.35010392554616</v>
      </c>
      <c r="F2306" s="77">
        <v>134.14626943540108</v>
      </c>
      <c r="G2306" s="76">
        <v>0.78872859133562079</v>
      </c>
    </row>
    <row r="2307" spans="1:7" x14ac:dyDescent="0.25">
      <c r="A2307" s="75">
        <v>8500504</v>
      </c>
      <c r="B2307" s="73" t="s">
        <v>1755</v>
      </c>
      <c r="C2307" s="68">
        <v>99</v>
      </c>
      <c r="D2307" s="73" t="s">
        <v>3949</v>
      </c>
      <c r="E2307" s="77">
        <v>124.04357494993597</v>
      </c>
      <c r="F2307" s="77">
        <v>140.34422616477423</v>
      </c>
      <c r="G2307" s="76">
        <v>0.79455483128182347</v>
      </c>
    </row>
    <row r="2308" spans="1:7" x14ac:dyDescent="0.25">
      <c r="A2308" s="75">
        <v>8500505</v>
      </c>
      <c r="B2308" s="73" t="s">
        <v>3950</v>
      </c>
      <c r="C2308" s="68">
        <v>99</v>
      </c>
      <c r="D2308" s="73" t="s">
        <v>3951</v>
      </c>
      <c r="E2308" s="77">
        <v>114.40849270662012</v>
      </c>
      <c r="F2308" s="77">
        <v>101.02185328317817</v>
      </c>
      <c r="G2308" s="76">
        <v>0.77553305047289589</v>
      </c>
    </row>
    <row r="2309" spans="1:7" x14ac:dyDescent="0.25">
      <c r="A2309" s="75">
        <v>8500506</v>
      </c>
      <c r="B2309" s="73" t="s">
        <v>1756</v>
      </c>
      <c r="C2309" s="68">
        <v>99</v>
      </c>
      <c r="D2309" s="73" t="s">
        <v>3952</v>
      </c>
      <c r="E2309" s="77">
        <v>107.26545279950777</v>
      </c>
      <c r="F2309" s="77">
        <v>133.50784425407673</v>
      </c>
      <c r="G2309" s="76">
        <v>0.80299554411989471</v>
      </c>
    </row>
    <row r="2310" spans="1:7" x14ac:dyDescent="0.25">
      <c r="A2310" s="75">
        <v>8500507</v>
      </c>
      <c r="B2310" s="73" t="s">
        <v>1757</v>
      </c>
      <c r="C2310" s="68">
        <v>99</v>
      </c>
      <c r="D2310" s="73" t="s">
        <v>3953</v>
      </c>
      <c r="E2310" s="77">
        <v>103.68095677113999</v>
      </c>
      <c r="F2310" s="77">
        <v>108.60286273659942</v>
      </c>
      <c r="G2310" s="76">
        <v>0.62346115655048451</v>
      </c>
    </row>
    <row r="2311" spans="1:7" x14ac:dyDescent="0.25">
      <c r="A2311" s="75">
        <v>8500508</v>
      </c>
      <c r="B2311" s="73" t="s">
        <v>1758</v>
      </c>
      <c r="C2311" s="68">
        <v>99</v>
      </c>
      <c r="D2311" s="73" t="s">
        <v>3954</v>
      </c>
      <c r="E2311" s="77">
        <v>96.68920033970403</v>
      </c>
      <c r="F2311" s="77">
        <v>93.219678946939069</v>
      </c>
      <c r="G2311" s="76">
        <v>0.62080715005748266</v>
      </c>
    </row>
    <row r="2312" spans="1:7" x14ac:dyDescent="0.25">
      <c r="A2312" s="75">
        <v>8500509</v>
      </c>
      <c r="B2312" s="73" t="s">
        <v>1759</v>
      </c>
      <c r="C2312" s="68">
        <v>99</v>
      </c>
      <c r="D2312" s="73" t="s">
        <v>3955</v>
      </c>
      <c r="E2312" s="77">
        <v>92.492226239594004</v>
      </c>
      <c r="F2312" s="77">
        <v>96.897172124521546</v>
      </c>
      <c r="G2312" s="76">
        <v>0.60337531236552699</v>
      </c>
    </row>
    <row r="2313" spans="1:7" x14ac:dyDescent="0.25">
      <c r="A2313" s="75">
        <v>8500510</v>
      </c>
      <c r="B2313" s="73" t="s">
        <v>3956</v>
      </c>
      <c r="C2313" s="68">
        <v>99</v>
      </c>
      <c r="D2313" s="73" t="s">
        <v>3957</v>
      </c>
      <c r="E2313" s="77">
        <v>95.285846636199437</v>
      </c>
      <c r="F2313" s="77">
        <v>114.97021975280744</v>
      </c>
      <c r="G2313" s="76">
        <v>0.64355871081106142</v>
      </c>
    </row>
    <row r="2314" spans="1:7" x14ac:dyDescent="0.25">
      <c r="A2314" s="75">
        <v>8500511</v>
      </c>
      <c r="B2314" s="73" t="s">
        <v>3958</v>
      </c>
      <c r="C2314" s="68">
        <v>99</v>
      </c>
      <c r="D2314" s="73" t="s">
        <v>3959</v>
      </c>
      <c r="E2314" s="77">
        <v>91.326790345826197</v>
      </c>
      <c r="F2314" s="77">
        <v>136.11151213872688</v>
      </c>
      <c r="G2314" s="76">
        <v>0.80825487849062494</v>
      </c>
    </row>
    <row r="2315" spans="1:7" x14ac:dyDescent="0.25">
      <c r="A2315" s="75">
        <v>8500601</v>
      </c>
      <c r="B2315" s="73" t="s">
        <v>1127</v>
      </c>
      <c r="C2315" s="68">
        <v>99</v>
      </c>
      <c r="D2315" s="73" t="s">
        <v>3960</v>
      </c>
      <c r="E2315" s="77">
        <v>17.826384357515956</v>
      </c>
      <c r="F2315" s="77">
        <v>27.634824728483562</v>
      </c>
      <c r="G2315" s="76">
        <v>0.30364541205365903</v>
      </c>
    </row>
    <row r="2316" spans="1:7" x14ac:dyDescent="0.25">
      <c r="A2316" s="75">
        <v>8500602</v>
      </c>
      <c r="B2316" s="73" t="s">
        <v>1760</v>
      </c>
      <c r="C2316" s="68">
        <v>99</v>
      </c>
      <c r="D2316" s="73" t="s">
        <v>3819</v>
      </c>
      <c r="E2316" s="77">
        <v>12.477786666666667</v>
      </c>
      <c r="F2316" s="77">
        <v>12.824984559531845</v>
      </c>
      <c r="G2316" s="76">
        <v>0.18423755360805522</v>
      </c>
    </row>
    <row r="2317" spans="1:7" x14ac:dyDescent="0.25">
      <c r="A2317" s="75">
        <v>8500603</v>
      </c>
      <c r="B2317" s="73" t="s">
        <v>1761</v>
      </c>
      <c r="C2317" s="68">
        <v>99</v>
      </c>
      <c r="D2317" s="73" t="s">
        <v>3961</v>
      </c>
      <c r="E2317" s="77">
        <v>47.77</v>
      </c>
      <c r="F2317" s="77">
        <v>1154.3725015272823</v>
      </c>
      <c r="G2317" s="76">
        <v>5.75</v>
      </c>
    </row>
    <row r="2318" spans="1:7" x14ac:dyDescent="0.25">
      <c r="A2318" s="75">
        <v>8500604</v>
      </c>
      <c r="B2318" s="73" t="s">
        <v>1762</v>
      </c>
      <c r="C2318" s="68">
        <v>99</v>
      </c>
      <c r="D2318" s="73" t="s">
        <v>3960</v>
      </c>
      <c r="E2318" s="77">
        <v>17.826384357515956</v>
      </c>
      <c r="F2318" s="77">
        <v>27.634824728483562</v>
      </c>
      <c r="G2318" s="76">
        <v>0.30364541205365903</v>
      </c>
    </row>
    <row r="2319" spans="1:7" x14ac:dyDescent="0.25">
      <c r="A2319" s="75">
        <v>8500605</v>
      </c>
      <c r="B2319" s="73" t="s">
        <v>1763</v>
      </c>
      <c r="C2319" s="68">
        <v>99</v>
      </c>
      <c r="D2319" s="73" t="s">
        <v>3962</v>
      </c>
      <c r="E2319" s="77">
        <v>9.9324063180137365</v>
      </c>
      <c r="F2319" s="77">
        <v>13.219277717664038</v>
      </c>
      <c r="G2319" s="76">
        <v>0.12923755360805519</v>
      </c>
    </row>
    <row r="2320" spans="1:7" x14ac:dyDescent="0.25">
      <c r="A2320" s="75">
        <v>8500606</v>
      </c>
      <c r="B2320" s="73" t="s">
        <v>1764</v>
      </c>
      <c r="C2320" s="68">
        <v>99</v>
      </c>
      <c r="D2320" s="73" t="s">
        <v>3786</v>
      </c>
      <c r="E2320" s="77">
        <v>5.2771783578750542</v>
      </c>
      <c r="F2320" s="77">
        <v>13.926822376009827</v>
      </c>
      <c r="G2320" s="76">
        <v>0.10209285607915594</v>
      </c>
    </row>
    <row r="2321" spans="1:7" x14ac:dyDescent="0.25">
      <c r="A2321" s="75">
        <v>8500607</v>
      </c>
      <c r="B2321" s="73" t="s">
        <v>3963</v>
      </c>
      <c r="C2321" s="68">
        <v>99</v>
      </c>
      <c r="D2321" s="73" t="s">
        <v>3751</v>
      </c>
      <c r="E2321" s="77">
        <v>45.1</v>
      </c>
      <c r="F2321" s="77">
        <v>45</v>
      </c>
      <c r="G2321" s="76">
        <v>0.2</v>
      </c>
    </row>
    <row r="2322" spans="1:7" x14ac:dyDescent="0.25">
      <c r="A2322" s="75">
        <v>8500608</v>
      </c>
      <c r="B2322" s="73" t="s">
        <v>3964</v>
      </c>
      <c r="C2322" s="68">
        <v>99</v>
      </c>
      <c r="D2322" s="73" t="s">
        <v>3751</v>
      </c>
      <c r="E2322" s="77">
        <v>45.1</v>
      </c>
      <c r="F2322" s="77">
        <v>45</v>
      </c>
      <c r="G2322" s="76">
        <v>0.2</v>
      </c>
    </row>
    <row r="2323" spans="1:7" x14ac:dyDescent="0.25">
      <c r="A2323" s="75">
        <v>8500609</v>
      </c>
      <c r="B2323" s="73" t="s">
        <v>3965</v>
      </c>
      <c r="C2323" s="68">
        <v>99</v>
      </c>
      <c r="D2323" s="73" t="s">
        <v>3758</v>
      </c>
      <c r="E2323" s="77">
        <v>47.77</v>
      </c>
      <c r="F2323" s="77">
        <v>1154.3725015272823</v>
      </c>
      <c r="G2323" s="76">
        <v>5.75</v>
      </c>
    </row>
    <row r="2324" spans="1:7" x14ac:dyDescent="0.25">
      <c r="A2324" s="75">
        <v>8500801</v>
      </c>
      <c r="B2324" s="73" t="s">
        <v>1765</v>
      </c>
      <c r="C2324" s="68">
        <v>99</v>
      </c>
      <c r="D2324" s="73" t="s">
        <v>2981</v>
      </c>
      <c r="E2324" s="77">
        <v>108.72877480031235</v>
      </c>
      <c r="F2324" s="77">
        <v>89.212559584037379</v>
      </c>
      <c r="G2324" s="76">
        <v>0.719626614155777</v>
      </c>
    </row>
    <row r="2325" spans="1:7" x14ac:dyDescent="0.25">
      <c r="A2325" s="75">
        <v>8500802</v>
      </c>
      <c r="B2325" s="73" t="s">
        <v>1766</v>
      </c>
      <c r="C2325" s="68">
        <v>99</v>
      </c>
      <c r="D2325" s="73" t="s">
        <v>3966</v>
      </c>
      <c r="E2325" s="77">
        <v>136.47034017133387</v>
      </c>
      <c r="F2325" s="77">
        <v>72.727784251715548</v>
      </c>
      <c r="G2325" s="76">
        <v>1.3856065848671406</v>
      </c>
    </row>
    <row r="2326" spans="1:7" x14ac:dyDescent="0.25">
      <c r="A2326" s="75">
        <v>8500903</v>
      </c>
      <c r="B2326" s="73" t="s">
        <v>1129</v>
      </c>
      <c r="C2326" s="68">
        <v>99</v>
      </c>
      <c r="D2326" s="73" t="s">
        <v>3967</v>
      </c>
      <c r="E2326" s="77">
        <v>558.09587127898135</v>
      </c>
      <c r="F2326" s="77">
        <v>281.43446308121474</v>
      </c>
      <c r="G2326" s="76">
        <v>1.5459962311034179</v>
      </c>
    </row>
    <row r="2327" spans="1:7" x14ac:dyDescent="0.25">
      <c r="A2327" s="75">
        <v>8500904</v>
      </c>
      <c r="B2327" s="73" t="s">
        <v>1767</v>
      </c>
      <c r="C2327" s="68">
        <v>99</v>
      </c>
      <c r="D2327" s="73" t="s">
        <v>3968</v>
      </c>
      <c r="E2327" s="77">
        <v>1032.0240708952726</v>
      </c>
      <c r="F2327" s="77">
        <v>687.66511738600059</v>
      </c>
      <c r="G2327" s="76">
        <v>4.3405495502317741</v>
      </c>
    </row>
    <row r="2328" spans="1:7" x14ac:dyDescent="0.25">
      <c r="A2328" s="75">
        <v>8500905</v>
      </c>
      <c r="B2328" s="73" t="s">
        <v>1768</v>
      </c>
      <c r="C2328" s="68">
        <v>99</v>
      </c>
      <c r="D2328" s="73" t="s">
        <v>3969</v>
      </c>
      <c r="E2328" s="77">
        <v>157.08968256826287</v>
      </c>
      <c r="F2328" s="77">
        <v>172.46653891858489</v>
      </c>
      <c r="G2328" s="76">
        <v>1.0466400032043459</v>
      </c>
    </row>
    <row r="2329" spans="1:7" x14ac:dyDescent="0.25">
      <c r="A2329" s="75">
        <v>8500906</v>
      </c>
      <c r="B2329" s="73" t="s">
        <v>1769</v>
      </c>
      <c r="C2329" s="68">
        <v>99</v>
      </c>
      <c r="D2329" s="73" t="s">
        <v>3970</v>
      </c>
      <c r="E2329" s="77">
        <v>2462.0340396143301</v>
      </c>
      <c r="F2329" s="77">
        <v>1646.7288024920781</v>
      </c>
      <c r="G2329" s="76">
        <v>10.180420257749645</v>
      </c>
    </row>
    <row r="2330" spans="1:7" x14ac:dyDescent="0.25">
      <c r="A2330" s="75">
        <v>8500907</v>
      </c>
      <c r="B2330" s="73" t="s">
        <v>1770</v>
      </c>
      <c r="C2330" s="68">
        <v>99</v>
      </c>
      <c r="D2330" s="73" t="s">
        <v>3971</v>
      </c>
      <c r="E2330" s="77">
        <v>496.94644222594314</v>
      </c>
      <c r="F2330" s="77">
        <v>337.14327976419838</v>
      </c>
      <c r="G2330" s="76">
        <v>2.0771714921489384</v>
      </c>
    </row>
    <row r="2331" spans="1:7" x14ac:dyDescent="0.25">
      <c r="A2331" s="75">
        <v>8500909</v>
      </c>
      <c r="B2331" s="73" t="s">
        <v>1771</v>
      </c>
      <c r="C2331" s="68">
        <v>99</v>
      </c>
      <c r="D2331" s="73" t="s">
        <v>3972</v>
      </c>
      <c r="E2331" s="77">
        <v>496.94644222594314</v>
      </c>
      <c r="F2331" s="77">
        <v>337.14327976419838</v>
      </c>
      <c r="G2331" s="76">
        <v>2.0771714921489384</v>
      </c>
    </row>
    <row r="2332" spans="1:7" x14ac:dyDescent="0.25">
      <c r="A2332" s="75">
        <v>8500910</v>
      </c>
      <c r="B2332" s="73" t="s">
        <v>1772</v>
      </c>
      <c r="C2332" s="68">
        <v>99</v>
      </c>
      <c r="D2332" s="73" t="s">
        <v>3973</v>
      </c>
      <c r="E2332" s="77">
        <v>593.2975113610064</v>
      </c>
      <c r="F2332" s="77">
        <v>327.20295781158154</v>
      </c>
      <c r="G2332" s="76">
        <v>1.4131656643801835</v>
      </c>
    </row>
    <row r="2333" spans="1:7" x14ac:dyDescent="0.25">
      <c r="A2333" s="75">
        <v>8500913</v>
      </c>
      <c r="B2333" s="73" t="s">
        <v>1773</v>
      </c>
      <c r="C2333" s="68">
        <v>99</v>
      </c>
      <c r="D2333" s="73" t="s">
        <v>3974</v>
      </c>
      <c r="E2333" s="77">
        <v>2152.3978650604008</v>
      </c>
      <c r="F2333" s="77">
        <v>1432.1494886773983</v>
      </c>
      <c r="G2333" s="76">
        <v>8.8946485302217937</v>
      </c>
    </row>
    <row r="2334" spans="1:7" x14ac:dyDescent="0.25">
      <c r="A2334" s="75">
        <v>8500914</v>
      </c>
      <c r="B2334" s="73" t="s">
        <v>1133</v>
      </c>
      <c r="C2334" s="68">
        <v>99</v>
      </c>
      <c r="D2334" s="73" t="s">
        <v>3975</v>
      </c>
      <c r="E2334" s="77">
        <v>851.33041107490703</v>
      </c>
      <c r="F2334" s="77">
        <v>560.30869303879865</v>
      </c>
      <c r="G2334" s="76">
        <v>2.278884179412223</v>
      </c>
    </row>
    <row r="2335" spans="1:7" x14ac:dyDescent="0.25">
      <c r="A2335" s="75">
        <v>8500915</v>
      </c>
      <c r="B2335" s="73" t="s">
        <v>1134</v>
      </c>
      <c r="C2335" s="68">
        <v>99</v>
      </c>
      <c r="D2335" s="73" t="s">
        <v>3967</v>
      </c>
      <c r="E2335" s="77">
        <v>558.09587127898146</v>
      </c>
      <c r="F2335" s="77">
        <v>281.43446308121474</v>
      </c>
      <c r="G2335" s="76">
        <v>1.5459962311034179</v>
      </c>
    </row>
    <row r="2336" spans="1:7" x14ac:dyDescent="0.25">
      <c r="A2336" s="75">
        <v>8500916</v>
      </c>
      <c r="B2336" s="73" t="s">
        <v>1135</v>
      </c>
      <c r="C2336" s="68">
        <v>99</v>
      </c>
      <c r="D2336" s="73" t="s">
        <v>3976</v>
      </c>
      <c r="E2336" s="77">
        <v>768.83041107490703</v>
      </c>
      <c r="F2336" s="77">
        <v>388.90869303879856</v>
      </c>
      <c r="G2336" s="76">
        <v>2.2788841794122225</v>
      </c>
    </row>
    <row r="2337" spans="1:7" x14ac:dyDescent="0.25">
      <c r="A2337" s="75">
        <v>8500917</v>
      </c>
      <c r="B2337" s="73" t="s">
        <v>1774</v>
      </c>
      <c r="C2337" s="68">
        <v>99</v>
      </c>
      <c r="D2337" s="73" t="s">
        <v>3977</v>
      </c>
      <c r="E2337" s="77">
        <v>475.02333587474624</v>
      </c>
      <c r="F2337" s="77">
        <v>268.93388961209752</v>
      </c>
      <c r="G2337" s="76">
        <v>1.1470979808450175</v>
      </c>
    </row>
    <row r="2338" spans="1:7" x14ac:dyDescent="0.25">
      <c r="A2338" s="75">
        <v>8500919</v>
      </c>
      <c r="B2338" s="73" t="s">
        <v>1775</v>
      </c>
      <c r="C2338" s="68">
        <v>99</v>
      </c>
      <c r="D2338" s="73" t="s">
        <v>2803</v>
      </c>
      <c r="E2338" s="77">
        <v>428.41425855527842</v>
      </c>
      <c r="F2338" s="77">
        <v>271.97834296423457</v>
      </c>
      <c r="G2338" s="76">
        <v>1.6800108290614741</v>
      </c>
    </row>
    <row r="2339" spans="1:7" x14ac:dyDescent="0.25">
      <c r="A2339" s="75">
        <v>8500921</v>
      </c>
      <c r="B2339" s="73" t="s">
        <v>3978</v>
      </c>
      <c r="C2339" s="68">
        <v>99</v>
      </c>
      <c r="D2339" s="73" t="s">
        <v>3968</v>
      </c>
      <c r="E2339" s="77">
        <v>1053.9990708952723</v>
      </c>
      <c r="F2339" s="77">
        <v>687.66511738600059</v>
      </c>
      <c r="G2339" s="76">
        <v>4.3405495502317741</v>
      </c>
    </row>
    <row r="2340" spans="1:7" x14ac:dyDescent="0.25">
      <c r="A2340" s="75">
        <v>8500922</v>
      </c>
      <c r="B2340" s="73" t="s">
        <v>3979</v>
      </c>
      <c r="C2340" s="68">
        <v>99</v>
      </c>
      <c r="D2340" s="73" t="s">
        <v>3971</v>
      </c>
      <c r="E2340" s="77">
        <v>496.94644222594314</v>
      </c>
      <c r="F2340" s="77">
        <v>337.14327976419838</v>
      </c>
      <c r="G2340" s="76">
        <v>2.0771714921489384</v>
      </c>
    </row>
    <row r="2341" spans="1:7" x14ac:dyDescent="0.25">
      <c r="A2341" s="75">
        <v>8500923</v>
      </c>
      <c r="B2341" s="73" t="s">
        <v>3980</v>
      </c>
      <c r="C2341" s="68">
        <v>99</v>
      </c>
      <c r="D2341" s="73" t="s">
        <v>3981</v>
      </c>
      <c r="E2341" s="77">
        <v>530.87424476050592</v>
      </c>
      <c r="F2341" s="77">
        <v>330.8395848986591</v>
      </c>
      <c r="G2341" s="76">
        <v>2.0520912477480806</v>
      </c>
    </row>
    <row r="2342" spans="1:7" x14ac:dyDescent="0.25">
      <c r="A2342" s="75">
        <v>8500924</v>
      </c>
      <c r="B2342" s="73" t="s">
        <v>3982</v>
      </c>
      <c r="C2342" s="68">
        <v>99</v>
      </c>
      <c r="D2342" s="73" t="s">
        <v>3983</v>
      </c>
      <c r="E2342" s="77">
        <v>619.83041107490703</v>
      </c>
      <c r="F2342" s="77">
        <v>330.76069303879859</v>
      </c>
      <c r="G2342" s="76">
        <v>1.8268175127455559</v>
      </c>
    </row>
    <row r="2343" spans="1:7" x14ac:dyDescent="0.25">
      <c r="A2343" s="75">
        <v>8500927</v>
      </c>
      <c r="B2343" s="73" t="s">
        <v>3984</v>
      </c>
      <c r="C2343" s="68">
        <v>99</v>
      </c>
      <c r="D2343" s="73" t="s">
        <v>3985</v>
      </c>
      <c r="E2343" s="77">
        <v>566.58203210224156</v>
      </c>
      <c r="F2343" s="77">
        <v>289.04588250854891</v>
      </c>
      <c r="G2343" s="76">
        <v>1.8347022270552387</v>
      </c>
    </row>
    <row r="2344" spans="1:7" x14ac:dyDescent="0.25">
      <c r="A2344" s="75">
        <v>8500928</v>
      </c>
      <c r="B2344" s="73" t="s">
        <v>3986</v>
      </c>
      <c r="C2344" s="68">
        <v>99</v>
      </c>
      <c r="D2344" s="73" t="s">
        <v>3987</v>
      </c>
      <c r="E2344" s="77">
        <v>504.06261557340076</v>
      </c>
      <c r="F2344" s="77">
        <v>352.8353437936135</v>
      </c>
      <c r="G2344" s="76">
        <v>1.855317471775797</v>
      </c>
    </row>
    <row r="2345" spans="1:7" x14ac:dyDescent="0.25">
      <c r="A2345" s="75">
        <v>8500930</v>
      </c>
      <c r="B2345" s="73" t="s">
        <v>3988</v>
      </c>
      <c r="C2345" s="68">
        <v>99</v>
      </c>
      <c r="D2345" s="73" t="s">
        <v>3989</v>
      </c>
      <c r="E2345" s="77">
        <v>545.57543769392214</v>
      </c>
      <c r="F2345" s="77">
        <v>261.44585396998076</v>
      </c>
      <c r="G2345" s="76">
        <v>1.6180238634010653</v>
      </c>
    </row>
    <row r="2346" spans="1:7" x14ac:dyDescent="0.25">
      <c r="A2346" s="75">
        <v>8500932</v>
      </c>
      <c r="B2346" s="73" t="s">
        <v>3990</v>
      </c>
      <c r="C2346" s="68">
        <v>99</v>
      </c>
      <c r="D2346" s="73" t="s">
        <v>3991</v>
      </c>
      <c r="E2346" s="77">
        <v>544.27504377819741</v>
      </c>
      <c r="F2346" s="77">
        <v>259.27676103993122</v>
      </c>
      <c r="G2346" s="76">
        <v>1.502744404687566</v>
      </c>
    </row>
    <row r="2347" spans="1:7" x14ac:dyDescent="0.25">
      <c r="A2347" s="75">
        <v>8500934</v>
      </c>
      <c r="B2347" s="73" t="s">
        <v>3992</v>
      </c>
      <c r="C2347" s="68">
        <v>99</v>
      </c>
      <c r="D2347" s="73" t="s">
        <v>3993</v>
      </c>
      <c r="E2347" s="77">
        <v>548.50541107490699</v>
      </c>
      <c r="F2347" s="77">
        <v>190.24069303879858</v>
      </c>
      <c r="G2347" s="76">
        <v>1.8268175127455561</v>
      </c>
    </row>
    <row r="2348" spans="1:7" x14ac:dyDescent="0.25">
      <c r="A2348" s="75">
        <v>8500935</v>
      </c>
      <c r="B2348" s="73" t="s">
        <v>3994</v>
      </c>
      <c r="C2348" s="68">
        <v>99</v>
      </c>
      <c r="D2348" s="73" t="s">
        <v>3995</v>
      </c>
      <c r="E2348" s="77">
        <v>465.37421710256348</v>
      </c>
      <c r="F2348" s="77">
        <v>241.77561506486774</v>
      </c>
      <c r="G2348" s="76">
        <v>1.4080874824688079</v>
      </c>
    </row>
    <row r="2349" spans="1:7" x14ac:dyDescent="0.25">
      <c r="A2349" s="75">
        <v>8500936</v>
      </c>
      <c r="B2349" s="73" t="s">
        <v>3996</v>
      </c>
      <c r="C2349" s="68">
        <v>99</v>
      </c>
      <c r="D2349" s="73" t="s">
        <v>3997</v>
      </c>
      <c r="E2349" s="77">
        <v>448.10765298187971</v>
      </c>
      <c r="F2349" s="77">
        <v>196.11977257919506</v>
      </c>
      <c r="G2349" s="76">
        <v>1.1365698976423506</v>
      </c>
    </row>
    <row r="2350" spans="1:7" x14ac:dyDescent="0.25">
      <c r="A2350" s="75">
        <v>8500937</v>
      </c>
      <c r="B2350" s="73" t="s">
        <v>3998</v>
      </c>
      <c r="C2350" s="68">
        <v>99</v>
      </c>
      <c r="D2350" s="73" t="s">
        <v>3999</v>
      </c>
      <c r="E2350" s="77">
        <v>364.028166882986</v>
      </c>
      <c r="F2350" s="77">
        <v>138.86440809308118</v>
      </c>
      <c r="G2350" s="76">
        <v>0.58403361289751266</v>
      </c>
    </row>
    <row r="2351" spans="1:7" x14ac:dyDescent="0.25">
      <c r="A2351" s="75">
        <v>8500938</v>
      </c>
      <c r="B2351" s="73" t="s">
        <v>4000</v>
      </c>
      <c r="C2351" s="68">
        <v>99</v>
      </c>
      <c r="D2351" s="73" t="s">
        <v>4001</v>
      </c>
      <c r="E2351" s="77">
        <v>364.95322210597072</v>
      </c>
      <c r="F2351" s="77">
        <v>846.27963725411723</v>
      </c>
      <c r="G2351" s="76">
        <v>1.5847186443600265</v>
      </c>
    </row>
    <row r="2352" spans="1:7" x14ac:dyDescent="0.25">
      <c r="A2352" s="75">
        <v>8501004</v>
      </c>
      <c r="B2352" s="73" t="s">
        <v>1776</v>
      </c>
      <c r="C2352" s="68">
        <v>99</v>
      </c>
      <c r="D2352" s="73" t="s">
        <v>4002</v>
      </c>
      <c r="E2352" s="77">
        <v>380.1212462033659</v>
      </c>
      <c r="F2352" s="77">
        <v>445.43242214641975</v>
      </c>
      <c r="G2352" s="76">
        <v>2.6380750808715816</v>
      </c>
    </row>
    <row r="2353" spans="1:7" x14ac:dyDescent="0.25">
      <c r="A2353" s="75">
        <v>8501104</v>
      </c>
      <c r="B2353" s="73" t="s">
        <v>1777</v>
      </c>
      <c r="C2353" s="68">
        <v>99</v>
      </c>
      <c r="D2353" s="73" t="s">
        <v>3242</v>
      </c>
      <c r="E2353" s="77">
        <v>4652.3562918856005</v>
      </c>
      <c r="F2353" s="77">
        <v>3012.3543369618828</v>
      </c>
      <c r="G2353" s="76">
        <v>18.411003169811053</v>
      </c>
    </row>
    <row r="2354" spans="1:7" x14ac:dyDescent="0.25">
      <c r="A2354" s="75">
        <v>8501202</v>
      </c>
      <c r="B2354" s="73" t="s">
        <v>1778</v>
      </c>
      <c r="C2354" s="68">
        <v>99</v>
      </c>
      <c r="D2354" s="73" t="s">
        <v>4003</v>
      </c>
      <c r="E2354" s="77">
        <v>59.57373333333333</v>
      </c>
      <c r="F2354" s="77">
        <v>133.44351442843623</v>
      </c>
      <c r="G2354" s="76">
        <v>0.48663327252795546</v>
      </c>
    </row>
    <row r="2355" spans="1:7" x14ac:dyDescent="0.25">
      <c r="A2355" s="75">
        <v>8501302</v>
      </c>
      <c r="B2355" s="73" t="s">
        <v>1136</v>
      </c>
      <c r="C2355" s="68">
        <v>99</v>
      </c>
      <c r="D2355" s="73" t="s">
        <v>4004</v>
      </c>
      <c r="E2355" s="77">
        <v>3.2731676566765664</v>
      </c>
      <c r="F2355" s="77">
        <v>3.6782600098732328</v>
      </c>
      <c r="G2355" s="76">
        <v>1.5600156001560016E-2</v>
      </c>
    </row>
    <row r="2356" spans="1:7" x14ac:dyDescent="0.25">
      <c r="A2356" s="75">
        <v>8501303</v>
      </c>
      <c r="B2356" s="73" t="s">
        <v>1780</v>
      </c>
      <c r="C2356" s="68">
        <v>99</v>
      </c>
      <c r="D2356" s="73" t="s">
        <v>4005</v>
      </c>
      <c r="E2356" s="77">
        <v>69.67095887387562</v>
      </c>
      <c r="F2356" s="77">
        <v>69.172463338269964</v>
      </c>
      <c r="G2356" s="76">
        <v>0.43112730632800839</v>
      </c>
    </row>
    <row r="2357" spans="1:7" x14ac:dyDescent="0.25">
      <c r="A2357" s="75">
        <v>8501304</v>
      </c>
      <c r="B2357" s="73" t="s">
        <v>1779</v>
      </c>
      <c r="C2357" s="68">
        <v>99</v>
      </c>
      <c r="D2357" s="73" t="s">
        <v>4006</v>
      </c>
      <c r="E2357" s="77">
        <v>3.2731676566765664</v>
      </c>
      <c r="F2357" s="77">
        <v>3.6782600098732328</v>
      </c>
      <c r="G2357" s="76">
        <v>1.5600156001560016E-2</v>
      </c>
    </row>
    <row r="2358" spans="1:7" x14ac:dyDescent="0.25">
      <c r="A2358" s="75">
        <v>8501305</v>
      </c>
      <c r="B2358" s="73" t="s">
        <v>1781</v>
      </c>
      <c r="C2358" s="68">
        <v>99</v>
      </c>
      <c r="D2358" s="73" t="s">
        <v>4007</v>
      </c>
      <c r="E2358" s="77">
        <v>94.023401151755934</v>
      </c>
      <c r="F2358" s="77">
        <v>103.44815619095444</v>
      </c>
      <c r="G2358" s="76">
        <v>0.64349269172493295</v>
      </c>
    </row>
    <row r="2359" spans="1:7" x14ac:dyDescent="0.25">
      <c r="A2359" s="75">
        <v>8501306</v>
      </c>
      <c r="B2359" s="73" t="s">
        <v>4008</v>
      </c>
      <c r="C2359" s="68">
        <v>99</v>
      </c>
      <c r="D2359" s="73" t="s">
        <v>4009</v>
      </c>
      <c r="E2359" s="77">
        <v>94.02340115175592</v>
      </c>
      <c r="F2359" s="77">
        <v>103.44815619095444</v>
      </c>
      <c r="G2359" s="76">
        <v>0.64349269172493295</v>
      </c>
    </row>
    <row r="2360" spans="1:7" x14ac:dyDescent="0.25">
      <c r="A2360" s="75">
        <v>8501307</v>
      </c>
      <c r="B2360" s="73" t="s">
        <v>4010</v>
      </c>
      <c r="C2360" s="68">
        <v>99</v>
      </c>
      <c r="D2360" s="73" t="s">
        <v>4011</v>
      </c>
      <c r="E2360" s="77">
        <v>95.289418684188462</v>
      </c>
      <c r="F2360" s="77">
        <v>103.49224725899631</v>
      </c>
      <c r="G2360" s="76">
        <v>0.646682164898572</v>
      </c>
    </row>
    <row r="2361" spans="1:7" x14ac:dyDescent="0.25">
      <c r="A2361" s="75">
        <v>8501308</v>
      </c>
      <c r="B2361" s="73" t="s">
        <v>4012</v>
      </c>
      <c r="C2361" s="68">
        <v>99</v>
      </c>
      <c r="D2361" s="73" t="s">
        <v>4013</v>
      </c>
      <c r="E2361" s="77">
        <v>3.2731676566765664</v>
      </c>
      <c r="F2361" s="77">
        <v>3.6782600098732328</v>
      </c>
      <c r="G2361" s="76">
        <v>1.5600156001560016E-2</v>
      </c>
    </row>
    <row r="2362" spans="1:7" x14ac:dyDescent="0.25">
      <c r="A2362" s="75">
        <v>8501309</v>
      </c>
      <c r="B2362" s="73" t="s">
        <v>4014</v>
      </c>
      <c r="C2362" s="68">
        <v>99</v>
      </c>
      <c r="D2362" s="73" t="s">
        <v>4015</v>
      </c>
      <c r="E2362" s="77">
        <v>43.092926020860205</v>
      </c>
      <c r="F2362" s="77">
        <v>548.39011465471742</v>
      </c>
      <c r="G2362" s="76">
        <v>2.7325102385267748</v>
      </c>
    </row>
    <row r="2363" spans="1:7" x14ac:dyDescent="0.25">
      <c r="A2363" s="75">
        <v>8501310</v>
      </c>
      <c r="B2363" s="73" t="s">
        <v>4016</v>
      </c>
      <c r="C2363" s="68">
        <v>99</v>
      </c>
      <c r="D2363" s="73" t="s">
        <v>4017</v>
      </c>
      <c r="E2363" s="77">
        <v>3.2731676566765664</v>
      </c>
      <c r="F2363" s="77">
        <v>3.6782600098732328</v>
      </c>
      <c r="G2363" s="76">
        <v>1.5600156001560016E-2</v>
      </c>
    </row>
    <row r="2364" spans="1:7" x14ac:dyDescent="0.25">
      <c r="A2364" s="75">
        <v>8501311</v>
      </c>
      <c r="B2364" s="73" t="s">
        <v>4018</v>
      </c>
      <c r="C2364" s="68">
        <v>99</v>
      </c>
      <c r="D2364" s="73" t="s">
        <v>4017</v>
      </c>
      <c r="E2364" s="77">
        <v>3.2731676566765664</v>
      </c>
      <c r="F2364" s="77">
        <v>3.6782600098732328</v>
      </c>
      <c r="G2364" s="76">
        <v>1.5600156001560016E-2</v>
      </c>
    </row>
    <row r="2365" spans="1:7" x14ac:dyDescent="0.25">
      <c r="A2365" s="75">
        <v>8501402</v>
      </c>
      <c r="B2365" s="73" t="s">
        <v>1782</v>
      </c>
      <c r="C2365" s="68">
        <v>99</v>
      </c>
      <c r="D2365" s="73" t="s">
        <v>4019</v>
      </c>
      <c r="E2365" s="77">
        <v>68.352182651559517</v>
      </c>
      <c r="F2365" s="77">
        <v>124.88525549143549</v>
      </c>
      <c r="G2365" s="76">
        <v>0.32342748113788966</v>
      </c>
    </row>
    <row r="2366" spans="1:7" x14ac:dyDescent="0.25">
      <c r="A2366" s="75">
        <v>8501502</v>
      </c>
      <c r="B2366" s="73" t="s">
        <v>1783</v>
      </c>
      <c r="C2366" s="68">
        <v>99</v>
      </c>
      <c r="D2366" s="73" t="s">
        <v>2726</v>
      </c>
      <c r="E2366" s="77">
        <v>69.847158585343777</v>
      </c>
      <c r="F2366" s="77">
        <v>123.5861035409105</v>
      </c>
      <c r="G2366" s="76">
        <v>0.7430614829521538</v>
      </c>
    </row>
    <row r="2367" spans="1:7" x14ac:dyDescent="0.25">
      <c r="A2367" s="75">
        <v>8501503</v>
      </c>
      <c r="B2367" s="73" t="s">
        <v>1138</v>
      </c>
      <c r="C2367" s="68">
        <v>99</v>
      </c>
      <c r="D2367" s="73" t="s">
        <v>3606</v>
      </c>
      <c r="E2367" s="77">
        <v>390</v>
      </c>
      <c r="F2367" s="77">
        <v>177.2</v>
      </c>
      <c r="G2367" s="76">
        <v>1.0334717607973423</v>
      </c>
    </row>
    <row r="2368" spans="1:7" x14ac:dyDescent="0.25">
      <c r="A2368" s="75">
        <v>8501902</v>
      </c>
      <c r="B2368" s="73" t="s">
        <v>1784</v>
      </c>
      <c r="C2368" s="68">
        <v>99</v>
      </c>
      <c r="D2368" s="73" t="s">
        <v>4020</v>
      </c>
      <c r="E2368" s="77">
        <v>88.649858721020792</v>
      </c>
      <c r="F2368" s="77">
        <v>120.15572168331136</v>
      </c>
      <c r="G2368" s="76">
        <v>0.69960490609952863</v>
      </c>
    </row>
    <row r="2369" spans="1:7" x14ac:dyDescent="0.25">
      <c r="A2369" s="75">
        <v>8501903</v>
      </c>
      <c r="B2369" s="73" t="s">
        <v>1785</v>
      </c>
      <c r="C2369" s="68">
        <v>99</v>
      </c>
      <c r="D2369" s="73" t="s">
        <v>4020</v>
      </c>
      <c r="E2369" s="77">
        <v>88.649858721020806</v>
      </c>
      <c r="F2369" s="77">
        <v>120.15572168331137</v>
      </c>
      <c r="G2369" s="76">
        <v>0.69960490609952852</v>
      </c>
    </row>
    <row r="2370" spans="1:7" x14ac:dyDescent="0.25">
      <c r="A2370" s="75">
        <v>8501904</v>
      </c>
      <c r="B2370" s="73" t="s">
        <v>1929</v>
      </c>
      <c r="C2370" s="68">
        <v>99</v>
      </c>
      <c r="D2370" s="73" t="s">
        <v>4021</v>
      </c>
      <c r="E2370" s="77">
        <v>320</v>
      </c>
      <c r="F2370" s="77">
        <v>187.01099089032613</v>
      </c>
      <c r="G2370" s="76">
        <v>0.5</v>
      </c>
    </row>
    <row r="2371" spans="1:7" x14ac:dyDescent="0.25">
      <c r="A2371" s="75">
        <v>8501906</v>
      </c>
      <c r="B2371" s="73" t="s">
        <v>4022</v>
      </c>
      <c r="C2371" s="68">
        <v>99</v>
      </c>
      <c r="D2371" s="73" t="s">
        <v>4021</v>
      </c>
      <c r="E2371" s="77">
        <v>320</v>
      </c>
      <c r="F2371" s="77">
        <v>187.01099089032613</v>
      </c>
      <c r="G2371" s="76">
        <v>0.5</v>
      </c>
    </row>
    <row r="2372" spans="1:7" x14ac:dyDescent="0.25">
      <c r="A2372" s="75">
        <v>8502101</v>
      </c>
      <c r="B2372" s="73" t="s">
        <v>4023</v>
      </c>
      <c r="C2372" s="68">
        <v>99</v>
      </c>
      <c r="D2372" s="73" t="s">
        <v>4024</v>
      </c>
      <c r="E2372" s="77">
        <v>59.4</v>
      </c>
      <c r="F2372" s="77">
        <v>185.43502757816717</v>
      </c>
      <c r="G2372" s="76">
        <v>0.85</v>
      </c>
    </row>
    <row r="2373" spans="1:7" x14ac:dyDescent="0.25">
      <c r="A2373" s="75">
        <v>8502201</v>
      </c>
      <c r="B2373" s="73" t="s">
        <v>1930</v>
      </c>
      <c r="C2373" s="68">
        <v>99</v>
      </c>
      <c r="D2373" s="73" t="s">
        <v>4024</v>
      </c>
      <c r="E2373" s="77">
        <v>59.4</v>
      </c>
      <c r="F2373" s="77">
        <v>185.43502757816717</v>
      </c>
      <c r="G2373" s="76">
        <v>0.85</v>
      </c>
    </row>
    <row r="2374" spans="1:7" x14ac:dyDescent="0.25">
      <c r="A2374" s="75">
        <v>8502202</v>
      </c>
      <c r="B2374" s="73" t="s">
        <v>4025</v>
      </c>
      <c r="C2374" s="68">
        <v>99</v>
      </c>
      <c r="D2374" s="73" t="s">
        <v>4026</v>
      </c>
      <c r="E2374" s="77">
        <v>831.19743932572828</v>
      </c>
      <c r="F2374" s="77">
        <v>815.73206142611548</v>
      </c>
      <c r="G2374" s="76">
        <v>2.8983069968246862</v>
      </c>
    </row>
    <row r="2375" spans="1:7" x14ac:dyDescent="0.25">
      <c r="A2375" s="75">
        <v>8502204</v>
      </c>
      <c r="B2375" s="73" t="s">
        <v>4027</v>
      </c>
      <c r="C2375" s="68">
        <v>99</v>
      </c>
      <c r="D2375" s="73" t="s">
        <v>4028</v>
      </c>
      <c r="E2375" s="77">
        <v>173.60524774372701</v>
      </c>
      <c r="F2375" s="77">
        <v>277.13552135234386</v>
      </c>
      <c r="G2375" s="76">
        <v>1.5057498839894594</v>
      </c>
    </row>
    <row r="2376" spans="1:7" x14ac:dyDescent="0.25">
      <c r="A2376" s="75">
        <v>8502206</v>
      </c>
      <c r="B2376" s="73" t="s">
        <v>4029</v>
      </c>
      <c r="C2376" s="68">
        <v>99</v>
      </c>
      <c r="D2376" s="73" t="s">
        <v>4030</v>
      </c>
      <c r="E2376" s="77">
        <v>74.315801732719663</v>
      </c>
      <c r="F2376" s="77">
        <v>163.15999845458504</v>
      </c>
      <c r="G2376" s="76">
        <v>0.7767538534225964</v>
      </c>
    </row>
    <row r="2377" spans="1:7" x14ac:dyDescent="0.25">
      <c r="A2377" s="75">
        <v>8502301</v>
      </c>
      <c r="B2377" s="73" t="s">
        <v>4031</v>
      </c>
      <c r="C2377" s="68">
        <v>99</v>
      </c>
      <c r="D2377" s="73" t="s">
        <v>2772</v>
      </c>
      <c r="E2377" s="77">
        <v>126.42027262111424</v>
      </c>
      <c r="F2377" s="77">
        <v>133.19777160864584</v>
      </c>
      <c r="G2377" s="76">
        <v>0.78347906967598724</v>
      </c>
    </row>
    <row r="2378" spans="1:7" x14ac:dyDescent="0.25">
      <c r="A2378" s="75">
        <v>8502401</v>
      </c>
      <c r="B2378" s="73" t="s">
        <v>1786</v>
      </c>
      <c r="C2378" s="68">
        <v>99</v>
      </c>
      <c r="D2378" s="73" t="s">
        <v>4032</v>
      </c>
      <c r="E2378" s="77">
        <v>1242.4890779727573</v>
      </c>
      <c r="F2378" s="77">
        <v>262.06889678359823</v>
      </c>
      <c r="G2378" s="76">
        <v>16.929802049748503</v>
      </c>
    </row>
    <row r="2379" spans="1:7" x14ac:dyDescent="0.25">
      <c r="A2379" s="75">
        <v>8502501</v>
      </c>
      <c r="B2379" s="73" t="s">
        <v>1787</v>
      </c>
      <c r="C2379" s="68">
        <v>99</v>
      </c>
      <c r="D2379" s="73" t="s">
        <v>3125</v>
      </c>
      <c r="E2379" s="77">
        <v>359.46736999530901</v>
      </c>
      <c r="F2379" s="77">
        <v>254.47151074082288</v>
      </c>
      <c r="G2379" s="76">
        <v>2.0929253042248859</v>
      </c>
    </row>
    <row r="2380" spans="1:7" x14ac:dyDescent="0.25">
      <c r="A2380" s="75">
        <v>8502701</v>
      </c>
      <c r="B2380" s="73" t="s">
        <v>1788</v>
      </c>
      <c r="C2380" s="68">
        <v>99</v>
      </c>
      <c r="D2380" s="73" t="s">
        <v>4033</v>
      </c>
      <c r="E2380" s="77">
        <v>202.84334693595758</v>
      </c>
      <c r="F2380" s="77">
        <v>127.05808592927757</v>
      </c>
      <c r="G2380" s="76">
        <v>1.4396613262522793</v>
      </c>
    </row>
    <row r="2381" spans="1:7" x14ac:dyDescent="0.25">
      <c r="A2381" s="75">
        <v>8502801</v>
      </c>
      <c r="B2381" s="73" t="s">
        <v>1789</v>
      </c>
      <c r="C2381" s="68">
        <v>99</v>
      </c>
      <c r="D2381" s="73" t="s">
        <v>4034</v>
      </c>
      <c r="E2381" s="77">
        <v>1242.8767649224314</v>
      </c>
      <c r="F2381" s="77">
        <v>258.47068851363048</v>
      </c>
      <c r="G2381" s="76">
        <v>17.848094527866746</v>
      </c>
    </row>
    <row r="2382" spans="1:7" x14ac:dyDescent="0.25">
      <c r="A2382" s="75">
        <v>8502901</v>
      </c>
      <c r="B2382" s="73" t="s">
        <v>1790</v>
      </c>
      <c r="C2382" s="68">
        <v>99</v>
      </c>
      <c r="D2382" s="73" t="s">
        <v>4024</v>
      </c>
      <c r="E2382" s="77">
        <v>59.4</v>
      </c>
      <c r="F2382" s="77">
        <v>185.43502757816717</v>
      </c>
      <c r="G2382" s="76">
        <v>0.85</v>
      </c>
    </row>
    <row r="2383" spans="1:7" x14ac:dyDescent="0.25">
      <c r="A2383" s="75">
        <v>8503202</v>
      </c>
      <c r="B2383" s="73" t="s">
        <v>1139</v>
      </c>
      <c r="C2383" s="68">
        <v>99</v>
      </c>
      <c r="D2383" s="73" t="s">
        <v>4035</v>
      </c>
      <c r="E2383" s="77">
        <v>277.68068087530168</v>
      </c>
      <c r="F2383" s="77">
        <v>142.42543229770351</v>
      </c>
      <c r="G2383" s="76">
        <v>0.80480854728317497</v>
      </c>
    </row>
    <row r="2384" spans="1:7" x14ac:dyDescent="0.25">
      <c r="A2384" s="75">
        <v>8503203</v>
      </c>
      <c r="B2384" s="73" t="s">
        <v>1791</v>
      </c>
      <c r="C2384" s="68">
        <v>99</v>
      </c>
      <c r="D2384" s="73" t="s">
        <v>4036</v>
      </c>
      <c r="E2384" s="77">
        <v>35.594998300314806</v>
      </c>
      <c r="F2384" s="77">
        <v>82.718649828835339</v>
      </c>
      <c r="G2384" s="76">
        <v>0.15741515767278641</v>
      </c>
    </row>
    <row r="2385" spans="1:7" x14ac:dyDescent="0.25">
      <c r="A2385" s="75">
        <v>8503204</v>
      </c>
      <c r="B2385" s="73" t="s">
        <v>1792</v>
      </c>
      <c r="C2385" s="68">
        <v>99</v>
      </c>
      <c r="D2385" s="73" t="s">
        <v>4037</v>
      </c>
      <c r="E2385" s="77">
        <v>377.89723007170016</v>
      </c>
      <c r="F2385" s="77">
        <v>55.929721412674645</v>
      </c>
      <c r="G2385" s="76">
        <v>2.3389032029258496</v>
      </c>
    </row>
    <row r="2386" spans="1:7" x14ac:dyDescent="0.25">
      <c r="A2386" s="75">
        <v>8503208</v>
      </c>
      <c r="B2386" s="73" t="s">
        <v>4038</v>
      </c>
      <c r="C2386" s="68">
        <v>99</v>
      </c>
      <c r="D2386" s="73" t="s">
        <v>3284</v>
      </c>
      <c r="E2386" s="77">
        <v>309.15695473458118</v>
      </c>
      <c r="F2386" s="77">
        <v>86.962071705854797</v>
      </c>
      <c r="G2386" s="76">
        <v>2.1704200860386043</v>
      </c>
    </row>
    <row r="2387" spans="1:7" x14ac:dyDescent="0.25">
      <c r="A2387" s="75">
        <v>8503501</v>
      </c>
      <c r="B2387" s="73" t="s">
        <v>1793</v>
      </c>
      <c r="C2387" s="68">
        <v>99</v>
      </c>
      <c r="D2387" s="73" t="s">
        <v>4039</v>
      </c>
      <c r="E2387" s="77">
        <v>170.50811181942041</v>
      </c>
      <c r="F2387" s="77">
        <v>114.1183600155875</v>
      </c>
      <c r="G2387" s="76">
        <v>0.43380301206699895</v>
      </c>
    </row>
    <row r="2388" spans="1:7" x14ac:dyDescent="0.25">
      <c r="A2388" s="75">
        <v>8503502</v>
      </c>
      <c r="B2388" s="73" t="s">
        <v>4040</v>
      </c>
      <c r="C2388" s="68">
        <v>99</v>
      </c>
      <c r="D2388" s="73" t="s">
        <v>4041</v>
      </c>
      <c r="E2388" s="77">
        <v>870.93283296670495</v>
      </c>
      <c r="F2388" s="77">
        <v>732.98609188221246</v>
      </c>
      <c r="G2388" s="76">
        <v>1.9695139347331199</v>
      </c>
    </row>
    <row r="2389" spans="1:7" x14ac:dyDescent="0.25">
      <c r="A2389" s="75">
        <v>8503801</v>
      </c>
      <c r="B2389" s="73" t="s">
        <v>1794</v>
      </c>
      <c r="C2389" s="68">
        <v>99</v>
      </c>
      <c r="D2389" s="73" t="s">
        <v>4042</v>
      </c>
      <c r="E2389" s="77">
        <v>1703.7569770886557</v>
      </c>
      <c r="F2389" s="77">
        <v>1434.0785525820352</v>
      </c>
      <c r="G2389" s="76">
        <v>7.1616204368789091</v>
      </c>
    </row>
    <row r="2390" spans="1:7" x14ac:dyDescent="0.25">
      <c r="A2390" s="75">
        <v>8503802</v>
      </c>
      <c r="B2390" s="73" t="s">
        <v>4043</v>
      </c>
      <c r="C2390" s="68">
        <v>99</v>
      </c>
      <c r="D2390" s="73" t="s">
        <v>4042</v>
      </c>
      <c r="E2390" s="77">
        <v>1703.756977088656</v>
      </c>
      <c r="F2390" s="77">
        <v>1434.0785525820349</v>
      </c>
      <c r="G2390" s="76">
        <v>7.1616204368789091</v>
      </c>
    </row>
    <row r="2391" spans="1:7" x14ac:dyDescent="0.25">
      <c r="A2391" s="75">
        <v>8504201</v>
      </c>
      <c r="B2391" s="73" t="s">
        <v>1795</v>
      </c>
      <c r="C2391" s="68">
        <v>99</v>
      </c>
      <c r="D2391" s="73" t="s">
        <v>7</v>
      </c>
      <c r="E2391" s="77">
        <v>259.66131912712387</v>
      </c>
      <c r="F2391" s="77">
        <v>117.05733004444843</v>
      </c>
      <c r="G2391" s="76">
        <v>5.618260132544286</v>
      </c>
    </row>
    <row r="2392" spans="1:7" x14ac:dyDescent="0.25">
      <c r="A2392" s="75">
        <v>8504401</v>
      </c>
      <c r="B2392" s="73" t="s">
        <v>1796</v>
      </c>
      <c r="C2392" s="68">
        <v>99</v>
      </c>
      <c r="D2392" s="73" t="s">
        <v>4044</v>
      </c>
      <c r="E2392" s="77">
        <v>73.755328123330514</v>
      </c>
      <c r="F2392" s="77">
        <v>65.447031525183533</v>
      </c>
      <c r="G2392" s="76">
        <v>0.55226618462532306</v>
      </c>
    </row>
    <row r="2393" spans="1:7" x14ac:dyDescent="0.25">
      <c r="A2393" s="75">
        <v>8504501</v>
      </c>
      <c r="B2393" s="73" t="s">
        <v>1140</v>
      </c>
      <c r="C2393" s="68">
        <v>99</v>
      </c>
      <c r="D2393" s="73" t="s">
        <v>4045</v>
      </c>
      <c r="E2393" s="77">
        <v>1408.5595608040078</v>
      </c>
      <c r="F2393" s="77">
        <v>883.63147808786277</v>
      </c>
      <c r="G2393" s="76">
        <v>5.2997992779209175</v>
      </c>
    </row>
    <row r="2394" spans="1:7" x14ac:dyDescent="0.25">
      <c r="A2394" s="75">
        <v>8504503</v>
      </c>
      <c r="B2394" s="73" t="s">
        <v>4046</v>
      </c>
      <c r="C2394" s="68">
        <v>99</v>
      </c>
      <c r="D2394" s="73" t="s">
        <v>4047</v>
      </c>
      <c r="E2394" s="77">
        <v>102.34900652798892</v>
      </c>
      <c r="F2394" s="77">
        <v>61.825918143762308</v>
      </c>
      <c r="G2394" s="76">
        <v>0.14571113771566957</v>
      </c>
    </row>
    <row r="2395" spans="1:7" x14ac:dyDescent="0.25">
      <c r="A2395" s="75">
        <v>8504504</v>
      </c>
      <c r="B2395" s="73" t="s">
        <v>4048</v>
      </c>
      <c r="C2395" s="68">
        <v>99</v>
      </c>
      <c r="D2395" s="73" t="s">
        <v>4049</v>
      </c>
      <c r="E2395" s="77">
        <v>1988.4627809847675</v>
      </c>
      <c r="F2395" s="77">
        <v>14.804486616164791</v>
      </c>
      <c r="G2395" s="76">
        <v>26.767264887080117</v>
      </c>
    </row>
    <row r="2396" spans="1:7" x14ac:dyDescent="0.25">
      <c r="A2396" s="75">
        <v>8504506</v>
      </c>
      <c r="B2396" s="73" t="s">
        <v>4050</v>
      </c>
      <c r="C2396" s="68">
        <v>99</v>
      </c>
      <c r="D2396" s="73" t="s">
        <v>4051</v>
      </c>
      <c r="E2396" s="77">
        <v>159.69650187431793</v>
      </c>
      <c r="F2396" s="77">
        <v>133.22926424713401</v>
      </c>
      <c r="G2396" s="76">
        <v>0.39194714164250216</v>
      </c>
    </row>
    <row r="2397" spans="1:7" x14ac:dyDescent="0.25">
      <c r="A2397" s="75">
        <v>8504507</v>
      </c>
      <c r="B2397" s="73" t="s">
        <v>4052</v>
      </c>
      <c r="C2397" s="68">
        <v>99</v>
      </c>
      <c r="D2397" s="73" t="s">
        <v>4053</v>
      </c>
      <c r="E2397" s="77">
        <v>167.39715747042996</v>
      </c>
      <c r="F2397" s="77">
        <v>125.53931678765116</v>
      </c>
      <c r="G2397" s="76">
        <v>0.42908901753175033</v>
      </c>
    </row>
    <row r="2398" spans="1:7" x14ac:dyDescent="0.25">
      <c r="A2398" s="75">
        <v>8504509</v>
      </c>
      <c r="B2398" s="73" t="s">
        <v>4054</v>
      </c>
      <c r="C2398" s="68">
        <v>99</v>
      </c>
      <c r="D2398" s="73" t="s">
        <v>4055</v>
      </c>
      <c r="E2398" s="77">
        <v>282.01947756216595</v>
      </c>
      <c r="F2398" s="77">
        <v>220.72320509553663</v>
      </c>
      <c r="G2398" s="76">
        <v>1.149673135730654</v>
      </c>
    </row>
    <row r="2399" spans="1:7" x14ac:dyDescent="0.25">
      <c r="A2399" s="75">
        <v>8504510</v>
      </c>
      <c r="B2399" s="73" t="s">
        <v>4056</v>
      </c>
      <c r="C2399" s="68">
        <v>99</v>
      </c>
      <c r="D2399" s="73" t="s">
        <v>4057</v>
      </c>
      <c r="E2399" s="77">
        <v>108.76464384394679</v>
      </c>
      <c r="F2399" s="77">
        <v>76.01502804261213</v>
      </c>
      <c r="G2399" s="76">
        <v>0.34387872216573512</v>
      </c>
    </row>
    <row r="2400" spans="1:7" x14ac:dyDescent="0.25">
      <c r="A2400" s="75">
        <v>8504511</v>
      </c>
      <c r="B2400" s="73" t="s">
        <v>4058</v>
      </c>
      <c r="C2400" s="68">
        <v>99</v>
      </c>
      <c r="D2400" s="73" t="s">
        <v>4059</v>
      </c>
      <c r="E2400" s="77">
        <v>112.53270497364939</v>
      </c>
      <c r="F2400" s="77">
        <v>81.579754525570209</v>
      </c>
      <c r="G2400" s="76">
        <v>0.31024846540798645</v>
      </c>
    </row>
    <row r="2401" spans="1:7" x14ac:dyDescent="0.25">
      <c r="A2401" s="75">
        <v>8504513</v>
      </c>
      <c r="B2401" s="73" t="s">
        <v>4060</v>
      </c>
      <c r="C2401" s="68">
        <v>99</v>
      </c>
      <c r="D2401" s="73" t="s">
        <v>4061</v>
      </c>
      <c r="E2401" s="77">
        <v>135.79348807522467</v>
      </c>
      <c r="F2401" s="77">
        <v>70.230145240521736</v>
      </c>
      <c r="G2401" s="76">
        <v>0.18941837055353675</v>
      </c>
    </row>
    <row r="2402" spans="1:7" x14ac:dyDescent="0.25">
      <c r="A2402" s="75">
        <v>8504515</v>
      </c>
      <c r="B2402" s="73" t="s">
        <v>4062</v>
      </c>
      <c r="C2402" s="68">
        <v>99</v>
      </c>
      <c r="D2402" s="73" t="s">
        <v>4063</v>
      </c>
      <c r="E2402" s="77">
        <v>1181.2341383274563</v>
      </c>
      <c r="F2402" s="77">
        <v>723.64184155840564</v>
      </c>
      <c r="G2402" s="76">
        <v>4.2604928396828843</v>
      </c>
    </row>
    <row r="2403" spans="1:7" ht="30" x14ac:dyDescent="0.25">
      <c r="A2403" s="75">
        <v>8504517</v>
      </c>
      <c r="B2403" s="73" t="s">
        <v>4064</v>
      </c>
      <c r="C2403" s="68">
        <v>99</v>
      </c>
      <c r="D2403" s="73" t="s">
        <v>4065</v>
      </c>
      <c r="E2403" s="77">
        <v>96.448007625448057</v>
      </c>
      <c r="F2403" s="77">
        <v>51.261668676555637</v>
      </c>
      <c r="G2403" s="76">
        <v>0.45172709334711503</v>
      </c>
    </row>
    <row r="2404" spans="1:7" x14ac:dyDescent="0.25">
      <c r="A2404" s="75">
        <v>8504519</v>
      </c>
      <c r="B2404" s="73" t="s">
        <v>4066</v>
      </c>
      <c r="C2404" s="68">
        <v>99</v>
      </c>
      <c r="D2404" s="73" t="s">
        <v>4067</v>
      </c>
      <c r="E2404" s="77">
        <v>1155.7573740810724</v>
      </c>
      <c r="F2404" s="77">
        <v>728.83519023609745</v>
      </c>
      <c r="G2404" s="76">
        <v>4.3258545126988865</v>
      </c>
    </row>
    <row r="2405" spans="1:7" x14ac:dyDescent="0.25">
      <c r="A2405" s="75">
        <v>8504521</v>
      </c>
      <c r="B2405" s="73" t="s">
        <v>4068</v>
      </c>
      <c r="C2405" s="68">
        <v>99</v>
      </c>
      <c r="D2405" s="73" t="s">
        <v>4069</v>
      </c>
      <c r="E2405" s="77">
        <v>165.06365135894794</v>
      </c>
      <c r="F2405" s="77">
        <v>66.103617288632421</v>
      </c>
      <c r="G2405" s="76">
        <v>0.52998242111763394</v>
      </c>
    </row>
    <row r="2406" spans="1:7" x14ac:dyDescent="0.25">
      <c r="A2406" s="75">
        <v>8504522</v>
      </c>
      <c r="B2406" s="73" t="s">
        <v>4070</v>
      </c>
      <c r="C2406" s="68">
        <v>99</v>
      </c>
      <c r="D2406" s="73" t="s">
        <v>4071</v>
      </c>
      <c r="E2406" s="77">
        <v>130.75624527600263</v>
      </c>
      <c r="F2406" s="77">
        <v>64.201882786375819</v>
      </c>
      <c r="G2406" s="76">
        <v>0.80505112765508369</v>
      </c>
    </row>
    <row r="2407" spans="1:7" x14ac:dyDescent="0.25">
      <c r="A2407" s="75">
        <v>8504801</v>
      </c>
      <c r="B2407" s="73" t="s">
        <v>1797</v>
      </c>
      <c r="C2407" s="68">
        <v>99</v>
      </c>
      <c r="D2407" s="73" t="s">
        <v>4072</v>
      </c>
      <c r="E2407" s="77">
        <v>330.55685861895074</v>
      </c>
      <c r="F2407" s="77">
        <v>285.61189454242344</v>
      </c>
      <c r="G2407" s="76">
        <v>2.5395090168880459</v>
      </c>
    </row>
    <row r="2408" spans="1:7" x14ac:dyDescent="0.25">
      <c r="A2408" s="75">
        <v>8505201</v>
      </c>
      <c r="B2408" s="73" t="s">
        <v>1798</v>
      </c>
      <c r="C2408" s="68">
        <v>99</v>
      </c>
      <c r="D2408" s="73" t="s">
        <v>4073</v>
      </c>
      <c r="E2408" s="77">
        <v>1041.0122351092245</v>
      </c>
      <c r="F2408" s="77">
        <v>701.08309839722517</v>
      </c>
      <c r="G2408" s="76">
        <v>4.1434985898326229</v>
      </c>
    </row>
    <row r="2409" spans="1:7" x14ac:dyDescent="0.25">
      <c r="A2409" s="75">
        <v>8505202</v>
      </c>
      <c r="B2409" s="73" t="s">
        <v>4074</v>
      </c>
      <c r="C2409" s="68">
        <v>99</v>
      </c>
      <c r="D2409" s="73" t="s">
        <v>4073</v>
      </c>
      <c r="E2409" s="77">
        <v>1041.0122351092245</v>
      </c>
      <c r="F2409" s="77">
        <v>701.08309839722506</v>
      </c>
      <c r="G2409" s="76">
        <v>4.1434985898326229</v>
      </c>
    </row>
    <row r="2410" spans="1:7" x14ac:dyDescent="0.25">
      <c r="A2410" s="75">
        <v>8505203</v>
      </c>
      <c r="B2410" s="73" t="s">
        <v>4075</v>
      </c>
      <c r="C2410" s="68">
        <v>99</v>
      </c>
      <c r="D2410" s="73" t="s">
        <v>4076</v>
      </c>
      <c r="E2410" s="77">
        <v>205.230331052715</v>
      </c>
      <c r="F2410" s="77">
        <v>181.20798496403597</v>
      </c>
      <c r="G2410" s="76">
        <v>0.94542193390945151</v>
      </c>
    </row>
    <row r="2411" spans="1:7" x14ac:dyDescent="0.25">
      <c r="A2411" s="75">
        <v>8505401</v>
      </c>
      <c r="B2411" s="73" t="s">
        <v>1799</v>
      </c>
      <c r="C2411" s="68">
        <v>99</v>
      </c>
      <c r="D2411" s="73" t="s">
        <v>4077</v>
      </c>
      <c r="E2411" s="77">
        <v>126.39702479125188</v>
      </c>
      <c r="F2411" s="77">
        <v>81.640693887665691</v>
      </c>
      <c r="G2411" s="76">
        <v>0.60474535318233791</v>
      </c>
    </row>
    <row r="2412" spans="1:7" x14ac:dyDescent="0.25">
      <c r="A2412" s="75">
        <v>8505501</v>
      </c>
      <c r="B2412" s="73" t="s">
        <v>1800</v>
      </c>
      <c r="C2412" s="68">
        <v>99</v>
      </c>
      <c r="D2412" s="73" t="s">
        <v>4078</v>
      </c>
      <c r="E2412" s="77">
        <v>1580.2971822848276</v>
      </c>
      <c r="F2412" s="77">
        <v>1511.4326075107558</v>
      </c>
      <c r="G2412" s="76">
        <v>1.5208726733370785</v>
      </c>
    </row>
    <row r="2413" spans="1:7" x14ac:dyDescent="0.25">
      <c r="A2413" s="75">
        <v>8505502</v>
      </c>
      <c r="B2413" s="73" t="s">
        <v>4079</v>
      </c>
      <c r="C2413" s="68">
        <v>99</v>
      </c>
      <c r="D2413" s="73" t="s">
        <v>4080</v>
      </c>
      <c r="E2413" s="77">
        <v>278.98689598295971</v>
      </c>
      <c r="F2413" s="77">
        <v>255.85394315446055</v>
      </c>
      <c r="G2413" s="76">
        <v>2.215626312088022</v>
      </c>
    </row>
    <row r="2414" spans="1:7" x14ac:dyDescent="0.25">
      <c r="A2414" s="75">
        <v>8505503</v>
      </c>
      <c r="B2414" s="73" t="s">
        <v>4081</v>
      </c>
      <c r="C2414" s="68">
        <v>99</v>
      </c>
      <c r="D2414" s="73" t="s">
        <v>4078</v>
      </c>
      <c r="E2414" s="77">
        <v>1580.2971822848276</v>
      </c>
      <c r="F2414" s="77">
        <v>1511.4326075107558</v>
      </c>
      <c r="G2414" s="76">
        <v>1.5208726733370785</v>
      </c>
    </row>
    <row r="2415" spans="1:7" x14ac:dyDescent="0.25">
      <c r="A2415" s="75">
        <v>8505504</v>
      </c>
      <c r="B2415" s="73" t="s">
        <v>4082</v>
      </c>
      <c r="C2415" s="68">
        <v>99</v>
      </c>
      <c r="D2415" s="73" t="s">
        <v>4083</v>
      </c>
      <c r="E2415" s="77">
        <v>1405.9955305012468</v>
      </c>
      <c r="F2415" s="77">
        <v>1272.0510342653899</v>
      </c>
      <c r="G2415" s="76">
        <v>2.1656294143781483</v>
      </c>
    </row>
    <row r="2416" spans="1:7" x14ac:dyDescent="0.25">
      <c r="A2416" s="75">
        <v>8505506</v>
      </c>
      <c r="B2416" s="73" t="s">
        <v>4084</v>
      </c>
      <c r="C2416" s="68">
        <v>99</v>
      </c>
      <c r="D2416" s="73" t="s">
        <v>4080</v>
      </c>
      <c r="E2416" s="77">
        <v>278.98689598295965</v>
      </c>
      <c r="F2416" s="77">
        <v>255.85394315446055</v>
      </c>
      <c r="G2416" s="76">
        <v>2.215626312088022</v>
      </c>
    </row>
    <row r="2417" spans="1:7" ht="30" x14ac:dyDescent="0.25">
      <c r="A2417" s="75">
        <v>8505507</v>
      </c>
      <c r="B2417" s="73" t="s">
        <v>4085</v>
      </c>
      <c r="C2417" s="68">
        <v>99</v>
      </c>
      <c r="D2417" s="73" t="s">
        <v>4086</v>
      </c>
      <c r="E2417" s="77">
        <v>291.61508741648908</v>
      </c>
      <c r="F2417" s="77">
        <v>264.4934124525297</v>
      </c>
      <c r="G2417" s="76">
        <v>2.1067108375901862</v>
      </c>
    </row>
    <row r="2418" spans="1:7" x14ac:dyDescent="0.25">
      <c r="A2418" s="75">
        <v>8505508</v>
      </c>
      <c r="B2418" s="73" t="s">
        <v>4087</v>
      </c>
      <c r="C2418" s="68">
        <v>99</v>
      </c>
      <c r="D2418" s="73" t="s">
        <v>4088</v>
      </c>
      <c r="E2418" s="77">
        <v>291.85008053310997</v>
      </c>
      <c r="F2418" s="77">
        <v>267.83133822153923</v>
      </c>
      <c r="G2418" s="76">
        <v>1.7174861342649954</v>
      </c>
    </row>
    <row r="2419" spans="1:7" x14ac:dyDescent="0.25">
      <c r="A2419" s="75">
        <v>8505509</v>
      </c>
      <c r="B2419" s="73" t="s">
        <v>4089</v>
      </c>
      <c r="C2419" s="68">
        <v>99</v>
      </c>
      <c r="D2419" s="73" t="s">
        <v>4090</v>
      </c>
      <c r="E2419" s="77">
        <v>1169.759814809443</v>
      </c>
      <c r="F2419" s="77">
        <v>771.21548170861433</v>
      </c>
      <c r="G2419" s="76">
        <v>5.4478276916410975</v>
      </c>
    </row>
    <row r="2420" spans="1:7" x14ac:dyDescent="0.25">
      <c r="A2420" s="75">
        <v>8505510</v>
      </c>
      <c r="B2420" s="73" t="s">
        <v>4091</v>
      </c>
      <c r="C2420" s="68">
        <v>99</v>
      </c>
      <c r="D2420" s="73" t="s">
        <v>4092</v>
      </c>
      <c r="E2420" s="77">
        <v>1182.3880062429726</v>
      </c>
      <c r="F2420" s="77">
        <v>779.85495100668356</v>
      </c>
      <c r="G2420" s="76">
        <v>5.3389122171432621</v>
      </c>
    </row>
    <row r="2421" spans="1:7" x14ac:dyDescent="0.25">
      <c r="A2421" s="75">
        <v>8505513</v>
      </c>
      <c r="B2421" s="73" t="s">
        <v>4093</v>
      </c>
      <c r="C2421" s="68">
        <v>99</v>
      </c>
      <c r="D2421" s="73" t="s">
        <v>4094</v>
      </c>
      <c r="E2421" s="77">
        <v>251.47001882837662</v>
      </c>
      <c r="F2421" s="77">
        <v>100.4907816517707</v>
      </c>
      <c r="G2421" s="76">
        <v>7.7144982160053592</v>
      </c>
    </row>
    <row r="2422" spans="1:7" x14ac:dyDescent="0.25">
      <c r="A2422" s="75">
        <v>8505514</v>
      </c>
      <c r="B2422" s="73" t="s">
        <v>4095</v>
      </c>
      <c r="C2422" s="68">
        <v>99</v>
      </c>
      <c r="D2422" s="73" t="s">
        <v>4096</v>
      </c>
      <c r="E2422" s="77">
        <v>1160.0143375397051</v>
      </c>
      <c r="F2422" s="77">
        <v>97.616176597033302</v>
      </c>
      <c r="G2422" s="76">
        <v>15.601860242625117</v>
      </c>
    </row>
    <row r="2423" spans="1:7" x14ac:dyDescent="0.25">
      <c r="A2423" s="75">
        <v>8505601</v>
      </c>
      <c r="B2423" s="73" t="s">
        <v>1801</v>
      </c>
      <c r="C2423" s="68">
        <v>99</v>
      </c>
      <c r="D2423" s="73" t="s">
        <v>4097</v>
      </c>
      <c r="E2423" s="77">
        <v>993.28981723271306</v>
      </c>
      <c r="F2423" s="77">
        <v>75.730581657970504</v>
      </c>
      <c r="G2423" s="76">
        <v>12.555339560488653</v>
      </c>
    </row>
    <row r="2424" spans="1:7" x14ac:dyDescent="0.25">
      <c r="A2424" s="75">
        <v>8505603</v>
      </c>
      <c r="B2424" s="73" t="s">
        <v>4098</v>
      </c>
      <c r="C2424" s="68">
        <v>99</v>
      </c>
      <c r="D2424" s="73" t="s">
        <v>4099</v>
      </c>
      <c r="E2424" s="77">
        <v>276.42909196871972</v>
      </c>
      <c r="F2424" s="77">
        <v>205.33507056452279</v>
      </c>
      <c r="G2424" s="76">
        <v>1.3963375079836839</v>
      </c>
    </row>
    <row r="2425" spans="1:7" ht="30" x14ac:dyDescent="0.25">
      <c r="A2425" s="75">
        <v>8505701</v>
      </c>
      <c r="B2425" s="73" t="s">
        <v>1802</v>
      </c>
      <c r="C2425" s="68">
        <v>99</v>
      </c>
      <c r="D2425" s="73" t="s">
        <v>4100</v>
      </c>
      <c r="E2425" s="77">
        <v>1096.6866314940005</v>
      </c>
      <c r="F2425" s="77">
        <v>210.2902617006666</v>
      </c>
      <c r="G2425" s="76">
        <v>14.650479814830899</v>
      </c>
    </row>
    <row r="2426" spans="1:7" x14ac:dyDescent="0.25">
      <c r="A2426" s="75">
        <v>8505801</v>
      </c>
      <c r="B2426" s="73" t="s">
        <v>1931</v>
      </c>
      <c r="C2426" s="68">
        <v>99</v>
      </c>
      <c r="D2426" s="73" t="s">
        <v>4101</v>
      </c>
      <c r="E2426" s="77">
        <v>108.15548044692996</v>
      </c>
      <c r="F2426" s="77">
        <v>127.81631531872436</v>
      </c>
      <c r="G2426" s="76">
        <v>1.4469526191574666</v>
      </c>
    </row>
    <row r="2427" spans="1:7" x14ac:dyDescent="0.25">
      <c r="A2427" s="75">
        <v>8505802</v>
      </c>
      <c r="B2427" s="73" t="s">
        <v>4102</v>
      </c>
      <c r="C2427" s="68">
        <v>99</v>
      </c>
      <c r="D2427" s="73" t="s">
        <v>4103</v>
      </c>
      <c r="E2427" s="77">
        <v>355.8454705783131</v>
      </c>
      <c r="F2427" s="77">
        <v>228.35311598542856</v>
      </c>
      <c r="G2427" s="76">
        <v>1.541324296101594</v>
      </c>
    </row>
    <row r="2428" spans="1:7" x14ac:dyDescent="0.25">
      <c r="A2428" s="75">
        <v>8505803</v>
      </c>
      <c r="B2428" s="73" t="s">
        <v>4104</v>
      </c>
      <c r="C2428" s="68">
        <v>99</v>
      </c>
      <c r="D2428" s="73" t="s">
        <v>4105</v>
      </c>
      <c r="E2428" s="77">
        <v>679.61536239658778</v>
      </c>
      <c r="F2428" s="77">
        <v>223.07783598351961</v>
      </c>
      <c r="G2428" s="76">
        <v>6.4677181784430662</v>
      </c>
    </row>
    <row r="2429" spans="1:7" x14ac:dyDescent="0.25">
      <c r="A2429" s="75">
        <v>8505804</v>
      </c>
      <c r="B2429" s="73" t="s">
        <v>4106</v>
      </c>
      <c r="C2429" s="68">
        <v>99</v>
      </c>
      <c r="D2429" s="73" t="s">
        <v>4101</v>
      </c>
      <c r="E2429" s="77">
        <v>108.15548044692996</v>
      </c>
      <c r="F2429" s="77">
        <v>127.81631531872436</v>
      </c>
      <c r="G2429" s="76">
        <v>1.4469526191574666</v>
      </c>
    </row>
    <row r="2430" spans="1:7" x14ac:dyDescent="0.25">
      <c r="A2430" s="75">
        <v>8505805</v>
      </c>
      <c r="B2430" s="73" t="s">
        <v>4107</v>
      </c>
      <c r="C2430" s="68">
        <v>99</v>
      </c>
      <c r="D2430" s="73" t="s">
        <v>4108</v>
      </c>
      <c r="E2430" s="77">
        <v>307.14163191584242</v>
      </c>
      <c r="F2430" s="77">
        <v>231.28097673080637</v>
      </c>
      <c r="G2430" s="76">
        <v>0.96846628939590795</v>
      </c>
    </row>
    <row r="2431" spans="1:7" x14ac:dyDescent="0.25">
      <c r="A2431" s="75">
        <v>8505806</v>
      </c>
      <c r="B2431" s="73" t="s">
        <v>4109</v>
      </c>
      <c r="C2431" s="68">
        <v>99</v>
      </c>
      <c r="D2431" s="73" t="s">
        <v>4110</v>
      </c>
      <c r="E2431" s="77">
        <v>109.18173518658564</v>
      </c>
      <c r="F2431" s="77">
        <v>343.76782844514759</v>
      </c>
      <c r="G2431" s="76">
        <v>0.84877586060710497</v>
      </c>
    </row>
    <row r="2432" spans="1:7" x14ac:dyDescent="0.25">
      <c r="A2432" s="75">
        <v>8505901</v>
      </c>
      <c r="B2432" s="73" t="s">
        <v>1803</v>
      </c>
      <c r="C2432" s="68">
        <v>99</v>
      </c>
      <c r="D2432" s="73" t="s">
        <v>3849</v>
      </c>
      <c r="E2432" s="77">
        <v>189.74617436488612</v>
      </c>
      <c r="F2432" s="77">
        <v>281.92955777283674</v>
      </c>
      <c r="G2432" s="76">
        <v>2.5798592294906828</v>
      </c>
    </row>
    <row r="2433" spans="1:7" x14ac:dyDescent="0.25">
      <c r="A2433" s="75">
        <v>8506001</v>
      </c>
      <c r="B2433" s="73" t="s">
        <v>1804</v>
      </c>
      <c r="C2433" s="68">
        <v>99</v>
      </c>
      <c r="D2433" s="73" t="s">
        <v>4111</v>
      </c>
      <c r="E2433" s="77">
        <v>113.85065081667487</v>
      </c>
      <c r="F2433" s="77">
        <v>173.42207652174721</v>
      </c>
      <c r="G2433" s="76">
        <v>0.91652504144556735</v>
      </c>
    </row>
    <row r="2434" spans="1:7" x14ac:dyDescent="0.25">
      <c r="A2434" s="75">
        <v>8506101</v>
      </c>
      <c r="B2434" s="73" t="s">
        <v>1805</v>
      </c>
      <c r="C2434" s="68">
        <v>99</v>
      </c>
      <c r="D2434" s="73" t="s">
        <v>4112</v>
      </c>
      <c r="E2434" s="77">
        <v>802.31137181746772</v>
      </c>
      <c r="F2434" s="77">
        <v>686.37165196925457</v>
      </c>
      <c r="G2434" s="76">
        <v>2.4559021237781473</v>
      </c>
    </row>
    <row r="2435" spans="1:7" x14ac:dyDescent="0.25">
      <c r="A2435" s="75">
        <v>8506201</v>
      </c>
      <c r="B2435" s="73" t="s">
        <v>1806</v>
      </c>
      <c r="C2435" s="68">
        <v>99</v>
      </c>
      <c r="D2435" s="73" t="s">
        <v>4113</v>
      </c>
      <c r="E2435" s="77">
        <v>212.59500686965075</v>
      </c>
      <c r="F2435" s="77">
        <v>184.20395970625515</v>
      </c>
      <c r="G2435" s="76">
        <v>1.0952409780031378</v>
      </c>
    </row>
    <row r="2436" spans="1:7" x14ac:dyDescent="0.25">
      <c r="A2436" s="75">
        <v>8506301</v>
      </c>
      <c r="B2436" s="73" t="s">
        <v>1807</v>
      </c>
      <c r="C2436" s="68">
        <v>99</v>
      </c>
      <c r="D2436" s="73" t="s">
        <v>4113</v>
      </c>
      <c r="E2436" s="77">
        <v>212.59500686965072</v>
      </c>
      <c r="F2436" s="77">
        <v>184.20395970625515</v>
      </c>
      <c r="G2436" s="76">
        <v>1.0952409780031378</v>
      </c>
    </row>
    <row r="2437" spans="1:7" x14ac:dyDescent="0.25">
      <c r="A2437" s="75">
        <v>8506302</v>
      </c>
      <c r="B2437" s="73" t="s">
        <v>4114</v>
      </c>
      <c r="C2437" s="68">
        <v>99</v>
      </c>
      <c r="D2437" s="73" t="s">
        <v>4113</v>
      </c>
      <c r="E2437" s="77">
        <v>212.59500686965072</v>
      </c>
      <c r="F2437" s="77">
        <v>184.20395970625515</v>
      </c>
      <c r="G2437" s="76">
        <v>1.0952409780031378</v>
      </c>
    </row>
    <row r="2438" spans="1:7" x14ac:dyDescent="0.25">
      <c r="A2438" s="75">
        <v>8506303</v>
      </c>
      <c r="B2438" s="73" t="s">
        <v>4115</v>
      </c>
      <c r="C2438" s="68">
        <v>99</v>
      </c>
      <c r="D2438" s="73" t="s">
        <v>4116</v>
      </c>
      <c r="E2438" s="77">
        <v>339.44615428971423</v>
      </c>
      <c r="F2438" s="77">
        <v>420.10022726716909</v>
      </c>
      <c r="G2438" s="76">
        <v>2.177127601925863</v>
      </c>
    </row>
    <row r="2439" spans="1:7" x14ac:dyDescent="0.25">
      <c r="A2439" s="75">
        <v>8506401</v>
      </c>
      <c r="B2439" s="73" t="s">
        <v>1808</v>
      </c>
      <c r="C2439" s="68">
        <v>99</v>
      </c>
      <c r="D2439" s="73" t="s">
        <v>4117</v>
      </c>
      <c r="E2439" s="77">
        <v>497.68649145602433</v>
      </c>
      <c r="F2439" s="77">
        <v>44.410934841644419</v>
      </c>
      <c r="G2439" s="76">
        <v>22.526015213418905</v>
      </c>
    </row>
    <row r="2440" spans="1:7" x14ac:dyDescent="0.25">
      <c r="A2440" s="75">
        <v>8506404</v>
      </c>
      <c r="B2440" s="73" t="s">
        <v>4118</v>
      </c>
      <c r="C2440" s="68">
        <v>99</v>
      </c>
      <c r="D2440" s="73" t="s">
        <v>4119</v>
      </c>
      <c r="E2440" s="77">
        <v>2878.509665080534</v>
      </c>
      <c r="F2440" s="77">
        <v>44.410934841644419</v>
      </c>
      <c r="G2440" s="76">
        <v>40.426914473822094</v>
      </c>
    </row>
    <row r="2441" spans="1:7" x14ac:dyDescent="0.25">
      <c r="A2441" s="75">
        <v>8506405</v>
      </c>
      <c r="B2441" s="73" t="s">
        <v>4120</v>
      </c>
      <c r="C2441" s="68">
        <v>99</v>
      </c>
      <c r="D2441" s="73" t="s">
        <v>4121</v>
      </c>
      <c r="E2441" s="77">
        <v>1512.8914922199083</v>
      </c>
      <c r="F2441" s="77">
        <v>46.710619359202752</v>
      </c>
      <c r="G2441" s="76">
        <v>35.083068849562814</v>
      </c>
    </row>
    <row r="2442" spans="1:7" x14ac:dyDescent="0.25">
      <c r="A2442" s="75">
        <v>8506406</v>
      </c>
      <c r="B2442" s="73" t="s">
        <v>4122</v>
      </c>
      <c r="C2442" s="68">
        <v>99</v>
      </c>
      <c r="D2442" s="73" t="s">
        <v>4123</v>
      </c>
      <c r="E2442" s="77">
        <v>5201.0627526151275</v>
      </c>
      <c r="F2442" s="77">
        <v>44.410934841644419</v>
      </c>
      <c r="G2442" s="76">
        <v>40.426914473822087</v>
      </c>
    </row>
    <row r="2443" spans="1:7" x14ac:dyDescent="0.25">
      <c r="A2443" s="75">
        <v>8506407</v>
      </c>
      <c r="B2443" s="73" t="s">
        <v>4124</v>
      </c>
      <c r="C2443" s="68">
        <v>99</v>
      </c>
      <c r="D2443" s="73" t="s">
        <v>4117</v>
      </c>
      <c r="E2443" s="77">
        <v>497.68649145602433</v>
      </c>
      <c r="F2443" s="77">
        <v>44.410934841644419</v>
      </c>
      <c r="G2443" s="76">
        <v>22.526015213418905</v>
      </c>
    </row>
    <row r="2444" spans="1:7" x14ac:dyDescent="0.25">
      <c r="A2444" s="75">
        <v>8506408</v>
      </c>
      <c r="B2444" s="73" t="s">
        <v>4125</v>
      </c>
      <c r="C2444" s="68">
        <v>99</v>
      </c>
      <c r="D2444" s="73" t="s">
        <v>4117</v>
      </c>
      <c r="E2444" s="77">
        <v>497.68649145602444</v>
      </c>
      <c r="F2444" s="77">
        <v>44.410934841644419</v>
      </c>
      <c r="G2444" s="76">
        <v>22.526015213418901</v>
      </c>
    </row>
    <row r="2445" spans="1:7" x14ac:dyDescent="0.25">
      <c r="A2445" s="75">
        <v>8506501</v>
      </c>
      <c r="B2445" s="73" t="s">
        <v>1809</v>
      </c>
      <c r="C2445" s="68">
        <v>99</v>
      </c>
      <c r="D2445" s="73" t="s">
        <v>4126</v>
      </c>
      <c r="E2445" s="77">
        <v>473.67418953651844</v>
      </c>
      <c r="F2445" s="77">
        <v>426.24034477907497</v>
      </c>
      <c r="G2445" s="76">
        <v>2.7276074406005275</v>
      </c>
    </row>
    <row r="2446" spans="1:7" x14ac:dyDescent="0.25">
      <c r="A2446" s="75">
        <v>8506502</v>
      </c>
      <c r="B2446" s="73" t="s">
        <v>4127</v>
      </c>
      <c r="C2446" s="68">
        <v>99</v>
      </c>
      <c r="D2446" s="73" t="s">
        <v>4128</v>
      </c>
      <c r="E2446" s="77">
        <v>208.28277375586475</v>
      </c>
      <c r="F2446" s="77">
        <v>194.71207377405091</v>
      </c>
      <c r="G2446" s="76">
        <v>1.3342274733833059</v>
      </c>
    </row>
    <row r="2447" spans="1:7" x14ac:dyDescent="0.25">
      <c r="A2447" s="75">
        <v>8506503</v>
      </c>
      <c r="B2447" s="73" t="s">
        <v>4129</v>
      </c>
      <c r="C2447" s="68">
        <v>99</v>
      </c>
      <c r="D2447" s="73" t="s">
        <v>4130</v>
      </c>
      <c r="E2447" s="77">
        <v>1327.0388328285571</v>
      </c>
      <c r="F2447" s="77">
        <v>924.37874605312959</v>
      </c>
      <c r="G2447" s="76">
        <v>5.9779999661658776</v>
      </c>
    </row>
    <row r="2448" spans="1:7" x14ac:dyDescent="0.25">
      <c r="A2448" s="75">
        <v>8506505</v>
      </c>
      <c r="B2448" s="73" t="s">
        <v>4131</v>
      </c>
      <c r="C2448" s="68">
        <v>99</v>
      </c>
      <c r="D2448" s="73" t="s">
        <v>4132</v>
      </c>
      <c r="E2448" s="77">
        <v>323.35060766751485</v>
      </c>
      <c r="F2448" s="77">
        <v>241.93691225926329</v>
      </c>
      <c r="G2448" s="76">
        <v>1.6800986899408539</v>
      </c>
    </row>
    <row r="2449" spans="1:7" x14ac:dyDescent="0.25">
      <c r="A2449" s="75">
        <v>8506509</v>
      </c>
      <c r="B2449" s="73" t="s">
        <v>4133</v>
      </c>
      <c r="C2449" s="68">
        <v>99</v>
      </c>
      <c r="D2449" s="73" t="s">
        <v>4134</v>
      </c>
      <c r="E2449" s="77">
        <v>558.55550950614497</v>
      </c>
      <c r="F2449" s="77">
        <v>481.74692935295786</v>
      </c>
      <c r="G2449" s="76">
        <v>2.5962137909694483</v>
      </c>
    </row>
    <row r="2450" spans="1:7" x14ac:dyDescent="0.25">
      <c r="A2450" s="75">
        <v>8506511</v>
      </c>
      <c r="B2450" s="73" t="s">
        <v>4135</v>
      </c>
      <c r="C2450" s="68">
        <v>99</v>
      </c>
      <c r="D2450" s="73" t="s">
        <v>4136</v>
      </c>
      <c r="E2450" s="77">
        <v>421.14285118590158</v>
      </c>
      <c r="F2450" s="77">
        <v>333.85664720517974</v>
      </c>
      <c r="G2450" s="76">
        <v>2.5061105324829849</v>
      </c>
    </row>
    <row r="2451" spans="1:7" x14ac:dyDescent="0.25">
      <c r="A2451" s="75">
        <v>8506601</v>
      </c>
      <c r="B2451" s="73" t="s">
        <v>1810</v>
      </c>
      <c r="C2451" s="68">
        <v>99</v>
      </c>
      <c r="D2451" s="73" t="s">
        <v>4137</v>
      </c>
      <c r="E2451" s="77">
        <v>137.09033963095524</v>
      </c>
      <c r="F2451" s="77">
        <v>37.266009503161925</v>
      </c>
      <c r="G2451" s="76">
        <v>1.0937164898989007</v>
      </c>
    </row>
    <row r="2452" spans="1:7" x14ac:dyDescent="0.25">
      <c r="A2452" s="75">
        <v>8506605</v>
      </c>
      <c r="B2452" s="73" t="s">
        <v>4138</v>
      </c>
      <c r="C2452" s="68">
        <v>99</v>
      </c>
      <c r="D2452" s="73" t="s">
        <v>4139</v>
      </c>
      <c r="E2452" s="77">
        <v>155.46900377346191</v>
      </c>
      <c r="F2452" s="77">
        <v>141.43219159654168</v>
      </c>
      <c r="G2452" s="76">
        <v>1.241400156257658</v>
      </c>
    </row>
    <row r="2453" spans="1:7" x14ac:dyDescent="0.25">
      <c r="A2453" s="75">
        <v>8506701</v>
      </c>
      <c r="B2453" s="73" t="s">
        <v>1811</v>
      </c>
      <c r="C2453" s="68">
        <v>99</v>
      </c>
      <c r="D2453" s="73" t="s">
        <v>4140</v>
      </c>
      <c r="E2453" s="77">
        <v>1153.566145061608</v>
      </c>
      <c r="F2453" s="77">
        <v>1064.5746741616772</v>
      </c>
      <c r="G2453" s="76">
        <v>0.85868720972349277</v>
      </c>
    </row>
    <row r="2454" spans="1:7" x14ac:dyDescent="0.25">
      <c r="A2454" s="75">
        <v>8506801</v>
      </c>
      <c r="B2454" s="73" t="s">
        <v>1812</v>
      </c>
      <c r="C2454" s="68">
        <v>99</v>
      </c>
      <c r="D2454" s="73" t="s">
        <v>4141</v>
      </c>
      <c r="E2454" s="77">
        <v>452.06133626061438</v>
      </c>
      <c r="F2454" s="77">
        <v>329.76503395086212</v>
      </c>
      <c r="G2454" s="76">
        <v>3.1813624757735517</v>
      </c>
    </row>
    <row r="2455" spans="1:7" x14ac:dyDescent="0.25">
      <c r="A2455" s="75">
        <v>8506901</v>
      </c>
      <c r="B2455" s="73" t="s">
        <v>1813</v>
      </c>
      <c r="C2455" s="68">
        <v>99</v>
      </c>
      <c r="D2455" s="73" t="s">
        <v>4142</v>
      </c>
      <c r="E2455" s="77">
        <v>203.27016434431798</v>
      </c>
      <c r="F2455" s="77">
        <v>156.97580144489532</v>
      </c>
      <c r="G2455" s="76">
        <v>1.1065029858655651</v>
      </c>
    </row>
    <row r="2456" spans="1:7" x14ac:dyDescent="0.25">
      <c r="A2456" s="75">
        <v>8507001</v>
      </c>
      <c r="B2456" s="73" t="s">
        <v>1814</v>
      </c>
      <c r="C2456" s="68">
        <v>99</v>
      </c>
      <c r="D2456" s="73" t="s">
        <v>4143</v>
      </c>
      <c r="E2456" s="77">
        <v>467.69149131532345</v>
      </c>
      <c r="F2456" s="77">
        <v>431.30164759688478</v>
      </c>
      <c r="G2456" s="76">
        <v>1.4647469880751278</v>
      </c>
    </row>
    <row r="2457" spans="1:7" x14ac:dyDescent="0.25">
      <c r="A2457" s="75">
        <v>8507201</v>
      </c>
      <c r="B2457" s="73" t="s">
        <v>1933</v>
      </c>
      <c r="C2457" s="68">
        <v>99</v>
      </c>
      <c r="D2457" s="73" t="s">
        <v>4144</v>
      </c>
      <c r="E2457" s="77">
        <v>1506.6975264350738</v>
      </c>
      <c r="F2457" s="77">
        <v>1033.5771348475021</v>
      </c>
      <c r="G2457" s="76">
        <v>3.8768327527263025</v>
      </c>
    </row>
    <row r="2458" spans="1:7" x14ac:dyDescent="0.25">
      <c r="A2458" s="75">
        <v>8507301</v>
      </c>
      <c r="B2458" s="73" t="s">
        <v>1815</v>
      </c>
      <c r="C2458" s="68">
        <v>99</v>
      </c>
      <c r="D2458" s="73" t="s">
        <v>4145</v>
      </c>
      <c r="E2458" s="77">
        <v>394.35470044940763</v>
      </c>
      <c r="F2458" s="77">
        <v>367.90067368912702</v>
      </c>
      <c r="G2458" s="76">
        <v>1.2574037938768448</v>
      </c>
    </row>
    <row r="2459" spans="1:7" x14ac:dyDescent="0.25">
      <c r="A2459" s="75">
        <v>8507401</v>
      </c>
      <c r="B2459" s="73" t="s">
        <v>1816</v>
      </c>
      <c r="C2459" s="68">
        <v>99</v>
      </c>
      <c r="D2459" s="73" t="s">
        <v>4146</v>
      </c>
      <c r="E2459" s="77">
        <v>650.05366882325677</v>
      </c>
      <c r="F2459" s="77">
        <v>81.095894483789195</v>
      </c>
      <c r="G2459" s="76">
        <v>7.3576442035789942</v>
      </c>
    </row>
    <row r="2460" spans="1:7" x14ac:dyDescent="0.25">
      <c r="A2460" s="75">
        <v>8507501</v>
      </c>
      <c r="B2460" s="73" t="s">
        <v>1817</v>
      </c>
      <c r="C2460" s="68">
        <v>99</v>
      </c>
      <c r="D2460" s="73" t="s">
        <v>4147</v>
      </c>
      <c r="E2460" s="77">
        <v>889.41776238950706</v>
      </c>
      <c r="F2460" s="77">
        <v>382.98303765991636</v>
      </c>
      <c r="G2460" s="76">
        <v>3.717090346190433</v>
      </c>
    </row>
    <row r="2461" spans="1:7" x14ac:dyDescent="0.25">
      <c r="A2461" s="75">
        <v>8507502</v>
      </c>
      <c r="B2461" s="73" t="s">
        <v>4148</v>
      </c>
      <c r="C2461" s="68">
        <v>99</v>
      </c>
      <c r="D2461" s="73" t="s">
        <v>4149</v>
      </c>
      <c r="E2461" s="77">
        <v>446.68136185862892</v>
      </c>
      <c r="F2461" s="77">
        <v>306.93836387368862</v>
      </c>
      <c r="G2461" s="76">
        <v>1.8283885883274789</v>
      </c>
    </row>
    <row r="2462" spans="1:7" x14ac:dyDescent="0.25">
      <c r="A2462" s="75">
        <v>8507503</v>
      </c>
      <c r="B2462" s="73" t="s">
        <v>4150</v>
      </c>
      <c r="C2462" s="68">
        <v>99</v>
      </c>
      <c r="D2462" s="73" t="s">
        <v>4149</v>
      </c>
      <c r="E2462" s="77">
        <v>446.68136185862886</v>
      </c>
      <c r="F2462" s="77">
        <v>306.93836387368862</v>
      </c>
      <c r="G2462" s="76">
        <v>1.8283885883274789</v>
      </c>
    </row>
    <row r="2463" spans="1:7" x14ac:dyDescent="0.25">
      <c r="A2463" s="75">
        <v>8507601</v>
      </c>
      <c r="B2463" s="73" t="s">
        <v>920</v>
      </c>
      <c r="C2463" s="68">
        <v>99</v>
      </c>
      <c r="D2463" s="73" t="s">
        <v>3071</v>
      </c>
      <c r="E2463" s="77">
        <v>233.33333333333337</v>
      </c>
      <c r="F2463" s="77">
        <v>3098.9752514303609</v>
      </c>
      <c r="G2463" s="76">
        <v>4.5999999999999996</v>
      </c>
    </row>
    <row r="2464" spans="1:7" x14ac:dyDescent="0.25">
      <c r="A2464" s="75">
        <v>8507701</v>
      </c>
      <c r="B2464" s="73" t="s">
        <v>1818</v>
      </c>
      <c r="C2464" s="68">
        <v>99</v>
      </c>
      <c r="D2464" s="73" t="s">
        <v>3126</v>
      </c>
      <c r="E2464" s="77">
        <v>329.5</v>
      </c>
      <c r="F2464" s="77">
        <v>58.835425044054446</v>
      </c>
      <c r="G2464" s="76">
        <v>0.3779694201006899</v>
      </c>
    </row>
    <row r="2465" spans="1:7" ht="30" x14ac:dyDescent="0.25">
      <c r="A2465" s="75">
        <v>8507801</v>
      </c>
      <c r="B2465" s="73" t="s">
        <v>1819</v>
      </c>
      <c r="C2465" s="68">
        <v>99</v>
      </c>
      <c r="D2465" s="73" t="s">
        <v>4151</v>
      </c>
      <c r="E2465" s="77">
        <v>196.52938701451882</v>
      </c>
      <c r="F2465" s="77">
        <v>213.03752253392179</v>
      </c>
      <c r="G2465" s="76">
        <v>0.64669523042732036</v>
      </c>
    </row>
    <row r="2466" spans="1:7" ht="30" x14ac:dyDescent="0.25">
      <c r="A2466" s="75">
        <v>8507802</v>
      </c>
      <c r="B2466" s="73" t="s">
        <v>4152</v>
      </c>
      <c r="C2466" s="68">
        <v>99</v>
      </c>
      <c r="D2466" s="73" t="s">
        <v>4151</v>
      </c>
      <c r="E2466" s="77">
        <v>196.52938701451882</v>
      </c>
      <c r="F2466" s="77">
        <v>213.03752253392182</v>
      </c>
      <c r="G2466" s="76">
        <v>0.64669523042732058</v>
      </c>
    </row>
    <row r="2467" spans="1:7" ht="30" x14ac:dyDescent="0.25">
      <c r="A2467" s="75">
        <v>8508004</v>
      </c>
      <c r="B2467" s="73" t="s">
        <v>1130</v>
      </c>
      <c r="C2467" s="68">
        <v>99</v>
      </c>
      <c r="D2467" s="73" t="s">
        <v>4153</v>
      </c>
      <c r="E2467" s="77">
        <v>239.59507922940224</v>
      </c>
      <c r="F2467" s="77">
        <v>183.57330345915204</v>
      </c>
      <c r="G2467" s="76">
        <v>1.0795690435315171</v>
      </c>
    </row>
    <row r="2468" spans="1:7" x14ac:dyDescent="0.25">
      <c r="A2468" s="75">
        <v>8508301</v>
      </c>
      <c r="B2468" s="73" t="s">
        <v>1820</v>
      </c>
      <c r="C2468" s="68">
        <v>99</v>
      </c>
      <c r="D2468" s="73" t="s">
        <v>4154</v>
      </c>
      <c r="E2468" s="77">
        <v>1355.8849966349662</v>
      </c>
      <c r="F2468" s="77">
        <v>860.05755897821098</v>
      </c>
      <c r="G2468" s="76">
        <v>5.4833325272549054</v>
      </c>
    </row>
    <row r="2469" spans="1:7" x14ac:dyDescent="0.25">
      <c r="A2469" s="75">
        <v>8508302</v>
      </c>
      <c r="B2469" s="73" t="s">
        <v>4155</v>
      </c>
      <c r="C2469" s="68">
        <v>99</v>
      </c>
      <c r="D2469" s="73" t="s">
        <v>4090</v>
      </c>
      <c r="E2469" s="77">
        <v>1169.7598148094432</v>
      </c>
      <c r="F2469" s="77">
        <v>771.21548170861433</v>
      </c>
      <c r="G2469" s="76">
        <v>5.4478276916410975</v>
      </c>
    </row>
    <row r="2470" spans="1:7" x14ac:dyDescent="0.25">
      <c r="A2470" s="75">
        <v>8508303</v>
      </c>
      <c r="B2470" s="73" t="s">
        <v>4156</v>
      </c>
      <c r="C2470" s="68">
        <v>99</v>
      </c>
      <c r="D2470" s="73" t="s">
        <v>4157</v>
      </c>
      <c r="E2470" s="77">
        <v>3107.3015433074579</v>
      </c>
      <c r="F2470" s="77">
        <v>1991.9107204287629</v>
      </c>
      <c r="G2470" s="76">
        <v>12.273261211233624</v>
      </c>
    </row>
    <row r="2471" spans="1:7" x14ac:dyDescent="0.25">
      <c r="A2471" s="75">
        <v>8508304</v>
      </c>
      <c r="B2471" s="73" t="s">
        <v>4158</v>
      </c>
      <c r="C2471" s="68">
        <v>99</v>
      </c>
      <c r="D2471" s="73" t="s">
        <v>4159</v>
      </c>
      <c r="E2471" s="77">
        <v>3115.8878575640433</v>
      </c>
      <c r="F2471" s="77">
        <v>1996.2555867171213</v>
      </c>
      <c r="G2471" s="76">
        <v>12.148869122736388</v>
      </c>
    </row>
    <row r="2472" spans="1:7" x14ac:dyDescent="0.25">
      <c r="A2472" s="75">
        <v>8508305</v>
      </c>
      <c r="B2472" s="73" t="s">
        <v>4160</v>
      </c>
      <c r="C2472" s="68">
        <v>99</v>
      </c>
      <c r="D2472" s="73" t="s">
        <v>4083</v>
      </c>
      <c r="E2472" s="77">
        <v>1405.9955305012468</v>
      </c>
      <c r="F2472" s="77">
        <v>1272.0510342653899</v>
      </c>
      <c r="G2472" s="76">
        <v>2.1656294143781483</v>
      </c>
    </row>
    <row r="2473" spans="1:7" x14ac:dyDescent="0.25">
      <c r="A2473" s="75">
        <v>8508306</v>
      </c>
      <c r="B2473" s="73" t="s">
        <v>4161</v>
      </c>
      <c r="C2473" s="68">
        <v>99</v>
      </c>
      <c r="D2473" s="73" t="s">
        <v>4083</v>
      </c>
      <c r="E2473" s="77">
        <v>1405.9955305012465</v>
      </c>
      <c r="F2473" s="77">
        <v>1272.0510342653899</v>
      </c>
      <c r="G2473" s="76">
        <v>2.1656294143781483</v>
      </c>
    </row>
    <row r="2474" spans="1:7" x14ac:dyDescent="0.25">
      <c r="A2474" s="75">
        <v>8508401</v>
      </c>
      <c r="B2474" s="73" t="s">
        <v>4162</v>
      </c>
      <c r="C2474" s="68">
        <v>99</v>
      </c>
      <c r="D2474" s="73" t="s">
        <v>4163</v>
      </c>
      <c r="E2474" s="77">
        <v>58.167378308394909</v>
      </c>
      <c r="F2474" s="77">
        <v>29.920292394960313</v>
      </c>
      <c r="G2474" s="76">
        <v>0.14930395853745262</v>
      </c>
    </row>
    <row r="2475" spans="1:7" ht="30" x14ac:dyDescent="0.25">
      <c r="A2475" s="75">
        <v>8509901</v>
      </c>
      <c r="B2475" s="73" t="s">
        <v>4164</v>
      </c>
      <c r="C2475" s="68">
        <v>99</v>
      </c>
      <c r="D2475" s="73" t="s">
        <v>4165</v>
      </c>
      <c r="E2475" s="77">
        <v>1347.5073090190633</v>
      </c>
      <c r="F2475" s="77">
        <v>889.66591981567137</v>
      </c>
      <c r="G2475" s="76">
        <v>8.0579676359226049</v>
      </c>
    </row>
    <row r="2476" spans="1:7" ht="30" x14ac:dyDescent="0.25">
      <c r="A2476" s="75">
        <v>8510002</v>
      </c>
      <c r="B2476" s="73" t="s">
        <v>4166</v>
      </c>
      <c r="C2476" s="68">
        <v>99</v>
      </c>
      <c r="D2476" s="73" t="s">
        <v>4167</v>
      </c>
      <c r="E2476" s="77">
        <v>1344.1997238609124</v>
      </c>
      <c r="F2476" s="77">
        <v>869.16139750874424</v>
      </c>
      <c r="G2476" s="76">
        <v>7.9634420884773487</v>
      </c>
    </row>
    <row r="2477" spans="1:7" ht="30" x14ac:dyDescent="0.25">
      <c r="A2477" s="75">
        <v>8510101</v>
      </c>
      <c r="B2477" s="73" t="s">
        <v>4168</v>
      </c>
      <c r="C2477" s="68">
        <v>99</v>
      </c>
      <c r="D2477" s="73" t="s">
        <v>4169</v>
      </c>
      <c r="E2477" s="77">
        <v>226.79264277357919</v>
      </c>
      <c r="F2477" s="77">
        <v>311.41533774332243</v>
      </c>
      <c r="G2477" s="76">
        <v>2.1177540619967958</v>
      </c>
    </row>
    <row r="2478" spans="1:7" x14ac:dyDescent="0.25">
      <c r="A2478" s="75">
        <v>8510202</v>
      </c>
      <c r="B2478" s="73" t="s">
        <v>4170</v>
      </c>
      <c r="C2478" s="68">
        <v>99</v>
      </c>
      <c r="D2478" s="73" t="s">
        <v>4171</v>
      </c>
      <c r="E2478" s="77">
        <v>330.72287864236745</v>
      </c>
      <c r="F2478" s="77">
        <v>313.70668974818631</v>
      </c>
      <c r="G2478" s="76">
        <v>2.2645065896680112</v>
      </c>
    </row>
    <row r="2479" spans="1:7" x14ac:dyDescent="0.25">
      <c r="A2479" s="75">
        <v>8510301</v>
      </c>
      <c r="B2479" s="73" t="s">
        <v>4172</v>
      </c>
      <c r="C2479" s="68">
        <v>99</v>
      </c>
      <c r="D2479" s="73" t="s">
        <v>4173</v>
      </c>
      <c r="E2479" s="77">
        <v>783.81895435971273</v>
      </c>
      <c r="F2479" s="77">
        <v>483.69309593892336</v>
      </c>
      <c r="G2479" s="76">
        <v>3.2799708056856751</v>
      </c>
    </row>
    <row r="2480" spans="1:7" x14ac:dyDescent="0.25">
      <c r="A2480" s="75">
        <v>8510401</v>
      </c>
      <c r="B2480" s="73" t="s">
        <v>4174</v>
      </c>
      <c r="C2480" s="68">
        <v>99</v>
      </c>
      <c r="D2480" s="73" t="s">
        <v>4175</v>
      </c>
      <c r="E2480" s="77">
        <v>360.87000275434036</v>
      </c>
      <c r="F2480" s="77">
        <v>373.80725439976385</v>
      </c>
      <c r="G2480" s="76">
        <v>2.5956090270461467</v>
      </c>
    </row>
    <row r="2481" spans="1:7" x14ac:dyDescent="0.25">
      <c r="A2481" s="75">
        <v>8510501</v>
      </c>
      <c r="B2481" s="73" t="s">
        <v>4176</v>
      </c>
      <c r="C2481" s="68">
        <v>99</v>
      </c>
      <c r="D2481" s="73" t="s">
        <v>4177</v>
      </c>
      <c r="E2481" s="77">
        <v>112.04820740333498</v>
      </c>
      <c r="F2481" s="77">
        <v>267.48787224520368</v>
      </c>
      <c r="G2481" s="76">
        <v>1.0185285327978189</v>
      </c>
    </row>
    <row r="2482" spans="1:7" x14ac:dyDescent="0.25">
      <c r="A2482" s="75">
        <v>8510601</v>
      </c>
      <c r="B2482" s="73" t="s">
        <v>4178</v>
      </c>
      <c r="C2482" s="68">
        <v>99</v>
      </c>
      <c r="D2482" s="73" t="s">
        <v>4179</v>
      </c>
      <c r="E2482" s="77">
        <v>63.309586829349122</v>
      </c>
      <c r="F2482" s="77">
        <v>48.792191700341959</v>
      </c>
      <c r="G2482" s="76">
        <v>0.32222448518038682</v>
      </c>
    </row>
    <row r="2483" spans="1:7" x14ac:dyDescent="0.25">
      <c r="A2483" s="75">
        <v>8510701</v>
      </c>
      <c r="B2483" s="73" t="s">
        <v>4180</v>
      </c>
      <c r="C2483" s="68">
        <v>99</v>
      </c>
      <c r="D2483" s="73" t="s">
        <v>4181</v>
      </c>
      <c r="E2483" s="77">
        <v>96.693615509699796</v>
      </c>
      <c r="F2483" s="77">
        <v>155.78472897208536</v>
      </c>
      <c r="G2483" s="76">
        <v>0.67857040991070339</v>
      </c>
    </row>
    <row r="2484" spans="1:7" x14ac:dyDescent="0.25">
      <c r="A2484" s="75">
        <v>8510801</v>
      </c>
      <c r="B2484" s="73" t="s">
        <v>4182</v>
      </c>
      <c r="C2484" s="68">
        <v>99</v>
      </c>
      <c r="D2484" s="73" t="s">
        <v>4183</v>
      </c>
      <c r="E2484" s="77">
        <v>339.23370066621578</v>
      </c>
      <c r="F2484" s="77">
        <v>126.2969822992176</v>
      </c>
      <c r="G2484" s="76">
        <v>2.4097145808009577</v>
      </c>
    </row>
    <row r="2485" spans="1:7" x14ac:dyDescent="0.25">
      <c r="A2485" s="75">
        <v>8510901</v>
      </c>
      <c r="B2485" s="73" t="s">
        <v>4184</v>
      </c>
      <c r="C2485" s="68">
        <v>99</v>
      </c>
      <c r="D2485" s="73" t="s">
        <v>4185</v>
      </c>
      <c r="E2485" s="77">
        <v>218.1454850116082</v>
      </c>
      <c r="F2485" s="77">
        <v>169.45463771287768</v>
      </c>
      <c r="G2485" s="76">
        <v>10.743074587063861</v>
      </c>
    </row>
    <row r="2486" spans="1:7" x14ac:dyDescent="0.25">
      <c r="A2486" s="75">
        <v>8510902</v>
      </c>
      <c r="B2486" s="73" t="s">
        <v>4186</v>
      </c>
      <c r="C2486" s="68">
        <v>99</v>
      </c>
      <c r="D2486" s="73" t="s">
        <v>4187</v>
      </c>
      <c r="E2486" s="77">
        <v>407.56404728250322</v>
      </c>
      <c r="F2486" s="77">
        <v>166.13742112768381</v>
      </c>
      <c r="G2486" s="76">
        <v>3.2080614996743124</v>
      </c>
    </row>
    <row r="2487" spans="1:7" x14ac:dyDescent="0.25">
      <c r="A2487" s="75">
        <v>8511001</v>
      </c>
      <c r="B2487" s="73" t="s">
        <v>4188</v>
      </c>
      <c r="C2487" s="68">
        <v>99</v>
      </c>
      <c r="D2487" s="73" t="s">
        <v>4189</v>
      </c>
      <c r="E2487" s="77">
        <v>62.249004428043619</v>
      </c>
      <c r="F2487" s="77">
        <v>102.9857142772708</v>
      </c>
      <c r="G2487" s="76">
        <v>0.40362902662538985</v>
      </c>
    </row>
    <row r="2488" spans="1:7" x14ac:dyDescent="0.25">
      <c r="A2488" s="75">
        <v>8511003</v>
      </c>
      <c r="B2488" s="73" t="s">
        <v>4190</v>
      </c>
      <c r="C2488" s="68">
        <v>99</v>
      </c>
      <c r="D2488" s="73" t="s">
        <v>4191</v>
      </c>
      <c r="E2488" s="77">
        <v>131.75374734013567</v>
      </c>
      <c r="F2488" s="77">
        <v>234.93996250383776</v>
      </c>
      <c r="G2488" s="76">
        <v>0.57236417512020588</v>
      </c>
    </row>
    <row r="2489" spans="1:7" x14ac:dyDescent="0.25">
      <c r="A2489" s="75">
        <v>8511101</v>
      </c>
      <c r="B2489" s="73" t="s">
        <v>4192</v>
      </c>
      <c r="C2489" s="68">
        <v>99</v>
      </c>
      <c r="D2489" s="73" t="s">
        <v>4193</v>
      </c>
      <c r="E2489" s="77">
        <v>45.783514930314986</v>
      </c>
      <c r="F2489" s="77">
        <v>92.406247525463996</v>
      </c>
      <c r="G2489" s="76">
        <v>0.42426909578135091</v>
      </c>
    </row>
    <row r="2490" spans="1:7" x14ac:dyDescent="0.25">
      <c r="A2490" s="75">
        <v>8511102</v>
      </c>
      <c r="B2490" s="73" t="s">
        <v>4194</v>
      </c>
      <c r="C2490" s="68">
        <v>99</v>
      </c>
      <c r="D2490" s="73" t="s">
        <v>4195</v>
      </c>
      <c r="E2490" s="77">
        <v>121.30932898471828</v>
      </c>
      <c r="F2490" s="77">
        <v>162.87529325909688</v>
      </c>
      <c r="G2490" s="76">
        <v>1.0350350950462768</v>
      </c>
    </row>
    <row r="2491" spans="1:7" x14ac:dyDescent="0.25">
      <c r="A2491" s="75">
        <v>8511201</v>
      </c>
      <c r="B2491" s="73" t="s">
        <v>4196</v>
      </c>
      <c r="C2491" s="68">
        <v>99</v>
      </c>
      <c r="D2491" s="73" t="s">
        <v>2981</v>
      </c>
      <c r="E2491" s="77">
        <v>108.72877480031237</v>
      </c>
      <c r="F2491" s="77">
        <v>89.212559584037379</v>
      </c>
      <c r="G2491" s="76">
        <v>0.71962661415577689</v>
      </c>
    </row>
    <row r="2492" spans="1:7" x14ac:dyDescent="0.25">
      <c r="A2492" s="75">
        <v>8511301</v>
      </c>
      <c r="B2492" s="73" t="s">
        <v>4197</v>
      </c>
      <c r="C2492" s="68">
        <v>99</v>
      </c>
      <c r="D2492" s="73" t="s">
        <v>4198</v>
      </c>
      <c r="E2492" s="77">
        <v>85.843501759488504</v>
      </c>
      <c r="F2492" s="77">
        <v>120.39132362521606</v>
      </c>
      <c r="G2492" s="76">
        <v>0.42390125681611202</v>
      </c>
    </row>
    <row r="2493" spans="1:7" x14ac:dyDescent="0.25">
      <c r="A2493" s="75">
        <v>8511401</v>
      </c>
      <c r="B2493" s="73" t="s">
        <v>4199</v>
      </c>
      <c r="C2493" s="68">
        <v>99</v>
      </c>
      <c r="D2493" s="73" t="s">
        <v>4200</v>
      </c>
      <c r="E2493" s="77">
        <v>81.309178221943171</v>
      </c>
      <c r="F2493" s="77">
        <v>62.038802878323033</v>
      </c>
      <c r="G2493" s="76">
        <v>0.2538399934768677</v>
      </c>
    </row>
    <row r="2494" spans="1:7" x14ac:dyDescent="0.25">
      <c r="A2494" s="75">
        <v>8511501</v>
      </c>
      <c r="B2494" s="73" t="s">
        <v>4201</v>
      </c>
      <c r="C2494" s="68">
        <v>99</v>
      </c>
      <c r="D2494" s="73" t="s">
        <v>4202</v>
      </c>
      <c r="E2494" s="77">
        <v>38.85</v>
      </c>
      <c r="F2494" s="77">
        <v>71.2</v>
      </c>
      <c r="G2494" s="76">
        <v>1</v>
      </c>
    </row>
    <row r="2495" spans="1:7" x14ac:dyDescent="0.25">
      <c r="A2495" s="75">
        <v>8511502</v>
      </c>
      <c r="B2495" s="73" t="s">
        <v>4203</v>
      </c>
      <c r="C2495" s="68">
        <v>99</v>
      </c>
      <c r="D2495" s="73" t="s">
        <v>4204</v>
      </c>
      <c r="E2495" s="77">
        <v>49.373869061403369</v>
      </c>
      <c r="F2495" s="77">
        <v>74.720193145853543</v>
      </c>
      <c r="G2495" s="76">
        <v>0.80803461816270838</v>
      </c>
    </row>
    <row r="2496" spans="1:7" x14ac:dyDescent="0.25">
      <c r="A2496" s="75">
        <v>8511701</v>
      </c>
      <c r="B2496" s="73" t="s">
        <v>4205</v>
      </c>
      <c r="C2496" s="68">
        <v>99</v>
      </c>
      <c r="D2496" s="73" t="s">
        <v>4206</v>
      </c>
      <c r="E2496" s="77">
        <v>79.330168932261728</v>
      </c>
      <c r="F2496" s="77">
        <v>103.44229305229523</v>
      </c>
      <c r="G2496" s="76">
        <v>0.8294608175800231</v>
      </c>
    </row>
    <row r="2497" spans="1:7" x14ac:dyDescent="0.25">
      <c r="A2497" s="75">
        <v>8511901</v>
      </c>
      <c r="B2497" s="73" t="s">
        <v>4207</v>
      </c>
      <c r="C2497" s="68">
        <v>99</v>
      </c>
      <c r="D2497" s="73" t="s">
        <v>4208</v>
      </c>
      <c r="E2497" s="77">
        <v>333.68191624320025</v>
      </c>
      <c r="F2497" s="77">
        <v>293.67501390083856</v>
      </c>
      <c r="G2497" s="76">
        <v>1.0092513077119076</v>
      </c>
    </row>
    <row r="2498" spans="1:7" x14ac:dyDescent="0.25">
      <c r="A2498" s="75">
        <v>8511902</v>
      </c>
      <c r="B2498" s="73" t="s">
        <v>4209</v>
      </c>
      <c r="C2498" s="68">
        <v>99</v>
      </c>
      <c r="D2498" s="73" t="s">
        <v>4210</v>
      </c>
      <c r="E2498" s="77">
        <v>591.77224502471313</v>
      </c>
      <c r="F2498" s="77">
        <v>423.2463477998358</v>
      </c>
      <c r="G2498" s="76">
        <v>2.1549920432793455</v>
      </c>
    </row>
    <row r="2499" spans="1:7" x14ac:dyDescent="0.25">
      <c r="A2499" s="75">
        <v>8512001</v>
      </c>
      <c r="B2499" s="73" t="s">
        <v>4211</v>
      </c>
      <c r="C2499" s="68">
        <v>99</v>
      </c>
      <c r="D2499" s="73" t="s">
        <v>4212</v>
      </c>
      <c r="E2499" s="77">
        <v>614.26277788323773</v>
      </c>
      <c r="F2499" s="77">
        <v>186.99121143966138</v>
      </c>
      <c r="G2499" s="76">
        <v>8.6051201973049221</v>
      </c>
    </row>
    <row r="2500" spans="1:7" x14ac:dyDescent="0.25">
      <c r="A2500" s="75">
        <v>8512101</v>
      </c>
      <c r="B2500" s="73" t="s">
        <v>4213</v>
      </c>
      <c r="C2500" s="68">
        <v>99</v>
      </c>
      <c r="D2500" s="73" t="s">
        <v>4214</v>
      </c>
      <c r="E2500" s="77">
        <v>355.30804228167642</v>
      </c>
      <c r="F2500" s="77">
        <v>264.9060167915689</v>
      </c>
      <c r="G2500" s="76">
        <v>1.456097891102512</v>
      </c>
    </row>
    <row r="2501" spans="1:7" x14ac:dyDescent="0.25">
      <c r="A2501" s="75">
        <v>8512201</v>
      </c>
      <c r="B2501" s="73" t="s">
        <v>4215</v>
      </c>
      <c r="C2501" s="68">
        <v>99</v>
      </c>
      <c r="D2501" s="73" t="s">
        <v>4216</v>
      </c>
      <c r="E2501" s="77">
        <v>146.88428719219058</v>
      </c>
      <c r="F2501" s="77">
        <v>70.118068337550142</v>
      </c>
      <c r="G2501" s="76">
        <v>0.54613314867834695</v>
      </c>
    </row>
    <row r="2502" spans="1:7" x14ac:dyDescent="0.25">
      <c r="A2502" s="75">
        <v>8512301</v>
      </c>
      <c r="B2502" s="73" t="s">
        <v>4217</v>
      </c>
      <c r="C2502" s="68">
        <v>99</v>
      </c>
      <c r="D2502" s="73" t="s">
        <v>4218</v>
      </c>
      <c r="E2502" s="77">
        <v>354.59452998957653</v>
      </c>
      <c r="F2502" s="77">
        <v>258.35337243057006</v>
      </c>
      <c r="G2502" s="76">
        <v>1.09938858411083</v>
      </c>
    </row>
    <row r="2503" spans="1:7" x14ac:dyDescent="0.25">
      <c r="A2503" s="75">
        <v>8512401</v>
      </c>
      <c r="B2503" s="73" t="s">
        <v>4219</v>
      </c>
      <c r="C2503" s="68">
        <v>99</v>
      </c>
      <c r="D2503" s="73" t="s">
        <v>4220</v>
      </c>
      <c r="E2503" s="77">
        <v>413.42947532326644</v>
      </c>
      <c r="F2503" s="77">
        <v>283.06796848088152</v>
      </c>
      <c r="G2503" s="76">
        <v>1.861187755930735</v>
      </c>
    </row>
    <row r="2504" spans="1:7" x14ac:dyDescent="0.25">
      <c r="A2504" s="75">
        <v>8512801</v>
      </c>
      <c r="B2504" s="73" t="s">
        <v>4221</v>
      </c>
      <c r="C2504" s="68">
        <v>99</v>
      </c>
      <c r="D2504" s="73" t="s">
        <v>4222</v>
      </c>
      <c r="E2504" s="77">
        <v>335.41121854604023</v>
      </c>
      <c r="F2504" s="77">
        <v>406.88624703717591</v>
      </c>
      <c r="G2504" s="76">
        <v>2.4055861840959132</v>
      </c>
    </row>
    <row r="2505" spans="1:7" x14ac:dyDescent="0.25">
      <c r="A2505" s="75">
        <v>8512901</v>
      </c>
      <c r="B2505" s="73" t="s">
        <v>4223</v>
      </c>
      <c r="C2505" s="68">
        <v>99</v>
      </c>
      <c r="D2505" s="73" t="s">
        <v>4224</v>
      </c>
      <c r="E2505" s="77">
        <v>589.99290243373196</v>
      </c>
      <c r="F2505" s="77">
        <v>457.11047009396486</v>
      </c>
      <c r="G2505" s="76">
        <v>2.3186086956521739</v>
      </c>
    </row>
    <row r="2506" spans="1:7" x14ac:dyDescent="0.25">
      <c r="A2506" s="75">
        <v>8513001</v>
      </c>
      <c r="B2506" s="73" t="s">
        <v>4225</v>
      </c>
      <c r="C2506" s="68">
        <v>99</v>
      </c>
      <c r="D2506" s="73" t="s">
        <v>4226</v>
      </c>
      <c r="E2506" s="77">
        <v>549.49290243373184</v>
      </c>
      <c r="F2506" s="77">
        <v>460.80250657071144</v>
      </c>
      <c r="G2506" s="76">
        <v>1.8206086956521741</v>
      </c>
    </row>
    <row r="2507" spans="1:7" x14ac:dyDescent="0.25">
      <c r="A2507" s="75">
        <v>8513201</v>
      </c>
      <c r="B2507" s="73" t="s">
        <v>4227</v>
      </c>
      <c r="C2507" s="68">
        <v>99</v>
      </c>
      <c r="D2507" s="73" t="s">
        <v>4228</v>
      </c>
      <c r="E2507" s="77">
        <v>274.69749755070484</v>
      </c>
      <c r="F2507" s="77">
        <v>186.05906689572271</v>
      </c>
      <c r="G2507" s="76">
        <v>0.99816967892854114</v>
      </c>
    </row>
    <row r="2508" spans="1:7" x14ac:dyDescent="0.25">
      <c r="A2508" s="75">
        <v>8570107</v>
      </c>
      <c r="B2508" s="73" t="s">
        <v>1821</v>
      </c>
      <c r="C2508" s="68">
        <v>99</v>
      </c>
      <c r="D2508" s="73" t="s">
        <v>4229</v>
      </c>
      <c r="E2508" s="77">
        <v>90.920382961575072</v>
      </c>
      <c r="F2508" s="77">
        <v>92.813379403208629</v>
      </c>
      <c r="G2508" s="76">
        <v>0.32101858116328374</v>
      </c>
    </row>
    <row r="2509" spans="1:7" x14ac:dyDescent="0.25">
      <c r="A2509" s="75">
        <v>8570328</v>
      </c>
      <c r="B2509" s="73" t="s">
        <v>1822</v>
      </c>
      <c r="C2509" s="68">
        <v>99</v>
      </c>
      <c r="D2509" s="73" t="s">
        <v>4230</v>
      </c>
      <c r="E2509" s="77">
        <v>350.34949508383556</v>
      </c>
      <c r="F2509" s="77">
        <v>195.17594548619041</v>
      </c>
      <c r="G2509" s="76">
        <v>3.770797766977946</v>
      </c>
    </row>
    <row r="2510" spans="1:7" x14ac:dyDescent="0.25">
      <c r="A2510" s="75">
        <v>8570329</v>
      </c>
      <c r="B2510" s="73" t="s">
        <v>1823</v>
      </c>
      <c r="C2510" s="68">
        <v>99</v>
      </c>
      <c r="D2510" s="73" t="s">
        <v>4231</v>
      </c>
      <c r="E2510" s="77">
        <v>83.933550097668757</v>
      </c>
      <c r="F2510" s="77">
        <v>171.4086309596195</v>
      </c>
      <c r="G2510" s="76">
        <v>2.2427699813842774</v>
      </c>
    </row>
    <row r="2511" spans="1:7" x14ac:dyDescent="0.25">
      <c r="A2511" s="75">
        <v>8570330</v>
      </c>
      <c r="B2511" s="73" t="s">
        <v>1824</v>
      </c>
      <c r="C2511" s="68">
        <v>99</v>
      </c>
      <c r="D2511" s="73" t="s">
        <v>4232</v>
      </c>
      <c r="E2511" s="77">
        <v>245.85563518152316</v>
      </c>
      <c r="F2511" s="77">
        <v>224.18098126730251</v>
      </c>
      <c r="G2511" s="76">
        <v>1.5411442546867158</v>
      </c>
    </row>
    <row r="2512" spans="1:7" x14ac:dyDescent="0.25">
      <c r="A2512" s="75">
        <v>8570331</v>
      </c>
      <c r="B2512" s="73" t="s">
        <v>4233</v>
      </c>
      <c r="C2512" s="68">
        <v>99</v>
      </c>
      <c r="D2512" s="73" t="s">
        <v>4234</v>
      </c>
      <c r="E2512" s="77">
        <v>382.48352219627679</v>
      </c>
      <c r="F2512" s="77">
        <v>313.80534662969382</v>
      </c>
      <c r="G2512" s="76">
        <v>1.9316977330376042</v>
      </c>
    </row>
    <row r="2513" spans="1:7" x14ac:dyDescent="0.25">
      <c r="A2513" s="75">
        <v>8571110</v>
      </c>
      <c r="B2513" s="73" t="s">
        <v>1825</v>
      </c>
      <c r="C2513" s="68">
        <v>99</v>
      </c>
      <c r="D2513" s="73" t="s">
        <v>4235</v>
      </c>
      <c r="E2513" s="77">
        <v>2798.1729486476115</v>
      </c>
      <c r="F2513" s="77">
        <v>1873.8316176846599</v>
      </c>
      <c r="G2513" s="76">
        <v>11.537941449441922</v>
      </c>
    </row>
    <row r="2514" spans="1:7" x14ac:dyDescent="0.25">
      <c r="A2514" s="75">
        <v>8571111</v>
      </c>
      <c r="B2514" s="73" t="s">
        <v>1826</v>
      </c>
      <c r="C2514" s="68">
        <v>99</v>
      </c>
      <c r="D2514" s="73" t="s">
        <v>4236</v>
      </c>
      <c r="E2514" s="77">
        <v>2821.7907560609278</v>
      </c>
      <c r="F2514" s="77">
        <v>1880.0580782085158</v>
      </c>
      <c r="G2514" s="76">
        <v>11.751474724733773</v>
      </c>
    </row>
    <row r="2515" spans="1:7" x14ac:dyDescent="0.25">
      <c r="A2515" s="75">
        <v>8571112</v>
      </c>
      <c r="B2515" s="73" t="s">
        <v>1827</v>
      </c>
      <c r="C2515" s="68">
        <v>99</v>
      </c>
      <c r="D2515" s="73" t="s">
        <v>4237</v>
      </c>
      <c r="E2515" s="77">
        <v>328.49545001697902</v>
      </c>
      <c r="F2515" s="77">
        <v>406.85700791372903</v>
      </c>
      <c r="G2515" s="76">
        <v>2.3446208273954072</v>
      </c>
    </row>
    <row r="2516" spans="1:7" x14ac:dyDescent="0.25">
      <c r="A2516" s="75">
        <v>8571113</v>
      </c>
      <c r="B2516" s="73" t="s">
        <v>1828</v>
      </c>
      <c r="C2516" s="68">
        <v>99</v>
      </c>
      <c r="D2516" s="73" t="s">
        <v>4238</v>
      </c>
      <c r="E2516" s="77">
        <v>331.72885546518035</v>
      </c>
      <c r="F2516" s="77">
        <v>387.96364924711827</v>
      </c>
      <c r="G2516" s="76">
        <v>2.4799769461082222</v>
      </c>
    </row>
    <row r="2517" spans="1:7" x14ac:dyDescent="0.25">
      <c r="A2517" s="75">
        <v>8578404</v>
      </c>
      <c r="B2517" s="73" t="s">
        <v>1829</v>
      </c>
      <c r="C2517" s="68">
        <v>99</v>
      </c>
      <c r="D2517" s="73" t="s">
        <v>4239</v>
      </c>
      <c r="E2517" s="77">
        <v>82.190217049466</v>
      </c>
      <c r="F2517" s="77">
        <v>99.488465886836593</v>
      </c>
      <c r="G2517" s="76">
        <v>0.22100706016792021</v>
      </c>
    </row>
    <row r="2518" spans="1:7" x14ac:dyDescent="0.25">
      <c r="A2518" s="75">
        <v>8579002</v>
      </c>
      <c r="B2518" s="73" t="s">
        <v>1830</v>
      </c>
      <c r="C2518" s="68">
        <v>99</v>
      </c>
      <c r="D2518" s="73" t="s">
        <v>4240</v>
      </c>
      <c r="E2518" s="77">
        <v>2061.7243416913348</v>
      </c>
      <c r="F2518" s="77">
        <v>1845.7513116826135</v>
      </c>
      <c r="G2518" s="76">
        <v>1.5641992978930563</v>
      </c>
    </row>
    <row r="2519" spans="1:7" x14ac:dyDescent="0.25">
      <c r="A2519" s="75">
        <v>8579003</v>
      </c>
      <c r="B2519" s="73" t="s">
        <v>1831</v>
      </c>
      <c r="C2519" s="68">
        <v>99</v>
      </c>
      <c r="D2519" s="73" t="s">
        <v>4240</v>
      </c>
      <c r="E2519" s="77">
        <v>2061.7243416913348</v>
      </c>
      <c r="F2519" s="77">
        <v>1845.7513116826135</v>
      </c>
      <c r="G2519" s="76">
        <v>1.5641992978930566</v>
      </c>
    </row>
    <row r="2520" spans="1:7" x14ac:dyDescent="0.25">
      <c r="A2520" s="75">
        <v>8579004</v>
      </c>
      <c r="B2520" s="73" t="s">
        <v>1832</v>
      </c>
      <c r="C2520" s="68">
        <v>99</v>
      </c>
      <c r="D2520" s="73" t="s">
        <v>4241</v>
      </c>
      <c r="E2520" s="77">
        <v>110.16386706215755</v>
      </c>
      <c r="F2520" s="77">
        <v>76.017568827089491</v>
      </c>
      <c r="G2520" s="76">
        <v>0.51027801358577551</v>
      </c>
    </row>
    <row r="2521" spans="1:7" x14ac:dyDescent="0.25">
      <c r="A2521" s="75">
        <v>8579005</v>
      </c>
      <c r="B2521" s="73" t="s">
        <v>1833</v>
      </c>
      <c r="C2521" s="68">
        <v>99</v>
      </c>
      <c r="D2521" s="73" t="s">
        <v>4242</v>
      </c>
      <c r="E2521" s="77">
        <v>82.626603518427999</v>
      </c>
      <c r="F2521" s="77">
        <v>67.302489708724579</v>
      </c>
      <c r="G2521" s="76">
        <v>0.67367881287557529</v>
      </c>
    </row>
    <row r="2522" spans="1:7" x14ac:dyDescent="0.25">
      <c r="A2522" s="75">
        <v>8579006</v>
      </c>
      <c r="B2522" s="73" t="s">
        <v>1834</v>
      </c>
      <c r="C2522" s="68">
        <v>99</v>
      </c>
      <c r="D2522" s="73" t="s">
        <v>4243</v>
      </c>
      <c r="E2522" s="77">
        <v>243.32803244506027</v>
      </c>
      <c r="F2522" s="77">
        <v>200.00499071164035</v>
      </c>
      <c r="G2522" s="76">
        <v>1.4025792076082499</v>
      </c>
    </row>
    <row r="2523" spans="1:7" x14ac:dyDescent="0.25">
      <c r="A2523" s="75">
        <v>8579007</v>
      </c>
      <c r="B2523" s="73" t="s">
        <v>4244</v>
      </c>
      <c r="C2523" s="68">
        <v>99</v>
      </c>
      <c r="D2523" s="73" t="s">
        <v>4236</v>
      </c>
      <c r="E2523" s="77">
        <v>2821.7907560609278</v>
      </c>
      <c r="F2523" s="77">
        <v>1880.0580782085158</v>
      </c>
      <c r="G2523" s="76">
        <v>11.751474724733773</v>
      </c>
    </row>
    <row r="2524" spans="1:7" x14ac:dyDescent="0.25">
      <c r="A2524" s="75">
        <v>8579008</v>
      </c>
      <c r="B2524" s="73" t="s">
        <v>4245</v>
      </c>
      <c r="C2524" s="68">
        <v>99</v>
      </c>
      <c r="D2524" s="73" t="s">
        <v>4159</v>
      </c>
      <c r="E2524" s="77">
        <v>3115.8878575640433</v>
      </c>
      <c r="F2524" s="77">
        <v>1996.2555867171213</v>
      </c>
      <c r="G2524" s="76">
        <v>12.148869122736388</v>
      </c>
    </row>
    <row r="2525" spans="1:7" x14ac:dyDescent="0.25">
      <c r="A2525" s="75">
        <v>8579009</v>
      </c>
      <c r="B2525" s="73" t="s">
        <v>4246</v>
      </c>
      <c r="C2525" s="68">
        <v>99</v>
      </c>
      <c r="D2525" s="73" t="s">
        <v>4236</v>
      </c>
      <c r="E2525" s="77">
        <v>2804.0154227275943</v>
      </c>
      <c r="F2525" s="77">
        <v>1880.058078208516</v>
      </c>
      <c r="G2525" s="76">
        <v>11.751474724733773</v>
      </c>
    </row>
    <row r="2526" spans="1:7" x14ac:dyDescent="0.25">
      <c r="A2526" s="75">
        <v>8579011</v>
      </c>
      <c r="B2526" s="73" t="s">
        <v>4247</v>
      </c>
      <c r="C2526" s="68">
        <v>99</v>
      </c>
      <c r="D2526" s="73" t="s">
        <v>4236</v>
      </c>
      <c r="E2526" s="77">
        <v>2821.7907560609278</v>
      </c>
      <c r="F2526" s="77">
        <v>1880.0580782085158</v>
      </c>
      <c r="G2526" s="76">
        <v>11.751474724733773</v>
      </c>
    </row>
    <row r="2527" spans="1:7" x14ac:dyDescent="0.25">
      <c r="A2527" s="75">
        <v>8579012</v>
      </c>
      <c r="B2527" s="73" t="s">
        <v>4248</v>
      </c>
      <c r="C2527" s="68">
        <v>99</v>
      </c>
      <c r="D2527" s="73" t="s">
        <v>4236</v>
      </c>
      <c r="E2527" s="77">
        <v>2821.7907560609278</v>
      </c>
      <c r="F2527" s="77">
        <v>1880.0580782085156</v>
      </c>
      <c r="G2527" s="76">
        <v>11.751474724733773</v>
      </c>
    </row>
    <row r="2528" spans="1:7" ht="30" x14ac:dyDescent="0.25">
      <c r="A2528" s="75">
        <v>8579015</v>
      </c>
      <c r="B2528" s="73" t="s">
        <v>4249</v>
      </c>
      <c r="C2528" s="68">
        <v>99</v>
      </c>
      <c r="D2528" s="73" t="s">
        <v>4238</v>
      </c>
      <c r="E2528" s="77">
        <v>331.72885546518035</v>
      </c>
      <c r="F2528" s="77">
        <v>387.96364924711821</v>
      </c>
      <c r="G2528" s="76">
        <v>2.4799769461082226</v>
      </c>
    </row>
    <row r="2529" spans="1:7" x14ac:dyDescent="0.25">
      <c r="A2529" s="75">
        <v>8579017</v>
      </c>
      <c r="B2529" s="73" t="s">
        <v>4250</v>
      </c>
      <c r="C2529" s="68">
        <v>99</v>
      </c>
      <c r="D2529" s="73" t="s">
        <v>4238</v>
      </c>
      <c r="E2529" s="77">
        <v>331.72885546518035</v>
      </c>
      <c r="F2529" s="77">
        <v>387.96364924711827</v>
      </c>
      <c r="G2529" s="76">
        <v>2.4799769461082222</v>
      </c>
    </row>
    <row r="2530" spans="1:7" x14ac:dyDescent="0.25">
      <c r="A2530" s="75">
        <v>8579019</v>
      </c>
      <c r="B2530" s="73" t="s">
        <v>4251</v>
      </c>
      <c r="C2530" s="68">
        <v>99</v>
      </c>
      <c r="D2530" s="73" t="s">
        <v>4252</v>
      </c>
      <c r="E2530" s="77">
        <v>294.29096273624259</v>
      </c>
      <c r="F2530" s="77">
        <v>280.93345782878623</v>
      </c>
      <c r="G2530" s="76">
        <v>2.2714938948640988</v>
      </c>
    </row>
    <row r="2531" spans="1:7" x14ac:dyDescent="0.25">
      <c r="A2531" s="75">
        <v>8579022</v>
      </c>
      <c r="B2531" s="73" t="s">
        <v>4253</v>
      </c>
      <c r="C2531" s="68">
        <v>99</v>
      </c>
      <c r="D2531" s="73" t="s">
        <v>4254</v>
      </c>
      <c r="E2531" s="77">
        <v>293.84701880978662</v>
      </c>
      <c r="F2531" s="77">
        <v>259.31521418180347</v>
      </c>
      <c r="G2531" s="76">
        <v>1.4504819245244382</v>
      </c>
    </row>
    <row r="2532" spans="1:7" x14ac:dyDescent="0.25">
      <c r="A2532" s="75">
        <v>8579023</v>
      </c>
      <c r="B2532" s="73" t="s">
        <v>4255</v>
      </c>
      <c r="C2532" s="68">
        <v>99</v>
      </c>
      <c r="D2532" s="73" t="s">
        <v>4256</v>
      </c>
      <c r="E2532" s="77">
        <v>203.57023087886193</v>
      </c>
      <c r="F2532" s="77">
        <v>159.44531551347751</v>
      </c>
      <c r="G2532" s="76">
        <v>0.77330052910567981</v>
      </c>
    </row>
    <row r="2533" spans="1:7" x14ac:dyDescent="0.25">
      <c r="A2533" s="75">
        <v>8579024</v>
      </c>
      <c r="B2533" s="73" t="s">
        <v>4257</v>
      </c>
      <c r="C2533" s="68">
        <v>99</v>
      </c>
      <c r="D2533" s="73" t="s">
        <v>4116</v>
      </c>
      <c r="E2533" s="77">
        <v>339.44615428971423</v>
      </c>
      <c r="F2533" s="77">
        <v>420.10022726716909</v>
      </c>
      <c r="G2533" s="76">
        <v>2.1771276019258625</v>
      </c>
    </row>
    <row r="2534" spans="1:7" x14ac:dyDescent="0.25">
      <c r="A2534" s="75">
        <v>8579025</v>
      </c>
      <c r="B2534" s="73" t="s">
        <v>4258</v>
      </c>
      <c r="C2534" s="68">
        <v>99</v>
      </c>
      <c r="D2534" s="73" t="s">
        <v>4259</v>
      </c>
      <c r="E2534" s="77">
        <v>1007.3560747339591</v>
      </c>
      <c r="F2534" s="77">
        <v>51.550075717148715</v>
      </c>
      <c r="G2534" s="76">
        <v>21.633234644011576</v>
      </c>
    </row>
    <row r="2535" spans="1:7" x14ac:dyDescent="0.25">
      <c r="A2535" s="75">
        <v>8579027</v>
      </c>
      <c r="B2535" s="73" t="s">
        <v>4260</v>
      </c>
      <c r="C2535" s="68">
        <v>99</v>
      </c>
      <c r="D2535" s="73" t="s">
        <v>4261</v>
      </c>
      <c r="E2535" s="77">
        <v>158.79899436955574</v>
      </c>
      <c r="F2535" s="77">
        <v>95.083474641369293</v>
      </c>
      <c r="G2535" s="76">
        <v>0.39150024365331498</v>
      </c>
    </row>
    <row r="2536" spans="1:7" x14ac:dyDescent="0.25">
      <c r="A2536" s="75">
        <v>8579029</v>
      </c>
      <c r="B2536" s="73" t="s">
        <v>4262</v>
      </c>
      <c r="C2536" s="68">
        <v>99</v>
      </c>
      <c r="D2536" s="73" t="s">
        <v>4263</v>
      </c>
      <c r="E2536" s="77">
        <v>342.30908373467111</v>
      </c>
      <c r="F2536" s="77">
        <v>271.91013993877215</v>
      </c>
      <c r="G2536" s="76">
        <v>1.0039379895840694</v>
      </c>
    </row>
    <row r="2537" spans="1:7" x14ac:dyDescent="0.25">
      <c r="A2537" s="75">
        <v>8579030</v>
      </c>
      <c r="B2537" s="73" t="s">
        <v>4264</v>
      </c>
      <c r="C2537" s="68">
        <v>99</v>
      </c>
      <c r="D2537" s="73" t="s">
        <v>4265</v>
      </c>
      <c r="E2537" s="77">
        <v>607.63391304259073</v>
      </c>
      <c r="F2537" s="77">
        <v>505.25708122269208</v>
      </c>
      <c r="G2537" s="76">
        <v>1.8526485168445677</v>
      </c>
    </row>
    <row r="2538" spans="1:7" ht="30" x14ac:dyDescent="0.25">
      <c r="A2538" s="75">
        <v>8579031</v>
      </c>
      <c r="B2538" s="73" t="s">
        <v>4266</v>
      </c>
      <c r="C2538" s="68">
        <v>99</v>
      </c>
      <c r="D2538" s="73" t="s">
        <v>4267</v>
      </c>
      <c r="E2538" s="77">
        <v>141.04496387375139</v>
      </c>
      <c r="F2538" s="77">
        <v>86.077157920683717</v>
      </c>
      <c r="G2538" s="76">
        <v>0.94733121774477025</v>
      </c>
    </row>
    <row r="2539" spans="1:7" x14ac:dyDescent="0.25">
      <c r="A2539" s="75">
        <v>8579032</v>
      </c>
      <c r="B2539" s="73" t="s">
        <v>4268</v>
      </c>
      <c r="C2539" s="68">
        <v>99</v>
      </c>
      <c r="D2539" s="73" t="s">
        <v>4269</v>
      </c>
      <c r="E2539" s="77">
        <v>129.69477818519016</v>
      </c>
      <c r="F2539" s="77">
        <v>341.90805520074224</v>
      </c>
      <c r="G2539" s="76">
        <v>0.87054285299101553</v>
      </c>
    </row>
    <row r="2540" spans="1:7" x14ac:dyDescent="0.25">
      <c r="A2540" s="75">
        <v>8579033</v>
      </c>
      <c r="B2540" s="73" t="s">
        <v>4270</v>
      </c>
      <c r="C2540" s="68">
        <v>99</v>
      </c>
      <c r="D2540" s="73" t="s">
        <v>4271</v>
      </c>
      <c r="E2540" s="77">
        <v>113.33712810676982</v>
      </c>
      <c r="F2540" s="77">
        <v>159.51265337696609</v>
      </c>
      <c r="G2540" s="76">
        <v>0.44296407897810619</v>
      </c>
    </row>
    <row r="2541" spans="1:7" x14ac:dyDescent="0.25">
      <c r="A2541" s="75">
        <v>8579034</v>
      </c>
      <c r="B2541" s="73" t="s">
        <v>4272</v>
      </c>
      <c r="C2541" s="68">
        <v>99</v>
      </c>
      <c r="D2541" s="73" t="s">
        <v>4273</v>
      </c>
      <c r="E2541" s="77">
        <v>148.5597528068526</v>
      </c>
      <c r="F2541" s="77">
        <v>254.60743092217544</v>
      </c>
      <c r="G2541" s="76">
        <v>1.1727306199138732</v>
      </c>
    </row>
    <row r="2542" spans="1:7" x14ac:dyDescent="0.25">
      <c r="A2542" s="75">
        <v>8579035</v>
      </c>
      <c r="B2542" s="73" t="s">
        <v>4274</v>
      </c>
      <c r="C2542" s="68">
        <v>99</v>
      </c>
      <c r="D2542" s="73" t="s">
        <v>4275</v>
      </c>
      <c r="E2542" s="77">
        <v>100.79763656885058</v>
      </c>
      <c r="F2542" s="77">
        <v>71.029356562745917</v>
      </c>
      <c r="G2542" s="76">
        <v>0.36841162765779334</v>
      </c>
    </row>
    <row r="2543" spans="1:7" x14ac:dyDescent="0.25">
      <c r="A2543" s="75">
        <v>8579036</v>
      </c>
      <c r="B2543" s="73" t="s">
        <v>4276</v>
      </c>
      <c r="C2543" s="68">
        <v>99</v>
      </c>
      <c r="D2543" s="73" t="s">
        <v>4277</v>
      </c>
      <c r="E2543" s="77">
        <v>266.82990611404296</v>
      </c>
      <c r="F2543" s="77">
        <v>169.94850062364031</v>
      </c>
      <c r="G2543" s="76">
        <v>0.96069660089700271</v>
      </c>
    </row>
    <row r="2544" spans="1:7" x14ac:dyDescent="0.25">
      <c r="A2544" s="75">
        <v>8579037</v>
      </c>
      <c r="B2544" s="73" t="s">
        <v>4278</v>
      </c>
      <c r="C2544" s="68">
        <v>99</v>
      </c>
      <c r="D2544" s="73" t="s">
        <v>4279</v>
      </c>
      <c r="E2544" s="77">
        <v>169.36963020464296</v>
      </c>
      <c r="F2544" s="77">
        <v>152.65763867359314</v>
      </c>
      <c r="G2544" s="76">
        <v>0.60261139346362014</v>
      </c>
    </row>
    <row r="2545" spans="1:7" x14ac:dyDescent="0.25">
      <c r="A2545" s="75">
        <v>8579038</v>
      </c>
      <c r="B2545" s="73" t="s">
        <v>4280</v>
      </c>
      <c r="C2545" s="68">
        <v>99</v>
      </c>
      <c r="D2545" s="73" t="s">
        <v>4113</v>
      </c>
      <c r="E2545" s="77">
        <v>212.59500686965075</v>
      </c>
      <c r="F2545" s="77">
        <v>184.20395970625515</v>
      </c>
      <c r="G2545" s="76">
        <v>1.0952409780031378</v>
      </c>
    </row>
    <row r="2546" spans="1:7" x14ac:dyDescent="0.25">
      <c r="A2546" s="75">
        <v>8579039</v>
      </c>
      <c r="B2546" s="73" t="s">
        <v>4281</v>
      </c>
      <c r="C2546" s="68">
        <v>99</v>
      </c>
      <c r="D2546" s="73" t="s">
        <v>4282</v>
      </c>
      <c r="E2546" s="77">
        <v>262.7294456332499</v>
      </c>
      <c r="F2546" s="77">
        <v>185.9032931218247</v>
      </c>
      <c r="G2546" s="76">
        <v>1.4413757160514311</v>
      </c>
    </row>
    <row r="2547" spans="1:7" x14ac:dyDescent="0.25">
      <c r="A2547" s="75">
        <v>8579040</v>
      </c>
      <c r="B2547" s="73" t="s">
        <v>4283</v>
      </c>
      <c r="C2547" s="68">
        <v>99</v>
      </c>
      <c r="D2547" s="73" t="s">
        <v>4284</v>
      </c>
      <c r="E2547" s="77">
        <v>331.9694037248882</v>
      </c>
      <c r="F2547" s="77">
        <v>107.11165760906117</v>
      </c>
      <c r="G2547" s="76">
        <v>12.513364001170061</v>
      </c>
    </row>
    <row r="2548" spans="1:7" x14ac:dyDescent="0.25">
      <c r="A2548" s="75">
        <v>8579042</v>
      </c>
      <c r="B2548" s="73" t="s">
        <v>4285</v>
      </c>
      <c r="C2548" s="68">
        <v>99</v>
      </c>
      <c r="D2548" s="73" t="s">
        <v>4286</v>
      </c>
      <c r="E2548" s="77">
        <v>264.69552515897561</v>
      </c>
      <c r="F2548" s="77">
        <v>229.30517494008754</v>
      </c>
      <c r="G2548" s="76">
        <v>1.2578361530071125</v>
      </c>
    </row>
    <row r="2549" spans="1:7" x14ac:dyDescent="0.25">
      <c r="A2549" s="75">
        <v>8579043</v>
      </c>
      <c r="B2549" s="73" t="s">
        <v>4287</v>
      </c>
      <c r="C2549" s="68">
        <v>99</v>
      </c>
      <c r="D2549" s="73" t="s">
        <v>4288</v>
      </c>
      <c r="E2549" s="77">
        <v>232.08792432831268</v>
      </c>
      <c r="F2549" s="77">
        <v>185.88482433994113</v>
      </c>
      <c r="G2549" s="76">
        <v>0.76638875691533648</v>
      </c>
    </row>
    <row r="2550" spans="1:7" x14ac:dyDescent="0.25">
      <c r="A2550" s="75">
        <v>8579045</v>
      </c>
      <c r="B2550" s="73" t="s">
        <v>4289</v>
      </c>
      <c r="C2550" s="68">
        <v>99</v>
      </c>
      <c r="D2550" s="73" t="s">
        <v>4290</v>
      </c>
      <c r="E2550" s="77">
        <v>274.36789732515484</v>
      </c>
      <c r="F2550" s="77">
        <v>266.20297898839397</v>
      </c>
      <c r="G2550" s="76">
        <v>1.5808636636724254</v>
      </c>
    </row>
    <row r="2551" spans="1:7" x14ac:dyDescent="0.25">
      <c r="A2551" s="75">
        <v>8579046</v>
      </c>
      <c r="B2551" s="73" t="s">
        <v>4291</v>
      </c>
      <c r="C2551" s="68">
        <v>99</v>
      </c>
      <c r="D2551" s="73" t="s">
        <v>4292</v>
      </c>
      <c r="E2551" s="77">
        <v>86.879179682276344</v>
      </c>
      <c r="F2551" s="77">
        <v>113.07855714343773</v>
      </c>
      <c r="G2551" s="76">
        <v>0.30898584968364678</v>
      </c>
    </row>
    <row r="2552" spans="1:7" x14ac:dyDescent="0.25">
      <c r="A2552" s="75">
        <v>8579047</v>
      </c>
      <c r="B2552" s="73" t="s">
        <v>4293</v>
      </c>
      <c r="C2552" s="68">
        <v>99</v>
      </c>
      <c r="D2552" s="73" t="s">
        <v>4294</v>
      </c>
      <c r="E2552" s="77">
        <v>199.80351366416983</v>
      </c>
      <c r="F2552" s="77">
        <v>243.28536782230802</v>
      </c>
      <c r="G2552" s="76">
        <v>0.68703393266960322</v>
      </c>
    </row>
    <row r="2553" spans="1:7" x14ac:dyDescent="0.25">
      <c r="A2553" s="75">
        <v>8579048</v>
      </c>
      <c r="B2553" s="73" t="s">
        <v>4295</v>
      </c>
      <c r="C2553" s="68">
        <v>99</v>
      </c>
      <c r="D2553" s="73" t="s">
        <v>4296</v>
      </c>
      <c r="E2553" s="77">
        <v>1320.9595392725553</v>
      </c>
      <c r="F2553" s="77">
        <v>933.43386847242164</v>
      </c>
      <c r="G2553" s="76">
        <v>5.3888451450949431</v>
      </c>
    </row>
    <row r="2554" spans="1:7" x14ac:dyDescent="0.25">
      <c r="A2554" s="75">
        <v>8579050</v>
      </c>
      <c r="B2554" s="73" t="s">
        <v>4297</v>
      </c>
      <c r="C2554" s="68">
        <v>99</v>
      </c>
      <c r="D2554" s="73" t="s">
        <v>4298</v>
      </c>
      <c r="E2554" s="77">
        <v>2684.4272400796513</v>
      </c>
      <c r="F2554" s="77">
        <v>1834.6056161624249</v>
      </c>
      <c r="G2554" s="76">
        <v>11.356156628272895</v>
      </c>
    </row>
    <row r="2555" spans="1:7" x14ac:dyDescent="0.25">
      <c r="A2555" s="75">
        <v>8579052</v>
      </c>
      <c r="B2555" s="73" t="s">
        <v>4299</v>
      </c>
      <c r="C2555" s="68">
        <v>99</v>
      </c>
      <c r="D2555" s="73" t="s">
        <v>4300</v>
      </c>
      <c r="E2555" s="77">
        <v>444.96415688323594</v>
      </c>
      <c r="F2555" s="77">
        <v>526.15560283064963</v>
      </c>
      <c r="G2555" s="76">
        <v>3.162162131513309</v>
      </c>
    </row>
    <row r="2556" spans="1:7" x14ac:dyDescent="0.25">
      <c r="A2556" s="75">
        <v>8579053</v>
      </c>
      <c r="B2556" s="73" t="s">
        <v>4301</v>
      </c>
      <c r="C2556" s="68">
        <v>99</v>
      </c>
      <c r="D2556" s="73" t="s">
        <v>4302</v>
      </c>
      <c r="E2556" s="77">
        <v>516.34576076726159</v>
      </c>
      <c r="F2556" s="77">
        <v>396.40883456861491</v>
      </c>
      <c r="G2556" s="76">
        <v>2.1743660615011859</v>
      </c>
    </row>
    <row r="2557" spans="1:7" x14ac:dyDescent="0.25">
      <c r="A2557" s="75">
        <v>8579054</v>
      </c>
      <c r="B2557" s="73" t="s">
        <v>4303</v>
      </c>
      <c r="C2557" s="68">
        <v>99</v>
      </c>
      <c r="D2557" s="73" t="s">
        <v>4304</v>
      </c>
      <c r="E2557" s="77">
        <v>165.63253101318088</v>
      </c>
      <c r="F2557" s="77">
        <v>144.71062520673027</v>
      </c>
      <c r="G2557" s="76">
        <v>1.0108575258500463</v>
      </c>
    </row>
    <row r="2558" spans="1:7" x14ac:dyDescent="0.25">
      <c r="A2558" s="75">
        <v>8579055</v>
      </c>
      <c r="B2558" s="73" t="s">
        <v>4305</v>
      </c>
      <c r="C2558" s="68">
        <v>99</v>
      </c>
      <c r="D2558" s="73" t="s">
        <v>3620</v>
      </c>
      <c r="E2558" s="77">
        <v>1182.6229993595935</v>
      </c>
      <c r="F2558" s="77">
        <v>783.19287677569298</v>
      </c>
      <c r="G2558" s="76">
        <v>4.9496875138180707</v>
      </c>
    </row>
    <row r="2559" spans="1:7" x14ac:dyDescent="0.25">
      <c r="A2559" s="75">
        <v>8579057</v>
      </c>
      <c r="B2559" s="73" t="s">
        <v>4306</v>
      </c>
      <c r="C2559" s="68">
        <v>99</v>
      </c>
      <c r="D2559" s="73" t="s">
        <v>4088</v>
      </c>
      <c r="E2559" s="77">
        <v>291.85008053311003</v>
      </c>
      <c r="F2559" s="77">
        <v>267.83133822153923</v>
      </c>
      <c r="G2559" s="76">
        <v>1.7174861342649954</v>
      </c>
    </row>
    <row r="2560" spans="1:7" x14ac:dyDescent="0.25">
      <c r="A2560" s="75">
        <v>8579058</v>
      </c>
      <c r="B2560" s="73" t="s">
        <v>4307</v>
      </c>
      <c r="C2560" s="68">
        <v>99</v>
      </c>
      <c r="D2560" s="73" t="s">
        <v>4308</v>
      </c>
      <c r="E2560" s="77">
        <v>290.86721112452733</v>
      </c>
      <c r="F2560" s="77">
        <v>260.38125659279052</v>
      </c>
      <c r="G2560" s="76">
        <v>2.0543608742493893</v>
      </c>
    </row>
    <row r="2561" spans="1:7" x14ac:dyDescent="0.25">
      <c r="A2561" s="75">
        <v>8579059</v>
      </c>
      <c r="B2561" s="73" t="s">
        <v>4309</v>
      </c>
      <c r="C2561" s="68">
        <v>99</v>
      </c>
      <c r="D2561" s="73" t="s">
        <v>4310</v>
      </c>
      <c r="E2561" s="77">
        <v>215.78164234298848</v>
      </c>
      <c r="F2561" s="77">
        <v>264.82168136212778</v>
      </c>
      <c r="G2561" s="76">
        <v>1.1359853072315689</v>
      </c>
    </row>
    <row r="2562" spans="1:7" x14ac:dyDescent="0.25">
      <c r="A2562" s="75">
        <v>8579064</v>
      </c>
      <c r="B2562" s="73" t="s">
        <v>4311</v>
      </c>
      <c r="C2562" s="68">
        <v>99</v>
      </c>
      <c r="D2562" s="73" t="s">
        <v>4312</v>
      </c>
      <c r="E2562" s="77">
        <v>3058.8115719479092</v>
      </c>
      <c r="F2562" s="77">
        <v>2027.5224812150268</v>
      </c>
      <c r="G2562" s="76">
        <v>12.62627769881772</v>
      </c>
    </row>
    <row r="2563" spans="1:7" x14ac:dyDescent="0.25">
      <c r="A2563" s="75">
        <v>8579065</v>
      </c>
      <c r="B2563" s="73" t="s">
        <v>4313</v>
      </c>
      <c r="C2563" s="68">
        <v>99</v>
      </c>
      <c r="D2563" s="73" t="s">
        <v>4312</v>
      </c>
      <c r="E2563" s="77">
        <v>3041.0362386145757</v>
      </c>
      <c r="F2563" s="77">
        <v>2027.522481215027</v>
      </c>
      <c r="G2563" s="76">
        <v>12.62627769881772</v>
      </c>
    </row>
    <row r="2564" spans="1:7" x14ac:dyDescent="0.25">
      <c r="A2564" s="75">
        <v>8579066</v>
      </c>
      <c r="B2564" s="73" t="s">
        <v>4314</v>
      </c>
      <c r="C2564" s="68">
        <v>99</v>
      </c>
      <c r="D2564" s="73" t="s">
        <v>4312</v>
      </c>
      <c r="E2564" s="77">
        <v>3058.8115719479092</v>
      </c>
      <c r="F2564" s="77">
        <v>2027.5224812150268</v>
      </c>
      <c r="G2564" s="76">
        <v>12.626277698817722</v>
      </c>
    </row>
    <row r="2565" spans="1:7" x14ac:dyDescent="0.25">
      <c r="A2565" s="75">
        <v>8579067</v>
      </c>
      <c r="B2565" s="73" t="s">
        <v>4315</v>
      </c>
      <c r="C2565" s="68">
        <v>99</v>
      </c>
      <c r="D2565" s="73" t="s">
        <v>4312</v>
      </c>
      <c r="E2565" s="77">
        <v>3041.0362386145757</v>
      </c>
      <c r="F2565" s="77">
        <v>2027.522481215027</v>
      </c>
      <c r="G2565" s="76">
        <v>12.626277698817722</v>
      </c>
    </row>
    <row r="2566" spans="1:7" x14ac:dyDescent="0.25">
      <c r="A2566" s="75">
        <v>8579069</v>
      </c>
      <c r="B2566" s="73" t="s">
        <v>4316</v>
      </c>
      <c r="C2566" s="68">
        <v>99</v>
      </c>
      <c r="D2566" s="73" t="s">
        <v>4312</v>
      </c>
      <c r="E2566" s="77">
        <v>3041.0362386145757</v>
      </c>
      <c r="F2566" s="77">
        <v>2027.522481215027</v>
      </c>
      <c r="G2566" s="76">
        <v>12.62627769881772</v>
      </c>
    </row>
    <row r="2567" spans="1:7" x14ac:dyDescent="0.25">
      <c r="A2567" s="75">
        <v>8579071</v>
      </c>
      <c r="B2567" s="73" t="s">
        <v>4317</v>
      </c>
      <c r="C2567" s="68">
        <v>99</v>
      </c>
      <c r="D2567" s="73" t="s">
        <v>4318</v>
      </c>
      <c r="E2567" s="77">
        <v>1066.2043672727229</v>
      </c>
      <c r="F2567" s="77">
        <v>21.722922553744922</v>
      </c>
      <c r="G2567" s="76">
        <v>25.271217450803046</v>
      </c>
    </row>
    <row r="2568" spans="1:7" x14ac:dyDescent="0.25">
      <c r="A2568" s="75">
        <v>8579072</v>
      </c>
      <c r="B2568" s="73" t="s">
        <v>4319</v>
      </c>
      <c r="C2568" s="68">
        <v>99</v>
      </c>
      <c r="D2568" s="73" t="s">
        <v>4320</v>
      </c>
      <c r="E2568" s="77">
        <v>187.92931353527936</v>
      </c>
      <c r="F2568" s="77">
        <v>145.29526144915994</v>
      </c>
      <c r="G2568" s="76">
        <v>1.0098309748655987</v>
      </c>
    </row>
    <row r="2569" spans="1:7" x14ac:dyDescent="0.25">
      <c r="A2569" s="75">
        <v>8579078</v>
      </c>
      <c r="B2569" s="73" t="s">
        <v>4321</v>
      </c>
      <c r="C2569" s="68">
        <v>99</v>
      </c>
      <c r="D2569" s="73" t="s">
        <v>4322</v>
      </c>
      <c r="E2569" s="77">
        <v>2205.8198516255206</v>
      </c>
      <c r="F2569" s="77">
        <v>111.0495053380625</v>
      </c>
      <c r="G2569" s="76">
        <v>29.285727656055034</v>
      </c>
    </row>
    <row r="2570" spans="1:7" x14ac:dyDescent="0.25">
      <c r="A2570" s="75">
        <v>8579079</v>
      </c>
      <c r="B2570" s="73" t="s">
        <v>4323</v>
      </c>
      <c r="C2570" s="68">
        <v>99</v>
      </c>
      <c r="D2570" s="73" t="s">
        <v>4324</v>
      </c>
      <c r="E2570" s="77">
        <v>2183.7353380404684</v>
      </c>
      <c r="F2570" s="77">
        <v>92.570343681794881</v>
      </c>
      <c r="G2570" s="76">
        <v>29.401262923605813</v>
      </c>
    </row>
    <row r="2571" spans="1:7" x14ac:dyDescent="0.25">
      <c r="A2571" s="75">
        <v>8579086</v>
      </c>
      <c r="B2571" s="73" t="s">
        <v>4325</v>
      </c>
      <c r="C2571" s="68">
        <v>99</v>
      </c>
      <c r="D2571" s="73" t="s">
        <v>4326</v>
      </c>
      <c r="E2571" s="77">
        <v>2118.5690008822758</v>
      </c>
      <c r="F2571" s="77">
        <v>62.815062690089107</v>
      </c>
      <c r="G2571" s="76">
        <v>28.822125562144059</v>
      </c>
    </row>
    <row r="2572" spans="1:7" x14ac:dyDescent="0.25">
      <c r="A2572" s="75">
        <v>8579088</v>
      </c>
      <c r="B2572" s="73" t="s">
        <v>4327</v>
      </c>
      <c r="C2572" s="68">
        <v>99</v>
      </c>
      <c r="D2572" s="73" t="s">
        <v>4328</v>
      </c>
      <c r="E2572" s="77">
        <v>1605.7544409408658</v>
      </c>
      <c r="F2572" s="77">
        <v>120.86780588954973</v>
      </c>
      <c r="G2572" s="76">
        <v>20.855726446152929</v>
      </c>
    </row>
    <row r="2573" spans="1:7" x14ac:dyDescent="0.25">
      <c r="A2573" s="75">
        <v>8579090</v>
      </c>
      <c r="B2573" s="73" t="s">
        <v>4329</v>
      </c>
      <c r="C2573" s="68">
        <v>99</v>
      </c>
      <c r="D2573" s="73" t="s">
        <v>4330</v>
      </c>
      <c r="E2573" s="77">
        <v>599.65629747637547</v>
      </c>
      <c r="F2573" s="77">
        <v>455.50736760445443</v>
      </c>
      <c r="G2573" s="76">
        <v>2.9212635079713833</v>
      </c>
    </row>
    <row r="2574" spans="1:7" x14ac:dyDescent="0.25">
      <c r="A2574" s="75">
        <v>8579091</v>
      </c>
      <c r="B2574" s="73" t="s">
        <v>4331</v>
      </c>
      <c r="C2574" s="68">
        <v>99</v>
      </c>
      <c r="D2574" s="73" t="s">
        <v>4332</v>
      </c>
      <c r="E2574" s="77">
        <v>487.72831818823312</v>
      </c>
      <c r="F2574" s="77">
        <v>544.64223008322926</v>
      </c>
      <c r="G2574" s="76">
        <v>2.374302499023266</v>
      </c>
    </row>
    <row r="2575" spans="1:7" x14ac:dyDescent="0.25">
      <c r="A2575" s="75">
        <v>8579092</v>
      </c>
      <c r="B2575" s="73" t="s">
        <v>4333</v>
      </c>
      <c r="C2575" s="68">
        <v>99</v>
      </c>
      <c r="D2575" s="73" t="s">
        <v>3234</v>
      </c>
      <c r="E2575" s="77">
        <v>149.38627654369034</v>
      </c>
      <c r="F2575" s="77">
        <v>227.05383123944196</v>
      </c>
      <c r="G2575" s="76">
        <v>1.4809939050970311</v>
      </c>
    </row>
    <row r="2576" spans="1:7" ht="30" x14ac:dyDescent="0.25">
      <c r="A2576" s="75">
        <v>8579095</v>
      </c>
      <c r="B2576" s="73" t="s">
        <v>4334</v>
      </c>
      <c r="C2576" s="68">
        <v>99</v>
      </c>
      <c r="D2576" s="73" t="s">
        <v>4335</v>
      </c>
      <c r="E2576" s="77">
        <v>2822.2710372899278</v>
      </c>
      <c r="F2576" s="77">
        <v>2627.0480029024106</v>
      </c>
      <c r="G2576" s="76">
        <v>2.3272768118578524</v>
      </c>
    </row>
    <row r="2577" spans="1:7" x14ac:dyDescent="0.25">
      <c r="A2577" s="75">
        <v>8579096</v>
      </c>
      <c r="B2577" s="73" t="s">
        <v>4336</v>
      </c>
      <c r="C2577" s="68">
        <v>99</v>
      </c>
      <c r="D2577" s="73" t="s">
        <v>4337</v>
      </c>
      <c r="E2577" s="77">
        <v>4000.1074437500592</v>
      </c>
      <c r="F2577" s="77">
        <v>2639.8533624264419</v>
      </c>
      <c r="G2577" s="76">
        <v>15.998027419484732</v>
      </c>
    </row>
    <row r="2578" spans="1:7" x14ac:dyDescent="0.25">
      <c r="A2578" s="75">
        <v>8579099</v>
      </c>
      <c r="B2578" s="73" t="s">
        <v>4338</v>
      </c>
      <c r="C2578" s="68">
        <v>99</v>
      </c>
      <c r="D2578" s="73" t="s">
        <v>4339</v>
      </c>
      <c r="E2578" s="77">
        <v>3352.6288499171369</v>
      </c>
      <c r="F2578" s="77">
        <v>2220.1692914053965</v>
      </c>
      <c r="G2578" s="76">
        <v>13.715887723999394</v>
      </c>
    </row>
    <row r="2579" spans="1:7" x14ac:dyDescent="0.25">
      <c r="A2579" s="75">
        <v>8579105</v>
      </c>
      <c r="B2579" s="73" t="s">
        <v>4340</v>
      </c>
      <c r="C2579" s="68">
        <v>99</v>
      </c>
      <c r="D2579" s="73" t="s">
        <v>3418</v>
      </c>
      <c r="E2579" s="77">
        <v>319.27686122131928</v>
      </c>
      <c r="F2579" s="77">
        <v>506.48376297812615</v>
      </c>
      <c r="G2579" s="76">
        <v>2.6313455620849804</v>
      </c>
    </row>
    <row r="2580" spans="1:7" x14ac:dyDescent="0.25">
      <c r="A2580" s="75">
        <v>8579106</v>
      </c>
      <c r="B2580" s="73" t="s">
        <v>4341</v>
      </c>
      <c r="C2580" s="68">
        <v>99</v>
      </c>
      <c r="D2580" s="73" t="s">
        <v>3418</v>
      </c>
      <c r="E2580" s="77">
        <v>319.27686122131934</v>
      </c>
      <c r="F2580" s="77">
        <v>506.48376297812615</v>
      </c>
      <c r="G2580" s="76">
        <v>2.6313455620849804</v>
      </c>
    </row>
    <row r="2581" spans="1:7" x14ac:dyDescent="0.25">
      <c r="A2581" s="75">
        <v>8579109</v>
      </c>
      <c r="B2581" s="73" t="s">
        <v>4342</v>
      </c>
      <c r="C2581" s="68">
        <v>99</v>
      </c>
      <c r="D2581" s="73" t="s">
        <v>4343</v>
      </c>
      <c r="E2581" s="77">
        <v>2844.034423577581</v>
      </c>
      <c r="F2581" s="77">
        <v>2636.4216420062098</v>
      </c>
      <c r="G2581" s="76">
        <v>2.3681231267779483</v>
      </c>
    </row>
    <row r="2582" spans="1:7" x14ac:dyDescent="0.25">
      <c r="A2582" s="75">
        <v>8579110</v>
      </c>
      <c r="B2582" s="73" t="s">
        <v>4344</v>
      </c>
      <c r="C2582" s="68">
        <v>99</v>
      </c>
      <c r="D2582" s="73" t="s">
        <v>4345</v>
      </c>
      <c r="E2582" s="77">
        <v>2809.0805262783642</v>
      </c>
      <c r="F2582" s="77">
        <v>2629.4778367739673</v>
      </c>
      <c r="G2582" s="76">
        <v>2.0560598507182135</v>
      </c>
    </row>
    <row r="2583" spans="1:7" x14ac:dyDescent="0.25">
      <c r="A2583" s="75">
        <v>8579111</v>
      </c>
      <c r="B2583" s="73" t="s">
        <v>4346</v>
      </c>
      <c r="C2583" s="68">
        <v>99</v>
      </c>
      <c r="D2583" s="73" t="s">
        <v>4343</v>
      </c>
      <c r="E2583" s="77">
        <v>2844.034423577581</v>
      </c>
      <c r="F2583" s="77">
        <v>2636.4216420062098</v>
      </c>
      <c r="G2583" s="76">
        <v>2.3681231267779483</v>
      </c>
    </row>
    <row r="2584" spans="1:7" ht="30" x14ac:dyDescent="0.25">
      <c r="A2584" s="75">
        <v>8579113</v>
      </c>
      <c r="B2584" s="73" t="s">
        <v>4347</v>
      </c>
      <c r="C2584" s="68">
        <v>99</v>
      </c>
      <c r="D2584" s="73" t="s">
        <v>4335</v>
      </c>
      <c r="E2584" s="77">
        <v>2822.2710372899278</v>
      </c>
      <c r="F2584" s="77">
        <v>2627.0480029024106</v>
      </c>
      <c r="G2584" s="76">
        <v>2.3272768118578524</v>
      </c>
    </row>
    <row r="2585" spans="1:7" x14ac:dyDescent="0.25">
      <c r="A2585" s="75">
        <v>8579114</v>
      </c>
      <c r="B2585" s="73" t="s">
        <v>4348</v>
      </c>
      <c r="C2585" s="68">
        <v>99</v>
      </c>
      <c r="D2585" s="73" t="s">
        <v>4349</v>
      </c>
      <c r="E2585" s="77">
        <v>2622.4233454382529</v>
      </c>
      <c r="F2585" s="77">
        <v>1731.7852754300518</v>
      </c>
      <c r="G2585" s="76">
        <v>10.676275794758453</v>
      </c>
    </row>
    <row r="2586" spans="1:7" x14ac:dyDescent="0.25">
      <c r="A2586" s="75">
        <v>8579115</v>
      </c>
      <c r="B2586" s="73" t="s">
        <v>4350</v>
      </c>
      <c r="C2586" s="68">
        <v>99</v>
      </c>
      <c r="D2586" s="73" t="s">
        <v>4349</v>
      </c>
      <c r="E2586" s="77">
        <v>2622.4233454382534</v>
      </c>
      <c r="F2586" s="77">
        <v>1731.7852754300518</v>
      </c>
      <c r="G2586" s="76">
        <v>10.676275794758455</v>
      </c>
    </row>
    <row r="2587" spans="1:7" x14ac:dyDescent="0.25">
      <c r="A2587" s="75">
        <v>8579123</v>
      </c>
      <c r="B2587" s="73" t="s">
        <v>4351</v>
      </c>
      <c r="C2587" s="68">
        <v>99</v>
      </c>
      <c r="D2587" s="73" t="s">
        <v>4352</v>
      </c>
      <c r="E2587" s="77">
        <v>1062.2675240289243</v>
      </c>
      <c r="F2587" s="77">
        <v>83.277052023870425</v>
      </c>
      <c r="G2587" s="76">
        <v>32.063364449366951</v>
      </c>
    </row>
    <row r="2588" spans="1:7" x14ac:dyDescent="0.25">
      <c r="A2588" s="75">
        <v>8579130</v>
      </c>
      <c r="B2588" s="73" t="s">
        <v>4353</v>
      </c>
      <c r="C2588" s="68">
        <v>99</v>
      </c>
      <c r="D2588" s="73" t="s">
        <v>4354</v>
      </c>
      <c r="E2588" s="77">
        <v>975.32730886481011</v>
      </c>
      <c r="F2588" s="77">
        <v>588.26424240753965</v>
      </c>
      <c r="G2588" s="76">
        <v>3.623084298518787</v>
      </c>
    </row>
    <row r="2589" spans="1:7" x14ac:dyDescent="0.25">
      <c r="A2589" s="75">
        <v>8579131</v>
      </c>
      <c r="B2589" s="73" t="s">
        <v>4355</v>
      </c>
      <c r="C2589" s="68">
        <v>99</v>
      </c>
      <c r="D2589" s="73" t="s">
        <v>4356</v>
      </c>
      <c r="E2589" s="77">
        <v>126.66041287722646</v>
      </c>
      <c r="F2589" s="77">
        <v>83.353428602773121</v>
      </c>
      <c r="G2589" s="76">
        <v>0.44946005989794913</v>
      </c>
    </row>
    <row r="2590" spans="1:7" x14ac:dyDescent="0.25">
      <c r="A2590" s="75">
        <v>8579132</v>
      </c>
      <c r="B2590" s="73" t="s">
        <v>4357</v>
      </c>
      <c r="C2590" s="68">
        <v>99</v>
      </c>
      <c r="D2590" s="73" t="s">
        <v>4358</v>
      </c>
      <c r="E2590" s="77">
        <v>125.94801259415193</v>
      </c>
      <c r="F2590" s="77">
        <v>88.679732110576509</v>
      </c>
      <c r="G2590" s="76">
        <v>0.47473014328430202</v>
      </c>
    </row>
    <row r="2591" spans="1:7" x14ac:dyDescent="0.25">
      <c r="A2591" s="75">
        <v>8579133</v>
      </c>
      <c r="B2591" s="73" t="s">
        <v>4359</v>
      </c>
      <c r="C2591" s="68">
        <v>99</v>
      </c>
      <c r="D2591" s="73" t="s">
        <v>3417</v>
      </c>
      <c r="E2591" s="77">
        <v>552.13192204316795</v>
      </c>
      <c r="F2591" s="77">
        <v>120.36048348838493</v>
      </c>
      <c r="G2591" s="76">
        <v>3.8787299226476115</v>
      </c>
    </row>
    <row r="2592" spans="1:7" x14ac:dyDescent="0.25">
      <c r="A2592" s="75">
        <v>8579136</v>
      </c>
      <c r="B2592" s="73" t="s">
        <v>4360</v>
      </c>
      <c r="C2592" s="68">
        <v>99</v>
      </c>
      <c r="D2592" s="73" t="s">
        <v>4292</v>
      </c>
      <c r="E2592" s="77">
        <v>86.87917968227633</v>
      </c>
      <c r="F2592" s="77">
        <v>113.07855714343773</v>
      </c>
      <c r="G2592" s="76">
        <v>0.30898584968364673</v>
      </c>
    </row>
    <row r="2593" spans="1:7" x14ac:dyDescent="0.25">
      <c r="A2593" s="75">
        <v>8579137</v>
      </c>
      <c r="B2593" s="73" t="s">
        <v>4361</v>
      </c>
      <c r="C2593" s="68">
        <v>99</v>
      </c>
      <c r="D2593" s="73" t="s">
        <v>4362</v>
      </c>
      <c r="E2593" s="77">
        <v>124.73459814425397</v>
      </c>
      <c r="F2593" s="77">
        <v>109.95473119227344</v>
      </c>
      <c r="G2593" s="76">
        <v>0.29470822508700539</v>
      </c>
    </row>
    <row r="2594" spans="1:7" x14ac:dyDescent="0.25">
      <c r="A2594" s="75">
        <v>8579138</v>
      </c>
      <c r="B2594" s="73" t="s">
        <v>4363</v>
      </c>
      <c r="C2594" s="68">
        <v>99</v>
      </c>
      <c r="D2594" s="73" t="s">
        <v>4364</v>
      </c>
      <c r="E2594" s="77">
        <v>1066.9563800933838</v>
      </c>
      <c r="F2594" s="77">
        <v>889.35245577175897</v>
      </c>
      <c r="G2594" s="76">
        <v>3.0397806968362193</v>
      </c>
    </row>
    <row r="2595" spans="1:7" x14ac:dyDescent="0.25">
      <c r="A2595" s="75">
        <v>8579139</v>
      </c>
      <c r="B2595" s="73" t="s">
        <v>4365</v>
      </c>
      <c r="C2595" s="68">
        <v>99</v>
      </c>
      <c r="D2595" s="73" t="s">
        <v>4366</v>
      </c>
      <c r="E2595" s="77">
        <v>1086.1730246285572</v>
      </c>
      <c r="F2595" s="77">
        <v>890.36521665972145</v>
      </c>
      <c r="G2595" s="76">
        <v>3.2435271951110609</v>
      </c>
    </row>
    <row r="2596" spans="1:7" x14ac:dyDescent="0.25">
      <c r="A2596" s="75">
        <v>8579140</v>
      </c>
      <c r="B2596" s="73" t="s">
        <v>4367</v>
      </c>
      <c r="C2596" s="68">
        <v>99</v>
      </c>
      <c r="D2596" s="73" t="s">
        <v>4368</v>
      </c>
      <c r="E2596" s="77">
        <v>1320.006347152387</v>
      </c>
      <c r="F2596" s="77">
        <v>1437.0168382841184</v>
      </c>
      <c r="G2596" s="76">
        <v>5.4339809142982602</v>
      </c>
    </row>
    <row r="2597" spans="1:7" x14ac:dyDescent="0.25">
      <c r="A2597" s="75">
        <v>8579141</v>
      </c>
      <c r="B2597" s="73" t="s">
        <v>4369</v>
      </c>
      <c r="C2597" s="68">
        <v>99</v>
      </c>
      <c r="D2597" s="73" t="s">
        <v>4370</v>
      </c>
      <c r="E2597" s="77">
        <v>567.678403349777</v>
      </c>
      <c r="F2597" s="77">
        <v>141.5091229839901</v>
      </c>
      <c r="G2597" s="76">
        <v>21.717334381353069</v>
      </c>
    </row>
    <row r="2598" spans="1:7" x14ac:dyDescent="0.25">
      <c r="A2598" s="75">
        <v>8579142</v>
      </c>
      <c r="B2598" s="73" t="s">
        <v>4371</v>
      </c>
      <c r="C2598" s="68">
        <v>99</v>
      </c>
      <c r="D2598" s="73" t="s">
        <v>4372</v>
      </c>
      <c r="E2598" s="77">
        <v>552.61234273789569</v>
      </c>
      <c r="F2598" s="77">
        <v>106.38632266895095</v>
      </c>
      <c r="G2598" s="76">
        <v>21.420724643865881</v>
      </c>
    </row>
    <row r="2599" spans="1:7" x14ac:dyDescent="0.25">
      <c r="A2599" s="75">
        <v>8579146</v>
      </c>
      <c r="B2599" s="73" t="s">
        <v>4373</v>
      </c>
      <c r="C2599" s="68">
        <v>99</v>
      </c>
      <c r="D2599" s="73" t="s">
        <v>4374</v>
      </c>
      <c r="E2599" s="77">
        <v>438.91393051441543</v>
      </c>
      <c r="F2599" s="77">
        <v>478.64270130869721</v>
      </c>
      <c r="G2599" s="76">
        <v>2.8467109735059335</v>
      </c>
    </row>
    <row r="2600" spans="1:7" x14ac:dyDescent="0.25">
      <c r="A2600" s="75">
        <v>8579147</v>
      </c>
      <c r="B2600" s="73" t="s">
        <v>4375</v>
      </c>
      <c r="C2600" s="68">
        <v>99</v>
      </c>
      <c r="D2600" s="73" t="s">
        <v>4376</v>
      </c>
      <c r="E2600" s="77">
        <v>422.82150053456189</v>
      </c>
      <c r="F2600" s="77">
        <v>480.89595233840072</v>
      </c>
      <c r="G2600" s="76">
        <v>2.7989516043692486</v>
      </c>
    </row>
    <row r="2601" spans="1:7" x14ac:dyDescent="0.25">
      <c r="A2601" s="75">
        <v>8579149</v>
      </c>
      <c r="B2601" s="73" t="s">
        <v>4377</v>
      </c>
      <c r="C2601" s="68">
        <v>99</v>
      </c>
      <c r="D2601" s="73" t="s">
        <v>4378</v>
      </c>
      <c r="E2601" s="77">
        <v>386.33390618375836</v>
      </c>
      <c r="F2601" s="77">
        <v>481.49819441241971</v>
      </c>
      <c r="G2601" s="76">
        <v>2.4854040988473649</v>
      </c>
    </row>
    <row r="2602" spans="1:7" ht="30" x14ac:dyDescent="0.25">
      <c r="A2602" s="75">
        <v>8579150</v>
      </c>
      <c r="B2602" s="73" t="s">
        <v>4379</v>
      </c>
      <c r="C2602" s="68">
        <v>99</v>
      </c>
      <c r="D2602" s="73" t="s">
        <v>4380</v>
      </c>
      <c r="E2602" s="77">
        <v>445.88884460458723</v>
      </c>
      <c r="F2602" s="77">
        <v>487.28973830751113</v>
      </c>
      <c r="G2602" s="76">
        <v>3.5964857810231612</v>
      </c>
    </row>
    <row r="2603" spans="1:7" x14ac:dyDescent="0.25">
      <c r="A2603" s="75">
        <v>8579151</v>
      </c>
      <c r="B2603" s="73" t="s">
        <v>4381</v>
      </c>
      <c r="C2603" s="68">
        <v>99</v>
      </c>
      <c r="D2603" s="73" t="s">
        <v>4380</v>
      </c>
      <c r="E2603" s="77">
        <v>445.88884460458718</v>
      </c>
      <c r="F2603" s="77">
        <v>487.28973830751113</v>
      </c>
      <c r="G2603" s="76">
        <v>3.5964857810231612</v>
      </c>
    </row>
    <row r="2604" spans="1:7" x14ac:dyDescent="0.25">
      <c r="A2604" s="75">
        <v>8579153</v>
      </c>
      <c r="B2604" s="73" t="s">
        <v>4382</v>
      </c>
      <c r="C2604" s="68">
        <v>99</v>
      </c>
      <c r="D2604" s="73" t="s">
        <v>4383</v>
      </c>
      <c r="E2604" s="77">
        <v>398.17872985328228</v>
      </c>
      <c r="F2604" s="77">
        <v>429.80302364002131</v>
      </c>
      <c r="G2604" s="76">
        <v>2.4719073671569323</v>
      </c>
    </row>
    <row r="2605" spans="1:7" x14ac:dyDescent="0.25">
      <c r="A2605" s="75">
        <v>8579154</v>
      </c>
      <c r="B2605" s="73" t="s">
        <v>4384</v>
      </c>
      <c r="C2605" s="68">
        <v>99</v>
      </c>
      <c r="D2605" s="73" t="s">
        <v>4385</v>
      </c>
      <c r="E2605" s="77">
        <v>428.39207285307606</v>
      </c>
      <c r="F2605" s="77">
        <v>500.06014323336353</v>
      </c>
      <c r="G2605" s="76">
        <v>2.8768485788136346</v>
      </c>
    </row>
    <row r="2606" spans="1:7" x14ac:dyDescent="0.25">
      <c r="A2606" s="75">
        <v>8579158</v>
      </c>
      <c r="B2606" s="73" t="s">
        <v>4386</v>
      </c>
      <c r="C2606" s="68">
        <v>99</v>
      </c>
      <c r="D2606" s="73" t="s">
        <v>4387</v>
      </c>
      <c r="E2606" s="77">
        <v>389.93148118951319</v>
      </c>
      <c r="F2606" s="77">
        <v>418.88293062856366</v>
      </c>
      <c r="G2606" s="76">
        <v>2.3110903309785473</v>
      </c>
    </row>
    <row r="2607" spans="1:7" x14ac:dyDescent="0.25">
      <c r="A2607" s="75">
        <v>8579159</v>
      </c>
      <c r="B2607" s="73" t="s">
        <v>4388</v>
      </c>
      <c r="C2607" s="68">
        <v>99</v>
      </c>
      <c r="D2607" s="73" t="s">
        <v>4389</v>
      </c>
      <c r="E2607" s="77">
        <v>2758.1969385601728</v>
      </c>
      <c r="F2607" s="77">
        <v>1843.7797792272916</v>
      </c>
      <c r="G2607" s="76">
        <v>11.700849303927047</v>
      </c>
    </row>
    <row r="2608" spans="1:7" x14ac:dyDescent="0.25">
      <c r="A2608" s="75">
        <v>8579160</v>
      </c>
      <c r="B2608" s="73" t="s">
        <v>4390</v>
      </c>
      <c r="C2608" s="68">
        <v>99</v>
      </c>
      <c r="D2608" s="73" t="s">
        <v>4391</v>
      </c>
      <c r="E2608" s="77">
        <v>490.04920829979557</v>
      </c>
      <c r="F2608" s="77">
        <v>469.30211844796258</v>
      </c>
      <c r="G2608" s="76">
        <v>3.5176786360471279</v>
      </c>
    </row>
    <row r="2609" spans="1:7" x14ac:dyDescent="0.25">
      <c r="A2609" s="75">
        <v>8579161</v>
      </c>
      <c r="B2609" s="73" t="s">
        <v>4392</v>
      </c>
      <c r="C2609" s="68">
        <v>99</v>
      </c>
      <c r="D2609" s="73" t="s">
        <v>4393</v>
      </c>
      <c r="E2609" s="77">
        <v>344.512922899861</v>
      </c>
      <c r="F2609" s="77">
        <v>144.04527219430454</v>
      </c>
      <c r="G2609" s="76">
        <v>11.36292911238643</v>
      </c>
    </row>
    <row r="2610" spans="1:7" x14ac:dyDescent="0.25">
      <c r="A2610" s="75">
        <v>8579162</v>
      </c>
      <c r="B2610" s="73" t="s">
        <v>4394</v>
      </c>
      <c r="C2610" s="68">
        <v>99</v>
      </c>
      <c r="D2610" s="73" t="s">
        <v>4395</v>
      </c>
      <c r="E2610" s="77">
        <v>239.12642014734195</v>
      </c>
      <c r="F2610" s="77">
        <v>169.49919080988727</v>
      </c>
      <c r="G2610" s="76">
        <v>4.4324289384334232</v>
      </c>
    </row>
    <row r="2611" spans="1:7" x14ac:dyDescent="0.25">
      <c r="A2611" s="75">
        <v>8579166</v>
      </c>
      <c r="B2611" s="73" t="s">
        <v>4396</v>
      </c>
      <c r="C2611" s="68">
        <v>99</v>
      </c>
      <c r="D2611" s="73" t="s">
        <v>4362</v>
      </c>
      <c r="E2611" s="77">
        <v>124.73459814425394</v>
      </c>
      <c r="F2611" s="77">
        <v>109.95473119227344</v>
      </c>
      <c r="G2611" s="76">
        <v>0.29470822508700539</v>
      </c>
    </row>
    <row r="2612" spans="1:7" x14ac:dyDescent="0.25">
      <c r="A2612" s="75">
        <v>8579167</v>
      </c>
      <c r="B2612" s="73" t="s">
        <v>4397</v>
      </c>
      <c r="C2612" s="68">
        <v>99</v>
      </c>
      <c r="D2612" s="73" t="s">
        <v>4339</v>
      </c>
      <c r="E2612" s="77">
        <v>3352.6288499171369</v>
      </c>
      <c r="F2612" s="77">
        <v>2220.1692914053961</v>
      </c>
      <c r="G2612" s="76">
        <v>13.715887723999392</v>
      </c>
    </row>
    <row r="2613" spans="1:7" x14ac:dyDescent="0.25">
      <c r="A2613" s="75">
        <v>8579168</v>
      </c>
      <c r="B2613" s="73" t="s">
        <v>4398</v>
      </c>
      <c r="C2613" s="68">
        <v>99</v>
      </c>
      <c r="D2613" s="73" t="s">
        <v>4399</v>
      </c>
      <c r="E2613" s="77">
        <v>3515.4517576366029</v>
      </c>
      <c r="F2613" s="77">
        <v>2368.209083083565</v>
      </c>
      <c r="G2613" s="76">
        <v>14.225926175349324</v>
      </c>
    </row>
    <row r="2614" spans="1:7" x14ac:dyDescent="0.25">
      <c r="A2614" s="75">
        <v>8579170</v>
      </c>
      <c r="B2614" s="73" t="s">
        <v>4400</v>
      </c>
      <c r="C2614" s="68">
        <v>99</v>
      </c>
      <c r="D2614" s="73" t="s">
        <v>4401</v>
      </c>
      <c r="E2614" s="77">
        <v>255.22987765542041</v>
      </c>
      <c r="F2614" s="77">
        <v>176.13433666395952</v>
      </c>
      <c r="G2614" s="76">
        <v>1.3356399390619758</v>
      </c>
    </row>
    <row r="2615" spans="1:7" x14ac:dyDescent="0.25">
      <c r="A2615" s="75">
        <v>8579171</v>
      </c>
      <c r="B2615" s="73" t="s">
        <v>4402</v>
      </c>
      <c r="C2615" s="68">
        <v>99</v>
      </c>
      <c r="D2615" s="73" t="s">
        <v>4403</v>
      </c>
      <c r="E2615" s="77">
        <v>1267.5128634607081</v>
      </c>
      <c r="F2615" s="77">
        <v>859.02827889675586</v>
      </c>
      <c r="G2615" s="76">
        <v>5.0631189104903891</v>
      </c>
    </row>
    <row r="2616" spans="1:7" x14ac:dyDescent="0.25">
      <c r="A2616" s="75">
        <v>8579173</v>
      </c>
      <c r="B2616" s="73" t="s">
        <v>4404</v>
      </c>
      <c r="C2616" s="68">
        <v>99</v>
      </c>
      <c r="D2616" s="73" t="s">
        <v>4405</v>
      </c>
      <c r="E2616" s="77">
        <v>190.34771846189818</v>
      </c>
      <c r="F2616" s="77">
        <v>202.44222883071117</v>
      </c>
      <c r="G2616" s="76">
        <v>0.43152716724317397</v>
      </c>
    </row>
    <row r="2617" spans="1:7" x14ac:dyDescent="0.25">
      <c r="A2617" s="75">
        <v>8579174</v>
      </c>
      <c r="B2617" s="73" t="s">
        <v>4406</v>
      </c>
      <c r="C2617" s="68">
        <v>99</v>
      </c>
      <c r="D2617" s="73" t="s">
        <v>4407</v>
      </c>
      <c r="E2617" s="77">
        <v>428.18935677403283</v>
      </c>
      <c r="F2617" s="77">
        <v>424.59108651321549</v>
      </c>
      <c r="G2617" s="76">
        <v>1.2210908169898391</v>
      </c>
    </row>
    <row r="2618" spans="1:7" x14ac:dyDescent="0.25">
      <c r="A2618" s="75">
        <v>8579175</v>
      </c>
      <c r="B2618" s="73" t="s">
        <v>4408</v>
      </c>
      <c r="C2618" s="68">
        <v>99</v>
      </c>
      <c r="D2618" s="73" t="s">
        <v>4409</v>
      </c>
      <c r="E2618" s="77">
        <v>905.30964857856111</v>
      </c>
      <c r="F2618" s="77">
        <v>139.62263339201164</v>
      </c>
      <c r="G2618" s="76">
        <v>6.5061905841304597</v>
      </c>
    </row>
    <row r="2619" spans="1:7" x14ac:dyDescent="0.25">
      <c r="A2619" s="75">
        <v>8579176</v>
      </c>
      <c r="B2619" s="73" t="s">
        <v>4410</v>
      </c>
      <c r="C2619" s="68">
        <v>99</v>
      </c>
      <c r="D2619" s="73" t="s">
        <v>4411</v>
      </c>
      <c r="E2619" s="77">
        <v>622.61843164710274</v>
      </c>
      <c r="F2619" s="77">
        <v>791.94890775677527</v>
      </c>
      <c r="G2619" s="76">
        <v>3.6131524482235462</v>
      </c>
    </row>
    <row r="2620" spans="1:7" x14ac:dyDescent="0.25">
      <c r="A2620" s="75">
        <v>8579177</v>
      </c>
      <c r="B2620" s="73" t="s">
        <v>4412</v>
      </c>
      <c r="C2620" s="68">
        <v>99</v>
      </c>
      <c r="D2620" s="73" t="s">
        <v>4413</v>
      </c>
      <c r="E2620" s="77">
        <v>985.8984254419222</v>
      </c>
      <c r="F2620" s="77">
        <v>1184.0906547070244</v>
      </c>
      <c r="G2620" s="76">
        <v>5.0995267895954424</v>
      </c>
    </row>
    <row r="2621" spans="1:7" x14ac:dyDescent="0.25">
      <c r="A2621" s="75">
        <v>8579185</v>
      </c>
      <c r="B2621" s="73" t="s">
        <v>4414</v>
      </c>
      <c r="C2621" s="68">
        <v>99</v>
      </c>
      <c r="D2621" s="73" t="s">
        <v>3260</v>
      </c>
      <c r="E2621" s="77">
        <v>4021.4074508201443</v>
      </c>
      <c r="F2621" s="77">
        <v>2694.3972204463244</v>
      </c>
      <c r="G2621" s="76">
        <v>16.663019268807279</v>
      </c>
    </row>
    <row r="2622" spans="1:7" x14ac:dyDescent="0.25">
      <c r="A2622" s="75">
        <v>8579186</v>
      </c>
      <c r="B2622" s="73" t="s">
        <v>4415</v>
      </c>
      <c r="C2622" s="68">
        <v>99</v>
      </c>
      <c r="D2622" s="73" t="s">
        <v>4416</v>
      </c>
      <c r="E2622" s="77">
        <v>1195.7173681750867</v>
      </c>
      <c r="F2622" s="77">
        <v>46.775312829806481</v>
      </c>
      <c r="G2622" s="76">
        <v>31.97803785684572</v>
      </c>
    </row>
    <row r="2623" spans="1:7" x14ac:dyDescent="0.25">
      <c r="A2623" s="75">
        <v>8579190</v>
      </c>
      <c r="B2623" s="73" t="s">
        <v>4417</v>
      </c>
      <c r="C2623" s="68">
        <v>99</v>
      </c>
      <c r="D2623" s="73" t="s">
        <v>4337</v>
      </c>
      <c r="E2623" s="77">
        <v>4000.1074437500592</v>
      </c>
      <c r="F2623" s="77">
        <v>2639.8533624264423</v>
      </c>
      <c r="G2623" s="76">
        <v>15.998027419484732</v>
      </c>
    </row>
    <row r="2624" spans="1:7" x14ac:dyDescent="0.25">
      <c r="A2624" s="75">
        <v>8579191</v>
      </c>
      <c r="B2624" s="73" t="s">
        <v>4418</v>
      </c>
      <c r="C2624" s="68">
        <v>99</v>
      </c>
      <c r="D2624" s="73" t="s">
        <v>4419</v>
      </c>
      <c r="E2624" s="77">
        <v>119.58680004455945</v>
      </c>
      <c r="F2624" s="77">
        <v>56.972270573061301</v>
      </c>
      <c r="G2624" s="76">
        <v>0.1176020469531795</v>
      </c>
    </row>
    <row r="2625" spans="1:7" x14ac:dyDescent="0.25">
      <c r="A2625" s="75">
        <v>8579192</v>
      </c>
      <c r="B2625" s="73" t="s">
        <v>4420</v>
      </c>
      <c r="C2625" s="68">
        <v>99</v>
      </c>
      <c r="D2625" s="73" t="s">
        <v>4421</v>
      </c>
      <c r="E2625" s="77">
        <v>1841.7548609736637</v>
      </c>
      <c r="F2625" s="77">
        <v>117.7687087605441</v>
      </c>
      <c r="G2625" s="76">
        <v>24.619068690645015</v>
      </c>
    </row>
    <row r="2626" spans="1:7" x14ac:dyDescent="0.25">
      <c r="A2626" s="75">
        <v>8579196</v>
      </c>
      <c r="B2626" s="73" t="s">
        <v>4422</v>
      </c>
      <c r="C2626" s="68">
        <v>99</v>
      </c>
      <c r="D2626" s="73" t="s">
        <v>4423</v>
      </c>
      <c r="E2626" s="77">
        <v>207.48040028413081</v>
      </c>
      <c r="F2626" s="77">
        <v>66.444139765743131</v>
      </c>
      <c r="G2626" s="76">
        <v>6.6980496674513983</v>
      </c>
    </row>
    <row r="2627" spans="1:7" x14ac:dyDescent="0.25">
      <c r="A2627" s="75">
        <v>8579201</v>
      </c>
      <c r="B2627" s="73" t="s">
        <v>4424</v>
      </c>
      <c r="C2627" s="68">
        <v>99</v>
      </c>
      <c r="D2627" s="73" t="s">
        <v>3325</v>
      </c>
      <c r="E2627" s="77">
        <v>564.53480480042151</v>
      </c>
      <c r="F2627" s="77">
        <v>1644.8951453939464</v>
      </c>
      <c r="G2627" s="76">
        <v>12.614837141104609</v>
      </c>
    </row>
    <row r="2628" spans="1:7" x14ac:dyDescent="0.25">
      <c r="A2628" s="75">
        <v>8579202</v>
      </c>
      <c r="B2628" s="73" t="s">
        <v>4425</v>
      </c>
      <c r="C2628" s="68">
        <v>99</v>
      </c>
      <c r="D2628" s="73" t="s">
        <v>4426</v>
      </c>
      <c r="E2628" s="77">
        <v>1060.8536790713999</v>
      </c>
      <c r="F2628" s="77">
        <v>1575.9866858906237</v>
      </c>
      <c r="G2628" s="76">
        <v>4.6635658416187473</v>
      </c>
    </row>
    <row r="2629" spans="1:7" x14ac:dyDescent="0.25">
      <c r="A2629" s="75">
        <v>8579205</v>
      </c>
      <c r="B2629" s="73" t="s">
        <v>4427</v>
      </c>
      <c r="C2629" s="68">
        <v>99</v>
      </c>
      <c r="D2629" s="73" t="s">
        <v>4428</v>
      </c>
      <c r="E2629" s="77">
        <v>405.82091361014318</v>
      </c>
      <c r="F2629" s="77">
        <v>500.06014323336359</v>
      </c>
      <c r="G2629" s="76">
        <v>2.8768485788136346</v>
      </c>
    </row>
    <row r="2630" spans="1:7" x14ac:dyDescent="0.25">
      <c r="A2630" s="75">
        <v>8579206</v>
      </c>
      <c r="B2630" s="73" t="s">
        <v>4429</v>
      </c>
      <c r="C2630" s="68">
        <v>99</v>
      </c>
      <c r="D2630" s="73" t="s">
        <v>4117</v>
      </c>
      <c r="E2630" s="77">
        <v>497.68649145602438</v>
      </c>
      <c r="F2630" s="77">
        <v>44.410934841644412</v>
      </c>
      <c r="G2630" s="76">
        <v>22.526015213418905</v>
      </c>
    </row>
    <row r="2631" spans="1:7" x14ac:dyDescent="0.25">
      <c r="A2631" s="75">
        <v>8579207</v>
      </c>
      <c r="B2631" s="73" t="s">
        <v>4430</v>
      </c>
      <c r="C2631" s="68">
        <v>99</v>
      </c>
      <c r="D2631" s="73" t="s">
        <v>4370</v>
      </c>
      <c r="E2631" s="77">
        <v>567.678403349777</v>
      </c>
      <c r="F2631" s="77">
        <v>141.5091229839901</v>
      </c>
      <c r="G2631" s="76">
        <v>21.717334381353069</v>
      </c>
    </row>
    <row r="2632" spans="1:7" x14ac:dyDescent="0.25">
      <c r="A2632" s="75">
        <v>8579209</v>
      </c>
      <c r="B2632" s="73" t="s">
        <v>4431</v>
      </c>
      <c r="C2632" s="68">
        <v>99</v>
      </c>
      <c r="D2632" s="73" t="s">
        <v>4432</v>
      </c>
      <c r="E2632" s="77">
        <v>523.62970481579384</v>
      </c>
      <c r="F2632" s="77">
        <v>29.950403519653175</v>
      </c>
      <c r="G2632" s="76">
        <v>21.392741321684248</v>
      </c>
    </row>
    <row r="2633" spans="1:7" x14ac:dyDescent="0.25">
      <c r="A2633" s="75">
        <v>8579210</v>
      </c>
      <c r="B2633" s="73" t="s">
        <v>4433</v>
      </c>
      <c r="C2633" s="68">
        <v>99</v>
      </c>
      <c r="D2633" s="73" t="s">
        <v>4434</v>
      </c>
      <c r="E2633" s="77">
        <v>455.32105698556978</v>
      </c>
      <c r="F2633" s="77">
        <v>33.889520462061711</v>
      </c>
      <c r="G2633" s="76">
        <v>21.23853341468271</v>
      </c>
    </row>
    <row r="2634" spans="1:7" x14ac:dyDescent="0.25">
      <c r="A2634" s="75">
        <v>8579211</v>
      </c>
      <c r="B2634" s="73" t="s">
        <v>4435</v>
      </c>
      <c r="C2634" s="68">
        <v>99</v>
      </c>
      <c r="D2634" s="73" t="s">
        <v>4436</v>
      </c>
      <c r="E2634" s="77">
        <v>492.36984350346472</v>
      </c>
      <c r="F2634" s="77">
        <v>33.99658773112327</v>
      </c>
      <c r="G2634" s="76">
        <v>21.185684225452775</v>
      </c>
    </row>
    <row r="2635" spans="1:7" x14ac:dyDescent="0.25">
      <c r="A2635" s="75">
        <v>8579212</v>
      </c>
      <c r="B2635" s="73" t="s">
        <v>4437</v>
      </c>
      <c r="C2635" s="68">
        <v>99</v>
      </c>
      <c r="D2635" s="73" t="s">
        <v>4438</v>
      </c>
      <c r="E2635" s="77">
        <v>498.47408832762261</v>
      </c>
      <c r="F2635" s="77">
        <v>48.857696441858259</v>
      </c>
      <c r="G2635" s="76">
        <v>24.350938996187416</v>
      </c>
    </row>
    <row r="2636" spans="1:7" x14ac:dyDescent="0.25">
      <c r="A2636" s="75">
        <v>8579213</v>
      </c>
      <c r="B2636" s="73" t="s">
        <v>4439</v>
      </c>
      <c r="C2636" s="68">
        <v>99</v>
      </c>
      <c r="D2636" s="73" t="s">
        <v>4440</v>
      </c>
      <c r="E2636" s="77">
        <v>526.9296040913282</v>
      </c>
      <c r="F2636" s="77">
        <v>33.960494173027854</v>
      </c>
      <c r="G2636" s="76">
        <v>25.544497308182294</v>
      </c>
    </row>
    <row r="2637" spans="1:7" x14ac:dyDescent="0.25">
      <c r="A2637" s="75">
        <v>8579218</v>
      </c>
      <c r="B2637" s="73" t="s">
        <v>4441</v>
      </c>
      <c r="C2637" s="68">
        <v>99</v>
      </c>
      <c r="D2637" s="73" t="s">
        <v>4442</v>
      </c>
      <c r="E2637" s="77">
        <v>557.16280660427049</v>
      </c>
      <c r="F2637" s="77">
        <v>36.79700438877763</v>
      </c>
      <c r="G2637" s="76">
        <v>25.723825322782432</v>
      </c>
    </row>
    <row r="2638" spans="1:7" x14ac:dyDescent="0.25">
      <c r="A2638" s="75">
        <v>8579219</v>
      </c>
      <c r="B2638" s="73" t="s">
        <v>4443</v>
      </c>
      <c r="C2638" s="68">
        <v>99</v>
      </c>
      <c r="D2638" s="73" t="s">
        <v>4444</v>
      </c>
      <c r="E2638" s="77">
        <v>1017.6554006634441</v>
      </c>
      <c r="F2638" s="77">
        <v>1.4119353212591346</v>
      </c>
      <c r="G2638" s="76">
        <v>29.812415314153892</v>
      </c>
    </row>
    <row r="2639" spans="1:7" x14ac:dyDescent="0.25">
      <c r="A2639" s="75">
        <v>8579222</v>
      </c>
      <c r="B2639" s="73" t="s">
        <v>4445</v>
      </c>
      <c r="C2639" s="68">
        <v>99</v>
      </c>
      <c r="D2639" s="73" t="s">
        <v>4446</v>
      </c>
      <c r="E2639" s="77">
        <v>3817.7228559084024</v>
      </c>
      <c r="F2639" s="77">
        <v>2527.0248465750506</v>
      </c>
      <c r="G2639" s="76">
        <v>15.654742870341913</v>
      </c>
    </row>
    <row r="2640" spans="1:7" x14ac:dyDescent="0.25">
      <c r="A2640" s="75">
        <v>8579224</v>
      </c>
      <c r="B2640" s="73" t="s">
        <v>4447</v>
      </c>
      <c r="C2640" s="68">
        <v>99</v>
      </c>
      <c r="D2640" s="73" t="s">
        <v>4403</v>
      </c>
      <c r="E2640" s="77">
        <v>1267.5128634607081</v>
      </c>
      <c r="F2640" s="77">
        <v>859.02827889675586</v>
      </c>
      <c r="G2640" s="76">
        <v>5.0631189104903891</v>
      </c>
    </row>
    <row r="2641" spans="1:7" x14ac:dyDescent="0.25">
      <c r="A2641" s="75">
        <v>8579230</v>
      </c>
      <c r="B2641" s="73" t="s">
        <v>4448</v>
      </c>
      <c r="C2641" s="68">
        <v>99</v>
      </c>
      <c r="D2641" s="73" t="s">
        <v>4449</v>
      </c>
      <c r="E2641" s="77">
        <v>1932.0477302206825</v>
      </c>
      <c r="F2641" s="77">
        <v>1292.5435337104821</v>
      </c>
      <c r="G2641" s="76">
        <v>8.0939186991291319</v>
      </c>
    </row>
    <row r="2642" spans="1:7" x14ac:dyDescent="0.25">
      <c r="A2642" s="75">
        <v>8579232</v>
      </c>
      <c r="B2642" s="73" t="s">
        <v>4450</v>
      </c>
      <c r="C2642" s="68">
        <v>99</v>
      </c>
      <c r="D2642" s="73" t="s">
        <v>4142</v>
      </c>
      <c r="E2642" s="77">
        <v>203.27016434431798</v>
      </c>
      <c r="F2642" s="77">
        <v>156.97580144489538</v>
      </c>
      <c r="G2642" s="76">
        <v>1.1065029858655655</v>
      </c>
    </row>
    <row r="2643" spans="1:7" x14ac:dyDescent="0.25">
      <c r="A2643" s="75">
        <v>8579235</v>
      </c>
      <c r="B2643" s="73" t="s">
        <v>4451</v>
      </c>
      <c r="C2643" s="68">
        <v>99</v>
      </c>
      <c r="D2643" s="73" t="s">
        <v>4452</v>
      </c>
      <c r="E2643" s="77">
        <v>2315.8198294039476</v>
      </c>
      <c r="F2643" s="77">
        <v>1494.7363911872405</v>
      </c>
      <c r="G2643" s="76">
        <v>9.4170171299499206</v>
      </c>
    </row>
    <row r="2644" spans="1:7" x14ac:dyDescent="0.25">
      <c r="A2644" s="75">
        <v>8579236</v>
      </c>
      <c r="B2644" s="73" t="s">
        <v>4453</v>
      </c>
      <c r="C2644" s="68">
        <v>99</v>
      </c>
      <c r="D2644" s="73" t="s">
        <v>4454</v>
      </c>
      <c r="E2644" s="77">
        <v>2693.7633264372516</v>
      </c>
      <c r="F2644" s="77">
        <v>1813.6156896200948</v>
      </c>
      <c r="G2644" s="76">
        <v>11.226701297421286</v>
      </c>
    </row>
    <row r="2645" spans="1:7" x14ac:dyDescent="0.25">
      <c r="A2645" s="75">
        <v>8579237</v>
      </c>
      <c r="B2645" s="73" t="s">
        <v>4455</v>
      </c>
      <c r="C2645" s="68">
        <v>99</v>
      </c>
      <c r="D2645" s="73" t="s">
        <v>4456</v>
      </c>
      <c r="E2645" s="77">
        <v>151.1524354637335</v>
      </c>
      <c r="F2645" s="77">
        <v>49.517151568952514</v>
      </c>
      <c r="G2645" s="76">
        <v>0.23091102184206366</v>
      </c>
    </row>
    <row r="2646" spans="1:7" x14ac:dyDescent="0.25">
      <c r="A2646" s="75">
        <v>8579238</v>
      </c>
      <c r="B2646" s="73" t="s">
        <v>4457</v>
      </c>
      <c r="C2646" s="68">
        <v>99</v>
      </c>
      <c r="D2646" s="73" t="s">
        <v>4141</v>
      </c>
      <c r="E2646" s="77">
        <v>452.0613362606145</v>
      </c>
      <c r="F2646" s="77">
        <v>329.76503395086212</v>
      </c>
      <c r="G2646" s="76">
        <v>3.1813624757735521</v>
      </c>
    </row>
    <row r="2647" spans="1:7" x14ac:dyDescent="0.25">
      <c r="A2647" s="75">
        <v>8579239</v>
      </c>
      <c r="B2647" s="73" t="s">
        <v>4458</v>
      </c>
      <c r="C2647" s="68">
        <v>99</v>
      </c>
      <c r="D2647" s="73" t="s">
        <v>4459</v>
      </c>
      <c r="E2647" s="77">
        <v>537.09993438838069</v>
      </c>
      <c r="F2647" s="77">
        <v>296.27915930635771</v>
      </c>
      <c r="G2647" s="76">
        <v>8.3635987176802455</v>
      </c>
    </row>
    <row r="2648" spans="1:7" ht="30" x14ac:dyDescent="0.25">
      <c r="A2648" s="75">
        <v>8579242</v>
      </c>
      <c r="B2648" s="73" t="s">
        <v>4460</v>
      </c>
      <c r="C2648" s="68">
        <v>99</v>
      </c>
      <c r="D2648" s="73" t="s">
        <v>4461</v>
      </c>
      <c r="E2648" s="77">
        <v>2358.348903370872</v>
      </c>
      <c r="F2648" s="77">
        <v>1502.2959480692664</v>
      </c>
      <c r="G2648" s="76">
        <v>9.1085789248851867</v>
      </c>
    </row>
    <row r="2649" spans="1:7" x14ac:dyDescent="0.25">
      <c r="A2649" s="75">
        <v>8579243</v>
      </c>
      <c r="B2649" s="73" t="s">
        <v>4462</v>
      </c>
      <c r="C2649" s="68">
        <v>99</v>
      </c>
      <c r="D2649" s="73" t="s">
        <v>4463</v>
      </c>
      <c r="E2649" s="77">
        <v>134.76564717259112</v>
      </c>
      <c r="F2649" s="77">
        <v>114.32059304391092</v>
      </c>
      <c r="G2649" s="76">
        <v>0.57832245086614453</v>
      </c>
    </row>
    <row r="2650" spans="1:7" x14ac:dyDescent="0.25">
      <c r="A2650" s="75">
        <v>8579244</v>
      </c>
      <c r="B2650" s="73" t="s">
        <v>4464</v>
      </c>
      <c r="C2650" s="68">
        <v>99</v>
      </c>
      <c r="D2650" s="73" t="s">
        <v>2982</v>
      </c>
      <c r="E2650" s="77">
        <v>114.69644299850977</v>
      </c>
      <c r="F2650" s="77">
        <v>88.459731983080545</v>
      </c>
      <c r="G2650" s="76">
        <v>0.30571279765639692</v>
      </c>
    </row>
    <row r="2651" spans="1:7" x14ac:dyDescent="0.25">
      <c r="A2651" s="75">
        <v>8579245</v>
      </c>
      <c r="B2651" s="73" t="s">
        <v>4465</v>
      </c>
      <c r="C2651" s="68">
        <v>99</v>
      </c>
      <c r="D2651" s="73" t="s">
        <v>4466</v>
      </c>
      <c r="E2651" s="77">
        <v>1641.8579052496914</v>
      </c>
      <c r="F2651" s="77">
        <v>84.804765769241158</v>
      </c>
      <c r="G2651" s="76">
        <v>21.857589965976306</v>
      </c>
    </row>
    <row r="2652" spans="1:7" x14ac:dyDescent="0.25">
      <c r="A2652" s="75">
        <v>8579246</v>
      </c>
      <c r="B2652" s="73" t="s">
        <v>4467</v>
      </c>
      <c r="C2652" s="68">
        <v>99</v>
      </c>
      <c r="D2652" s="73" t="s">
        <v>4468</v>
      </c>
      <c r="E2652" s="77">
        <v>1040.7365804595499</v>
      </c>
      <c r="F2652" s="77">
        <v>77.643756947546123</v>
      </c>
      <c r="G2652" s="76">
        <v>21.883446165426374</v>
      </c>
    </row>
    <row r="2653" spans="1:7" x14ac:dyDescent="0.25">
      <c r="A2653" s="75">
        <v>8579247</v>
      </c>
      <c r="B2653" s="73" t="s">
        <v>4469</v>
      </c>
      <c r="C2653" s="68">
        <v>99</v>
      </c>
      <c r="D2653" s="73" t="s">
        <v>4470</v>
      </c>
      <c r="E2653" s="77">
        <v>187.58241161915331</v>
      </c>
      <c r="F2653" s="77">
        <v>121.61362479062342</v>
      </c>
      <c r="G2653" s="76">
        <v>0.953682683961391</v>
      </c>
    </row>
    <row r="2654" spans="1:7" x14ac:dyDescent="0.25">
      <c r="A2654" s="75">
        <v>8579248</v>
      </c>
      <c r="B2654" s="73" t="s">
        <v>4471</v>
      </c>
      <c r="C2654" s="68">
        <v>99</v>
      </c>
      <c r="D2654" s="73" t="s">
        <v>4033</v>
      </c>
      <c r="E2654" s="77">
        <v>202.84334693595761</v>
      </c>
      <c r="F2654" s="77">
        <v>127.05808592927755</v>
      </c>
      <c r="G2654" s="76">
        <v>1.4396613262522799</v>
      </c>
    </row>
    <row r="2655" spans="1:7" x14ac:dyDescent="0.25">
      <c r="A2655" s="75">
        <v>8579249</v>
      </c>
      <c r="B2655" s="73" t="s">
        <v>4472</v>
      </c>
      <c r="C2655" s="68">
        <v>99</v>
      </c>
      <c r="D2655" s="73" t="s">
        <v>4473</v>
      </c>
      <c r="E2655" s="77">
        <v>378.74174554062427</v>
      </c>
      <c r="F2655" s="77">
        <v>322.26385859249496</v>
      </c>
      <c r="G2655" s="76">
        <v>1.8344285516243499</v>
      </c>
    </row>
    <row r="2656" spans="1:7" x14ac:dyDescent="0.25">
      <c r="A2656" s="75">
        <v>8579251</v>
      </c>
      <c r="B2656" s="73" t="s">
        <v>4474</v>
      </c>
      <c r="C2656" s="68">
        <v>99</v>
      </c>
      <c r="D2656" s="73" t="s">
        <v>4475</v>
      </c>
      <c r="E2656" s="77">
        <v>471.44654211029717</v>
      </c>
      <c r="F2656" s="77">
        <v>148.65810854107363</v>
      </c>
      <c r="G2656" s="76">
        <v>11.954581716356113</v>
      </c>
    </row>
    <row r="2657" spans="1:7" x14ac:dyDescent="0.25">
      <c r="A2657" s="75">
        <v>8579253</v>
      </c>
      <c r="B2657" s="73" t="s">
        <v>4476</v>
      </c>
      <c r="C2657" s="68">
        <v>99</v>
      </c>
      <c r="D2657" s="73" t="s">
        <v>4477</v>
      </c>
      <c r="E2657" s="77">
        <v>1828.7070545085928</v>
      </c>
      <c r="F2657" s="77">
        <v>1188.7980303966515</v>
      </c>
      <c r="G2657" s="76">
        <v>7.3667992865912604</v>
      </c>
    </row>
    <row r="2658" spans="1:7" x14ac:dyDescent="0.25">
      <c r="A2658" s="75">
        <v>8579256</v>
      </c>
      <c r="B2658" s="73" t="s">
        <v>4478</v>
      </c>
      <c r="C2658" s="68">
        <v>99</v>
      </c>
      <c r="D2658" s="73" t="s">
        <v>4479</v>
      </c>
      <c r="E2658" s="77">
        <v>447.09934430793356</v>
      </c>
      <c r="F2658" s="77">
        <v>341.65137744876699</v>
      </c>
      <c r="G2658" s="76">
        <v>1.3951074096622285</v>
      </c>
    </row>
    <row r="2659" spans="1:7" x14ac:dyDescent="0.25">
      <c r="A2659" s="75">
        <v>8579257</v>
      </c>
      <c r="B2659" s="73" t="s">
        <v>4480</v>
      </c>
      <c r="C2659" s="68">
        <v>99</v>
      </c>
      <c r="D2659" s="73" t="s">
        <v>4481</v>
      </c>
      <c r="E2659" s="77">
        <v>1623.9686161704362</v>
      </c>
      <c r="F2659" s="77">
        <v>40.074104743954301</v>
      </c>
      <c r="G2659" s="76">
        <v>22.022276520666821</v>
      </c>
    </row>
    <row r="2660" spans="1:7" x14ac:dyDescent="0.25">
      <c r="A2660" s="75">
        <v>8579259</v>
      </c>
      <c r="B2660" s="73" t="s">
        <v>4482</v>
      </c>
      <c r="C2660" s="68">
        <v>99</v>
      </c>
      <c r="D2660" s="73" t="s">
        <v>4479</v>
      </c>
      <c r="E2660" s="77">
        <v>447.09934430793356</v>
      </c>
      <c r="F2660" s="77">
        <v>341.65137744876699</v>
      </c>
      <c r="G2660" s="76">
        <v>1.3951074096622285</v>
      </c>
    </row>
    <row r="2661" spans="1:7" x14ac:dyDescent="0.25">
      <c r="A2661" s="75">
        <v>8579266</v>
      </c>
      <c r="B2661" s="73" t="s">
        <v>4483</v>
      </c>
      <c r="C2661" s="68">
        <v>99</v>
      </c>
      <c r="D2661" s="73" t="s">
        <v>2780</v>
      </c>
      <c r="E2661" s="77">
        <v>27.703933333333335</v>
      </c>
      <c r="F2661" s="77">
        <v>49.856034559079731</v>
      </c>
      <c r="G2661" s="76">
        <v>0.31868776804027599</v>
      </c>
    </row>
    <row r="2662" spans="1:7" x14ac:dyDescent="0.25">
      <c r="A2662" s="75">
        <v>8579269</v>
      </c>
      <c r="B2662" s="73" t="s">
        <v>4484</v>
      </c>
      <c r="C2662" s="68">
        <v>99</v>
      </c>
      <c r="D2662" s="73" t="s">
        <v>4485</v>
      </c>
      <c r="E2662" s="77">
        <v>1717.4179220567653</v>
      </c>
      <c r="F2662" s="77">
        <v>129.96170707417309</v>
      </c>
      <c r="G2662" s="76">
        <v>22.749846485747877</v>
      </c>
    </row>
    <row r="2663" spans="1:7" x14ac:dyDescent="0.25">
      <c r="A2663" s="75">
        <v>8579272</v>
      </c>
      <c r="B2663" s="73" t="s">
        <v>4486</v>
      </c>
      <c r="C2663" s="68">
        <v>99</v>
      </c>
      <c r="D2663" s="73" t="s">
        <v>4487</v>
      </c>
      <c r="E2663" s="77">
        <v>409.4438961077754</v>
      </c>
      <c r="F2663" s="77">
        <v>381.75000684178212</v>
      </c>
      <c r="G2663" s="76">
        <v>2.6294478108392654</v>
      </c>
    </row>
    <row r="2664" spans="1:7" x14ac:dyDescent="0.25">
      <c r="A2664" s="75">
        <v>8579280</v>
      </c>
      <c r="B2664" s="73" t="s">
        <v>4488</v>
      </c>
      <c r="C2664" s="68">
        <v>99</v>
      </c>
      <c r="D2664" s="73" t="s">
        <v>4489</v>
      </c>
      <c r="E2664" s="77">
        <v>249.00865558986106</v>
      </c>
      <c r="F2664" s="77">
        <v>107.09106221687793</v>
      </c>
      <c r="G2664" s="76">
        <v>4.977985616522564</v>
      </c>
    </row>
    <row r="2665" spans="1:7" x14ac:dyDescent="0.25">
      <c r="A2665" s="75">
        <v>8579281</v>
      </c>
      <c r="B2665" s="73" t="s">
        <v>4490</v>
      </c>
      <c r="C2665" s="68">
        <v>99</v>
      </c>
      <c r="D2665" s="73" t="s">
        <v>4491</v>
      </c>
      <c r="E2665" s="77">
        <v>2672.8388051477623</v>
      </c>
      <c r="F2665" s="77">
        <v>75.386281808879716</v>
      </c>
      <c r="G2665" s="76">
        <v>37.802150147321548</v>
      </c>
    </row>
    <row r="2666" spans="1:7" x14ac:dyDescent="0.25">
      <c r="A2666" s="75">
        <v>8579282</v>
      </c>
      <c r="B2666" s="73" t="s">
        <v>4492</v>
      </c>
      <c r="C2666" s="68">
        <v>99</v>
      </c>
      <c r="D2666" s="73" t="s">
        <v>4493</v>
      </c>
      <c r="E2666" s="77">
        <v>158.18105453931116</v>
      </c>
      <c r="F2666" s="77">
        <v>131.8846124970658</v>
      </c>
      <c r="G2666" s="76">
        <v>0.9996506532407895</v>
      </c>
    </row>
    <row r="2667" spans="1:7" x14ac:dyDescent="0.25">
      <c r="A2667" s="75">
        <v>8579285</v>
      </c>
      <c r="B2667" s="73" t="s">
        <v>4494</v>
      </c>
      <c r="C2667" s="68">
        <v>99</v>
      </c>
      <c r="D2667" s="73" t="s">
        <v>3592</v>
      </c>
      <c r="E2667" s="77">
        <v>362.58996076926348</v>
      </c>
      <c r="F2667" s="77">
        <v>282.81560216596949</v>
      </c>
      <c r="G2667" s="76">
        <v>2.0682427884130656</v>
      </c>
    </row>
    <row r="2668" spans="1:7" x14ac:dyDescent="0.25">
      <c r="A2668" s="75">
        <v>8579286</v>
      </c>
      <c r="B2668" s="73" t="s">
        <v>4495</v>
      </c>
      <c r="C2668" s="68">
        <v>99</v>
      </c>
      <c r="D2668" s="73" t="s">
        <v>4496</v>
      </c>
      <c r="E2668" s="77">
        <v>204.71409600080136</v>
      </c>
      <c r="F2668" s="77">
        <v>183.64779981617855</v>
      </c>
      <c r="G2668" s="76">
        <v>0.5884518877895355</v>
      </c>
    </row>
    <row r="2669" spans="1:7" x14ac:dyDescent="0.25">
      <c r="A2669" s="75">
        <v>8579290</v>
      </c>
      <c r="B2669" s="73" t="s">
        <v>4497</v>
      </c>
      <c r="C2669" s="68">
        <v>99</v>
      </c>
      <c r="D2669" s="73" t="s">
        <v>4498</v>
      </c>
      <c r="E2669" s="77">
        <v>1213.45558804699</v>
      </c>
      <c r="F2669" s="77">
        <v>286.78502599647743</v>
      </c>
      <c r="G2669" s="76">
        <v>11.625142216657355</v>
      </c>
    </row>
    <row r="2670" spans="1:7" x14ac:dyDescent="0.25">
      <c r="A2670" s="75">
        <v>8580001</v>
      </c>
      <c r="B2670" s="73" t="s">
        <v>4499</v>
      </c>
      <c r="C2670" s="68">
        <v>99</v>
      </c>
      <c r="D2670" s="73" t="s">
        <v>4500</v>
      </c>
      <c r="E2670" s="77">
        <v>548.87168410556626</v>
      </c>
      <c r="F2670" s="77">
        <v>364.4435328659157</v>
      </c>
      <c r="G2670" s="76">
        <v>2.0641487030617243</v>
      </c>
    </row>
    <row r="2671" spans="1:7" x14ac:dyDescent="0.25">
      <c r="A2671" s="75">
        <v>8580101</v>
      </c>
      <c r="B2671" s="73" t="s">
        <v>4501</v>
      </c>
      <c r="C2671" s="68">
        <v>99</v>
      </c>
      <c r="D2671" s="73" t="s">
        <v>4502</v>
      </c>
      <c r="E2671" s="77">
        <v>843.0122821104743</v>
      </c>
      <c r="F2671" s="77">
        <v>554.54252956754635</v>
      </c>
      <c r="G2671" s="76">
        <v>3.4823358814276073</v>
      </c>
    </row>
    <row r="2672" spans="1:7" x14ac:dyDescent="0.25">
      <c r="A2672" s="75">
        <v>8580201</v>
      </c>
      <c r="B2672" s="73" t="s">
        <v>4503</v>
      </c>
      <c r="C2672" s="68">
        <v>99</v>
      </c>
      <c r="D2672" s="73" t="s">
        <v>2776</v>
      </c>
      <c r="E2672" s="77">
        <v>425.54639720479867</v>
      </c>
      <c r="F2672" s="77">
        <v>251.95308691489848</v>
      </c>
      <c r="G2672" s="76">
        <v>1.4694492120331031</v>
      </c>
    </row>
    <row r="2673" spans="1:7" x14ac:dyDescent="0.25">
      <c r="A2673" s="75">
        <v>8580301</v>
      </c>
      <c r="B2673" s="73" t="s">
        <v>4504</v>
      </c>
      <c r="C2673" s="68">
        <v>99</v>
      </c>
      <c r="D2673" s="73" t="s">
        <v>4505</v>
      </c>
      <c r="E2673" s="77">
        <v>47.128224987728181</v>
      </c>
      <c r="F2673" s="77">
        <v>99.646619018224428</v>
      </c>
      <c r="G2673" s="76">
        <v>0.66206790034472951</v>
      </c>
    </row>
    <row r="2674" spans="1:7" x14ac:dyDescent="0.25">
      <c r="A2674" s="75">
        <v>8580401</v>
      </c>
      <c r="B2674" s="73" t="s">
        <v>4506</v>
      </c>
      <c r="C2674" s="68">
        <v>99</v>
      </c>
      <c r="D2674" s="73" t="s">
        <v>4507</v>
      </c>
      <c r="E2674" s="77">
        <v>1388.9155614109268</v>
      </c>
      <c r="F2674" s="77">
        <v>1279.7754550653842</v>
      </c>
      <c r="G2674" s="76">
        <v>4.27446072829642</v>
      </c>
    </row>
    <row r="2675" spans="1:7" x14ac:dyDescent="0.25">
      <c r="A2675" s="75">
        <v>8580501</v>
      </c>
      <c r="B2675" s="73" t="s">
        <v>4508</v>
      </c>
      <c r="C2675" s="68">
        <v>99</v>
      </c>
      <c r="D2675" s="73" t="s">
        <v>4509</v>
      </c>
      <c r="E2675" s="77">
        <v>342.65696831073592</v>
      </c>
      <c r="F2675" s="77">
        <v>304.61289784979488</v>
      </c>
      <c r="G2675" s="76">
        <v>1.1981802496227099</v>
      </c>
    </row>
    <row r="2676" spans="1:7" x14ac:dyDescent="0.25">
      <c r="A2676" s="75">
        <v>8581001</v>
      </c>
      <c r="B2676" s="73" t="s">
        <v>4510</v>
      </c>
      <c r="C2676" s="68">
        <v>99</v>
      </c>
      <c r="D2676" s="73" t="s">
        <v>4511</v>
      </c>
      <c r="E2676" s="77">
        <v>21.440921471730647</v>
      </c>
      <c r="F2676" s="77">
        <v>46.523778102714395</v>
      </c>
      <c r="G2676" s="76">
        <v>0.37680145344110061</v>
      </c>
    </row>
    <row r="2677" spans="1:7" x14ac:dyDescent="0.25">
      <c r="A2677" s="75">
        <v>8581101</v>
      </c>
      <c r="B2677" s="73" t="s">
        <v>4512</v>
      </c>
      <c r="C2677" s="68">
        <v>99</v>
      </c>
      <c r="D2677" s="73" t="s">
        <v>4513</v>
      </c>
      <c r="E2677" s="77">
        <v>126.07848258017687</v>
      </c>
      <c r="F2677" s="77">
        <v>77.116903363633426</v>
      </c>
      <c r="G2677" s="76">
        <v>0.95788504057653279</v>
      </c>
    </row>
    <row r="2678" spans="1:7" x14ac:dyDescent="0.25">
      <c r="A2678" s="75">
        <v>8581201</v>
      </c>
      <c r="B2678" s="73" t="s">
        <v>4514</v>
      </c>
      <c r="C2678" s="68">
        <v>99</v>
      </c>
      <c r="D2678" s="73" t="s">
        <v>4515</v>
      </c>
      <c r="E2678" s="77">
        <v>112.17880335154827</v>
      </c>
      <c r="F2678" s="77">
        <v>145.1355315113986</v>
      </c>
      <c r="G2678" s="76">
        <v>0.77732356532356528</v>
      </c>
    </row>
    <row r="2679" spans="1:7" x14ac:dyDescent="0.25">
      <c r="A2679" s="75">
        <v>8581301</v>
      </c>
      <c r="B2679" s="73" t="s">
        <v>4516</v>
      </c>
      <c r="C2679" s="68">
        <v>99</v>
      </c>
      <c r="D2679" s="73" t="s">
        <v>4517</v>
      </c>
      <c r="E2679" s="77">
        <v>57.855833333333329</v>
      </c>
      <c r="F2679" s="77">
        <v>101.91514407976237</v>
      </c>
      <c r="G2679" s="76">
        <v>0.55833333333333335</v>
      </c>
    </row>
    <row r="2680" spans="1:7" x14ac:dyDescent="0.25">
      <c r="A2680" s="75">
        <v>8581401</v>
      </c>
      <c r="B2680" s="73" t="s">
        <v>4518</v>
      </c>
      <c r="C2680" s="68">
        <v>99</v>
      </c>
      <c r="D2680" s="73" t="s">
        <v>4519</v>
      </c>
      <c r="E2680" s="77">
        <v>257.02101822173785</v>
      </c>
      <c r="F2680" s="77">
        <v>167.10758063382406</v>
      </c>
      <c r="G2680" s="76">
        <v>1.0447053101754715</v>
      </c>
    </row>
    <row r="2681" spans="1:7" x14ac:dyDescent="0.25">
      <c r="A2681" s="75">
        <v>8581501</v>
      </c>
      <c r="B2681" s="73" t="s">
        <v>4520</v>
      </c>
      <c r="C2681" s="68">
        <v>99</v>
      </c>
      <c r="D2681" s="73" t="s">
        <v>4521</v>
      </c>
      <c r="E2681" s="77">
        <v>420.60295701670611</v>
      </c>
      <c r="F2681" s="77">
        <v>60.256620665182197</v>
      </c>
      <c r="G2681" s="76">
        <v>7.7064777535150197</v>
      </c>
    </row>
    <row r="2682" spans="1:7" x14ac:dyDescent="0.25">
      <c r="A2682" s="75">
        <v>8581502</v>
      </c>
      <c r="B2682" s="73" t="s">
        <v>4522</v>
      </c>
      <c r="C2682" s="68">
        <v>99</v>
      </c>
      <c r="D2682" s="73" t="s">
        <v>4521</v>
      </c>
      <c r="E2682" s="77">
        <v>420.60295701670611</v>
      </c>
      <c r="F2682" s="77">
        <v>60.256620665182197</v>
      </c>
      <c r="G2682" s="76">
        <v>7.7064777535150188</v>
      </c>
    </row>
    <row r="2683" spans="1:7" x14ac:dyDescent="0.25">
      <c r="A2683" s="75">
        <v>8581503</v>
      </c>
      <c r="B2683" s="73" t="s">
        <v>4523</v>
      </c>
      <c r="C2683" s="68">
        <v>99</v>
      </c>
      <c r="D2683" s="73" t="s">
        <v>4524</v>
      </c>
      <c r="E2683" s="77">
        <v>107.79820224096161</v>
      </c>
      <c r="F2683" s="77">
        <v>96.937543652024772</v>
      </c>
      <c r="G2683" s="76">
        <v>0.72363971705951813</v>
      </c>
    </row>
    <row r="2684" spans="1:7" x14ac:dyDescent="0.25">
      <c r="A2684" s="75">
        <v>8581504</v>
      </c>
      <c r="B2684" s="73" t="s">
        <v>4525</v>
      </c>
      <c r="C2684" s="68">
        <v>99</v>
      </c>
      <c r="D2684" s="73" t="s">
        <v>2789</v>
      </c>
      <c r="E2684" s="77">
        <v>91.704730911183248</v>
      </c>
      <c r="F2684" s="77">
        <v>104.90740364057947</v>
      </c>
      <c r="G2684" s="76">
        <v>0.60762678601294973</v>
      </c>
    </row>
    <row r="2685" spans="1:7" x14ac:dyDescent="0.25">
      <c r="A2685" s="75">
        <v>8581505</v>
      </c>
      <c r="B2685" s="73" t="s">
        <v>4526</v>
      </c>
      <c r="C2685" s="68">
        <v>99</v>
      </c>
      <c r="D2685" s="73" t="s">
        <v>4527</v>
      </c>
      <c r="E2685" s="77">
        <v>171.08963880802762</v>
      </c>
      <c r="F2685" s="77">
        <v>135.29546570206006</v>
      </c>
      <c r="G2685" s="76">
        <v>0.82133793901398633</v>
      </c>
    </row>
    <row r="2686" spans="1:7" x14ac:dyDescent="0.25">
      <c r="A2686" s="75">
        <v>8581506</v>
      </c>
      <c r="B2686" s="73" t="s">
        <v>4528</v>
      </c>
      <c r="C2686" s="68">
        <v>99</v>
      </c>
      <c r="D2686" s="73" t="s">
        <v>2806</v>
      </c>
      <c r="E2686" s="77">
        <v>136.99459009581034</v>
      </c>
      <c r="F2686" s="77">
        <v>79.474672852236509</v>
      </c>
      <c r="G2686" s="76">
        <v>0.36555126850692282</v>
      </c>
    </row>
    <row r="2687" spans="1:7" x14ac:dyDescent="0.25">
      <c r="A2687" s="75">
        <v>8581507</v>
      </c>
      <c r="B2687" s="73" t="s">
        <v>4529</v>
      </c>
      <c r="C2687" s="68">
        <v>99</v>
      </c>
      <c r="D2687" s="73" t="s">
        <v>4530</v>
      </c>
      <c r="E2687" s="77">
        <v>468.42986112618956</v>
      </c>
      <c r="F2687" s="77">
        <v>378.19940436580964</v>
      </c>
      <c r="G2687" s="76">
        <v>1.4290321088385165</v>
      </c>
    </row>
    <row r="2688" spans="1:7" x14ac:dyDescent="0.25">
      <c r="A2688" s="75">
        <v>8581508</v>
      </c>
      <c r="B2688" s="73" t="s">
        <v>4531</v>
      </c>
      <c r="C2688" s="68">
        <v>99</v>
      </c>
      <c r="D2688" s="73" t="s">
        <v>4524</v>
      </c>
      <c r="E2688" s="77">
        <v>107.79820224096161</v>
      </c>
      <c r="F2688" s="77">
        <v>96.937543652024786</v>
      </c>
      <c r="G2688" s="76">
        <v>0.72363971705951824</v>
      </c>
    </row>
    <row r="2689" spans="1:7" x14ac:dyDescent="0.25">
      <c r="A2689" s="75">
        <v>8581509</v>
      </c>
      <c r="B2689" s="73" t="s">
        <v>4532</v>
      </c>
      <c r="C2689" s="68">
        <v>99</v>
      </c>
      <c r="D2689" s="73" t="s">
        <v>4533</v>
      </c>
      <c r="E2689" s="77">
        <v>99.221973666432291</v>
      </c>
      <c r="F2689" s="77">
        <v>68.717054027926821</v>
      </c>
      <c r="G2689" s="76">
        <v>0.42988522735763279</v>
      </c>
    </row>
    <row r="2690" spans="1:7" x14ac:dyDescent="0.25">
      <c r="A2690" s="75">
        <v>8581510</v>
      </c>
      <c r="B2690" s="73" t="s">
        <v>4534</v>
      </c>
      <c r="C2690" s="68">
        <v>99</v>
      </c>
      <c r="D2690" s="73" t="s">
        <v>4524</v>
      </c>
      <c r="E2690" s="77">
        <v>107.79820224096161</v>
      </c>
      <c r="F2690" s="77">
        <v>96.937543652024772</v>
      </c>
      <c r="G2690" s="76">
        <v>0.72363971705951813</v>
      </c>
    </row>
    <row r="2691" spans="1:7" x14ac:dyDescent="0.25">
      <c r="A2691" s="75">
        <v>8581511</v>
      </c>
      <c r="B2691" s="73" t="s">
        <v>4535</v>
      </c>
      <c r="C2691" s="68">
        <v>99</v>
      </c>
      <c r="D2691" s="73" t="s">
        <v>4536</v>
      </c>
      <c r="E2691" s="77">
        <v>148.71663126661821</v>
      </c>
      <c r="F2691" s="77">
        <v>221.4987391773395</v>
      </c>
      <c r="G2691" s="76">
        <v>1.0254844369981613</v>
      </c>
    </row>
    <row r="2692" spans="1:7" x14ac:dyDescent="0.25">
      <c r="A2692" s="75">
        <v>8581601</v>
      </c>
      <c r="B2692" s="73" t="s">
        <v>4537</v>
      </c>
      <c r="C2692" s="68">
        <v>99</v>
      </c>
      <c r="D2692" s="73" t="s">
        <v>4538</v>
      </c>
      <c r="E2692" s="77">
        <v>2587.0992003265774</v>
      </c>
      <c r="F2692" s="77">
        <v>128.4537516563968</v>
      </c>
      <c r="G2692" s="76">
        <v>35.543902477905206</v>
      </c>
    </row>
    <row r="2693" spans="1:7" x14ac:dyDescent="0.25">
      <c r="A2693" s="75">
        <v>8581602</v>
      </c>
      <c r="B2693" s="73" t="s">
        <v>4539</v>
      </c>
      <c r="C2693" s="68">
        <v>99</v>
      </c>
      <c r="D2693" s="73" t="s">
        <v>3431</v>
      </c>
      <c r="E2693" s="77">
        <v>2302.7954359538198</v>
      </c>
      <c r="F2693" s="77">
        <v>1554.4577858557893</v>
      </c>
      <c r="G2693" s="76">
        <v>10.1774613279302</v>
      </c>
    </row>
    <row r="2694" spans="1:7" x14ac:dyDescent="0.25">
      <c r="A2694" s="75">
        <v>8581603</v>
      </c>
      <c r="B2694" s="73" t="s">
        <v>4540</v>
      </c>
      <c r="C2694" s="68">
        <v>99</v>
      </c>
      <c r="D2694" s="73" t="s">
        <v>4541</v>
      </c>
      <c r="E2694" s="77">
        <v>156.50251584951548</v>
      </c>
      <c r="F2694" s="77">
        <v>87.092810897131585</v>
      </c>
      <c r="G2694" s="76">
        <v>0.52100951660518913</v>
      </c>
    </row>
    <row r="2695" spans="1:7" x14ac:dyDescent="0.25">
      <c r="A2695" s="75">
        <v>8581604</v>
      </c>
      <c r="B2695" s="73" t="s">
        <v>4542</v>
      </c>
      <c r="C2695" s="68">
        <v>99</v>
      </c>
      <c r="D2695" s="73" t="s">
        <v>4543</v>
      </c>
      <c r="E2695" s="77">
        <v>463.06512815654736</v>
      </c>
      <c r="F2695" s="77">
        <v>444.40910693988542</v>
      </c>
      <c r="G2695" s="76">
        <v>3.2280492440517468</v>
      </c>
    </row>
    <row r="2696" spans="1:7" x14ac:dyDescent="0.25">
      <c r="A2696" s="75">
        <v>8581701</v>
      </c>
      <c r="B2696" s="73" t="s">
        <v>4544</v>
      </c>
      <c r="C2696" s="68">
        <v>99</v>
      </c>
      <c r="D2696" s="73" t="s">
        <v>3415</v>
      </c>
      <c r="E2696" s="77">
        <v>486.61606374410525</v>
      </c>
      <c r="F2696" s="77">
        <v>327.78801449417699</v>
      </c>
      <c r="G2696" s="76">
        <v>2.3474559252055203</v>
      </c>
    </row>
    <row r="2697" spans="1:7" x14ac:dyDescent="0.25">
      <c r="A2697" s="75">
        <v>8581702</v>
      </c>
      <c r="B2697" s="73" t="s">
        <v>4545</v>
      </c>
      <c r="C2697" s="68">
        <v>99</v>
      </c>
      <c r="D2697" s="73" t="s">
        <v>3415</v>
      </c>
      <c r="E2697" s="77">
        <v>486.61606374410519</v>
      </c>
      <c r="F2697" s="77">
        <v>327.78801449417699</v>
      </c>
      <c r="G2697" s="76">
        <v>2.3474559252055203</v>
      </c>
    </row>
    <row r="2698" spans="1:7" x14ac:dyDescent="0.25">
      <c r="A2698" s="75">
        <v>8581704</v>
      </c>
      <c r="B2698" s="73" t="s">
        <v>4546</v>
      </c>
      <c r="C2698" s="68">
        <v>99</v>
      </c>
      <c r="D2698" s="73" t="s">
        <v>3415</v>
      </c>
      <c r="E2698" s="77">
        <v>486.61606374410513</v>
      </c>
      <c r="F2698" s="77">
        <v>327.78801449417699</v>
      </c>
      <c r="G2698" s="76">
        <v>2.3474559252055203</v>
      </c>
    </row>
    <row r="2699" spans="1:7" x14ac:dyDescent="0.25">
      <c r="A2699" s="75">
        <v>8581706</v>
      </c>
      <c r="B2699" s="73" t="s">
        <v>4547</v>
      </c>
      <c r="C2699" s="68">
        <v>99</v>
      </c>
      <c r="D2699" s="73" t="s">
        <v>3415</v>
      </c>
      <c r="E2699" s="77">
        <v>486.61606374410525</v>
      </c>
      <c r="F2699" s="77">
        <v>327.78801449417699</v>
      </c>
      <c r="G2699" s="76">
        <v>2.3474559252055203</v>
      </c>
    </row>
    <row r="2700" spans="1:7" x14ac:dyDescent="0.25">
      <c r="A2700" s="75">
        <v>8581901</v>
      </c>
      <c r="B2700" s="73" t="s">
        <v>4548</v>
      </c>
      <c r="C2700" s="68">
        <v>99</v>
      </c>
      <c r="D2700" s="73" t="s">
        <v>4549</v>
      </c>
      <c r="E2700" s="77">
        <v>1244.5037536327184</v>
      </c>
      <c r="F2700" s="77">
        <v>885.91626074425164</v>
      </c>
      <c r="G2700" s="76">
        <v>5.0663832387794008</v>
      </c>
    </row>
    <row r="2701" spans="1:7" x14ac:dyDescent="0.25">
      <c r="A2701" s="75">
        <v>8581902</v>
      </c>
      <c r="B2701" s="73" t="s">
        <v>4550</v>
      </c>
      <c r="C2701" s="68">
        <v>99</v>
      </c>
      <c r="D2701" s="73" t="s">
        <v>4405</v>
      </c>
      <c r="E2701" s="77">
        <v>190.34771846189821</v>
      </c>
      <c r="F2701" s="77">
        <v>202.44222883071117</v>
      </c>
      <c r="G2701" s="76">
        <v>0.43152716724317408</v>
      </c>
    </row>
    <row r="2702" spans="1:7" x14ac:dyDescent="0.25">
      <c r="A2702" s="75">
        <v>8581903</v>
      </c>
      <c r="B2702" s="73" t="s">
        <v>4551</v>
      </c>
      <c r="C2702" s="68">
        <v>99</v>
      </c>
      <c r="D2702" s="73" t="s">
        <v>4407</v>
      </c>
      <c r="E2702" s="77">
        <v>428.18935677403283</v>
      </c>
      <c r="F2702" s="77">
        <v>424.59108651321549</v>
      </c>
      <c r="G2702" s="76">
        <v>1.2210908169898391</v>
      </c>
    </row>
    <row r="2703" spans="1:7" x14ac:dyDescent="0.25">
      <c r="A2703" s="75">
        <v>8581904</v>
      </c>
      <c r="B2703" s="73" t="s">
        <v>4552</v>
      </c>
      <c r="C2703" s="68">
        <v>99</v>
      </c>
      <c r="D2703" s="73" t="s">
        <v>4553</v>
      </c>
      <c r="E2703" s="77">
        <v>1138.177218209989</v>
      </c>
      <c r="F2703" s="77">
        <v>85.883880510404708</v>
      </c>
      <c r="G2703" s="76">
        <v>21.96437276761274</v>
      </c>
    </row>
    <row r="2704" spans="1:7" x14ac:dyDescent="0.25">
      <c r="A2704" s="75">
        <v>8581905</v>
      </c>
      <c r="B2704" s="73" t="s">
        <v>4554</v>
      </c>
      <c r="C2704" s="68">
        <v>99</v>
      </c>
      <c r="D2704" s="73" t="s">
        <v>4555</v>
      </c>
      <c r="E2704" s="77">
        <v>166.48664919730822</v>
      </c>
      <c r="F2704" s="77">
        <v>119.26559491879438</v>
      </c>
      <c r="G2704" s="76">
        <v>0.44113757016733135</v>
      </c>
    </row>
    <row r="2705" spans="1:7" x14ac:dyDescent="0.25">
      <c r="A2705" s="75">
        <v>8582001</v>
      </c>
      <c r="B2705" s="73" t="s">
        <v>4556</v>
      </c>
      <c r="C2705" s="68">
        <v>99</v>
      </c>
      <c r="D2705" s="73" t="s">
        <v>3219</v>
      </c>
      <c r="E2705" s="77">
        <v>156</v>
      </c>
      <c r="F2705" s="77">
        <v>43.186296717861296</v>
      </c>
      <c r="G2705" s="76">
        <v>3.35</v>
      </c>
    </row>
    <row r="2706" spans="1:7" x14ac:dyDescent="0.25">
      <c r="A2706" s="75">
        <v>8582101</v>
      </c>
      <c r="B2706" s="73" t="s">
        <v>4557</v>
      </c>
      <c r="C2706" s="68">
        <v>99</v>
      </c>
      <c r="D2706" s="73" t="s">
        <v>4088</v>
      </c>
      <c r="E2706" s="77">
        <v>291.85008053310997</v>
      </c>
      <c r="F2706" s="77">
        <v>267.83133822153923</v>
      </c>
      <c r="G2706" s="76">
        <v>1.7174861342649954</v>
      </c>
    </row>
    <row r="2707" spans="1:7" x14ac:dyDescent="0.25">
      <c r="A2707" s="75">
        <v>8582102</v>
      </c>
      <c r="B2707" s="73" t="s">
        <v>4558</v>
      </c>
      <c r="C2707" s="68">
        <v>99</v>
      </c>
      <c r="D2707" s="73" t="s">
        <v>4088</v>
      </c>
      <c r="E2707" s="77">
        <v>291.85008053311003</v>
      </c>
      <c r="F2707" s="77">
        <v>267.83133822153923</v>
      </c>
      <c r="G2707" s="76">
        <v>1.7174861342649954</v>
      </c>
    </row>
    <row r="2708" spans="1:7" x14ac:dyDescent="0.25">
      <c r="A2708" s="75">
        <v>8582103</v>
      </c>
      <c r="B2708" s="73" t="s">
        <v>4559</v>
      </c>
      <c r="C2708" s="68">
        <v>99</v>
      </c>
      <c r="D2708" s="73" t="s">
        <v>3620</v>
      </c>
      <c r="E2708" s="77">
        <v>1182.6229993595935</v>
      </c>
      <c r="F2708" s="77">
        <v>783.19287677569309</v>
      </c>
      <c r="G2708" s="76">
        <v>4.9496875138180707</v>
      </c>
    </row>
    <row r="2709" spans="1:7" x14ac:dyDescent="0.25">
      <c r="A2709" s="75">
        <v>8582104</v>
      </c>
      <c r="B2709" s="73" t="s">
        <v>4560</v>
      </c>
      <c r="C2709" s="68">
        <v>99</v>
      </c>
      <c r="D2709" s="73" t="s">
        <v>3620</v>
      </c>
      <c r="E2709" s="77">
        <v>1182.6229993595935</v>
      </c>
      <c r="F2709" s="77">
        <v>783.19287677569309</v>
      </c>
      <c r="G2709" s="76">
        <v>4.9496875138180707</v>
      </c>
    </row>
    <row r="2710" spans="1:7" x14ac:dyDescent="0.25">
      <c r="A2710" s="75">
        <v>8582105</v>
      </c>
      <c r="B2710" s="73" t="s">
        <v>4561</v>
      </c>
      <c r="C2710" s="68">
        <v>99</v>
      </c>
      <c r="D2710" s="73" t="s">
        <v>3620</v>
      </c>
      <c r="E2710" s="77">
        <v>1182.6229993595932</v>
      </c>
      <c r="F2710" s="77">
        <v>783.19287677569298</v>
      </c>
      <c r="G2710" s="76">
        <v>4.9496875138180716</v>
      </c>
    </row>
    <row r="2711" spans="1:7" x14ac:dyDescent="0.25">
      <c r="A2711" s="75">
        <v>8582106</v>
      </c>
      <c r="B2711" s="73" t="s">
        <v>4562</v>
      </c>
      <c r="C2711" s="68">
        <v>99</v>
      </c>
      <c r="D2711" s="73" t="s">
        <v>3620</v>
      </c>
      <c r="E2711" s="77">
        <v>1182.6229993595932</v>
      </c>
      <c r="F2711" s="77">
        <v>783.19287677569309</v>
      </c>
      <c r="G2711" s="76">
        <v>4.9496875138180716</v>
      </c>
    </row>
    <row r="2712" spans="1:7" x14ac:dyDescent="0.25">
      <c r="A2712" s="75">
        <v>8582107</v>
      </c>
      <c r="B2712" s="73" t="s">
        <v>4563</v>
      </c>
      <c r="C2712" s="68">
        <v>99</v>
      </c>
      <c r="D2712" s="73" t="s">
        <v>4564</v>
      </c>
      <c r="E2712" s="77">
        <v>331.5041873193087</v>
      </c>
      <c r="F2712" s="77">
        <v>134.30121090881178</v>
      </c>
      <c r="G2712" s="76">
        <v>10.843083982413352</v>
      </c>
    </row>
    <row r="2713" spans="1:7" x14ac:dyDescent="0.25">
      <c r="A2713" s="75">
        <v>8582108</v>
      </c>
      <c r="B2713" s="73" t="s">
        <v>4565</v>
      </c>
      <c r="C2713" s="68">
        <v>99</v>
      </c>
      <c r="D2713" s="73" t="s">
        <v>4485</v>
      </c>
      <c r="E2713" s="77">
        <v>1717.4179220567653</v>
      </c>
      <c r="F2713" s="77">
        <v>129.96170707417306</v>
      </c>
      <c r="G2713" s="76">
        <v>22.749846485747881</v>
      </c>
    </row>
    <row r="2714" spans="1:7" x14ac:dyDescent="0.25">
      <c r="A2714" s="75">
        <v>8582109</v>
      </c>
      <c r="B2714" s="73" t="s">
        <v>4566</v>
      </c>
      <c r="C2714" s="68">
        <v>99</v>
      </c>
      <c r="D2714" s="73" t="s">
        <v>4459</v>
      </c>
      <c r="E2714" s="77">
        <v>537.09993438838069</v>
      </c>
      <c r="F2714" s="77">
        <v>296.27915930635771</v>
      </c>
      <c r="G2714" s="76">
        <v>8.3635987176802455</v>
      </c>
    </row>
    <row r="2715" spans="1:7" x14ac:dyDescent="0.25">
      <c r="A2715" s="75">
        <v>8582110</v>
      </c>
      <c r="B2715" s="73" t="s">
        <v>4567</v>
      </c>
      <c r="C2715" s="68">
        <v>99</v>
      </c>
      <c r="D2715" s="73" t="s">
        <v>4568</v>
      </c>
      <c r="E2715" s="77">
        <v>211.90030375900682</v>
      </c>
      <c r="F2715" s="77">
        <v>198.01910209807423</v>
      </c>
      <c r="G2715" s="76">
        <v>1.4267407783621577</v>
      </c>
    </row>
    <row r="2716" spans="1:7" x14ac:dyDescent="0.25">
      <c r="A2716" s="75">
        <v>8582111</v>
      </c>
      <c r="B2716" s="73" t="s">
        <v>4569</v>
      </c>
      <c r="C2716" s="68">
        <v>99</v>
      </c>
      <c r="D2716" s="73" t="s">
        <v>4570</v>
      </c>
      <c r="E2716" s="77">
        <v>360</v>
      </c>
      <c r="F2716" s="77">
        <v>173.02020304029807</v>
      </c>
      <c r="G2716" s="76">
        <v>1.05</v>
      </c>
    </row>
    <row r="2717" spans="1:7" x14ac:dyDescent="0.25">
      <c r="A2717" s="75">
        <v>8582112</v>
      </c>
      <c r="B2717" s="73" t="s">
        <v>4571</v>
      </c>
      <c r="C2717" s="68">
        <v>99</v>
      </c>
      <c r="D2717" s="73" t="s">
        <v>4220</v>
      </c>
      <c r="E2717" s="77">
        <v>391.45447532326648</v>
      </c>
      <c r="F2717" s="77">
        <v>283.06796848088158</v>
      </c>
      <c r="G2717" s="76">
        <v>1.8611877559307353</v>
      </c>
    </row>
    <row r="2718" spans="1:7" x14ac:dyDescent="0.25">
      <c r="A2718" s="75">
        <v>8582201</v>
      </c>
      <c r="B2718" s="73" t="s">
        <v>4572</v>
      </c>
      <c r="C2718" s="68">
        <v>99</v>
      </c>
      <c r="D2718" s="73" t="s">
        <v>4564</v>
      </c>
      <c r="E2718" s="77">
        <v>331.50418731930864</v>
      </c>
      <c r="F2718" s="77">
        <v>134.30121090881178</v>
      </c>
      <c r="G2718" s="76">
        <v>10.843083982413354</v>
      </c>
    </row>
    <row r="2719" spans="1:7" x14ac:dyDescent="0.25">
      <c r="A2719" s="75">
        <v>8582301</v>
      </c>
      <c r="B2719" s="73" t="s">
        <v>4573</v>
      </c>
      <c r="C2719" s="68">
        <v>99</v>
      </c>
      <c r="D2719" s="73" t="s">
        <v>4092</v>
      </c>
      <c r="E2719" s="77">
        <v>1182.3880062429726</v>
      </c>
      <c r="F2719" s="77">
        <v>779.85495100668368</v>
      </c>
      <c r="G2719" s="76">
        <v>5.3389122171432613</v>
      </c>
    </row>
    <row r="2720" spans="1:7" x14ac:dyDescent="0.25">
      <c r="A2720" s="75">
        <v>8582302</v>
      </c>
      <c r="B2720" s="73" t="s">
        <v>4574</v>
      </c>
      <c r="C2720" s="68">
        <v>99</v>
      </c>
      <c r="D2720" s="73" t="s">
        <v>4092</v>
      </c>
      <c r="E2720" s="77">
        <v>1182.3880062429728</v>
      </c>
      <c r="F2720" s="77">
        <v>779.85495100668356</v>
      </c>
      <c r="G2720" s="76">
        <v>5.3389122171432621</v>
      </c>
    </row>
    <row r="2721" spans="1:7" x14ac:dyDescent="0.25">
      <c r="A2721" s="75">
        <v>8582303</v>
      </c>
      <c r="B2721" s="73" t="s">
        <v>4575</v>
      </c>
      <c r="C2721" s="68">
        <v>99</v>
      </c>
      <c r="D2721" s="73" t="s">
        <v>4086</v>
      </c>
      <c r="E2721" s="77">
        <v>291.61508741648913</v>
      </c>
      <c r="F2721" s="77">
        <v>264.4934124525297</v>
      </c>
      <c r="G2721" s="76">
        <v>2.1067108375901862</v>
      </c>
    </row>
    <row r="2722" spans="1:7" ht="15.75" thickBot="1" x14ac:dyDescent="0.3">
      <c r="A2722" s="79">
        <v>8800109</v>
      </c>
      <c r="B2722" s="74" t="s">
        <v>1835</v>
      </c>
      <c r="C2722" s="80">
        <v>99</v>
      </c>
      <c r="D2722" s="74" t="s">
        <v>4576</v>
      </c>
      <c r="E2722" s="81">
        <v>72.508972308948017</v>
      </c>
      <c r="F2722" s="81">
        <v>157.67432510840408</v>
      </c>
      <c r="G2722" s="82">
        <v>0.2959747528453574</v>
      </c>
    </row>
  </sheetData>
  <mergeCells count="2">
    <mergeCell ref="A3:B3"/>
    <mergeCell ref="C3:D3"/>
  </mergeCells>
  <pageMargins left="0.511811024" right="0.511811024" top="0.78740157499999996" bottom="0.78740157499999996" header="0.31496062000000002" footer="0.31496062000000002"/>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J1006"/>
  <sheetViews>
    <sheetView zoomScaleNormal="100" workbookViewId="0"/>
  </sheetViews>
  <sheetFormatPr defaultColWidth="8.85546875" defaultRowHeight="15" x14ac:dyDescent="0.25"/>
  <cols>
    <col min="1" max="1" width="10.7109375" style="1" customWidth="1"/>
    <col min="2" max="2" width="10.7109375" customWidth="1"/>
    <col min="3" max="3" width="70.7109375" style="1" customWidth="1"/>
    <col min="4" max="4" width="12.7109375" style="1" customWidth="1"/>
    <col min="5" max="6" width="12.7109375" customWidth="1"/>
    <col min="7" max="7" width="8.85546875" style="6"/>
    <col min="8" max="8" width="10.7109375" style="58" customWidth="1"/>
    <col min="9" max="9" width="8.85546875" style="58"/>
    <col min="10" max="10" width="64.85546875" bestFit="1" customWidth="1"/>
  </cols>
  <sheetData>
    <row r="1" spans="1:10" ht="24.6" customHeight="1" x14ac:dyDescent="0.25">
      <c r="A1" s="36" t="s">
        <v>1846</v>
      </c>
      <c r="B1" s="31"/>
      <c r="C1" s="30"/>
      <c r="D1" s="31"/>
      <c r="E1" s="31"/>
      <c r="F1" s="30"/>
      <c r="G1" s="30"/>
      <c r="H1" s="32"/>
      <c r="J1" s="58"/>
    </row>
    <row r="2" spans="1:10" ht="15.75" thickBot="1" x14ac:dyDescent="0.3">
      <c r="A2" s="33"/>
      <c r="B2" s="33"/>
      <c r="C2" s="34"/>
      <c r="D2" s="31"/>
      <c r="E2" s="31"/>
      <c r="F2" s="30"/>
      <c r="G2" s="30"/>
      <c r="H2" s="32"/>
      <c r="J2" s="58"/>
    </row>
    <row r="3" spans="1:10" x14ac:dyDescent="0.25">
      <c r="A3" s="59" t="s">
        <v>1152</v>
      </c>
      <c r="B3" s="59" t="s">
        <v>1154</v>
      </c>
      <c r="C3" s="59" t="s">
        <v>1153</v>
      </c>
      <c r="D3" s="59" t="s">
        <v>10</v>
      </c>
      <c r="E3" s="59" t="s">
        <v>11</v>
      </c>
      <c r="F3" s="59" t="s">
        <v>1842</v>
      </c>
      <c r="G3" s="30"/>
      <c r="H3" s="32"/>
      <c r="J3" s="58"/>
    </row>
    <row r="4" spans="1:10" ht="18" thickBot="1" x14ac:dyDescent="0.3">
      <c r="A4" s="60"/>
      <c r="B4" s="60"/>
      <c r="C4" s="61"/>
      <c r="D4" s="62" t="s">
        <v>2692</v>
      </c>
      <c r="E4" s="62" t="s">
        <v>1843</v>
      </c>
      <c r="F4" s="62" t="s">
        <v>1844</v>
      </c>
      <c r="G4" s="30"/>
      <c r="H4" s="32"/>
      <c r="J4" s="58"/>
    </row>
    <row r="5" spans="1:10" x14ac:dyDescent="0.25">
      <c r="A5" s="32">
        <f>'[2]Calc_Coef _18'!AE6</f>
        <v>6300101</v>
      </c>
      <c r="B5" s="32" t="str">
        <f>'[2]Calc_Coef _18'!C6</f>
        <v>100630</v>
      </c>
      <c r="C5" s="32" t="str">
        <f>'[2]Calc_Coef _18'!AF6</f>
        <v>ARROZ (POLIDO, PARBOILIZADO, AGULHA, AGULHINHA, ETC)</v>
      </c>
      <c r="D5" s="63">
        <f>'[2]Calc_Coef _18'!AG6</f>
        <v>2505.6555555555556</v>
      </c>
      <c r="E5" s="63">
        <f>'[2]Calc_Coef _18'!AH6</f>
        <v>1277.3333333333333</v>
      </c>
      <c r="F5" s="64">
        <f>'[2]Calc_Coef _18'!AI6</f>
        <v>10</v>
      </c>
      <c r="G5" s="30"/>
      <c r="H5"/>
      <c r="I5"/>
    </row>
    <row r="6" spans="1:10" x14ac:dyDescent="0.25">
      <c r="A6" s="32">
        <f>'[2]Calc_Coef _18'!AE7</f>
        <v>6300201</v>
      </c>
      <c r="B6" s="32">
        <f>'[2]Calc_Coef _18'!C7</f>
        <v>100620</v>
      </c>
      <c r="C6" s="32" t="str">
        <f>'[2]Calc_Coef _18'!AF7</f>
        <v>ARROZ INTEGRAL</v>
      </c>
      <c r="D6" s="63">
        <f>'[2]Calc_Coef _18'!AG7</f>
        <v>2538.2636363636366</v>
      </c>
      <c r="E6" s="63">
        <f>'[2]Calc_Coef _18'!AH7</f>
        <v>1277.3333333333333</v>
      </c>
      <c r="F6" s="64">
        <f>'[2]Calc_Coef _18'!AI7</f>
        <v>10</v>
      </c>
      <c r="G6" s="30"/>
      <c r="H6"/>
      <c r="I6"/>
    </row>
    <row r="7" spans="1:10" x14ac:dyDescent="0.25">
      <c r="A7" s="32">
        <f>'[2]Calc_Coef _18'!AE8</f>
        <v>6300701</v>
      </c>
      <c r="B7" s="32">
        <f>'[2]Calc_Coef _18'!C8</f>
        <v>100590</v>
      </c>
      <c r="C7" s="32" t="str">
        <f>'[2]Calc_Coef _18'!AF8</f>
        <v>MILHO (EM GRAO)</v>
      </c>
      <c r="D7" s="63">
        <f>'[2]Calc_Coef _18'!AG8</f>
        <v>558.33333333333337</v>
      </c>
      <c r="E7" s="63">
        <f>'[2]Calc_Coef _18'!AH8</f>
        <v>1254.7498947363872</v>
      </c>
      <c r="F7" s="64">
        <f>'[2]Calc_Coef _18'!AI8</f>
        <v>3.2495477253553973</v>
      </c>
      <c r="G7" s="30"/>
      <c r="H7"/>
      <c r="I7"/>
    </row>
    <row r="8" spans="1:10" x14ac:dyDescent="0.25">
      <c r="A8" s="32">
        <f>'[2]Calc_Coef _18'!AE9</f>
        <v>6300706</v>
      </c>
      <c r="B8" s="32" t="str">
        <f>'[2]Calc_Coef _18'!C9</f>
        <v>110313</v>
      </c>
      <c r="C8" s="32" t="str">
        <f>'[2]Calc_Coef _18'!AF9</f>
        <v>CANJIQUINHA DE MILHO EM GRAO</v>
      </c>
      <c r="D8" s="63">
        <f>'[2]Calc_Coef _18'!AG9</f>
        <v>633.22222222222217</v>
      </c>
      <c r="E8" s="63">
        <f>'[2]Calc_Coef _18'!AH9</f>
        <v>1543.426167959507</v>
      </c>
      <c r="F8" s="64">
        <f>'[2]Calc_Coef _18'!AI9</f>
        <v>8.5</v>
      </c>
      <c r="G8" s="30"/>
      <c r="H8"/>
      <c r="I8"/>
    </row>
    <row r="9" spans="1:10" x14ac:dyDescent="0.25">
      <c r="A9" s="32">
        <f>'[2]Calc_Coef _18'!AE10</f>
        <v>6300901</v>
      </c>
      <c r="B9" s="32">
        <f>'[2]Calc_Coef _18'!C10</f>
        <v>100110</v>
      </c>
      <c r="C9" s="32" t="str">
        <f>'[2]Calc_Coef _18'!AF10</f>
        <v>TRIGO EM GRAO</v>
      </c>
      <c r="D9" s="63">
        <f>'[2]Calc_Coef _18'!AG10</f>
        <v>388.5</v>
      </c>
      <c r="E9" s="63">
        <f>'[2]Calc_Coef _18'!AH10</f>
        <v>712</v>
      </c>
      <c r="F9" s="64">
        <f>'[2]Calc_Coef _18'!AI10</f>
        <v>10</v>
      </c>
      <c r="G9" s="30"/>
      <c r="H9"/>
      <c r="I9"/>
    </row>
    <row r="10" spans="1:10" x14ac:dyDescent="0.25">
      <c r="A10" s="32">
        <f>'[2]Calc_Coef _18'!AE11</f>
        <v>6301001</v>
      </c>
      <c r="B10" s="32" t="str">
        <f>'[2]Calc_Coef _18'!C11</f>
        <v>120241</v>
      </c>
      <c r="C10" s="32" t="str">
        <f>'[2]Calc_Coef _18'!AF11</f>
        <v>AMENDOIM (EM GRAO) (IN NATURA)</v>
      </c>
      <c r="D10" s="63">
        <f>'[2]Calc_Coef _18'!AG11</f>
        <v>1333.3333333333333</v>
      </c>
      <c r="E10" s="63">
        <f>'[2]Calc_Coef _18'!AH11</f>
        <v>2704.2217653304615</v>
      </c>
      <c r="F10" s="64">
        <f>'[2]Calc_Coef _18'!AI11</f>
        <v>5.9456146715745248</v>
      </c>
      <c r="G10" s="30"/>
      <c r="H10"/>
      <c r="I10"/>
    </row>
    <row r="11" spans="1:10" x14ac:dyDescent="0.25">
      <c r="A11" s="32">
        <f>'[2]Calc_Coef _18'!AE12</f>
        <v>6301101</v>
      </c>
      <c r="B11" s="32" t="str">
        <f>'[2]Calc_Coef _18'!C12</f>
        <v>070810</v>
      </c>
      <c r="C11" s="32" t="str">
        <f>'[2]Calc_Coef _18'!AF12</f>
        <v>ERVILHA EM GRAO</v>
      </c>
      <c r="D11" s="63">
        <f>'[2]Calc_Coef _18'!AG12</f>
        <v>504.25</v>
      </c>
      <c r="E11" s="63">
        <f>'[2]Calc_Coef _18'!AH12</f>
        <v>834.32065121342077</v>
      </c>
      <c r="F11" s="64">
        <f>'[2]Calc_Coef _18'!AI12</f>
        <v>26</v>
      </c>
      <c r="G11" s="30"/>
      <c r="H11"/>
      <c r="I11"/>
    </row>
    <row r="12" spans="1:10" x14ac:dyDescent="0.25">
      <c r="A12" s="32">
        <f>'[2]Calc_Coef _18'!AE13</f>
        <v>6301201</v>
      </c>
      <c r="B12" s="32" t="str">
        <f>'[2]Calc_Coef _18'!C13</f>
        <v>071350</v>
      </c>
      <c r="C12" s="32" t="str">
        <f>'[2]Calc_Coef _18'!AF13</f>
        <v>FAVA (EM GRAO)</v>
      </c>
      <c r="D12" s="63">
        <f>'[2]Calc_Coef _18'!AG13</f>
        <v>914.50476190476195</v>
      </c>
      <c r="E12" s="63">
        <f>'[2]Calc_Coef _18'!AH13</f>
        <v>5594.2395753975461</v>
      </c>
      <c r="F12" s="64">
        <f>'[2]Calc_Coef _18'!AI13</f>
        <v>5.3898582166145301</v>
      </c>
      <c r="G12" s="30"/>
      <c r="H12"/>
      <c r="I12"/>
    </row>
    <row r="13" spans="1:10" x14ac:dyDescent="0.25">
      <c r="A13" s="32">
        <f>'[2]Calc_Coef _18'!AE14</f>
        <v>6301214</v>
      </c>
      <c r="B13" s="32" t="str">
        <f>'[2]Calc_Coef _18'!C14</f>
        <v>071350</v>
      </c>
      <c r="C13" s="32" t="str">
        <f>'[2]Calc_Coef _18'!AF14</f>
        <v>MANGALO</v>
      </c>
      <c r="D13" s="63">
        <f>'[2]Calc_Coef _18'!AG14</f>
        <v>914.50476190476195</v>
      </c>
      <c r="E13" s="63">
        <f>'[2]Calc_Coef _18'!AH14</f>
        <v>5594.2395753975461</v>
      </c>
      <c r="F13" s="64">
        <f>'[2]Calc_Coef _18'!AI14</f>
        <v>5.3898582166145301</v>
      </c>
      <c r="G13" s="30"/>
      <c r="H13"/>
      <c r="I13"/>
    </row>
    <row r="14" spans="1:10" x14ac:dyDescent="0.25">
      <c r="A14" s="32">
        <f>'[2]Calc_Coef _18'!AE15</f>
        <v>6301603</v>
      </c>
      <c r="B14" s="32" t="str">
        <f>'[2]Calc_Coef _18'!C15</f>
        <v>071333</v>
      </c>
      <c r="C14" s="32" t="str">
        <f>'[2]Calc_Coef _18'!AF15</f>
        <v>FEIJAO DE CORDA</v>
      </c>
      <c r="D14" s="63">
        <f>'[2]Calc_Coef _18'!AG15</f>
        <v>250.38333333333333</v>
      </c>
      <c r="E14" s="63">
        <f>'[2]Calc_Coef _18'!AH15</f>
        <v>3263.5062840917908</v>
      </c>
      <c r="F14" s="64">
        <f>'[2]Calc_Coef _18'!AI15</f>
        <v>5.3898582166145301</v>
      </c>
      <c r="G14" s="30"/>
      <c r="H14"/>
      <c r="I14"/>
    </row>
    <row r="15" spans="1:10" x14ac:dyDescent="0.25">
      <c r="A15" s="32">
        <f>'[2]Calc_Coef _18'!AE16</f>
        <v>6302001</v>
      </c>
      <c r="B15" s="32" t="str">
        <f>'[2]Calc_Coef _18'!C16</f>
        <v>120400</v>
      </c>
      <c r="C15" s="32" t="str">
        <f>'[2]Calc_Coef _18'!AF16</f>
        <v>SEMENTE DE LINHACA</v>
      </c>
      <c r="D15" s="63">
        <f>'[2]Calc_Coef _18'!AG16</f>
        <v>631.33333333333326</v>
      </c>
      <c r="E15" s="63">
        <f>'[2]Calc_Coef _18'!AH16</f>
        <v>3791.3373962632795</v>
      </c>
      <c r="F15" s="64">
        <f>'[2]Calc_Coef _18'!AI16</f>
        <v>5.9456146715745248</v>
      </c>
      <c r="G15" s="30"/>
      <c r="H15"/>
      <c r="I15"/>
    </row>
    <row r="16" spans="1:10" x14ac:dyDescent="0.25">
      <c r="A16" s="32">
        <f>'[2]Calc_Coef _18'!AE17</f>
        <v>6302002</v>
      </c>
      <c r="B16" s="32">
        <f>'[2]Calc_Coef _18'!C17</f>
        <v>120400</v>
      </c>
      <c r="C16" s="32" t="str">
        <f>'[2]Calc_Coef _18'!AF17</f>
        <v>LINHACA NAO ESPECIFICADA</v>
      </c>
      <c r="D16" s="63">
        <f>'[2]Calc_Coef _18'!AG17</f>
        <v>631.33333333333326</v>
      </c>
      <c r="E16" s="63">
        <f>'[2]Calc_Coef _18'!AH17</f>
        <v>3791.3373962632795</v>
      </c>
      <c r="F16" s="64">
        <f>'[2]Calc_Coef _18'!AI17</f>
        <v>5.9456146715745248</v>
      </c>
      <c r="G16" s="30"/>
      <c r="H16"/>
      <c r="I16"/>
    </row>
    <row r="17" spans="1:9" x14ac:dyDescent="0.25">
      <c r="A17" s="32">
        <f>'[2]Calc_Coef _18'!AE18</f>
        <v>6302602</v>
      </c>
      <c r="B17" s="32" t="str">
        <f>'[2]Calc_Coef _18'!C18</f>
        <v>071360</v>
      </c>
      <c r="C17" s="32" t="str">
        <f>'[2]Calc_Coef _18'!AF18</f>
        <v>ANDU</v>
      </c>
      <c r="D17" s="63">
        <f>'[2]Calc_Coef _18'!AG18</f>
        <v>914.50476190476195</v>
      </c>
      <c r="E17" s="63">
        <f>'[2]Calc_Coef _18'!AH18</f>
        <v>3846.1896069182294</v>
      </c>
      <c r="F17" s="64">
        <f>'[2]Calc_Coef _18'!AI18</f>
        <v>5.3898582166145301</v>
      </c>
      <c r="G17" s="30"/>
      <c r="H17"/>
      <c r="I17"/>
    </row>
    <row r="18" spans="1:9" x14ac:dyDescent="0.25">
      <c r="A18" s="32">
        <f>'[2]Calc_Coef _18'!AE19</f>
        <v>6302801</v>
      </c>
      <c r="B18" s="32" t="str">
        <f>'[2]Calc_Coef _18'!C19</f>
        <v>071320</v>
      </c>
      <c r="C18" s="32" t="str">
        <f>'[2]Calc_Coef _18'!AF19</f>
        <v>GRAO DE BICO</v>
      </c>
      <c r="D18" s="63">
        <f>'[2]Calc_Coef _18'!AG19</f>
        <v>2000</v>
      </c>
      <c r="E18" s="63">
        <f>'[2]Calc_Coef _18'!AH19</f>
        <v>3846.1896069182294</v>
      </c>
      <c r="F18" s="64">
        <f>'[2]Calc_Coef _18'!AI19</f>
        <v>5.3898582166145301</v>
      </c>
      <c r="G18" s="30"/>
      <c r="H18"/>
      <c r="I18"/>
    </row>
    <row r="19" spans="1:9" x14ac:dyDescent="0.25">
      <c r="A19" s="32">
        <f>'[2]Calc_Coef _18'!AE20</f>
        <v>6302901</v>
      </c>
      <c r="B19" s="32" t="str">
        <f>'[2]Calc_Coef _18'!C20</f>
        <v>071340</v>
      </c>
      <c r="C19" s="32" t="str">
        <f>'[2]Calc_Coef _18'!AF20</f>
        <v>LENTILHA</v>
      </c>
      <c r="D19" s="63">
        <f>'[2]Calc_Coef _18'!AG20</f>
        <v>2000</v>
      </c>
      <c r="E19" s="63">
        <f>'[2]Calc_Coef _18'!AH20</f>
        <v>3846.1896069182294</v>
      </c>
      <c r="F19" s="64">
        <f>'[2]Calc_Coef _18'!AI20</f>
        <v>5.3898582166145301</v>
      </c>
      <c r="G19" s="30"/>
      <c r="H19"/>
      <c r="I19"/>
    </row>
    <row r="20" spans="1:9" x14ac:dyDescent="0.25">
      <c r="A20" s="32">
        <f>'[2]Calc_Coef _18'!AE21</f>
        <v>6303001</v>
      </c>
      <c r="B20" s="32" t="str">
        <f>'[2]Calc_Coef _18'!C21</f>
        <v>120190</v>
      </c>
      <c r="C20" s="32" t="str">
        <f>'[2]Calc_Coef _18'!AF21</f>
        <v>SOJA EM GRAO</v>
      </c>
      <c r="D20" s="63">
        <f>'[2]Calc_Coef _18'!AG21</f>
        <v>397.33333333333331</v>
      </c>
      <c r="E20" s="63">
        <f>'[2]Calc_Coef _18'!AH21</f>
        <v>2006.853927681097</v>
      </c>
      <c r="F20" s="64">
        <f>'[2]Calc_Coef _18'!AI21</f>
        <v>5.9456146715745248</v>
      </c>
      <c r="G20" s="30"/>
      <c r="H20"/>
      <c r="I20"/>
    </row>
    <row r="21" spans="1:9" x14ac:dyDescent="0.25">
      <c r="A21" s="32">
        <f>'[2]Calc_Coef _18'!AE22</f>
        <v>6303102</v>
      </c>
      <c r="B21" s="32" t="str">
        <f>'[2]Calc_Coef _18'!C22</f>
        <v>071333</v>
      </c>
      <c r="C21" s="32" t="str">
        <f>'[2]Calc_Coef _18'!AF22</f>
        <v>FEIJAO (PRETO, MULATINHO, ROXO, ROSINHA, ETC)</v>
      </c>
      <c r="D21" s="63">
        <f>'[2]Calc_Coef _18'!AG22</f>
        <v>210.34444444444443</v>
      </c>
      <c r="E21" s="63">
        <f>'[2]Calc_Coef _18'!AH22</f>
        <v>3263.5062840917908</v>
      </c>
      <c r="F21" s="64">
        <f>'[2]Calc_Coef _18'!AI22</f>
        <v>5.3898582166145301</v>
      </c>
      <c r="G21" s="30"/>
      <c r="H21"/>
      <c r="I21"/>
    </row>
    <row r="22" spans="1:9" x14ac:dyDescent="0.25">
      <c r="A22" s="32">
        <f>'[2]Calc_Coef _18'!AE23</f>
        <v>6303201</v>
      </c>
      <c r="B22" s="32">
        <f>'[2]Calc_Coef _18'!C23</f>
        <v>120799</v>
      </c>
      <c r="C22" s="32" t="str">
        <f>'[2]Calc_Coef _18'!AF23</f>
        <v>SEMENTES DE ABOBORA</v>
      </c>
      <c r="D22" s="63">
        <f>'[2]Calc_Coef _18'!AG23</f>
        <v>631.33333333333326</v>
      </c>
      <c r="E22" s="63">
        <f>'[2]Calc_Coef _18'!AH23</f>
        <v>6848.7837130653252</v>
      </c>
      <c r="F22" s="64">
        <f>'[2]Calc_Coef _18'!AI23</f>
        <v>5.9456146715745248</v>
      </c>
      <c r="G22" s="30"/>
      <c r="H22"/>
      <c r="I22"/>
    </row>
    <row r="23" spans="1:9" x14ac:dyDescent="0.25">
      <c r="A23" s="32">
        <f>'[2]Calc_Coef _18'!AE24</f>
        <v>6304101</v>
      </c>
      <c r="B23" s="32" t="str">
        <f>'[2]Calc_Coef _18'!C24</f>
        <v>071333</v>
      </c>
      <c r="C23" s="32" t="str">
        <f>'[2]Calc_Coef _18'!AF24</f>
        <v>FEIJAO ORGANICO</v>
      </c>
      <c r="D23" s="63">
        <f>'[2]Calc_Coef _18'!AG24</f>
        <v>370.5</v>
      </c>
      <c r="E23" s="63">
        <f>'[2]Calc_Coef _18'!AH24</f>
        <v>3263.5062840917908</v>
      </c>
      <c r="F23" s="64">
        <f>'[2]Calc_Coef _18'!AI24</f>
        <v>5.3898582166145301</v>
      </c>
      <c r="G23" s="30"/>
      <c r="H23"/>
      <c r="I23"/>
    </row>
    <row r="24" spans="1:9" x14ac:dyDescent="0.25">
      <c r="A24" s="32">
        <f>'[2]Calc_Coef _18'!AE25</f>
        <v>6304201</v>
      </c>
      <c r="B24" s="32" t="str">
        <f>'[2]Calc_Coef _18'!C25</f>
        <v>100590</v>
      </c>
      <c r="C24" s="32" t="str">
        <f>'[2]Calc_Coef _18'!AF25</f>
        <v>PIPOCA LIGHT</v>
      </c>
      <c r="D24" s="63">
        <f>'[2]Calc_Coef _18'!AG25</f>
        <v>558.33333333333337</v>
      </c>
      <c r="E24" s="63">
        <f>'[2]Calc_Coef _18'!AH25</f>
        <v>1254.7498947363872</v>
      </c>
      <c r="F24" s="64">
        <f>'[2]Calc_Coef _18'!AI25</f>
        <v>3.2495477253553973</v>
      </c>
      <c r="G24" s="30"/>
      <c r="H24"/>
      <c r="I24"/>
    </row>
    <row r="25" spans="1:9" x14ac:dyDescent="0.25">
      <c r="A25" s="32">
        <f>'[2]Calc_Coef _18'!AE26</f>
        <v>6304301</v>
      </c>
      <c r="B25" s="32">
        <f>'[2]Calc_Coef _18'!C26</f>
        <v>100630</v>
      </c>
      <c r="C25" s="32" t="str">
        <f>'[2]Calc_Coef _18'!AF26</f>
        <v>ARROZ ORGANICO</v>
      </c>
      <c r="D25" s="63">
        <f>'[2]Calc_Coef _18'!AG26</f>
        <v>2685</v>
      </c>
      <c r="E25" s="63">
        <f>'[2]Calc_Coef _18'!AH26</f>
        <v>1277.3333333333333</v>
      </c>
      <c r="F25" s="64">
        <f>'[2]Calc_Coef _18'!AI26</f>
        <v>10</v>
      </c>
      <c r="G25" s="30"/>
      <c r="H25"/>
      <c r="I25"/>
    </row>
    <row r="26" spans="1:9" x14ac:dyDescent="0.25">
      <c r="A26" s="32">
        <f>'[2]Calc_Coef _18'!AE27</f>
        <v>6304901</v>
      </c>
      <c r="B26" s="32" t="str">
        <f>'[2]Calc_Coef _18'!C27</f>
        <v>071390</v>
      </c>
      <c r="C26" s="32" t="str">
        <f>'[2]Calc_Coef _18'!AF27</f>
        <v>QUINOA</v>
      </c>
      <c r="D26" s="63">
        <f>'[2]Calc_Coef _18'!AG27</f>
        <v>1400</v>
      </c>
      <c r="E26" s="63">
        <f>'[2]Calc_Coef _18'!AH27</f>
        <v>3846.1896069182294</v>
      </c>
      <c r="F26" s="64">
        <f>'[2]Calc_Coef _18'!AI27</f>
        <v>5.3898582166145301</v>
      </c>
      <c r="G26" s="30"/>
      <c r="H26"/>
      <c r="I26"/>
    </row>
    <row r="27" spans="1:9" x14ac:dyDescent="0.25">
      <c r="A27" s="32">
        <f>'[2]Calc_Coef _18'!AE28</f>
        <v>6305001</v>
      </c>
      <c r="B27" s="32">
        <f>'[2]Calc_Coef _18'!C28</f>
        <v>120799</v>
      </c>
      <c r="C27" s="32" t="str">
        <f>'[2]Calc_Coef _18'!AF28</f>
        <v>CHIA</v>
      </c>
      <c r="D27" s="63">
        <f>'[2]Calc_Coef _18'!AG28</f>
        <v>631.33333333333326</v>
      </c>
      <c r="E27" s="63">
        <f>'[2]Calc_Coef _18'!AH28</f>
        <v>6848.7837130653252</v>
      </c>
      <c r="F27" s="64">
        <f>'[2]Calc_Coef _18'!AI28</f>
        <v>5.9456146715745248</v>
      </c>
      <c r="G27" s="30"/>
      <c r="H27"/>
      <c r="I27"/>
    </row>
    <row r="28" spans="1:9" x14ac:dyDescent="0.25">
      <c r="A28" s="32">
        <f>'[2]Calc_Coef _18'!AE29</f>
        <v>6380001</v>
      </c>
      <c r="B28" s="32">
        <f>'[2]Calc_Coef _18'!C29</f>
        <v>120600</v>
      </c>
      <c r="C28" s="32" t="str">
        <f>'[2]Calc_Coef _18'!AF29</f>
        <v>SEMENTES DE GIRASSOL</v>
      </c>
      <c r="D28" s="63">
        <f>'[2]Calc_Coef _18'!AG29</f>
        <v>631.33333333333326</v>
      </c>
      <c r="E28" s="63">
        <f>'[2]Calc_Coef _18'!AH29</f>
        <v>3252.3563229545975</v>
      </c>
      <c r="F28" s="64">
        <f>'[2]Calc_Coef _18'!AI29</f>
        <v>5.9456146715745248</v>
      </c>
      <c r="G28" s="30"/>
      <c r="H28"/>
      <c r="I28"/>
    </row>
    <row r="29" spans="1:9" x14ac:dyDescent="0.25">
      <c r="A29" s="32">
        <f>'[2]Calc_Coef _18'!AE30</f>
        <v>6400101</v>
      </c>
      <c r="B29" s="32" t="str">
        <f>'[2]Calc_Coef _18'!C30</f>
        <v>070190</v>
      </c>
      <c r="C29" s="32" t="str">
        <f>'[2]Calc_Coef _18'!AF30</f>
        <v>BATATA-INGLESA</v>
      </c>
      <c r="D29" s="63">
        <f>'[2]Calc_Coef _18'!AG30</f>
        <v>205.00695976154995</v>
      </c>
      <c r="E29" s="63">
        <f>'[2]Calc_Coef _18'!AH30</f>
        <v>539.4710810974143</v>
      </c>
      <c r="F29" s="64">
        <f>'[2]Calc_Coef _18'!AI30</f>
        <v>2.4283582089552236</v>
      </c>
      <c r="G29" s="30"/>
      <c r="H29"/>
      <c r="I29"/>
    </row>
    <row r="30" spans="1:9" x14ac:dyDescent="0.25">
      <c r="A30" s="32">
        <f>'[2]Calc_Coef _18'!AE31</f>
        <v>6400303</v>
      </c>
      <c r="B30" s="32" t="str">
        <f>'[2]Calc_Coef _18'!C31</f>
        <v>070610</v>
      </c>
      <c r="C30" s="32" t="str">
        <f>'[2]Calc_Coef _18'!AF31</f>
        <v>MANDIOQUINHA SALSA (BATATA BAROA)</v>
      </c>
      <c r="D30" s="63">
        <f>'[2]Calc_Coef _18'!AG31</f>
        <v>249</v>
      </c>
      <c r="E30" s="63">
        <f>'[2]Calc_Coef _18'!AH31</f>
        <v>799.09345438723949</v>
      </c>
      <c r="F30" s="64">
        <f>'[2]Calc_Coef _18'!AI31</f>
        <v>1</v>
      </c>
      <c r="G30" s="30"/>
      <c r="H30"/>
      <c r="I30"/>
    </row>
    <row r="31" spans="1:9" x14ac:dyDescent="0.25">
      <c r="A31" s="32">
        <f>'[2]Calc_Coef _18'!AE32</f>
        <v>6400304</v>
      </c>
      <c r="B31" s="32" t="str">
        <f>'[2]Calc_Coef _18'!C32</f>
        <v>070610</v>
      </c>
      <c r="C31" s="32" t="str">
        <f>'[2]Calc_Coef _18'!AF32</f>
        <v>CENOURA AMARELA (BATATA BAROA)</v>
      </c>
      <c r="D31" s="63">
        <f>'[2]Calc_Coef _18'!AG32</f>
        <v>249</v>
      </c>
      <c r="E31" s="63">
        <f>'[2]Calc_Coef _18'!AH32</f>
        <v>799.09345438723949</v>
      </c>
      <c r="F31" s="64">
        <f>'[2]Calc_Coef _18'!AI32</f>
        <v>1</v>
      </c>
      <c r="G31" s="30"/>
      <c r="H31"/>
      <c r="I31"/>
    </row>
    <row r="32" spans="1:9" x14ac:dyDescent="0.25">
      <c r="A32" s="32">
        <f>'[2]Calc_Coef _18'!AE33</f>
        <v>6400401</v>
      </c>
      <c r="B32" s="32" t="str">
        <f>'[2]Calc_Coef _18'!C33</f>
        <v>071420</v>
      </c>
      <c r="C32" s="32" t="str">
        <f>'[2]Calc_Coef _18'!AF33</f>
        <v>BATATA DOCE</v>
      </c>
      <c r="D32" s="63">
        <f>'[2]Calc_Coef _18'!AG33</f>
        <v>77</v>
      </c>
      <c r="E32" s="63">
        <f>'[2]Calc_Coef _18'!AH33</f>
        <v>454.46120833494564</v>
      </c>
      <c r="F32" s="64">
        <f>'[2]Calc_Coef _18'!AI33</f>
        <v>5.3898582166145301</v>
      </c>
      <c r="G32" s="30"/>
      <c r="H32"/>
      <c r="I32"/>
    </row>
    <row r="33" spans="1:9" x14ac:dyDescent="0.25">
      <c r="A33" s="32">
        <f>'[2]Calc_Coef _18'!AE34</f>
        <v>6400501</v>
      </c>
      <c r="B33" s="32" t="str">
        <f>'[2]Calc_Coef _18'!C34</f>
        <v>071490</v>
      </c>
      <c r="C33" s="32" t="str">
        <f>'[2]Calc_Coef _18'!AF34</f>
        <v>INHAME</v>
      </c>
      <c r="D33" s="63">
        <f>'[2]Calc_Coef _18'!AG34</f>
        <v>77</v>
      </c>
      <c r="E33" s="63">
        <f>'[2]Calc_Coef _18'!AH34</f>
        <v>485.74002695702137</v>
      </c>
      <c r="F33" s="64">
        <f>'[2]Calc_Coef _18'!AI34</f>
        <v>5.3898582166145301</v>
      </c>
      <c r="G33" s="30"/>
      <c r="H33"/>
      <c r="I33"/>
    </row>
    <row r="34" spans="1:9" x14ac:dyDescent="0.25">
      <c r="A34" s="32">
        <f>'[2]Calc_Coef _18'!AE35</f>
        <v>6400601</v>
      </c>
      <c r="B34" s="32" t="str">
        <f>'[2]Calc_Coef _18'!C35</f>
        <v>071410</v>
      </c>
      <c r="C34" s="32" t="str">
        <f>'[2]Calc_Coef _18'!AF35</f>
        <v>MANDIOCA</v>
      </c>
      <c r="D34" s="63">
        <f>'[2]Calc_Coef _18'!AG35</f>
        <v>77</v>
      </c>
      <c r="E34" s="63">
        <f>'[2]Calc_Coef _18'!AH35</f>
        <v>451.0581751901363</v>
      </c>
      <c r="F34" s="64">
        <f>'[2]Calc_Coef _18'!AI35</f>
        <v>5.3898582166145301</v>
      </c>
      <c r="G34" s="30"/>
      <c r="H34"/>
      <c r="I34"/>
    </row>
    <row r="35" spans="1:9" x14ac:dyDescent="0.25">
      <c r="A35" s="32">
        <f>'[2]Calc_Coef _18'!AE36</f>
        <v>6400609</v>
      </c>
      <c r="B35" s="32" t="str">
        <f>'[2]Calc_Coef _18'!C36</f>
        <v>071410</v>
      </c>
      <c r="C35" s="32" t="str">
        <f>'[2]Calc_Coef _18'!AF36</f>
        <v>AIPIM</v>
      </c>
      <c r="D35" s="63">
        <f>'[2]Calc_Coef _18'!AG36</f>
        <v>77</v>
      </c>
      <c r="E35" s="63">
        <f>'[2]Calc_Coef _18'!AH36</f>
        <v>451.0581751901363</v>
      </c>
      <c r="F35" s="64">
        <f>'[2]Calc_Coef _18'!AI36</f>
        <v>5.3898582166145301</v>
      </c>
      <c r="G35" s="30"/>
      <c r="H35"/>
      <c r="I35"/>
    </row>
    <row r="36" spans="1:9" x14ac:dyDescent="0.25">
      <c r="A36" s="32">
        <f>'[2]Calc_Coef _18'!AE37</f>
        <v>6400610</v>
      </c>
      <c r="B36" s="32" t="str">
        <f>'[2]Calc_Coef _18'!C37</f>
        <v>071410</v>
      </c>
      <c r="C36" s="32" t="str">
        <f>'[2]Calc_Coef _18'!AF37</f>
        <v>MACAXEIRA</v>
      </c>
      <c r="D36" s="63">
        <f>'[2]Calc_Coef _18'!AG37</f>
        <v>77</v>
      </c>
      <c r="E36" s="63">
        <f>'[2]Calc_Coef _18'!AH37</f>
        <v>451.0581751901363</v>
      </c>
      <c r="F36" s="64">
        <f>'[2]Calc_Coef _18'!AI37</f>
        <v>5.3898582166145301</v>
      </c>
      <c r="G36" s="30"/>
      <c r="H36"/>
      <c r="I36"/>
    </row>
    <row r="37" spans="1:9" x14ac:dyDescent="0.25">
      <c r="A37" s="32">
        <f>'[2]Calc_Coef _18'!AE38</f>
        <v>6400701</v>
      </c>
      <c r="B37" s="32" t="str">
        <f>'[2]Calc_Coef _18'!C38</f>
        <v>071490</v>
      </c>
      <c r="C37" s="32" t="str">
        <f>'[2]Calc_Coef _18'!AF38</f>
        <v>CARA</v>
      </c>
      <c r="D37" s="63">
        <f>'[2]Calc_Coef _18'!AG38</f>
        <v>77</v>
      </c>
      <c r="E37" s="63">
        <f>'[2]Calc_Coef _18'!AH38</f>
        <v>485.74002695702137</v>
      </c>
      <c r="F37" s="64">
        <f>'[2]Calc_Coef _18'!AI38</f>
        <v>5.3898582166145301</v>
      </c>
      <c r="G37" s="30"/>
      <c r="H37"/>
      <c r="I37"/>
    </row>
    <row r="38" spans="1:9" x14ac:dyDescent="0.25">
      <c r="A38" s="32">
        <f>'[2]Calc_Coef _18'!AE39</f>
        <v>6400713</v>
      </c>
      <c r="B38" s="32" t="str">
        <f>'[2]Calc_Coef _18'!C39</f>
        <v>071490</v>
      </c>
      <c r="C38" s="32" t="str">
        <f>'[2]Calc_Coef _18'!AF39</f>
        <v>INHAME CARAQUENTO (CARA)</v>
      </c>
      <c r="D38" s="63">
        <f>'[2]Calc_Coef _18'!AG39</f>
        <v>77</v>
      </c>
      <c r="E38" s="63">
        <f>'[2]Calc_Coef _18'!AH39</f>
        <v>485.74002695702137</v>
      </c>
      <c r="F38" s="64">
        <f>'[2]Calc_Coef _18'!AI39</f>
        <v>5.3898582166145301</v>
      </c>
      <c r="G38" s="30"/>
      <c r="H38"/>
      <c r="I38"/>
    </row>
    <row r="39" spans="1:9" x14ac:dyDescent="0.25">
      <c r="A39" s="32">
        <f>'[2]Calc_Coef _18'!AE40</f>
        <v>6400802</v>
      </c>
      <c r="B39" s="32" t="str">
        <f>'[2]Calc_Coef _18'!C40</f>
        <v>070190</v>
      </c>
      <c r="C39" s="32" t="str">
        <f>'[2]Calc_Coef _18'!AF40</f>
        <v>BATATA (NÃO ESPECIFICADA)</v>
      </c>
      <c r="D39" s="63">
        <f>'[2]Calc_Coef _18'!AG40</f>
        <v>205.00695976154995</v>
      </c>
      <c r="E39" s="63">
        <f>'[2]Calc_Coef _18'!AH40</f>
        <v>539.4710810974143</v>
      </c>
      <c r="F39" s="64">
        <f>'[2]Calc_Coef _18'!AI40</f>
        <v>2.4283582089552236</v>
      </c>
      <c r="G39" s="30"/>
      <c r="H39"/>
      <c r="I39"/>
    </row>
    <row r="40" spans="1:9" x14ac:dyDescent="0.25">
      <c r="A40" s="32">
        <f>'[2]Calc_Coef _18'!AE41</f>
        <v>6400908</v>
      </c>
      <c r="B40" s="32" t="str">
        <f>'[2]Calc_Coef _18'!C41</f>
        <v>070610</v>
      </c>
      <c r="C40" s="32" t="str">
        <f>'[2]Calc_Coef _18'!AF41</f>
        <v>MANDIOQUINHA</v>
      </c>
      <c r="D40" s="63">
        <f>'[2]Calc_Coef _18'!AG41</f>
        <v>249</v>
      </c>
      <c r="E40" s="63">
        <f>'[2]Calc_Coef _18'!AH41</f>
        <v>799.09345438723949</v>
      </c>
      <c r="F40" s="64">
        <f>'[2]Calc_Coef _18'!AI41</f>
        <v>1</v>
      </c>
      <c r="G40" s="30"/>
      <c r="H40"/>
      <c r="I40"/>
    </row>
    <row r="41" spans="1:9" x14ac:dyDescent="0.25">
      <c r="A41" s="32">
        <f>'[2]Calc_Coef _18'!AE42</f>
        <v>6401001</v>
      </c>
      <c r="B41" s="32" t="str">
        <f>'[2]Calc_Coef _18'!C42</f>
        <v>070690</v>
      </c>
      <c r="C41" s="32" t="str">
        <f>'[2]Calc_Coef _18'!AF42</f>
        <v>RABANETE</v>
      </c>
      <c r="D41" s="63">
        <f>'[2]Calc_Coef _18'!AG42</f>
        <v>110</v>
      </c>
      <c r="E41" s="63">
        <f>'[2]Calc_Coef _18'!AH42</f>
        <v>799.09345438723949</v>
      </c>
      <c r="F41" s="64">
        <f>'[2]Calc_Coef _18'!AI42</f>
        <v>0.5</v>
      </c>
      <c r="G41" s="30"/>
      <c r="H41"/>
      <c r="I41"/>
    </row>
    <row r="42" spans="1:9" x14ac:dyDescent="0.25">
      <c r="A42" s="32">
        <f>'[2]Calc_Coef _18'!AE43</f>
        <v>6401101</v>
      </c>
      <c r="B42" s="32" t="str">
        <f>'[2]Calc_Coef _18'!C43</f>
        <v>070690</v>
      </c>
      <c r="C42" s="32" t="str">
        <f>'[2]Calc_Coef _18'!AF43</f>
        <v>BETERRABA</v>
      </c>
      <c r="D42" s="63">
        <f>'[2]Calc_Coef _18'!AG43</f>
        <v>110</v>
      </c>
      <c r="E42" s="63">
        <f>'[2]Calc_Coef _18'!AH43</f>
        <v>799.09345438723949</v>
      </c>
      <c r="F42" s="64">
        <f>'[2]Calc_Coef _18'!AI43</f>
        <v>0.5</v>
      </c>
      <c r="G42" s="30"/>
      <c r="H42"/>
      <c r="I42"/>
    </row>
    <row r="43" spans="1:9" x14ac:dyDescent="0.25">
      <c r="A43" s="32">
        <f>'[2]Calc_Coef _18'!AE44</f>
        <v>6401201</v>
      </c>
      <c r="B43" s="32" t="str">
        <f>'[2]Calc_Coef _18'!C44</f>
        <v>070610</v>
      </c>
      <c r="C43" s="32" t="str">
        <f>'[2]Calc_Coef _18'!AF44</f>
        <v>CENOURA</v>
      </c>
      <c r="D43" s="63">
        <f>'[2]Calc_Coef _18'!AG44</f>
        <v>249</v>
      </c>
      <c r="E43" s="63">
        <f>'[2]Calc_Coef _18'!AH44</f>
        <v>799.09345438723949</v>
      </c>
      <c r="F43" s="64">
        <f>'[2]Calc_Coef _18'!AI44</f>
        <v>1</v>
      </c>
      <c r="G43" s="30"/>
      <c r="H43"/>
      <c r="I43"/>
    </row>
    <row r="44" spans="1:9" x14ac:dyDescent="0.25">
      <c r="A44" s="32">
        <f>'[2]Calc_Coef _18'!AE45</f>
        <v>6401301</v>
      </c>
      <c r="B44" s="32" t="str">
        <f>'[2]Calc_Coef _18'!C45</f>
        <v>070610</v>
      </c>
      <c r="C44" s="32" t="str">
        <f>'[2]Calc_Coef _18'!AF45</f>
        <v>NABO</v>
      </c>
      <c r="D44" s="63">
        <f>'[2]Calc_Coef _18'!AG45</f>
        <v>249</v>
      </c>
      <c r="E44" s="63">
        <f>'[2]Calc_Coef _18'!AH45</f>
        <v>799.09345438723949</v>
      </c>
      <c r="F44" s="64">
        <f>'[2]Calc_Coef _18'!AI45</f>
        <v>1</v>
      </c>
      <c r="G44" s="30"/>
      <c r="H44"/>
      <c r="I44"/>
    </row>
    <row r="45" spans="1:9" x14ac:dyDescent="0.25">
      <c r="A45" s="32">
        <f>'[2]Calc_Coef _18'!AE46</f>
        <v>6401601</v>
      </c>
      <c r="B45" s="32" t="str">
        <f>'[2]Calc_Coef _18'!C46</f>
        <v>091030</v>
      </c>
      <c r="C45" s="32" t="str">
        <f>'[2]Calc_Coef _18'!AF46</f>
        <v>ACAFRAO</v>
      </c>
      <c r="D45" s="63">
        <f>'[2]Calc_Coef _18'!AG46</f>
        <v>330</v>
      </c>
      <c r="E45" s="63">
        <f>'[2]Calc_Coef _18'!AH46</f>
        <v>8158.8851894663994</v>
      </c>
      <c r="F45" s="64">
        <f>'[2]Calc_Coef _18'!AI46</f>
        <v>49.5</v>
      </c>
      <c r="G45" s="30"/>
      <c r="H45"/>
      <c r="I45"/>
    </row>
    <row r="46" spans="1:9" x14ac:dyDescent="0.25">
      <c r="A46" s="32">
        <f>'[2]Calc_Coef _18'!AE47</f>
        <v>6401801</v>
      </c>
      <c r="B46" s="32" t="str">
        <f>'[2]Calc_Coef _18'!C47</f>
        <v>070190</v>
      </c>
      <c r="C46" s="32" t="str">
        <f>'[2]Calc_Coef _18'!AF47</f>
        <v>BATATA INGLESA ORGANICA</v>
      </c>
      <c r="D46" s="63">
        <f>'[2]Calc_Coef _18'!AG47</f>
        <v>211.55191256830599</v>
      </c>
      <c r="E46" s="63">
        <f>'[2]Calc_Coef _18'!AH47</f>
        <v>539.4710810974143</v>
      </c>
      <c r="F46" s="64">
        <f>'[2]Calc_Coef _18'!AI47</f>
        <v>2.4283582089552236</v>
      </c>
      <c r="G46" s="30"/>
      <c r="H46"/>
      <c r="I46"/>
    </row>
    <row r="47" spans="1:9" x14ac:dyDescent="0.25">
      <c r="A47" s="32">
        <f>'[2]Calc_Coef _18'!AE48</f>
        <v>6480001</v>
      </c>
      <c r="B47" s="32" t="str">
        <f>'[2]Calc_Coef _18'!C48</f>
        <v>091010</v>
      </c>
      <c r="C47" s="32" t="str">
        <f>'[2]Calc_Coef _18'!AF48</f>
        <v>GENGIBRE</v>
      </c>
      <c r="D47" s="63">
        <f>'[2]Calc_Coef _18'!AG48</f>
        <v>330</v>
      </c>
      <c r="E47" s="63">
        <f>'[2]Calc_Coef _18'!AH48</f>
        <v>8158.8851894663994</v>
      </c>
      <c r="F47" s="64">
        <f>'[2]Calc_Coef _18'!AI48</f>
        <v>49.5</v>
      </c>
      <c r="G47" s="30"/>
      <c r="H47"/>
      <c r="I47"/>
    </row>
    <row r="48" spans="1:9" x14ac:dyDescent="0.25">
      <c r="A48" s="32">
        <f>'[2]Calc_Coef _18'!AE49</f>
        <v>6500101</v>
      </c>
      <c r="B48" s="32">
        <f>'[2]Calc_Coef _18'!C49</f>
        <v>200799</v>
      </c>
      <c r="C48" s="32" t="str">
        <f>'[2]Calc_Coef _18'!AF49</f>
        <v>CREME DE ARROZ</v>
      </c>
      <c r="D48" s="63">
        <f>'[2]Calc_Coef _18'!AG49</f>
        <v>2947.5</v>
      </c>
      <c r="E48" s="63">
        <f>'[2]Calc_Coef _18'!AH49</f>
        <v>1471.4151641407616</v>
      </c>
      <c r="F48" s="64">
        <f>'[2]Calc_Coef _18'!AI49</f>
        <v>5.52</v>
      </c>
      <c r="G48" s="30"/>
      <c r="H48"/>
      <c r="I48"/>
    </row>
    <row r="49" spans="1:9" x14ac:dyDescent="0.25">
      <c r="A49" s="32">
        <f>'[2]Calc_Coef _18'!AE50</f>
        <v>6500105</v>
      </c>
      <c r="B49" s="32" t="str">
        <f>'[2]Calc_Coef _18'!C50</f>
        <v>190420</v>
      </c>
      <c r="C49" s="32" t="str">
        <f>'[2]Calc_Coef _18'!AF50</f>
        <v>MUCILON</v>
      </c>
      <c r="D49" s="63">
        <f>'[2]Calc_Coef _18'!AG50</f>
        <v>2903</v>
      </c>
      <c r="E49" s="63">
        <f>'[2]Calc_Coef _18'!AH50</f>
        <v>1772</v>
      </c>
      <c r="F49" s="64">
        <f>'[2]Calc_Coef _18'!AI50</f>
        <v>10.334717607973422</v>
      </c>
      <c r="G49" s="30"/>
      <c r="H49"/>
      <c r="I49"/>
    </row>
    <row r="50" spans="1:9" x14ac:dyDescent="0.25">
      <c r="A50" s="32">
        <f>'[2]Calc_Coef _18'!AE51</f>
        <v>6500201</v>
      </c>
      <c r="B50" s="32" t="str">
        <f>'[2]Calc_Coef _18'!C51</f>
        <v>190420</v>
      </c>
      <c r="C50" s="32" t="str">
        <f>'[2]Calc_Coef _18'!AF51</f>
        <v>FLOCOS, ARROZ</v>
      </c>
      <c r="D50" s="63">
        <f>'[2]Calc_Coef _18'!AG51</f>
        <v>2903</v>
      </c>
      <c r="E50" s="63">
        <f>'[2]Calc_Coef _18'!AH51</f>
        <v>1772</v>
      </c>
      <c r="F50" s="64">
        <f>'[2]Calc_Coef _18'!AI51</f>
        <v>10.334717607973422</v>
      </c>
      <c r="G50" s="30"/>
      <c r="H50"/>
      <c r="I50"/>
    </row>
    <row r="51" spans="1:9" x14ac:dyDescent="0.25">
      <c r="A51" s="32">
        <f>'[2]Calc_Coef _18'!AE52</f>
        <v>6500202</v>
      </c>
      <c r="B51" s="32" t="str">
        <f>'[2]Calc_Coef _18'!C52</f>
        <v>190220</v>
      </c>
      <c r="C51" s="32" t="str">
        <f>'[2]Calc_Coef _18'!AF52</f>
        <v>CROQUINHOS DE ARROZ</v>
      </c>
      <c r="D51" s="63">
        <f>'[2]Calc_Coef _18'!AG52</f>
        <v>3600</v>
      </c>
      <c r="E51" s="63">
        <f>'[2]Calc_Coef _18'!AH52</f>
        <v>1730.2020304029807</v>
      </c>
      <c r="F51" s="64">
        <f>'[2]Calc_Coef _18'!AI52</f>
        <v>10.5</v>
      </c>
      <c r="G51" s="30"/>
      <c r="H51"/>
      <c r="I51"/>
    </row>
    <row r="52" spans="1:9" x14ac:dyDescent="0.25">
      <c r="A52" s="32">
        <f>'[2]Calc_Coef _18'!AE53</f>
        <v>6500301</v>
      </c>
      <c r="B52" s="32" t="str">
        <f>'[2]Calc_Coef _18'!C53</f>
        <v>110412</v>
      </c>
      <c r="C52" s="32" t="str">
        <f>'[2]Calc_Coef _18'!AF53</f>
        <v>FARINHA DE AVEIA</v>
      </c>
      <c r="D52" s="63">
        <f>'[2]Calc_Coef _18'!AG53</f>
        <v>733</v>
      </c>
      <c r="E52" s="63">
        <f>'[2]Calc_Coef _18'!AH53</f>
        <v>4557.287251027471</v>
      </c>
      <c r="F52" s="64">
        <f>'[2]Calc_Coef _18'!AI53</f>
        <v>10</v>
      </c>
      <c r="G52" s="30"/>
      <c r="H52"/>
      <c r="I52"/>
    </row>
    <row r="53" spans="1:9" x14ac:dyDescent="0.25">
      <c r="A53" s="32">
        <f>'[2]Calc_Coef _18'!AE54</f>
        <v>6500401</v>
      </c>
      <c r="B53" s="32" t="str">
        <f>'[2]Calc_Coef _18'!C54</f>
        <v>110412</v>
      </c>
      <c r="C53" s="32" t="str">
        <f>'[2]Calc_Coef _18'!AF54</f>
        <v>AVEIA EM FLOCOS</v>
      </c>
      <c r="D53" s="63">
        <f>'[2]Calc_Coef _18'!AG54</f>
        <v>733</v>
      </c>
      <c r="E53" s="63">
        <f>'[2]Calc_Coef _18'!AH54</f>
        <v>4557.287251027471</v>
      </c>
      <c r="F53" s="64">
        <f>'[2]Calc_Coef _18'!AI54</f>
        <v>10</v>
      </c>
      <c r="G53" s="30"/>
      <c r="H53"/>
      <c r="I53"/>
    </row>
    <row r="54" spans="1:9" x14ac:dyDescent="0.25">
      <c r="A54" s="32">
        <f>'[2]Calc_Coef _18'!AE55</f>
        <v>6500601</v>
      </c>
      <c r="B54" s="32">
        <f>'[2]Calc_Coef _18'!C55</f>
        <v>110313</v>
      </c>
      <c r="C54" s="32" t="str">
        <f>'[2]Calc_Coef _18'!AF55</f>
        <v>FUBA DE MILHO</v>
      </c>
      <c r="D54" s="63">
        <f>'[2]Calc_Coef _18'!AG55</f>
        <v>633.22222222222217</v>
      </c>
      <c r="E54" s="63">
        <f>'[2]Calc_Coef _18'!AH55</f>
        <v>1543.426167959507</v>
      </c>
      <c r="F54" s="64">
        <f>'[2]Calc_Coef _18'!AI55</f>
        <v>8.5</v>
      </c>
      <c r="G54" s="30"/>
      <c r="H54"/>
      <c r="I54"/>
    </row>
    <row r="55" spans="1:9" x14ac:dyDescent="0.25">
      <c r="A55" s="32">
        <f>'[2]Calc_Coef _18'!AE56</f>
        <v>6500603</v>
      </c>
      <c r="B55" s="32" t="str">
        <f>'[2]Calc_Coef _18'!C56</f>
        <v>110220</v>
      </c>
      <c r="C55" s="32" t="str">
        <f>'[2]Calc_Coef _18'!AF56</f>
        <v>FARINHA DE MILHO</v>
      </c>
      <c r="D55" s="63">
        <f>'[2]Calc_Coef _18'!AG56</f>
        <v>633.22222222222217</v>
      </c>
      <c r="E55" s="63">
        <f>'[2]Calc_Coef _18'!AH56</f>
        <v>1790.3895718579688</v>
      </c>
      <c r="F55" s="64">
        <f>'[2]Calc_Coef _18'!AI56</f>
        <v>8.5</v>
      </c>
      <c r="G55" s="30"/>
      <c r="H55"/>
      <c r="I55"/>
    </row>
    <row r="56" spans="1:9" x14ac:dyDescent="0.25">
      <c r="A56" s="32">
        <f>'[2]Calc_Coef _18'!AE57</f>
        <v>6500609</v>
      </c>
      <c r="B56" s="32">
        <f>'[2]Calc_Coef _18'!C57</f>
        <v>190520</v>
      </c>
      <c r="C56" s="32" t="str">
        <f>'[2]Calc_Coef _18'!AF57</f>
        <v>PUBA DE FUBA</v>
      </c>
      <c r="D56" s="63">
        <f>'[2]Calc_Coef _18'!AG57</f>
        <v>2610</v>
      </c>
      <c r="E56" s="63">
        <f>'[2]Calc_Coef _18'!AH57</f>
        <v>1956.5333333333333</v>
      </c>
      <c r="F56" s="64">
        <f>'[2]Calc_Coef _18'!AI57</f>
        <v>11</v>
      </c>
      <c r="G56" s="30"/>
      <c r="H56"/>
      <c r="I56"/>
    </row>
    <row r="57" spans="1:9" x14ac:dyDescent="0.25">
      <c r="A57" s="32">
        <f>'[2]Calc_Coef _18'!AE58</f>
        <v>6500702</v>
      </c>
      <c r="B57" s="32" t="str">
        <f>'[2]Calc_Coef _18'!C58</f>
        <v>110812</v>
      </c>
      <c r="C57" s="32" t="str">
        <f>'[2]Calc_Coef _18'!AF58</f>
        <v>AMIDO DE MILHO</v>
      </c>
      <c r="D57" s="63">
        <f>'[2]Calc_Coef _18'!AG58</f>
        <v>633.22222222222217</v>
      </c>
      <c r="E57" s="63">
        <f>'[2]Calc_Coef _18'!AH58</f>
        <v>2387.1860958106249</v>
      </c>
      <c r="F57" s="64">
        <f>'[2]Calc_Coef _18'!AI58</f>
        <v>8.5</v>
      </c>
      <c r="G57" s="30"/>
      <c r="H57"/>
      <c r="I57"/>
    </row>
    <row r="58" spans="1:9" x14ac:dyDescent="0.25">
      <c r="A58" s="32">
        <f>'[2]Calc_Coef _18'!AE59</f>
        <v>6500801</v>
      </c>
      <c r="B58" s="32" t="str">
        <f>'[2]Calc_Coef _18'!C59</f>
        <v>190420</v>
      </c>
      <c r="C58" s="32" t="str">
        <f>'[2]Calc_Coef _18'!AF59</f>
        <v>CREMOGEMA</v>
      </c>
      <c r="D58" s="63">
        <f>'[2]Calc_Coef _18'!AG59</f>
        <v>2903</v>
      </c>
      <c r="E58" s="63">
        <f>'[2]Calc_Coef _18'!AH59</f>
        <v>1772</v>
      </c>
      <c r="F58" s="64">
        <f>'[2]Calc_Coef _18'!AI59</f>
        <v>10.334717607973422</v>
      </c>
      <c r="G58" s="30"/>
      <c r="H58"/>
      <c r="I58"/>
    </row>
    <row r="59" spans="1:9" x14ac:dyDescent="0.25">
      <c r="A59" s="32">
        <f>'[2]Calc_Coef _18'!AE60</f>
        <v>6500802</v>
      </c>
      <c r="B59" s="32" t="str">
        <f>'[2]Calc_Coef _18'!C60</f>
        <v>190420</v>
      </c>
      <c r="C59" s="32" t="str">
        <f>'[2]Calc_Coef _18'!AF60</f>
        <v>VITAMILHO</v>
      </c>
      <c r="D59" s="63">
        <f>'[2]Calc_Coef _18'!AG60</f>
        <v>2903</v>
      </c>
      <c r="E59" s="63">
        <f>'[2]Calc_Coef _18'!AH60</f>
        <v>1772</v>
      </c>
      <c r="F59" s="64">
        <f>'[2]Calc_Coef _18'!AI60</f>
        <v>10.334717607973422</v>
      </c>
      <c r="G59" s="30"/>
      <c r="H59"/>
      <c r="I59"/>
    </row>
    <row r="60" spans="1:9" x14ac:dyDescent="0.25">
      <c r="A60" s="32">
        <f>'[2]Calc_Coef _18'!AE61</f>
        <v>6500902</v>
      </c>
      <c r="B60" s="32" t="str">
        <f>'[2]Calc_Coef _18'!C61</f>
        <v>190420</v>
      </c>
      <c r="C60" s="32" t="str">
        <f>'[2]Calc_Coef _18'!AF61</f>
        <v>SUCRILHOS DE MILHO</v>
      </c>
      <c r="D60" s="63">
        <f>'[2]Calc_Coef _18'!AG61</f>
        <v>2903</v>
      </c>
      <c r="E60" s="63">
        <f>'[2]Calc_Coef _18'!AH61</f>
        <v>1772</v>
      </c>
      <c r="F60" s="64">
        <f>'[2]Calc_Coef _18'!AI61</f>
        <v>10.334717607973422</v>
      </c>
      <c r="G60" s="30"/>
      <c r="H60"/>
      <c r="I60"/>
    </row>
    <row r="61" spans="1:9" x14ac:dyDescent="0.25">
      <c r="A61" s="32">
        <f>'[2]Calc_Coef _18'!AE62</f>
        <v>6500903</v>
      </c>
      <c r="B61" s="32" t="str">
        <f>'[2]Calc_Coef _18'!C62</f>
        <v>190420</v>
      </c>
      <c r="C61" s="32" t="str">
        <f>'[2]Calc_Coef _18'!AF62</f>
        <v>CEREAL MATINAL DE MILHO EM FLOCOS</v>
      </c>
      <c r="D61" s="63">
        <f>'[2]Calc_Coef _18'!AG62</f>
        <v>2903</v>
      </c>
      <c r="E61" s="63">
        <f>'[2]Calc_Coef _18'!AH62</f>
        <v>1772</v>
      </c>
      <c r="F61" s="64">
        <f>'[2]Calc_Coef _18'!AI62</f>
        <v>10.334717607973422</v>
      </c>
      <c r="G61" s="30"/>
      <c r="H61"/>
      <c r="I61"/>
    </row>
    <row r="62" spans="1:9" x14ac:dyDescent="0.25">
      <c r="A62" s="32">
        <f>'[2]Calc_Coef _18'!AE3</f>
        <v>65010</v>
      </c>
      <c r="B62" s="32" t="str">
        <f>'[2]Calc_Coef _18'!C3</f>
        <v>110100</v>
      </c>
      <c r="C62" s="32" t="str">
        <f>'[2]Calc_Coef _18'!AF3</f>
        <v>FARINHA DE TRIGO</v>
      </c>
      <c r="D62" s="63">
        <f>'[2]Calc_Coef _18'!AG3</f>
        <v>480</v>
      </c>
      <c r="E62" s="63">
        <f>'[2]Calc_Coef _18'!AH3</f>
        <v>1518.4430032697401</v>
      </c>
      <c r="F62" s="64">
        <f>'[2]Calc_Coef _18'!AI3</f>
        <v>7</v>
      </c>
      <c r="G62" s="30"/>
      <c r="H62"/>
      <c r="I62"/>
    </row>
    <row r="63" spans="1:9" x14ac:dyDescent="0.25">
      <c r="A63" s="32">
        <f>'[2]Calc_Coef _18'!AE4</f>
        <v>65011</v>
      </c>
      <c r="B63" s="32" t="str">
        <f>'[2]Calc_Coef _18'!C4</f>
        <v>110100</v>
      </c>
      <c r="C63" s="32" t="str">
        <f>'[2]Calc_Coef _18'!AF4</f>
        <v>FARINHA DE ROSCA</v>
      </c>
      <c r="D63" s="63">
        <f>'[2]Calc_Coef _18'!AG4</f>
        <v>480</v>
      </c>
      <c r="E63" s="63">
        <f>'[2]Calc_Coef _18'!AH4</f>
        <v>1518.4430032697401</v>
      </c>
      <c r="F63" s="64">
        <f>'[2]Calc_Coef _18'!AI4</f>
        <v>7</v>
      </c>
      <c r="G63" s="30"/>
      <c r="H63"/>
      <c r="I63"/>
    </row>
    <row r="64" spans="1:9" x14ac:dyDescent="0.25">
      <c r="A64" s="32">
        <f>'[2]Calc_Coef _18'!AE63</f>
        <v>6501301</v>
      </c>
      <c r="B64" s="32" t="str">
        <f>'[2]Calc_Coef _18'!C63</f>
        <v>110430</v>
      </c>
      <c r="C64" s="32" t="str">
        <f>'[2]Calc_Coef _18'!AF63</f>
        <v>GERME DE TRIGO</v>
      </c>
      <c r="D64" s="63">
        <f>'[2]Calc_Coef _18'!AG63</f>
        <v>733</v>
      </c>
      <c r="E64" s="63">
        <f>'[2]Calc_Coef _18'!AH63</f>
        <v>4557.287251027471</v>
      </c>
      <c r="F64" s="64">
        <f>'[2]Calc_Coef _18'!AI63</f>
        <v>10</v>
      </c>
      <c r="G64" s="30"/>
      <c r="H64"/>
      <c r="I64"/>
    </row>
    <row r="65" spans="1:9" x14ac:dyDescent="0.25">
      <c r="A65" s="32">
        <f>'[2]Calc_Coef _18'!AE64</f>
        <v>6501303</v>
      </c>
      <c r="B65" s="32" t="str">
        <f>'[2]Calc_Coef _18'!C64</f>
        <v>110430</v>
      </c>
      <c r="C65" s="32" t="str">
        <f>'[2]Calc_Coef _18'!AF64</f>
        <v>FIBRA DE TRIGO</v>
      </c>
      <c r="D65" s="63">
        <f>'[2]Calc_Coef _18'!AG64</f>
        <v>733</v>
      </c>
      <c r="E65" s="63">
        <f>'[2]Calc_Coef _18'!AH64</f>
        <v>4557.287251027471</v>
      </c>
      <c r="F65" s="64">
        <f>'[2]Calc_Coef _18'!AI64</f>
        <v>10</v>
      </c>
      <c r="G65" s="30"/>
      <c r="H65"/>
      <c r="I65"/>
    </row>
    <row r="66" spans="1:9" x14ac:dyDescent="0.25">
      <c r="A66" s="32">
        <f>'[2]Calc_Coef _18'!AE65</f>
        <v>6501304</v>
      </c>
      <c r="B66" s="32" t="str">
        <f>'[2]Calc_Coef _18'!C65</f>
        <v>110430</v>
      </c>
      <c r="C66" s="32" t="str">
        <f>'[2]Calc_Coef _18'!AF65</f>
        <v>FIBRA DE CEREAL TRIGO</v>
      </c>
      <c r="D66" s="63">
        <f>'[2]Calc_Coef _18'!AG65</f>
        <v>733</v>
      </c>
      <c r="E66" s="63">
        <f>'[2]Calc_Coef _18'!AH65</f>
        <v>4557.287251027471</v>
      </c>
      <c r="F66" s="64">
        <f>'[2]Calc_Coef _18'!AI65</f>
        <v>10</v>
      </c>
      <c r="G66" s="30"/>
      <c r="H66"/>
      <c r="I66"/>
    </row>
    <row r="67" spans="1:9" x14ac:dyDescent="0.25">
      <c r="A67" s="32">
        <f>'[2]Calc_Coef _18'!AE66</f>
        <v>6501401</v>
      </c>
      <c r="B67" s="32" t="str">
        <f>'[2]Calc_Coef _18'!C66</f>
        <v>110620</v>
      </c>
      <c r="C67" s="32" t="str">
        <f>'[2]Calc_Coef _18'!AF66</f>
        <v>FARINHA DE MANDIOCA</v>
      </c>
      <c r="D67" s="63">
        <f>'[2]Calc_Coef _18'!AG66</f>
        <v>594</v>
      </c>
      <c r="E67" s="63">
        <f>'[2]Calc_Coef _18'!AH66</f>
        <v>1653.8799756971666</v>
      </c>
      <c r="F67" s="64">
        <f>'[2]Calc_Coef _18'!AI66</f>
        <v>8.5</v>
      </c>
      <c r="G67" s="30"/>
      <c r="H67"/>
      <c r="I67"/>
    </row>
    <row r="68" spans="1:9" x14ac:dyDescent="0.25">
      <c r="A68" s="32">
        <f>'[2]Calc_Coef _18'!AE67</f>
        <v>6501410</v>
      </c>
      <c r="B68" s="32" t="str">
        <f>'[2]Calc_Coef _18'!C67</f>
        <v>110620</v>
      </c>
      <c r="C68" s="32" t="str">
        <f>'[2]Calc_Coef _18'!AF67</f>
        <v>FARINHA DE COPIOBA</v>
      </c>
      <c r="D68" s="63">
        <f>'[2]Calc_Coef _18'!AG67</f>
        <v>594</v>
      </c>
      <c r="E68" s="63">
        <f>'[2]Calc_Coef _18'!AH67</f>
        <v>1854.3502757816716</v>
      </c>
      <c r="F68" s="64">
        <f>'[2]Calc_Coef _18'!AI67</f>
        <v>8.5</v>
      </c>
      <c r="G68" s="30"/>
      <c r="H68"/>
      <c r="I68"/>
    </row>
    <row r="69" spans="1:9" x14ac:dyDescent="0.25">
      <c r="A69" s="32">
        <f>'[2]Calc_Coef _18'!AE68</f>
        <v>6501415</v>
      </c>
      <c r="B69" s="32" t="str">
        <f>'[2]Calc_Coef _18'!C68</f>
        <v>110620</v>
      </c>
      <c r="C69" s="32" t="str">
        <f>'[2]Calc_Coef _18'!AF68</f>
        <v>FARINHA DE AGUA</v>
      </c>
      <c r="D69" s="63">
        <f>'[2]Calc_Coef _18'!AG68</f>
        <v>594</v>
      </c>
      <c r="E69" s="63">
        <f>'[2]Calc_Coef _18'!AH68</f>
        <v>1854.3502757816716</v>
      </c>
      <c r="F69" s="64">
        <f>'[2]Calc_Coef _18'!AI68</f>
        <v>8.5</v>
      </c>
      <c r="G69" s="30"/>
      <c r="H69"/>
      <c r="I69"/>
    </row>
    <row r="70" spans="1:9" x14ac:dyDescent="0.25">
      <c r="A70" s="32">
        <f>'[2]Calc_Coef _18'!AE69</f>
        <v>6501510</v>
      </c>
      <c r="B70" s="32" t="str">
        <f>'[2]Calc_Coef _18'!C69</f>
        <v>110620</v>
      </c>
      <c r="C70" s="32" t="str">
        <f>'[2]Calc_Coef _18'!AF69</f>
        <v>FARINHA DE TAPIOCA</v>
      </c>
      <c r="D70" s="63">
        <f>'[2]Calc_Coef _18'!AG69</f>
        <v>594</v>
      </c>
      <c r="E70" s="63">
        <f>'[2]Calc_Coef _18'!AH69</f>
        <v>2255.2908759506818</v>
      </c>
      <c r="F70" s="64">
        <f>'[2]Calc_Coef _18'!AI69</f>
        <v>8.5</v>
      </c>
      <c r="G70" s="30"/>
      <c r="H70"/>
      <c r="I70"/>
    </row>
    <row r="71" spans="1:9" x14ac:dyDescent="0.25">
      <c r="A71" s="32">
        <f>'[2]Calc_Coef _18'!AE70</f>
        <v>6501515</v>
      </c>
      <c r="B71" s="32" t="str">
        <f>'[2]Calc_Coef _18'!C70</f>
        <v>110620</v>
      </c>
      <c r="C71" s="32" t="str">
        <f>'[2]Calc_Coef _18'!AF70</f>
        <v>SAGU DE TAPIOCA</v>
      </c>
      <c r="D71" s="63">
        <f>'[2]Calc_Coef _18'!AG70</f>
        <v>594</v>
      </c>
      <c r="E71" s="63">
        <f>'[2]Calc_Coef _18'!AH70</f>
        <v>1854.3502757816716</v>
      </c>
      <c r="F71" s="64">
        <f>'[2]Calc_Coef _18'!AI70</f>
        <v>8.5</v>
      </c>
      <c r="G71" s="30"/>
      <c r="H71"/>
      <c r="I71"/>
    </row>
    <row r="72" spans="1:9" x14ac:dyDescent="0.25">
      <c r="A72" s="32">
        <f>'[2]Calc_Coef _18'!AE71</f>
        <v>6501516</v>
      </c>
      <c r="B72" s="32" t="str">
        <f>'[2]Calc_Coef _18'!C71</f>
        <v>110620</v>
      </c>
      <c r="C72" s="32" t="str">
        <f>'[2]Calc_Coef _18'!AF71</f>
        <v>TAPIOCA DE GOMA</v>
      </c>
      <c r="D72" s="63">
        <f>'[2]Calc_Coef _18'!AG71</f>
        <v>594</v>
      </c>
      <c r="E72" s="63">
        <f>'[2]Calc_Coef _18'!AH71</f>
        <v>1854.3502757816716</v>
      </c>
      <c r="F72" s="64">
        <f>'[2]Calc_Coef _18'!AI71</f>
        <v>8.5</v>
      </c>
      <c r="G72" s="30"/>
      <c r="H72"/>
      <c r="I72"/>
    </row>
    <row r="73" spans="1:9" x14ac:dyDescent="0.25">
      <c r="A73" s="32">
        <f>'[2]Calc_Coef _18'!AE72</f>
        <v>6502001</v>
      </c>
      <c r="B73" s="32" t="str">
        <f>'[2]Calc_Coef _18'!C72</f>
        <v>190420</v>
      </c>
      <c r="C73" s="32" t="str">
        <f>'[2]Calc_Coef _18'!AF72</f>
        <v>FARINHA LACTEA</v>
      </c>
      <c r="D73" s="63">
        <f>'[2]Calc_Coef _18'!AG72</f>
        <v>2903</v>
      </c>
      <c r="E73" s="63">
        <f>'[2]Calc_Coef _18'!AH72</f>
        <v>1772</v>
      </c>
      <c r="F73" s="64">
        <f>'[2]Calc_Coef _18'!AI72</f>
        <v>10.334717607973422</v>
      </c>
      <c r="G73" s="30"/>
      <c r="H73"/>
      <c r="I73"/>
    </row>
    <row r="74" spans="1:9" x14ac:dyDescent="0.25">
      <c r="A74" s="32">
        <f>'[2]Calc_Coef _18'!AE73</f>
        <v>6502101</v>
      </c>
      <c r="B74" s="32" t="str">
        <f>'[2]Calc_Coef _18'!C73</f>
        <v>190420</v>
      </c>
      <c r="C74" s="32" t="str">
        <f>'[2]Calc_Coef _18'!AF73</f>
        <v>NESTON</v>
      </c>
      <c r="D74" s="63">
        <f>'[2]Calc_Coef _18'!AG73</f>
        <v>2903</v>
      </c>
      <c r="E74" s="63">
        <f>'[2]Calc_Coef _18'!AH73</f>
        <v>1772</v>
      </c>
      <c r="F74" s="64">
        <f>'[2]Calc_Coef _18'!AI73</f>
        <v>10.334717607973422</v>
      </c>
      <c r="G74" s="30"/>
      <c r="H74"/>
      <c r="I74"/>
    </row>
    <row r="75" spans="1:9" x14ac:dyDescent="0.25">
      <c r="A75" s="32">
        <f>'[2]Calc_Coef _18'!AE74</f>
        <v>6502102</v>
      </c>
      <c r="B75" s="32" t="str">
        <f>'[2]Calc_Coef _18'!C74</f>
        <v>190420</v>
      </c>
      <c r="C75" s="32" t="str">
        <f>'[2]Calc_Coef _18'!AF74</f>
        <v>FLOCOS DE CEREAIS</v>
      </c>
      <c r="D75" s="63">
        <f>'[2]Calc_Coef _18'!AG74</f>
        <v>2903</v>
      </c>
      <c r="E75" s="63">
        <f>'[2]Calc_Coef _18'!AH74</f>
        <v>1772</v>
      </c>
      <c r="F75" s="64">
        <f>'[2]Calc_Coef _18'!AI74</f>
        <v>10.334717607973422</v>
      </c>
      <c r="G75" s="30"/>
      <c r="H75"/>
      <c r="I75"/>
    </row>
    <row r="76" spans="1:9" x14ac:dyDescent="0.25">
      <c r="A76" s="32">
        <f>'[2]Calc_Coef _18'!AE75</f>
        <v>6502403</v>
      </c>
      <c r="B76" s="32">
        <f>'[2]Calc_Coef _18'!C75</f>
        <v>190590</v>
      </c>
      <c r="C76" s="32" t="str">
        <f>'[2]Calc_Coef _18'!AF75</f>
        <v>MINI PIZZA SEMIPRONTA</v>
      </c>
      <c r="D76" s="63">
        <f>'[2]Calc_Coef _18'!AG75</f>
        <v>5600</v>
      </c>
      <c r="E76" s="63">
        <f>'[2]Calc_Coef _18'!AH75</f>
        <v>1600</v>
      </c>
      <c r="F76" s="64">
        <f>'[2]Calc_Coef _18'!AI75</f>
        <v>6.7933333333333339</v>
      </c>
      <c r="G76" s="30"/>
      <c r="H76"/>
      <c r="I76"/>
    </row>
    <row r="77" spans="1:9" x14ac:dyDescent="0.25">
      <c r="A77" s="32">
        <f>'[2]Calc_Coef _18'!AE76</f>
        <v>6502501</v>
      </c>
      <c r="B77" s="32">
        <f>'[2]Calc_Coef _18'!C76</f>
        <v>200510</v>
      </c>
      <c r="C77" s="32" t="str">
        <f>'[2]Calc_Coef _18'!AF76</f>
        <v>FIBRA DE SOJA</v>
      </c>
      <c r="D77" s="63">
        <f>'[2]Calc_Coef _18'!AG76</f>
        <v>3240</v>
      </c>
      <c r="E77" s="63">
        <f>'[2]Calc_Coef _18'!AH76</f>
        <v>2256.485722150212</v>
      </c>
      <c r="F77" s="64">
        <f>'[2]Calc_Coef _18'!AI76</f>
        <v>5</v>
      </c>
      <c r="G77" s="30"/>
      <c r="H77"/>
      <c r="I77"/>
    </row>
    <row r="78" spans="1:9" x14ac:dyDescent="0.25">
      <c r="A78" s="32">
        <f>'[2]Calc_Coef _18'!AE77</f>
        <v>6503401</v>
      </c>
      <c r="B78" s="32">
        <f>'[2]Calc_Coef _18'!C77</f>
        <v>190211</v>
      </c>
      <c r="C78" s="32" t="str">
        <f>'[2]Calc_Coef _18'!AF77</f>
        <v>MACARRAO</v>
      </c>
      <c r="D78" s="63">
        <f>'[2]Calc_Coef _18'!AG77</f>
        <v>1368.2835566062515</v>
      </c>
      <c r="E78" s="63">
        <f>'[2]Calc_Coef _18'!AH77</f>
        <v>1730.2020304029807</v>
      </c>
      <c r="F78" s="64">
        <f>'[2]Calc_Coef _18'!AI77</f>
        <v>10.5</v>
      </c>
      <c r="G78" s="30"/>
      <c r="H78"/>
      <c r="I78"/>
    </row>
    <row r="79" spans="1:9" x14ac:dyDescent="0.25">
      <c r="A79" s="32">
        <f>'[2]Calc_Coef _18'!AE78</f>
        <v>6503502</v>
      </c>
      <c r="B79" s="32" t="str">
        <f>'[2]Calc_Coef _18'!C78</f>
        <v>070993</v>
      </c>
      <c r="C79" s="32" t="str">
        <f>'[2]Calc_Coef _18'!AF78</f>
        <v>PURE DE ABOBORA / JERIMUM / GERIMUM</v>
      </c>
      <c r="D79" s="63">
        <f>'[2]Calc_Coef _18'!AG78</f>
        <v>335.30210772833726</v>
      </c>
      <c r="E79" s="63">
        <f>'[2]Calc_Coef _18'!AH78</f>
        <v>799.09345438723949</v>
      </c>
      <c r="F79" s="64">
        <f>'[2]Calc_Coef _18'!AI78</f>
        <v>1.5</v>
      </c>
      <c r="G79" s="30"/>
      <c r="H79"/>
      <c r="I79"/>
    </row>
    <row r="80" spans="1:9" x14ac:dyDescent="0.25">
      <c r="A80" s="32">
        <f>'[2]Calc_Coef _18'!AE79</f>
        <v>6503601</v>
      </c>
      <c r="B80" s="32">
        <f>'[2]Calc_Coef _18'!C79</f>
        <v>200510</v>
      </c>
      <c r="C80" s="32" t="str">
        <f>'[2]Calc_Coef _18'!AF79</f>
        <v>BIFE VEGETAL</v>
      </c>
      <c r="D80" s="63">
        <f>'[2]Calc_Coef _18'!AG79</f>
        <v>3240</v>
      </c>
      <c r="E80" s="63">
        <f>'[2]Calc_Coef _18'!AH79</f>
        <v>2000</v>
      </c>
      <c r="F80" s="64">
        <f>'[2]Calc_Coef _18'!AI79</f>
        <v>5</v>
      </c>
      <c r="G80" s="30"/>
      <c r="H80"/>
      <c r="I80"/>
    </row>
    <row r="81" spans="1:9" x14ac:dyDescent="0.25">
      <c r="A81" s="32">
        <f>'[2]Calc_Coef _18'!AE80</f>
        <v>6503603</v>
      </c>
      <c r="B81" s="32">
        <f>'[2]Calc_Coef _18'!C80</f>
        <v>200510</v>
      </c>
      <c r="C81" s="32" t="str">
        <f>'[2]Calc_Coef _18'!AF80</f>
        <v>CARNE VEGETAL</v>
      </c>
      <c r="D81" s="63">
        <f>'[2]Calc_Coef _18'!AG80</f>
        <v>4100</v>
      </c>
      <c r="E81" s="63">
        <f>'[2]Calc_Coef _18'!AH80</f>
        <v>2256.485722150212</v>
      </c>
      <c r="F81" s="64">
        <f>'[2]Calc_Coef _18'!AI80</f>
        <v>5</v>
      </c>
      <c r="G81" s="30"/>
      <c r="H81"/>
      <c r="I81"/>
    </row>
    <row r="82" spans="1:9" x14ac:dyDescent="0.25">
      <c r="A82" s="32">
        <f>'[2]Calc_Coef _18'!AE81</f>
        <v>6503604</v>
      </c>
      <c r="B82" s="32">
        <f>'[2]Calc_Coef _18'!C81</f>
        <v>200510</v>
      </c>
      <c r="C82" s="32" t="str">
        <f>'[2]Calc_Coef _18'!AF81</f>
        <v>PASTA DE SOJA</v>
      </c>
      <c r="D82" s="63">
        <f>'[2]Calc_Coef _18'!AG81</f>
        <v>3240</v>
      </c>
      <c r="E82" s="63">
        <f>'[2]Calc_Coef _18'!AH81</f>
        <v>585.94876142991836</v>
      </c>
      <c r="F82" s="64">
        <f>'[2]Calc_Coef _18'!AI81</f>
        <v>5</v>
      </c>
      <c r="G82" s="30"/>
      <c r="H82"/>
      <c r="I82"/>
    </row>
    <row r="83" spans="1:9" x14ac:dyDescent="0.25">
      <c r="A83" s="32">
        <f>'[2]Calc_Coef _18'!AE82</f>
        <v>6503605</v>
      </c>
      <c r="B83" s="32">
        <f>'[2]Calc_Coef _18'!C82</f>
        <v>200510</v>
      </c>
      <c r="C83" s="32" t="str">
        <f>'[2]Calc_Coef _18'!AF82</f>
        <v>CARNE DE SOJA</v>
      </c>
      <c r="D83" s="63">
        <f>'[2]Calc_Coef _18'!AG82</f>
        <v>4900</v>
      </c>
      <c r="E83" s="63">
        <f>'[2]Calc_Coef _18'!AH82</f>
        <v>3854.9260620389368</v>
      </c>
      <c r="F83" s="64">
        <f>'[2]Calc_Coef _18'!AI82</f>
        <v>5</v>
      </c>
      <c r="G83" s="30"/>
      <c r="H83"/>
      <c r="I83"/>
    </row>
    <row r="84" spans="1:9" x14ac:dyDescent="0.25">
      <c r="A84" s="32">
        <f>'[2]Calc_Coef _18'!AE83</f>
        <v>6503702</v>
      </c>
      <c r="B84" s="32" t="str">
        <f>'[2]Calc_Coef _18'!C83</f>
        <v>120242</v>
      </c>
      <c r="C84" s="32" t="str">
        <f>'[2]Calc_Coef _18'!AF83</f>
        <v>AMENDOIM MOIDO</v>
      </c>
      <c r="D84" s="63">
        <f>'[2]Calc_Coef _18'!AG83</f>
        <v>1333.3333333333333</v>
      </c>
      <c r="E84" s="63">
        <f>'[2]Calc_Coef _18'!AH83</f>
        <v>2704.2217653304615</v>
      </c>
      <c r="F84" s="64">
        <f>'[2]Calc_Coef _18'!AI83</f>
        <v>5.9456146715745248</v>
      </c>
      <c r="G84" s="30"/>
      <c r="H84"/>
      <c r="I84"/>
    </row>
    <row r="85" spans="1:9" x14ac:dyDescent="0.25">
      <c r="A85" s="32">
        <f>'[2]Calc_Coef _18'!AE84</f>
        <v>6504101</v>
      </c>
      <c r="B85" s="32" t="str">
        <f>'[2]Calc_Coef _18'!C84</f>
        <v>190420</v>
      </c>
      <c r="C85" s="32" t="str">
        <f>'[2]Calc_Coef _18'!AF84</f>
        <v>GRANOLA</v>
      </c>
      <c r="D85" s="63">
        <f>'[2]Calc_Coef _18'!AG84</f>
        <v>2903</v>
      </c>
      <c r="E85" s="63">
        <f>'[2]Calc_Coef _18'!AH84</f>
        <v>1772</v>
      </c>
      <c r="F85" s="64">
        <f>'[2]Calc_Coef _18'!AI84</f>
        <v>10.334717607973422</v>
      </c>
      <c r="G85" s="30"/>
      <c r="H85"/>
      <c r="I85"/>
    </row>
    <row r="86" spans="1:9" x14ac:dyDescent="0.25">
      <c r="A86" s="32">
        <f>'[2]Calc_Coef _18'!AE85</f>
        <v>6504701</v>
      </c>
      <c r="B86" s="32" t="str">
        <f>'[2]Calc_Coef _18'!C85</f>
        <v>190420</v>
      </c>
      <c r="C86" s="32" t="str">
        <f>'[2]Calc_Coef _18'!AF85</f>
        <v>MIX DE CEREAIS</v>
      </c>
      <c r="D86" s="63">
        <f>'[2]Calc_Coef _18'!AG85</f>
        <v>2903</v>
      </c>
      <c r="E86" s="63">
        <f>'[2]Calc_Coef _18'!AH85</f>
        <v>1772</v>
      </c>
      <c r="F86" s="64">
        <f>'[2]Calc_Coef _18'!AI85</f>
        <v>10.334717607973422</v>
      </c>
      <c r="G86" s="30"/>
      <c r="H86"/>
      <c r="I86"/>
    </row>
    <row r="87" spans="1:9" x14ac:dyDescent="0.25">
      <c r="A87" s="32">
        <f>'[2]Calc_Coef _18'!AE86</f>
        <v>6504801</v>
      </c>
      <c r="B87" s="32" t="str">
        <f>'[2]Calc_Coef _18'!C86</f>
        <v>190230</v>
      </c>
      <c r="C87" s="32" t="str">
        <f>'[2]Calc_Coef _18'!AF86</f>
        <v>MIOJO</v>
      </c>
      <c r="D87" s="63">
        <f>'[2]Calc_Coef _18'!AG86</f>
        <v>1447.9877152988854</v>
      </c>
      <c r="E87" s="63">
        <f>'[2]Calc_Coef _18'!AH86</f>
        <v>1730.2020304029807</v>
      </c>
      <c r="F87" s="64">
        <f>'[2]Calc_Coef _18'!AI86</f>
        <v>10.5</v>
      </c>
      <c r="G87" s="30"/>
      <c r="H87"/>
      <c r="I87"/>
    </row>
    <row r="88" spans="1:9" x14ac:dyDescent="0.25">
      <c r="A88" s="32">
        <f>'[2]Calc_Coef _18'!AE87</f>
        <v>6504802</v>
      </c>
      <c r="B88" s="32">
        <f>'[2]Calc_Coef _18'!C87</f>
        <v>190219</v>
      </c>
      <c r="C88" s="32" t="str">
        <f>'[2]Calc_Coef _18'!AF87</f>
        <v>MACARRAO INSTANTANEO</v>
      </c>
      <c r="D88" s="63">
        <f>'[2]Calc_Coef _18'!AG87</f>
        <v>1368.2835566062515</v>
      </c>
      <c r="E88" s="63">
        <f>'[2]Calc_Coef _18'!AH87</f>
        <v>1730.2020304029807</v>
      </c>
      <c r="F88" s="64">
        <f>'[2]Calc_Coef _18'!AI87</f>
        <v>10.5</v>
      </c>
      <c r="G88" s="30"/>
      <c r="H88"/>
      <c r="I88"/>
    </row>
    <row r="89" spans="1:9" x14ac:dyDescent="0.25">
      <c r="A89" s="32">
        <f>'[2]Calc_Coef _18'!AE88</f>
        <v>6505101</v>
      </c>
      <c r="B89" s="32">
        <f>'[2]Calc_Coef _18'!C88</f>
        <v>220290</v>
      </c>
      <c r="C89" s="32" t="str">
        <f>'[2]Calc_Coef _18'!AF88</f>
        <v>SUSTAGEM</v>
      </c>
      <c r="D89" s="63">
        <f>'[2]Calc_Coef _18'!AG88</f>
        <v>794.44444444444446</v>
      </c>
      <c r="E89" s="63">
        <f>'[2]Calc_Coef _18'!AH88</f>
        <v>11543.725015272823</v>
      </c>
      <c r="F89" s="64">
        <f>'[2]Calc_Coef _18'!AI88</f>
        <v>57.5</v>
      </c>
      <c r="G89" s="30"/>
      <c r="H89"/>
      <c r="I89"/>
    </row>
    <row r="90" spans="1:9" x14ac:dyDescent="0.25">
      <c r="A90" s="32">
        <f>'[2]Calc_Coef _18'!AE89</f>
        <v>6505102</v>
      </c>
      <c r="B90" s="32">
        <f>'[2]Calc_Coef _18'!C89</f>
        <v>220290</v>
      </c>
      <c r="C90" s="32" t="str">
        <f>'[2]Calc_Coef _18'!AF89</f>
        <v>NUTREN, ENSURE, SUSTEN</v>
      </c>
      <c r="D90" s="63">
        <f>'[2]Calc_Coef _18'!AG89</f>
        <v>794.44444444444446</v>
      </c>
      <c r="E90" s="63">
        <f>'[2]Calc_Coef _18'!AH89</f>
        <v>11543.725015272823</v>
      </c>
      <c r="F90" s="64">
        <f>'[2]Calc_Coef _18'!AI89</f>
        <v>57.5</v>
      </c>
      <c r="G90" s="30"/>
      <c r="H90"/>
      <c r="I90"/>
    </row>
    <row r="91" spans="1:9" x14ac:dyDescent="0.25">
      <c r="A91" s="32">
        <f>'[2]Calc_Coef _18'!AE90</f>
        <v>6505601</v>
      </c>
      <c r="B91" s="32">
        <f>'[2]Calc_Coef _18'!C90</f>
        <v>200510</v>
      </c>
      <c r="C91" s="32" t="str">
        <f>'[2]Calc_Coef _18'!AF90</f>
        <v>PROTEINA DE SOJA</v>
      </c>
      <c r="D91" s="63">
        <f>'[2]Calc_Coef _18'!AG90</f>
        <v>2400</v>
      </c>
      <c r="E91" s="63">
        <f>'[2]Calc_Coef _18'!AH90</f>
        <v>2256.485722150212</v>
      </c>
      <c r="F91" s="64">
        <f>'[2]Calc_Coef _18'!AI90</f>
        <v>5</v>
      </c>
      <c r="G91" s="30"/>
      <c r="H91"/>
      <c r="I91"/>
    </row>
    <row r="92" spans="1:9" x14ac:dyDescent="0.25">
      <c r="A92" s="32">
        <f>'[2]Calc_Coef _18'!AE91</f>
        <v>6505701</v>
      </c>
      <c r="B92" s="32">
        <f>'[2]Calc_Coef _18'!C91</f>
        <v>220290</v>
      </c>
      <c r="C92" s="32" t="str">
        <f>'[2]Calc_Coef _18'!AF91</f>
        <v>COMPLEMENTO ALIMENTAR DE QUALQUER SABOR</v>
      </c>
      <c r="D92" s="63">
        <f>'[2]Calc_Coef _18'!AG91</f>
        <v>794.44444444444446</v>
      </c>
      <c r="E92" s="63">
        <f>'[2]Calc_Coef _18'!AH91</f>
        <v>11543.725015272823</v>
      </c>
      <c r="F92" s="64">
        <f>'[2]Calc_Coef _18'!AI91</f>
        <v>57.5</v>
      </c>
      <c r="G92" s="30"/>
      <c r="H92"/>
      <c r="I92"/>
    </row>
    <row r="93" spans="1:9" x14ac:dyDescent="0.25">
      <c r="A93" s="32">
        <f>'[2]Calc_Coef _18'!AE92</f>
        <v>6506003</v>
      </c>
      <c r="B93" s="32">
        <f>'[2]Calc_Coef _18'!C92</f>
        <v>190590</v>
      </c>
      <c r="C93" s="32" t="str">
        <f>'[2]Calc_Coef _18'!AF92</f>
        <v>MINI PIZZA SEMIPRONTA LIGHT</v>
      </c>
      <c r="D93" s="63">
        <f>'[2]Calc_Coef _18'!AG92</f>
        <v>3800</v>
      </c>
      <c r="E93" s="63">
        <f>'[2]Calc_Coef _18'!AH92</f>
        <v>1600</v>
      </c>
      <c r="F93" s="64">
        <f>'[2]Calc_Coef _18'!AI92</f>
        <v>6.7933333333333339</v>
      </c>
      <c r="G93" s="30"/>
      <c r="H93"/>
      <c r="I93"/>
    </row>
    <row r="94" spans="1:9" x14ac:dyDescent="0.25">
      <c r="A94" s="32">
        <f>'[2]Calc_Coef _18'!AE93</f>
        <v>6506302</v>
      </c>
      <c r="B94" s="32">
        <f>'[2]Calc_Coef _18'!C93</f>
        <v>190219</v>
      </c>
      <c r="C94" s="32" t="str">
        <f>'[2]Calc_Coef _18'!AF93</f>
        <v>MACARRAO INSTANTANEO LIGHT</v>
      </c>
      <c r="D94" s="63">
        <f>'[2]Calc_Coef _18'!AG93</f>
        <v>1368.2835566062515</v>
      </c>
      <c r="E94" s="63">
        <f>'[2]Calc_Coef _18'!AH93</f>
        <v>1730.2020304029807</v>
      </c>
      <c r="F94" s="64">
        <f>'[2]Calc_Coef _18'!AI93</f>
        <v>10.5</v>
      </c>
      <c r="G94" s="30"/>
      <c r="H94"/>
      <c r="I94"/>
    </row>
    <row r="95" spans="1:9" x14ac:dyDescent="0.25">
      <c r="A95" s="32">
        <f>'[2]Calc_Coef _18'!AE94</f>
        <v>6573242</v>
      </c>
      <c r="B95" s="32">
        <f>'[2]Calc_Coef _18'!C94</f>
        <v>190211</v>
      </c>
      <c r="C95" s="32" t="str">
        <f>'[2]Calc_Coef _18'!AF94</f>
        <v>MASSA / MACARRAO, INTEGRAL</v>
      </c>
      <c r="D95" s="63">
        <f>'[2]Calc_Coef _18'!AG94</f>
        <v>1368.2835566062515</v>
      </c>
      <c r="E95" s="63">
        <f>'[2]Calc_Coef _18'!AH94</f>
        <v>1730.2020304029807</v>
      </c>
      <c r="F95" s="64">
        <f>'[2]Calc_Coef _18'!AI94</f>
        <v>10.5</v>
      </c>
      <c r="G95" s="30"/>
      <c r="H95"/>
      <c r="I95"/>
    </row>
    <row r="96" spans="1:9" x14ac:dyDescent="0.25">
      <c r="A96" s="32">
        <f>'[2]Calc_Coef _18'!AE95</f>
        <v>6580001</v>
      </c>
      <c r="B96" s="32">
        <f>'[2]Calc_Coef _18'!C95</f>
        <v>220290</v>
      </c>
      <c r="C96" s="32" t="str">
        <f>'[2]Calc_Coef _18'!AF95</f>
        <v>SUPLEMENTO PROTEICO E OUTROS</v>
      </c>
      <c r="D96" s="63">
        <f>'[2]Calc_Coef _18'!AG95</f>
        <v>794.44444444444446</v>
      </c>
      <c r="E96" s="63">
        <f>'[2]Calc_Coef _18'!AH95</f>
        <v>11543.725015272823</v>
      </c>
      <c r="F96" s="64">
        <f>'[2]Calc_Coef _18'!AI95</f>
        <v>57.5</v>
      </c>
      <c r="G96" s="30"/>
      <c r="H96"/>
      <c r="I96"/>
    </row>
    <row r="97" spans="1:9" x14ac:dyDescent="0.25">
      <c r="A97" s="32">
        <f>'[2]Calc_Coef _18'!AE96</f>
        <v>6580101</v>
      </c>
      <c r="B97" s="32">
        <f>'[2]Calc_Coef _18'!C96</f>
        <v>220290</v>
      </c>
      <c r="C97" s="32" t="str">
        <f>'[2]Calc_Coef _18'!AF96</f>
        <v>VITAMINAS, MINERAIS E OUTROS</v>
      </c>
      <c r="D97" s="63">
        <f>'[2]Calc_Coef _18'!AG96</f>
        <v>794.44444444444446</v>
      </c>
      <c r="E97" s="63">
        <f>'[2]Calc_Coef _18'!AH96</f>
        <v>11543.725015272823</v>
      </c>
      <c r="F97" s="64">
        <f>'[2]Calc_Coef _18'!AI96</f>
        <v>57.5</v>
      </c>
      <c r="G97" s="30"/>
      <c r="H97"/>
      <c r="I97"/>
    </row>
    <row r="98" spans="1:9" x14ac:dyDescent="0.25">
      <c r="A98" s="32">
        <f>'[2]Calc_Coef _18'!AE97</f>
        <v>6600101</v>
      </c>
      <c r="B98" s="32" t="str">
        <f>'[2]Calc_Coef _18'!C97</f>
        <v>080119</v>
      </c>
      <c r="C98" s="32" t="str">
        <f>'[2]Calc_Coef _18'!AF97</f>
        <v>COCO DA BAHIA (SECO OU VERDE)</v>
      </c>
      <c r="D98" s="63">
        <f>'[2]Calc_Coef _18'!AG97</f>
        <v>1853.3333333333333</v>
      </c>
      <c r="E98" s="63">
        <f>'[2]Calc_Coef _18'!AH97</f>
        <v>928.18058566005857</v>
      </c>
      <c r="F98" s="64">
        <f>'[2]Calc_Coef _18'!AI97</f>
        <v>4.8757736240913818</v>
      </c>
      <c r="G98" s="30"/>
      <c r="H98"/>
      <c r="I98"/>
    </row>
    <row r="99" spans="1:9" x14ac:dyDescent="0.25">
      <c r="A99" s="32">
        <f>'[2]Calc_Coef _18'!AE98</f>
        <v>6600104</v>
      </c>
      <c r="B99" s="32" t="str">
        <f>'[2]Calc_Coef _18'!C98</f>
        <v>080119</v>
      </c>
      <c r="C99" s="32" t="str">
        <f>'[2]Calc_Coef _18'!AF98</f>
        <v>COCO SECO</v>
      </c>
      <c r="D99" s="63">
        <f>'[2]Calc_Coef _18'!AG98</f>
        <v>1853.3333333333333</v>
      </c>
      <c r="E99" s="63">
        <f>'[2]Calc_Coef _18'!AH98</f>
        <v>928.18058566005857</v>
      </c>
      <c r="F99" s="64">
        <f>'[2]Calc_Coef _18'!AI98</f>
        <v>4.8757736240913818</v>
      </c>
      <c r="G99" s="30"/>
      <c r="H99"/>
      <c r="I99"/>
    </row>
    <row r="100" spans="1:9" x14ac:dyDescent="0.25">
      <c r="A100" s="32">
        <f>'[2]Calc_Coef _18'!AE99</f>
        <v>6600105</v>
      </c>
      <c r="B100" s="32" t="str">
        <f>'[2]Calc_Coef _18'!C99</f>
        <v>080119</v>
      </c>
      <c r="C100" s="32" t="str">
        <f>'[2]Calc_Coef _18'!AF99</f>
        <v>COCO VERDE</v>
      </c>
      <c r="D100" s="63">
        <f>'[2]Calc_Coef _18'!AG99</f>
        <v>1853.3333333333333</v>
      </c>
      <c r="E100" s="63">
        <f>'[2]Calc_Coef _18'!AH99</f>
        <v>928.18058566005857</v>
      </c>
      <c r="F100" s="64">
        <f>'[2]Calc_Coef _18'!AI99</f>
        <v>4.8757736240913818</v>
      </c>
      <c r="G100" s="30"/>
      <c r="H100"/>
      <c r="I100"/>
    </row>
    <row r="101" spans="1:9" x14ac:dyDescent="0.25">
      <c r="A101" s="32">
        <f>'[2]Calc_Coef _18'!AE100</f>
        <v>6600301</v>
      </c>
      <c r="B101" s="32" t="str">
        <f>'[2]Calc_Coef _18'!C100</f>
        <v>080240</v>
      </c>
      <c r="C101" s="32" t="str">
        <f>'[2]Calc_Coef _18'!AF100</f>
        <v>CASTANHA PORTUGUESA</v>
      </c>
      <c r="D101" s="63">
        <f>'[2]Calc_Coef _18'!AG100</f>
        <v>2295.541666666667</v>
      </c>
      <c r="E101" s="63">
        <f>'[2]Calc_Coef _18'!AH100</f>
        <v>10840.969748776477</v>
      </c>
      <c r="F101" s="64">
        <f>'[2]Calc_Coef _18'!AI100</f>
        <v>19.065420560747665</v>
      </c>
      <c r="G101" s="30"/>
      <c r="H101"/>
      <c r="I101"/>
    </row>
    <row r="102" spans="1:9" x14ac:dyDescent="0.25">
      <c r="A102" s="32">
        <f>'[2]Calc_Coef _18'!AE101</f>
        <v>6600401</v>
      </c>
      <c r="B102" s="32" t="str">
        <f>'[2]Calc_Coef _18'!C101</f>
        <v>080290</v>
      </c>
      <c r="C102" s="32" t="str">
        <f>'[2]Calc_Coef _18'!AF101</f>
        <v>PINHAO</v>
      </c>
      <c r="D102" s="63">
        <f>'[2]Calc_Coef _18'!AG101</f>
        <v>2295.541666666667</v>
      </c>
      <c r="E102" s="63">
        <f>'[2]Calc_Coef _18'!AH101</f>
        <v>10840.969748776477</v>
      </c>
      <c r="F102" s="64">
        <f>'[2]Calc_Coef _18'!AI101</f>
        <v>19.065420560747665</v>
      </c>
      <c r="G102" s="30"/>
      <c r="H102"/>
      <c r="I102"/>
    </row>
    <row r="103" spans="1:9" x14ac:dyDescent="0.25">
      <c r="A103" s="32">
        <f>'[2]Calc_Coef _18'!AE102</f>
        <v>6600501</v>
      </c>
      <c r="B103" s="32" t="str">
        <f>'[2]Calc_Coef _18'!C102</f>
        <v>080212</v>
      </c>
      <c r="C103" s="32" t="str">
        <f>'[2]Calc_Coef _18'!AF102</f>
        <v>AMENDOA</v>
      </c>
      <c r="D103" s="63">
        <f>'[2]Calc_Coef _18'!AG102</f>
        <v>2670</v>
      </c>
      <c r="E103" s="63">
        <f>'[2]Calc_Coef _18'!AH102</f>
        <v>10840.969748776477</v>
      </c>
      <c r="F103" s="64">
        <f>'[2]Calc_Coef _18'!AI102</f>
        <v>19.065420560747665</v>
      </c>
      <c r="G103" s="30"/>
      <c r="H103"/>
      <c r="I103"/>
    </row>
    <row r="104" spans="1:9" x14ac:dyDescent="0.25">
      <c r="A104" s="32">
        <f>'[2]Calc_Coef _18'!AE103</f>
        <v>6600601</v>
      </c>
      <c r="B104" s="32" t="str">
        <f>'[2]Calc_Coef _18'!C103</f>
        <v>080222</v>
      </c>
      <c r="C104" s="32" t="str">
        <f>'[2]Calc_Coef _18'!AF103</f>
        <v>AVELA</v>
      </c>
      <c r="D104" s="63">
        <f>'[2]Calc_Coef _18'!AG103</f>
        <v>2295.541666666667</v>
      </c>
      <c r="E104" s="63">
        <f>'[2]Calc_Coef _18'!AH103</f>
        <v>10840.969748776477</v>
      </c>
      <c r="F104" s="64">
        <f>'[2]Calc_Coef _18'!AI103</f>
        <v>19.065420560747665</v>
      </c>
      <c r="G104" s="30"/>
      <c r="H104"/>
      <c r="I104"/>
    </row>
    <row r="105" spans="1:9" x14ac:dyDescent="0.25">
      <c r="A105" s="32">
        <f>'[2]Calc_Coef _18'!AE104</f>
        <v>6600701</v>
      </c>
      <c r="B105" s="32" t="str">
        <f>'[2]Calc_Coef _18'!C104</f>
        <v>080121</v>
      </c>
      <c r="C105" s="32" t="str">
        <f>'[2]Calc_Coef _18'!AF104</f>
        <v>CASTANHA DO PARA</v>
      </c>
      <c r="D105" s="63">
        <f>'[2]Calc_Coef _18'!AG104</f>
        <v>1853.3333333333333</v>
      </c>
      <c r="E105" s="63">
        <f>'[2]Calc_Coef _18'!AH104</f>
        <v>9069.9875142558085</v>
      </c>
      <c r="F105" s="64">
        <f>'[2]Calc_Coef _18'!AI104</f>
        <v>4.8757736240913818</v>
      </c>
      <c r="G105" s="30"/>
      <c r="H105"/>
      <c r="I105"/>
    </row>
    <row r="106" spans="1:9" x14ac:dyDescent="0.25">
      <c r="A106" s="32">
        <f>'[2]Calc_Coef _18'!AE105</f>
        <v>6600702</v>
      </c>
      <c r="B106" s="32" t="str">
        <f>'[2]Calc_Coef _18'!C105</f>
        <v>080121</v>
      </c>
      <c r="C106" s="32" t="str">
        <f>'[2]Calc_Coef _18'!AF105</f>
        <v>CASTANHA DO BRASIL</v>
      </c>
      <c r="D106" s="63">
        <f>'[2]Calc_Coef _18'!AG105</f>
        <v>1853.3333333333333</v>
      </c>
      <c r="E106" s="63">
        <f>'[2]Calc_Coef _18'!AH105</f>
        <v>9069.9875142558085</v>
      </c>
      <c r="F106" s="64">
        <f>'[2]Calc_Coef _18'!AI105</f>
        <v>4.8757736240913818</v>
      </c>
      <c r="G106" s="30"/>
      <c r="H106"/>
      <c r="I106"/>
    </row>
    <row r="107" spans="1:9" x14ac:dyDescent="0.25">
      <c r="A107" s="32">
        <f>'[2]Calc_Coef _18'!AE106</f>
        <v>6600703</v>
      </c>
      <c r="B107" s="32" t="str">
        <f>'[2]Calc_Coef _18'!C106</f>
        <v>080121</v>
      </c>
      <c r="C107" s="32" t="str">
        <f>'[2]Calc_Coef _18'!AF106</f>
        <v>NOZES DO PARA</v>
      </c>
      <c r="D107" s="63">
        <f>'[2]Calc_Coef _18'!AG106</f>
        <v>1853.3333333333333</v>
      </c>
      <c r="E107" s="63">
        <f>'[2]Calc_Coef _18'!AH106</f>
        <v>9069.9875142558085</v>
      </c>
      <c r="F107" s="64">
        <f>'[2]Calc_Coef _18'!AI106</f>
        <v>4.8757736240913818</v>
      </c>
      <c r="G107" s="30"/>
      <c r="H107"/>
      <c r="I107"/>
    </row>
    <row r="108" spans="1:9" x14ac:dyDescent="0.25">
      <c r="A108" s="32">
        <f>'[2]Calc_Coef _18'!AE107</f>
        <v>6600801</v>
      </c>
      <c r="B108" s="32" t="str">
        <f>'[2]Calc_Coef _18'!C107</f>
        <v>080131</v>
      </c>
      <c r="C108" s="32" t="str">
        <f>'[2]Calc_Coef _18'!AF107</f>
        <v>CASTANHA DE CAJU</v>
      </c>
      <c r="D108" s="63">
        <f>'[2]Calc_Coef _18'!AG107</f>
        <v>1853.3333333333333</v>
      </c>
      <c r="E108" s="63">
        <f>'[2]Calc_Coef _18'!AH107</f>
        <v>33495.408300043062</v>
      </c>
      <c r="F108" s="64">
        <f>'[2]Calc_Coef _18'!AI107</f>
        <v>4.8757736240913818</v>
      </c>
      <c r="G108" s="30"/>
      <c r="H108"/>
      <c r="I108"/>
    </row>
    <row r="109" spans="1:9" x14ac:dyDescent="0.25">
      <c r="A109" s="32">
        <f>'[2]Calc_Coef _18'!AE108</f>
        <v>6600901</v>
      </c>
      <c r="B109" s="32" t="str">
        <f>'[2]Calc_Coef _18'!C108</f>
        <v>080131</v>
      </c>
      <c r="C109" s="32" t="str">
        <f>'[2]Calc_Coef _18'!AF108</f>
        <v>COCO OURICURI</v>
      </c>
      <c r="D109" s="63">
        <f>'[2]Calc_Coef _18'!AG108</f>
        <v>1853.3333333333333</v>
      </c>
      <c r="E109" s="63">
        <f>'[2]Calc_Coef _18'!AH108</f>
        <v>33495.408300043062</v>
      </c>
      <c r="F109" s="64">
        <f>'[2]Calc_Coef _18'!AI108</f>
        <v>4.8757736240913818</v>
      </c>
      <c r="G109" s="30"/>
      <c r="H109"/>
      <c r="I109"/>
    </row>
    <row r="110" spans="1:9" x14ac:dyDescent="0.25">
      <c r="A110" s="32">
        <f>'[2]Calc_Coef _18'!AE109</f>
        <v>6600912</v>
      </c>
      <c r="B110" s="32" t="str">
        <f>'[2]Calc_Coef _18'!C109</f>
        <v>080112</v>
      </c>
      <c r="C110" s="32" t="str">
        <f>'[2]Calc_Coef _18'!AF109</f>
        <v>BUTIA</v>
      </c>
      <c r="D110" s="63">
        <f>'[2]Calc_Coef _18'!AG109</f>
        <v>1853.3333333333333</v>
      </c>
      <c r="E110" s="63">
        <f>'[2]Calc_Coef _18'!AH109</f>
        <v>928.18058566005857</v>
      </c>
      <c r="F110" s="64">
        <f>'[2]Calc_Coef _18'!AI109</f>
        <v>4.8757736240913818</v>
      </c>
      <c r="G110" s="30"/>
      <c r="H110"/>
      <c r="I110"/>
    </row>
    <row r="111" spans="1:9" x14ac:dyDescent="0.25">
      <c r="A111" s="32">
        <f>'[2]Calc_Coef _18'!AE110</f>
        <v>6600913</v>
      </c>
      <c r="B111" s="32" t="str">
        <f>'[2]Calc_Coef _18'!C110</f>
        <v>080131</v>
      </c>
      <c r="C111" s="32" t="str">
        <f>'[2]Calc_Coef _18'!AF110</f>
        <v>LICURI</v>
      </c>
      <c r="D111" s="63">
        <f>'[2]Calc_Coef _18'!AG110</f>
        <v>1853.3333333333333</v>
      </c>
      <c r="E111" s="63">
        <f>'[2]Calc_Coef _18'!AH110</f>
        <v>33495.408300043062</v>
      </c>
      <c r="F111" s="64">
        <f>'[2]Calc_Coef _18'!AI110</f>
        <v>4.8757736240913818</v>
      </c>
      <c r="G111" s="30"/>
      <c r="H111"/>
      <c r="I111"/>
    </row>
    <row r="112" spans="1:9" x14ac:dyDescent="0.25">
      <c r="A112" s="32">
        <f>'[2]Calc_Coef _18'!AE111</f>
        <v>6601002</v>
      </c>
      <c r="B112" s="32" t="str">
        <f>'[2]Calc_Coef _18'!C111</f>
        <v>080131</v>
      </c>
      <c r="C112" s="32" t="str">
        <f>'[2]Calc_Coef _18'!AF111</f>
        <v>COCO BABACU</v>
      </c>
      <c r="D112" s="63">
        <f>'[2]Calc_Coef _18'!AG111</f>
        <v>1853.3333333333333</v>
      </c>
      <c r="E112" s="63">
        <f>'[2]Calc_Coef _18'!AH111</f>
        <v>33495.408300043062</v>
      </c>
      <c r="F112" s="64">
        <f>'[2]Calc_Coef _18'!AI111</f>
        <v>4.8757736240913818</v>
      </c>
      <c r="G112" s="30"/>
      <c r="H112"/>
      <c r="I112"/>
    </row>
    <row r="113" spans="1:9" x14ac:dyDescent="0.25">
      <c r="A113" s="32">
        <f>'[2]Calc_Coef _18'!AE112</f>
        <v>6601108</v>
      </c>
      <c r="B113" s="32" t="str">
        <f>'[2]Calc_Coef _18'!C112</f>
        <v>080112</v>
      </c>
      <c r="C113" s="32" t="str">
        <f>'[2]Calc_Coef _18'!AF112</f>
        <v>TUCUMA</v>
      </c>
      <c r="D113" s="63">
        <f>'[2]Calc_Coef _18'!AG112</f>
        <v>1853.3333333333333</v>
      </c>
      <c r="E113" s="63">
        <f>'[2]Calc_Coef _18'!AH112</f>
        <v>928.18058566005857</v>
      </c>
      <c r="F113" s="64">
        <f>'[2]Calc_Coef _18'!AI112</f>
        <v>4.8757736240913818</v>
      </c>
      <c r="G113" s="30"/>
      <c r="H113"/>
      <c r="I113"/>
    </row>
    <row r="114" spans="1:9" x14ac:dyDescent="0.25">
      <c r="A114" s="32">
        <f>'[2]Calc_Coef _18'!AE113</f>
        <v>6601213</v>
      </c>
      <c r="B114" s="32" t="str">
        <f>'[2]Calc_Coef _18'!C113</f>
        <v>080112</v>
      </c>
      <c r="C114" s="32" t="str">
        <f>'[2]Calc_Coef _18'!AF113</f>
        <v>BOCAIUVA</v>
      </c>
      <c r="D114" s="63">
        <f>'[2]Calc_Coef _18'!AG113</f>
        <v>1853.3333333333333</v>
      </c>
      <c r="E114" s="63">
        <f>'[2]Calc_Coef _18'!AH113</f>
        <v>928.18058566005857</v>
      </c>
      <c r="F114" s="64">
        <f>'[2]Calc_Coef _18'!AI113</f>
        <v>4.8757736240913818</v>
      </c>
      <c r="G114" s="30"/>
      <c r="H114"/>
      <c r="I114"/>
    </row>
    <row r="115" spans="1:9" x14ac:dyDescent="0.25">
      <c r="A115" s="32">
        <f>'[2]Calc_Coef _18'!AE114</f>
        <v>6601501</v>
      </c>
      <c r="B115" s="32" t="str">
        <f>'[2]Calc_Coef _18'!C114</f>
        <v>080232</v>
      </c>
      <c r="C115" s="32" t="str">
        <f>'[2]Calc_Coef _18'!AF114</f>
        <v>NOZ (NOGUEIRA)</v>
      </c>
      <c r="D115" s="63">
        <f>'[2]Calc_Coef _18'!AG114</f>
        <v>1631.0833333333335</v>
      </c>
      <c r="E115" s="63">
        <f>'[2]Calc_Coef _18'!AH114</f>
        <v>10840.969748776477</v>
      </c>
      <c r="F115" s="64">
        <f>'[2]Calc_Coef _18'!AI114</f>
        <v>19.065420560747665</v>
      </c>
      <c r="G115" s="30"/>
      <c r="H115"/>
      <c r="I115"/>
    </row>
    <row r="116" spans="1:9" x14ac:dyDescent="0.25">
      <c r="A116" s="32">
        <f>'[2]Calc_Coef _18'!AE115</f>
        <v>6601707</v>
      </c>
      <c r="B116" s="32" t="str">
        <f>'[2]Calc_Coef _18'!C115</f>
        <v>080112</v>
      </c>
      <c r="C116" s="32" t="str">
        <f>'[2]Calc_Coef _18'!AF115</f>
        <v>JUCARA</v>
      </c>
      <c r="D116" s="63">
        <f>'[2]Calc_Coef _18'!AG115</f>
        <v>1853.3333333333333</v>
      </c>
      <c r="E116" s="63">
        <f>'[2]Calc_Coef _18'!AH115</f>
        <v>928.18058566005857</v>
      </c>
      <c r="F116" s="64">
        <f>'[2]Calc_Coef _18'!AI115</f>
        <v>4.8757736240913818</v>
      </c>
      <c r="G116" s="30"/>
      <c r="H116"/>
      <c r="I116"/>
    </row>
    <row r="117" spans="1:9" x14ac:dyDescent="0.25">
      <c r="A117" s="32">
        <f>'[2]Calc_Coef _18'!AE116</f>
        <v>6601709</v>
      </c>
      <c r="B117" s="32" t="str">
        <f>'[2]Calc_Coef _18'!C116</f>
        <v>080112</v>
      </c>
      <c r="C117" s="32" t="str">
        <f>'[2]Calc_Coef _18'!AF116</f>
        <v>UACAI</v>
      </c>
      <c r="D117" s="63">
        <f>'[2]Calc_Coef _18'!AG116</f>
        <v>1853.3333333333333</v>
      </c>
      <c r="E117" s="63">
        <f>'[2]Calc_Coef _18'!AH116</f>
        <v>928.18058566005857</v>
      </c>
      <c r="F117" s="64">
        <f>'[2]Calc_Coef _18'!AI116</f>
        <v>4.8757736240913818</v>
      </c>
      <c r="G117" s="30"/>
      <c r="H117"/>
      <c r="I117"/>
    </row>
    <row r="118" spans="1:9" x14ac:dyDescent="0.25">
      <c r="A118" s="32">
        <f>'[2]Calc_Coef _18'!AE117</f>
        <v>6601712</v>
      </c>
      <c r="B118" s="32" t="str">
        <f>'[2]Calc_Coef _18'!C117</f>
        <v>080112</v>
      </c>
      <c r="C118" s="32" t="str">
        <f>'[2]Calc_Coef _18'!AF117</f>
        <v>JUSSARA</v>
      </c>
      <c r="D118" s="63">
        <f>'[2]Calc_Coef _18'!AG117</f>
        <v>1853.3333333333333</v>
      </c>
      <c r="E118" s="63">
        <f>'[2]Calc_Coef _18'!AH117</f>
        <v>928.18058566005857</v>
      </c>
      <c r="F118" s="64">
        <f>'[2]Calc_Coef _18'!AI117</f>
        <v>4.8757736240913818</v>
      </c>
      <c r="G118" s="30"/>
      <c r="H118"/>
      <c r="I118"/>
    </row>
    <row r="119" spans="1:9" x14ac:dyDescent="0.25">
      <c r="A119" s="32">
        <f>'[2]Calc_Coef _18'!AE118</f>
        <v>6601803</v>
      </c>
      <c r="B119" s="32" t="str">
        <f>'[2]Calc_Coef _18'!C118</f>
        <v>080112</v>
      </c>
      <c r="C119" s="32" t="str">
        <f>'[2]Calc_Coef _18'!AF118</f>
        <v>COCO PUPUNHA</v>
      </c>
      <c r="D119" s="63">
        <f>'[2]Calc_Coef _18'!AG118</f>
        <v>1853.3333333333333</v>
      </c>
      <c r="E119" s="63">
        <f>'[2]Calc_Coef _18'!AH118</f>
        <v>928.18058566005857</v>
      </c>
      <c r="F119" s="64">
        <f>'[2]Calc_Coef _18'!AI118</f>
        <v>4.8757736240913818</v>
      </c>
      <c r="G119" s="30"/>
      <c r="H119"/>
      <c r="I119"/>
    </row>
    <row r="120" spans="1:9" x14ac:dyDescent="0.25">
      <c r="A120" s="32">
        <f>'[2]Calc_Coef _18'!AE119</f>
        <v>6601805</v>
      </c>
      <c r="B120" s="32" t="str">
        <f>'[2]Calc_Coef _18'!C119</f>
        <v>080112</v>
      </c>
      <c r="C120" s="32" t="str">
        <f>'[2]Calc_Coef _18'!AF119</f>
        <v>PUPUNHA</v>
      </c>
      <c r="D120" s="63">
        <f>'[2]Calc_Coef _18'!AG119</f>
        <v>1853.3333333333333</v>
      </c>
      <c r="E120" s="63">
        <f>'[2]Calc_Coef _18'!AH119</f>
        <v>928.18058566005857</v>
      </c>
      <c r="F120" s="64">
        <f>'[2]Calc_Coef _18'!AI119</f>
        <v>4.8757736240913818</v>
      </c>
      <c r="G120" s="30"/>
      <c r="H120"/>
      <c r="I120"/>
    </row>
    <row r="121" spans="1:9" x14ac:dyDescent="0.25">
      <c r="A121" s="32">
        <f>'[2]Calc_Coef _18'!AE120</f>
        <v>6601902</v>
      </c>
      <c r="B121" s="32" t="str">
        <f>'[2]Calc_Coef _18'!C120</f>
        <v>080112</v>
      </c>
      <c r="C121" s="32" t="str">
        <f>'[2]Calc_Coef _18'!AF120</f>
        <v>BACABA</v>
      </c>
      <c r="D121" s="63">
        <f>'[2]Calc_Coef _18'!AG120</f>
        <v>1853.3333333333333</v>
      </c>
      <c r="E121" s="63">
        <f>'[2]Calc_Coef _18'!AH120</f>
        <v>928.18058566005857</v>
      </c>
      <c r="F121" s="64">
        <f>'[2]Calc_Coef _18'!AI120</f>
        <v>4.8757736240913818</v>
      </c>
      <c r="G121" s="30"/>
      <c r="H121"/>
      <c r="I121"/>
    </row>
    <row r="122" spans="1:9" x14ac:dyDescent="0.25">
      <c r="A122" s="32">
        <f>'[2]Calc_Coef _18'!AE121</f>
        <v>6602001</v>
      </c>
      <c r="B122" s="32" t="str">
        <f>'[2]Calc_Coef _18'!C121</f>
        <v>080112</v>
      </c>
      <c r="C122" s="32" t="str">
        <f>'[2]Calc_Coef _18'!AF121</f>
        <v>CASTANHA DA INDIA</v>
      </c>
      <c r="D122" s="63">
        <f>'[2]Calc_Coef _18'!AG121</f>
        <v>1853.3333333333333</v>
      </c>
      <c r="E122" s="63">
        <f>'[2]Calc_Coef _18'!AH121</f>
        <v>928.18058566005857</v>
      </c>
      <c r="F122" s="64">
        <f>'[2]Calc_Coef _18'!AI121</f>
        <v>4.8757736240913818</v>
      </c>
      <c r="G122" s="30"/>
      <c r="H122"/>
      <c r="I122"/>
    </row>
    <row r="123" spans="1:9" x14ac:dyDescent="0.25">
      <c r="A123" s="32">
        <f>'[2]Calc_Coef _18'!AE122</f>
        <v>6602201</v>
      </c>
      <c r="B123" s="32" t="str">
        <f>'[2]Calc_Coef _18'!C122</f>
        <v>080250</v>
      </c>
      <c r="C123" s="32" t="str">
        <f>'[2]Calc_Coef _18'!AF122</f>
        <v>PISTACHE</v>
      </c>
      <c r="D123" s="63">
        <f>'[2]Calc_Coef _18'!AG122</f>
        <v>3830</v>
      </c>
      <c r="E123" s="63">
        <f>'[2]Calc_Coef _18'!AH122</f>
        <v>10840.969748776477</v>
      </c>
      <c r="F123" s="64">
        <f>'[2]Calc_Coef _18'!AI122</f>
        <v>19.065420560747665</v>
      </c>
      <c r="G123" s="30"/>
      <c r="H123"/>
      <c r="I123"/>
    </row>
    <row r="124" spans="1:9" x14ac:dyDescent="0.25">
      <c r="A124" s="32">
        <f>'[2]Calc_Coef _18'!AE123</f>
        <v>6602301</v>
      </c>
      <c r="B124" s="32" t="str">
        <f>'[2]Calc_Coef _18'!C123</f>
        <v>080112</v>
      </c>
      <c r="C124" s="32" t="str">
        <f>'[2]Calc_Coef _18'!AF123</f>
        <v>BURITI</v>
      </c>
      <c r="D124" s="63">
        <f>'[2]Calc_Coef _18'!AG123</f>
        <v>1853.3333333333333</v>
      </c>
      <c r="E124" s="63">
        <f>'[2]Calc_Coef _18'!AH123</f>
        <v>928.18058566005857</v>
      </c>
      <c r="F124" s="64">
        <f>'[2]Calc_Coef _18'!AI123</f>
        <v>4.8757736240913818</v>
      </c>
      <c r="G124" s="30"/>
      <c r="H124"/>
      <c r="I124"/>
    </row>
    <row r="125" spans="1:9" x14ac:dyDescent="0.25">
      <c r="A125" s="32">
        <f>'[2]Calc_Coef _18'!AE124</f>
        <v>6602401</v>
      </c>
      <c r="B125" s="32" t="str">
        <f>'[2]Calc_Coef _18'!C124</f>
        <v>080119</v>
      </c>
      <c r="C125" s="32" t="str">
        <f>'[2]Calc_Coef _18'!AF124</f>
        <v>COCO</v>
      </c>
      <c r="D125" s="63">
        <f>'[2]Calc_Coef _18'!AG124</f>
        <v>1853.3333333333333</v>
      </c>
      <c r="E125" s="63">
        <f>'[2]Calc_Coef _18'!AH124</f>
        <v>928.18058566005857</v>
      </c>
      <c r="F125" s="64">
        <f>'[2]Calc_Coef _18'!AI124</f>
        <v>4.8757736240913818</v>
      </c>
      <c r="G125" s="30"/>
      <c r="H125"/>
      <c r="I125"/>
    </row>
    <row r="126" spans="1:9" x14ac:dyDescent="0.25">
      <c r="A126" s="32">
        <f>'[2]Calc_Coef _18'!AE125</f>
        <v>6602501</v>
      </c>
      <c r="B126" s="32" t="str">
        <f>'[2]Calc_Coef _18'!C125</f>
        <v>080232</v>
      </c>
      <c r="C126" s="32" t="str">
        <f>'[2]Calc_Coef _18'!AF125</f>
        <v>CASTANHAS NAO ESPECIFICADAS</v>
      </c>
      <c r="D126" s="63">
        <f>'[2]Calc_Coef _18'!AG125</f>
        <v>1631.0833333333335</v>
      </c>
      <c r="E126" s="63">
        <f>'[2]Calc_Coef _18'!AH125</f>
        <v>10840.969748776477</v>
      </c>
      <c r="F126" s="64">
        <f>'[2]Calc_Coef _18'!AI125</f>
        <v>19.065420560747665</v>
      </c>
      <c r="G126" s="30"/>
      <c r="H126"/>
      <c r="I126"/>
    </row>
    <row r="127" spans="1:9" x14ac:dyDescent="0.25">
      <c r="A127" s="32">
        <f>'[2]Calc_Coef _18'!AE126</f>
        <v>6602502</v>
      </c>
      <c r="B127" s="32" t="str">
        <f>'[2]Calc_Coef _18'!C126</f>
        <v>080232</v>
      </c>
      <c r="C127" s="32" t="str">
        <f>'[2]Calc_Coef _18'!AF126</f>
        <v>CASTANHAS E SEMENTES, MISTURA</v>
      </c>
      <c r="D127" s="63">
        <f>'[2]Calc_Coef _18'!AG126</f>
        <v>1631.0833333333335</v>
      </c>
      <c r="E127" s="63">
        <f>'[2]Calc_Coef _18'!AH126</f>
        <v>10840.969748776477</v>
      </c>
      <c r="F127" s="64">
        <f>'[2]Calc_Coef _18'!AI126</f>
        <v>19.065420560747665</v>
      </c>
      <c r="G127" s="30"/>
      <c r="H127"/>
      <c r="I127"/>
    </row>
    <row r="128" spans="1:9" x14ac:dyDescent="0.25">
      <c r="A128" s="32">
        <f>'[2]Calc_Coef _18'!AE127</f>
        <v>6602601</v>
      </c>
      <c r="B128" s="32" t="str">
        <f>'[2]Calc_Coef _18'!C127</f>
        <v>080112</v>
      </c>
      <c r="C128" s="32" t="str">
        <f>'[2]Calc_Coef _18'!AF127</f>
        <v>PATAUA</v>
      </c>
      <c r="D128" s="63">
        <f>'[2]Calc_Coef _18'!AG127</f>
        <v>1853.3333333333333</v>
      </c>
      <c r="E128" s="63">
        <f>'[2]Calc_Coef _18'!AH127</f>
        <v>928.18058566005857</v>
      </c>
      <c r="F128" s="64">
        <f>'[2]Calc_Coef _18'!AI127</f>
        <v>4.8757736240913818</v>
      </c>
      <c r="G128" s="30"/>
      <c r="H128"/>
      <c r="I128"/>
    </row>
    <row r="129" spans="1:9" x14ac:dyDescent="0.25">
      <c r="A129" s="32">
        <f>'[2]Calc_Coef _18'!AE128</f>
        <v>6603001</v>
      </c>
      <c r="B129" s="32" t="str">
        <f>'[2]Calc_Coef _18'!C128</f>
        <v>080232</v>
      </c>
      <c r="C129" s="32" t="str">
        <f>'[2]Calc_Coef _18'!AF128</f>
        <v>NOZ PECAN</v>
      </c>
      <c r="D129" s="63">
        <f>'[2]Calc_Coef _18'!AG128</f>
        <v>1631.0833333333335</v>
      </c>
      <c r="E129" s="63">
        <f>'[2]Calc_Coef _18'!AH128</f>
        <v>10840.969748776477</v>
      </c>
      <c r="F129" s="64">
        <f>'[2]Calc_Coef _18'!AI128</f>
        <v>19.065420560747665</v>
      </c>
      <c r="G129" s="30"/>
      <c r="H129"/>
      <c r="I129"/>
    </row>
    <row r="130" spans="1:9" x14ac:dyDescent="0.25">
      <c r="A130" s="32">
        <f>'[2]Calc_Coef _18'!AE129</f>
        <v>6603201</v>
      </c>
      <c r="B130" s="32">
        <f>'[2]Calc_Coef _18'!C129</f>
        <v>151550</v>
      </c>
      <c r="C130" s="32" t="str">
        <f>'[2]Calc_Coef _18'!AF129</f>
        <v>TAHINI, PASTA</v>
      </c>
      <c r="D130" s="63">
        <f>'[2]Calc_Coef _18'!AG129</f>
        <v>2047.5</v>
      </c>
      <c r="E130" s="63">
        <f>'[2]Calc_Coef _18'!AH129</f>
        <v>4473.6157692437682</v>
      </c>
      <c r="F130" s="64">
        <f>'[2]Calc_Coef _18'!AI129</f>
        <v>66</v>
      </c>
      <c r="G130" s="30"/>
      <c r="H130"/>
      <c r="I130"/>
    </row>
    <row r="131" spans="1:9" x14ac:dyDescent="0.25">
      <c r="A131" s="32">
        <f>'[2]Calc_Coef _18'!AE130</f>
        <v>6700101</v>
      </c>
      <c r="B131" s="32" t="str">
        <f>'[2]Calc_Coef _18'!C130</f>
        <v>070519</v>
      </c>
      <c r="C131" s="32" t="str">
        <f>'[2]Calc_Coef _18'!AF130</f>
        <v>ALFACE</v>
      </c>
      <c r="D131" s="63">
        <f>'[2]Calc_Coef _18'!AG130</f>
        <v>337.41888888888889</v>
      </c>
      <c r="E131" s="63">
        <f>'[2]Calc_Coef _18'!AH130</f>
        <v>416.07420888875833</v>
      </c>
      <c r="F131" s="64">
        <f>'[2]Calc_Coef _18'!AI130</f>
        <v>2.158507462686567</v>
      </c>
      <c r="G131" s="30"/>
      <c r="H131"/>
      <c r="I131"/>
    </row>
    <row r="132" spans="1:9" x14ac:dyDescent="0.25">
      <c r="A132" s="32">
        <f>'[2]Calc_Coef _18'!AE131</f>
        <v>6700301</v>
      </c>
      <c r="B132" s="32" t="str">
        <f>'[2]Calc_Coef _18'!C131</f>
        <v>070529</v>
      </c>
      <c r="C132" s="32" t="str">
        <f>'[2]Calc_Coef _18'!AF131</f>
        <v>CHICORIA</v>
      </c>
      <c r="D132" s="63">
        <f>'[2]Calc_Coef _18'!AG131</f>
        <v>337.41888888888889</v>
      </c>
      <c r="E132" s="63">
        <f>'[2]Calc_Coef _18'!AH131</f>
        <v>416.07420888875833</v>
      </c>
      <c r="F132" s="64">
        <f>'[2]Calc_Coef _18'!AI131</f>
        <v>1.9417910447761193</v>
      </c>
      <c r="G132" s="30"/>
      <c r="H132"/>
      <c r="I132"/>
    </row>
    <row r="133" spans="1:9" x14ac:dyDescent="0.25">
      <c r="A133" s="32">
        <f>'[2]Calc_Coef _18'!AE132</f>
        <v>6700304</v>
      </c>
      <c r="B133" s="32" t="str">
        <f>'[2]Calc_Coef _18'!C132</f>
        <v>070529</v>
      </c>
      <c r="C133" s="32" t="str">
        <f>'[2]Calc_Coef _18'!AF132</f>
        <v>ESCAROLA</v>
      </c>
      <c r="D133" s="63">
        <f>'[2]Calc_Coef _18'!AG132</f>
        <v>337.41888888888889</v>
      </c>
      <c r="E133" s="63">
        <f>'[2]Calc_Coef _18'!AH132</f>
        <v>416.07420888875833</v>
      </c>
      <c r="F133" s="64">
        <f>'[2]Calc_Coef _18'!AI132</f>
        <v>1.9417910447761193</v>
      </c>
      <c r="G133" s="30"/>
      <c r="H133"/>
      <c r="I133"/>
    </row>
    <row r="134" spans="1:9" x14ac:dyDescent="0.25">
      <c r="A134" s="32">
        <f>'[2]Calc_Coef _18'!AE133</f>
        <v>6700305</v>
      </c>
      <c r="B134" s="32" t="str">
        <f>'[2]Calc_Coef _18'!C133</f>
        <v>070529</v>
      </c>
      <c r="C134" s="32" t="str">
        <f>'[2]Calc_Coef _18'!AF133</f>
        <v>ENDIVIA</v>
      </c>
      <c r="D134" s="63">
        <f>'[2]Calc_Coef _18'!AG133</f>
        <v>337.41888888888889</v>
      </c>
      <c r="E134" s="63">
        <f>'[2]Calc_Coef _18'!AH133</f>
        <v>416.07420888875833</v>
      </c>
      <c r="F134" s="64">
        <f>'[2]Calc_Coef _18'!AI133</f>
        <v>1.9417910447761193</v>
      </c>
      <c r="G134" s="30"/>
      <c r="H134"/>
      <c r="I134"/>
    </row>
    <row r="135" spans="1:9" x14ac:dyDescent="0.25">
      <c r="A135" s="32">
        <f>'[2]Calc_Coef _18'!AE134</f>
        <v>6700501</v>
      </c>
      <c r="B135" s="32" t="str">
        <f>'[2]Calc_Coef _18'!C134</f>
        <v>070410</v>
      </c>
      <c r="C135" s="32" t="str">
        <f>'[2]Calc_Coef _18'!AF134</f>
        <v>COUVE</v>
      </c>
      <c r="D135" s="63">
        <f>'[2]Calc_Coef _18'!AG134</f>
        <v>349.4</v>
      </c>
      <c r="E135" s="63">
        <f>'[2]Calc_Coef _18'!AH134</f>
        <v>799.09345438723949</v>
      </c>
      <c r="F135" s="64">
        <f>'[2]Calc_Coef _18'!AI134</f>
        <v>1.35</v>
      </c>
      <c r="G135" s="30"/>
      <c r="H135"/>
      <c r="I135"/>
    </row>
    <row r="136" spans="1:9" x14ac:dyDescent="0.25">
      <c r="A136" s="32">
        <f>'[2]Calc_Coef _18'!AE135</f>
        <v>6700601</v>
      </c>
      <c r="B136" s="32" t="str">
        <f>'[2]Calc_Coef _18'!C135</f>
        <v>070410</v>
      </c>
      <c r="C136" s="32" t="str">
        <f>'[2]Calc_Coef _18'!AF135</f>
        <v>COUVE FLOR</v>
      </c>
      <c r="D136" s="63">
        <f>'[2]Calc_Coef _18'!AG135</f>
        <v>307.5</v>
      </c>
      <c r="E136" s="63">
        <f>'[2]Calc_Coef _18'!AH135</f>
        <v>799.09345438723949</v>
      </c>
      <c r="F136" s="64">
        <f>'[2]Calc_Coef _18'!AI135</f>
        <v>1.2</v>
      </c>
      <c r="G136" s="30"/>
      <c r="H136"/>
      <c r="I136"/>
    </row>
    <row r="137" spans="1:9" x14ac:dyDescent="0.25">
      <c r="A137" s="32">
        <f>'[2]Calc_Coef _18'!AE136</f>
        <v>6700701</v>
      </c>
      <c r="B137" s="32" t="str">
        <f>'[2]Calc_Coef _18'!C136</f>
        <v>070970</v>
      </c>
      <c r="C137" s="32" t="str">
        <f>'[2]Calc_Coef _18'!AF136</f>
        <v>ESPINAFRE</v>
      </c>
      <c r="D137" s="63">
        <f>'[2]Calc_Coef _18'!AG136</f>
        <v>198</v>
      </c>
      <c r="E137" s="63">
        <f>'[2]Calc_Coef _18'!AH136</f>
        <v>799.09345438723949</v>
      </c>
      <c r="F137" s="64">
        <f>'[2]Calc_Coef _18'!AI136</f>
        <v>1.4</v>
      </c>
      <c r="G137" s="30"/>
      <c r="H137"/>
      <c r="I137"/>
    </row>
    <row r="138" spans="1:9" x14ac:dyDescent="0.25">
      <c r="A138" s="32">
        <f>'[2]Calc_Coef _18'!AE137</f>
        <v>6700801</v>
      </c>
      <c r="B138" s="32" t="str">
        <f>'[2]Calc_Coef _18'!C137</f>
        <v>070490</v>
      </c>
      <c r="C138" s="32" t="str">
        <f>'[2]Calc_Coef _18'!AF137</f>
        <v>MOSTARDA (VERDURA)</v>
      </c>
      <c r="D138" s="63">
        <f>'[2]Calc_Coef _18'!AG137</f>
        <v>231.33333333333334</v>
      </c>
      <c r="E138" s="63">
        <f>'[2]Calc_Coef _18'!AH137</f>
        <v>799.09345438723949</v>
      </c>
      <c r="F138" s="64">
        <f>'[2]Calc_Coef _18'!AI137</f>
        <v>1.25</v>
      </c>
      <c r="G138" s="30"/>
      <c r="H138"/>
      <c r="I138"/>
    </row>
    <row r="139" spans="1:9" x14ac:dyDescent="0.25">
      <c r="A139" s="32">
        <f>'[2]Calc_Coef _18'!AE138</f>
        <v>6700901</v>
      </c>
      <c r="B139" s="32" t="str">
        <f>'[2]Calc_Coef _18'!C138</f>
        <v>070490</v>
      </c>
      <c r="C139" s="32" t="str">
        <f>'[2]Calc_Coef _18'!AF138</f>
        <v>REPOLHO</v>
      </c>
      <c r="D139" s="63">
        <f>'[2]Calc_Coef _18'!AG138</f>
        <v>107</v>
      </c>
      <c r="E139" s="63">
        <f>'[2]Calc_Coef _18'!AH138</f>
        <v>799.09345438723949</v>
      </c>
      <c r="F139" s="64">
        <f>'[2]Calc_Coef _18'!AI138</f>
        <v>1.25</v>
      </c>
      <c r="G139" s="30"/>
      <c r="H139"/>
      <c r="I139"/>
    </row>
    <row r="140" spans="1:9" x14ac:dyDescent="0.25">
      <c r="A140" s="32">
        <f>'[2]Calc_Coef _18'!AE139</f>
        <v>6700903</v>
      </c>
      <c r="B140" s="32" t="str">
        <f>'[2]Calc_Coef _18'!C139</f>
        <v>070490</v>
      </c>
      <c r="C140" s="32" t="str">
        <f>'[2]Calc_Coef _18'!AF139</f>
        <v>REPOLHO ROXO</v>
      </c>
      <c r="D140" s="63">
        <f>'[2]Calc_Coef _18'!AG139</f>
        <v>231.33333333333334</v>
      </c>
      <c r="E140" s="63">
        <f>'[2]Calc_Coef _18'!AH139</f>
        <v>799.09345438723949</v>
      </c>
      <c r="F140" s="64">
        <f>'[2]Calc_Coef _18'!AI139</f>
        <v>1.25</v>
      </c>
      <c r="G140" s="30"/>
      <c r="H140"/>
      <c r="I140"/>
    </row>
    <row r="141" spans="1:9" x14ac:dyDescent="0.25">
      <c r="A141" s="32">
        <f>'[2]Calc_Coef _18'!AE140</f>
        <v>6700904</v>
      </c>
      <c r="B141" s="32" t="str">
        <f>'[2]Calc_Coef _18'!C140</f>
        <v>070490</v>
      </c>
      <c r="C141" s="32" t="str">
        <f>'[2]Calc_Coef _18'!AF140</f>
        <v>REPOLHO VERDE</v>
      </c>
      <c r="D141" s="63">
        <f>'[2]Calc_Coef _18'!AG140</f>
        <v>231.33333333333334</v>
      </c>
      <c r="E141" s="63">
        <f>'[2]Calc_Coef _18'!AH140</f>
        <v>799.09345438723949</v>
      </c>
      <c r="F141" s="64">
        <f>'[2]Calc_Coef _18'!AI140</f>
        <v>1.25</v>
      </c>
      <c r="G141" s="30"/>
      <c r="H141"/>
      <c r="I141"/>
    </row>
    <row r="142" spans="1:9" x14ac:dyDescent="0.25">
      <c r="A142" s="32">
        <f>'[2]Calc_Coef _18'!AE141</f>
        <v>6701101</v>
      </c>
      <c r="B142" s="32" t="str">
        <f>'[2]Calc_Coef _18'!C141</f>
        <v>070390</v>
      </c>
      <c r="C142" s="32" t="str">
        <f>'[2]Calc_Coef _18'!AF141</f>
        <v>CEBOLINHA</v>
      </c>
      <c r="D142" s="63">
        <f>'[2]Calc_Coef _18'!AG141</f>
        <v>209.15</v>
      </c>
      <c r="E142" s="63">
        <f>'[2]Calc_Coef _18'!AH141</f>
        <v>1623.4401269484947</v>
      </c>
      <c r="F142" s="64">
        <f>'[2]Calc_Coef _18'!AI141</f>
        <v>1.2</v>
      </c>
      <c r="G142" s="30"/>
      <c r="H142"/>
      <c r="I142"/>
    </row>
    <row r="143" spans="1:9" x14ac:dyDescent="0.25">
      <c r="A143" s="32">
        <f>'[2]Calc_Coef _18'!AE142</f>
        <v>6701301</v>
      </c>
      <c r="B143" s="32" t="str">
        <f>'[2]Calc_Coef _18'!C142</f>
        <v>070490</v>
      </c>
      <c r="C143" s="32" t="str">
        <f>'[2]Calc_Coef _18'!AF142</f>
        <v>AGRIAO</v>
      </c>
      <c r="D143" s="63">
        <f>'[2]Calc_Coef _18'!AG142</f>
        <v>231.33333333333334</v>
      </c>
      <c r="E143" s="63">
        <f>'[2]Calc_Coef _18'!AH142</f>
        <v>799.09345438723949</v>
      </c>
      <c r="F143" s="64">
        <f>'[2]Calc_Coef _18'!AI142</f>
        <v>1.25</v>
      </c>
      <c r="G143" s="30"/>
      <c r="H143"/>
      <c r="I143"/>
    </row>
    <row r="144" spans="1:9" x14ac:dyDescent="0.25">
      <c r="A144" s="32">
        <f>'[2]Calc_Coef _18'!AE143</f>
        <v>6701401</v>
      </c>
      <c r="B144" s="32" t="str">
        <f>'[2]Calc_Coef _18'!C143</f>
        <v>071490</v>
      </c>
      <c r="C144" s="32" t="str">
        <f>'[2]Calc_Coef _18'!AF143</f>
        <v>TAIOBA</v>
      </c>
      <c r="D144" s="63">
        <f>'[2]Calc_Coef _18'!AG143</f>
        <v>77</v>
      </c>
      <c r="E144" s="63">
        <f>'[2]Calc_Coef _18'!AH143</f>
        <v>485.74002695702137</v>
      </c>
      <c r="F144" s="64">
        <f>'[2]Calc_Coef _18'!AI143</f>
        <v>5.3898582166145301</v>
      </c>
      <c r="G144" s="30"/>
      <c r="H144"/>
      <c r="I144"/>
    </row>
    <row r="145" spans="1:9" x14ac:dyDescent="0.25">
      <c r="A145" s="32">
        <f>'[2]Calc_Coef _18'!AE144</f>
        <v>6701501</v>
      </c>
      <c r="B145" s="32" t="str">
        <f>'[2]Calc_Coef _18'!C144</f>
        <v>070519</v>
      </c>
      <c r="C145" s="32" t="str">
        <f>'[2]Calc_Coef _18'!AF144</f>
        <v>ACELGA</v>
      </c>
      <c r="D145" s="63">
        <f>'[2]Calc_Coef _18'!AG144</f>
        <v>337.41888888888889</v>
      </c>
      <c r="E145" s="63">
        <f>'[2]Calc_Coef _18'!AH144</f>
        <v>416.07420888875833</v>
      </c>
      <c r="F145" s="64">
        <f>'[2]Calc_Coef _18'!AI144</f>
        <v>1.9417910447761193</v>
      </c>
      <c r="G145" s="30"/>
      <c r="H145"/>
      <c r="I145"/>
    </row>
    <row r="146" spans="1:9" x14ac:dyDescent="0.25">
      <c r="A146" s="32">
        <f>'[2]Calc_Coef _18'!AE145</f>
        <v>6701505</v>
      </c>
      <c r="B146" s="32" t="str">
        <f>'[2]Calc_Coef _18'!C145</f>
        <v>070519</v>
      </c>
      <c r="C146" s="32" t="str">
        <f>'[2]Calc_Coef _18'!AF145</f>
        <v>BETERRABA BRANCA (ACELGA)</v>
      </c>
      <c r="D146" s="63">
        <f>'[2]Calc_Coef _18'!AG145</f>
        <v>337.41888888888889</v>
      </c>
      <c r="E146" s="63">
        <f>'[2]Calc_Coef _18'!AH145</f>
        <v>416.07420888875833</v>
      </c>
      <c r="F146" s="64">
        <f>'[2]Calc_Coef _18'!AI145</f>
        <v>1.9417910447761193</v>
      </c>
      <c r="G146" s="30"/>
      <c r="H146"/>
      <c r="I146"/>
    </row>
    <row r="147" spans="1:9" x14ac:dyDescent="0.25">
      <c r="A147" s="32">
        <f>'[2]Calc_Coef _18'!AE146</f>
        <v>6701601</v>
      </c>
      <c r="B147" s="32" t="str">
        <f>'[2]Calc_Coef _18'!C146</f>
        <v>070529</v>
      </c>
      <c r="C147" s="32" t="str">
        <f>'[2]Calc_Coef _18'!AF146</f>
        <v>ALMEIRAO</v>
      </c>
      <c r="D147" s="63">
        <f>'[2]Calc_Coef _18'!AG146</f>
        <v>337.41888888888889</v>
      </c>
      <c r="E147" s="63">
        <f>'[2]Calc_Coef _18'!AH146</f>
        <v>416.07420888875833</v>
      </c>
      <c r="F147" s="64">
        <f>'[2]Calc_Coef _18'!AI146</f>
        <v>1.9417910447761193</v>
      </c>
      <c r="G147" s="30"/>
      <c r="H147"/>
      <c r="I147"/>
    </row>
    <row r="148" spans="1:9" x14ac:dyDescent="0.25">
      <c r="A148" s="32">
        <f>'[2]Calc_Coef _18'!AE147</f>
        <v>6701602</v>
      </c>
      <c r="B148" s="32" t="str">
        <f>'[2]Calc_Coef _18'!C147</f>
        <v>070529</v>
      </c>
      <c r="C148" s="32" t="str">
        <f>'[2]Calc_Coef _18'!AF147</f>
        <v>RADITE</v>
      </c>
      <c r="D148" s="63">
        <f>'[2]Calc_Coef _18'!AG147</f>
        <v>337.41888888888889</v>
      </c>
      <c r="E148" s="63">
        <f>'[2]Calc_Coef _18'!AH147</f>
        <v>416.07420888875833</v>
      </c>
      <c r="F148" s="64">
        <f>'[2]Calc_Coef _18'!AI147</f>
        <v>1.9417910447761193</v>
      </c>
      <c r="G148" s="30"/>
      <c r="H148"/>
      <c r="I148"/>
    </row>
    <row r="149" spans="1:9" x14ac:dyDescent="0.25">
      <c r="A149" s="32">
        <f>'[2]Calc_Coef _18'!AE148</f>
        <v>6701704</v>
      </c>
      <c r="B149" s="32" t="str">
        <f>'[2]Calc_Coef _18'!C148</f>
        <v>070410</v>
      </c>
      <c r="C149" s="32" t="str">
        <f>'[2]Calc_Coef _18'!AF148</f>
        <v>BROCOLIS</v>
      </c>
      <c r="D149" s="63">
        <f>'[2]Calc_Coef _18'!AG148</f>
        <v>377.33333333333331</v>
      </c>
      <c r="E149" s="63">
        <f>'[2]Calc_Coef _18'!AH148</f>
        <v>799.09345438723949</v>
      </c>
      <c r="F149" s="64">
        <f>'[2]Calc_Coef _18'!AI148</f>
        <v>1.5</v>
      </c>
      <c r="G149" s="30"/>
      <c r="H149"/>
      <c r="I149"/>
    </row>
    <row r="150" spans="1:9" x14ac:dyDescent="0.25">
      <c r="A150" s="32">
        <f>'[2]Calc_Coef _18'!AE149</f>
        <v>6701801</v>
      </c>
      <c r="B150" s="32" t="str">
        <f>'[2]Calc_Coef _18'!C149</f>
        <v>070490</v>
      </c>
      <c r="C150" s="32" t="str">
        <f>'[2]Calc_Coef _18'!AF149</f>
        <v>SERRALHA</v>
      </c>
      <c r="D150" s="63">
        <f>'[2]Calc_Coef _18'!AG149</f>
        <v>231.33333333333334</v>
      </c>
      <c r="E150" s="63">
        <f>'[2]Calc_Coef _18'!AH149</f>
        <v>799.09345438723949</v>
      </c>
      <c r="F150" s="64">
        <f>'[2]Calc_Coef _18'!AI149</f>
        <v>1.25</v>
      </c>
      <c r="G150" s="30"/>
      <c r="H150"/>
      <c r="I150"/>
    </row>
    <row r="151" spans="1:9" x14ac:dyDescent="0.25">
      <c r="A151" s="32">
        <f>'[2]Calc_Coef _18'!AE150</f>
        <v>6701901</v>
      </c>
      <c r="B151" s="32" t="str">
        <f>'[2]Calc_Coef _18'!C150</f>
        <v>070490</v>
      </c>
      <c r="C151" s="32" t="str">
        <f>'[2]Calc_Coef _18'!AF150</f>
        <v>CARURU</v>
      </c>
      <c r="D151" s="63">
        <f>'[2]Calc_Coef _18'!AG150</f>
        <v>231.33333333333334</v>
      </c>
      <c r="E151" s="63">
        <f>'[2]Calc_Coef _18'!AH150</f>
        <v>799.09345438723949</v>
      </c>
      <c r="F151" s="64">
        <f>'[2]Calc_Coef _18'!AI150</f>
        <v>1.25</v>
      </c>
      <c r="G151" s="30"/>
      <c r="H151"/>
      <c r="I151"/>
    </row>
    <row r="152" spans="1:9" x14ac:dyDescent="0.25">
      <c r="A152" s="32">
        <f>'[2]Calc_Coef _18'!AE151</f>
        <v>6701906</v>
      </c>
      <c r="B152" s="32" t="str">
        <f>'[2]Calc_Coef _18'!C151</f>
        <v>070490</v>
      </c>
      <c r="C152" s="32" t="str">
        <f>'[2]Calc_Coef _18'!AF151</f>
        <v>CUXA</v>
      </c>
      <c r="D152" s="63">
        <f>'[2]Calc_Coef _18'!AG151</f>
        <v>231.33333333333334</v>
      </c>
      <c r="E152" s="63">
        <f>'[2]Calc_Coef _18'!AH151</f>
        <v>799.09345438723949</v>
      </c>
      <c r="F152" s="64">
        <f>'[2]Calc_Coef _18'!AI151</f>
        <v>1.25</v>
      </c>
      <c r="G152" s="30"/>
      <c r="H152"/>
      <c r="I152"/>
    </row>
    <row r="153" spans="1:9" x14ac:dyDescent="0.25">
      <c r="A153" s="32">
        <f>'[2]Calc_Coef _18'!AE152</f>
        <v>6701913</v>
      </c>
      <c r="B153" s="32" t="str">
        <f>'[2]Calc_Coef _18'!C152</f>
        <v>070490</v>
      </c>
      <c r="C153" s="32" t="str">
        <f>'[2]Calc_Coef _18'!AF152</f>
        <v>CARIRU</v>
      </c>
      <c r="D153" s="63">
        <f>'[2]Calc_Coef _18'!AG152</f>
        <v>231.33333333333334</v>
      </c>
      <c r="E153" s="63">
        <f>'[2]Calc_Coef _18'!AH152</f>
        <v>799.09345438723949</v>
      </c>
      <c r="F153" s="64">
        <f>'[2]Calc_Coef _18'!AI152</f>
        <v>1.25</v>
      </c>
      <c r="G153" s="30"/>
      <c r="H153"/>
      <c r="I153"/>
    </row>
    <row r="154" spans="1:9" x14ac:dyDescent="0.25">
      <c r="A154" s="32">
        <f>'[2]Calc_Coef _18'!AE153</f>
        <v>6702001</v>
      </c>
      <c r="B154" s="32" t="str">
        <f>'[2]Calc_Coef _18'!C153</f>
        <v>070490</v>
      </c>
      <c r="C154" s="32" t="str">
        <f>'[2]Calc_Coef _18'!AF153</f>
        <v>RUCULA</v>
      </c>
      <c r="D154" s="63">
        <f>'[2]Calc_Coef _18'!AG153</f>
        <v>231.33333333333334</v>
      </c>
      <c r="E154" s="63">
        <f>'[2]Calc_Coef _18'!AH153</f>
        <v>799.09345438723949</v>
      </c>
      <c r="F154" s="64">
        <f>'[2]Calc_Coef _18'!AI153</f>
        <v>1.25</v>
      </c>
      <c r="G154" s="30"/>
      <c r="H154"/>
      <c r="I154"/>
    </row>
    <row r="155" spans="1:9" x14ac:dyDescent="0.25">
      <c r="A155" s="32">
        <f>'[2]Calc_Coef _18'!AE154</f>
        <v>6702105</v>
      </c>
      <c r="B155" s="32" t="str">
        <f>'[2]Calc_Coef _18'!C154</f>
        <v>070490</v>
      </c>
      <c r="C155" s="32" t="str">
        <f>'[2]Calc_Coef _18'!AF154</f>
        <v>JAMBU</v>
      </c>
      <c r="D155" s="63">
        <f>'[2]Calc_Coef _18'!AG154</f>
        <v>231.33333333333334</v>
      </c>
      <c r="E155" s="63">
        <f>'[2]Calc_Coef _18'!AH154</f>
        <v>799.09345438723949</v>
      </c>
      <c r="F155" s="64">
        <f>'[2]Calc_Coef _18'!AI154</f>
        <v>1.25</v>
      </c>
      <c r="G155" s="30"/>
      <c r="H155"/>
      <c r="I155"/>
    </row>
    <row r="156" spans="1:9" x14ac:dyDescent="0.25">
      <c r="A156" s="32">
        <f>'[2]Calc_Coef _18'!AE155</f>
        <v>6702201</v>
      </c>
      <c r="B156" s="32" t="str">
        <f>'[2]Calc_Coef _18'!C155</f>
        <v>070490</v>
      </c>
      <c r="C156" s="32" t="str">
        <f>'[2]Calc_Coef _18'!AF155</f>
        <v>LINGUA DE VACA (VERDURA)</v>
      </c>
      <c r="D156" s="63">
        <f>'[2]Calc_Coef _18'!AG155</f>
        <v>231.33333333333334</v>
      </c>
      <c r="E156" s="63">
        <f>'[2]Calc_Coef _18'!AH155</f>
        <v>799.09345438723949</v>
      </c>
      <c r="F156" s="64">
        <f>'[2]Calc_Coef _18'!AI155</f>
        <v>1.25</v>
      </c>
      <c r="G156" s="30"/>
      <c r="H156"/>
      <c r="I156"/>
    </row>
    <row r="157" spans="1:9" x14ac:dyDescent="0.25">
      <c r="A157" s="32">
        <f>'[2]Calc_Coef _18'!AE156</f>
        <v>6702301</v>
      </c>
      <c r="B157" s="32" t="str">
        <f>'[2]Calc_Coef _18'!C156</f>
        <v>070490</v>
      </c>
      <c r="C157" s="32" t="str">
        <f>'[2]Calc_Coef _18'!AF156</f>
        <v>ALCACHOFRA</v>
      </c>
      <c r="D157" s="63">
        <f>'[2]Calc_Coef _18'!AG156</f>
        <v>480</v>
      </c>
      <c r="E157" s="63">
        <f>'[2]Calc_Coef _18'!AH156</f>
        <v>799.09345438723949</v>
      </c>
      <c r="F157" s="64">
        <f>'[2]Calc_Coef _18'!AI156</f>
        <v>1.25</v>
      </c>
      <c r="G157" s="30"/>
      <c r="H157"/>
      <c r="I157"/>
    </row>
    <row r="158" spans="1:9" x14ac:dyDescent="0.25">
      <c r="A158" s="32">
        <f>'[2]Calc_Coef _18'!AE157</f>
        <v>6702501</v>
      </c>
      <c r="B158" s="32" t="str">
        <f>'[2]Calc_Coef _18'!C157</f>
        <v>070490</v>
      </c>
      <c r="C158" s="32" t="str">
        <f>'[2]Calc_Coef _18'!AF157</f>
        <v>BREDO</v>
      </c>
      <c r="D158" s="63">
        <f>'[2]Calc_Coef _18'!AG157</f>
        <v>231.33333333333334</v>
      </c>
      <c r="E158" s="63">
        <f>'[2]Calc_Coef _18'!AH157</f>
        <v>799.09345438723949</v>
      </c>
      <c r="F158" s="64">
        <f>'[2]Calc_Coef _18'!AI157</f>
        <v>1.25</v>
      </c>
      <c r="G158" s="30"/>
      <c r="H158"/>
      <c r="I158"/>
    </row>
    <row r="159" spans="1:9" x14ac:dyDescent="0.25">
      <c r="A159" s="32">
        <f>'[2]Calc_Coef _18'!AE158</f>
        <v>6702604</v>
      </c>
      <c r="B159" s="32" t="str">
        <f>'[2]Calc_Coef _18'!C158</f>
        <v>070519</v>
      </c>
      <c r="C159" s="32" t="str">
        <f>'[2]Calc_Coef _18'!AF158</f>
        <v>SALSAO (AIPO)</v>
      </c>
      <c r="D159" s="63">
        <f>'[2]Calc_Coef _18'!AG158</f>
        <v>337.41888888888889</v>
      </c>
      <c r="E159" s="63">
        <f>'[2]Calc_Coef _18'!AH158</f>
        <v>416.07420888875833</v>
      </c>
      <c r="F159" s="64">
        <f>'[2]Calc_Coef _18'!AI158</f>
        <v>1.5</v>
      </c>
      <c r="G159" s="30"/>
      <c r="H159"/>
      <c r="I159"/>
    </row>
    <row r="160" spans="1:9" x14ac:dyDescent="0.25">
      <c r="A160" s="32">
        <f>'[2]Calc_Coef _18'!AE159</f>
        <v>6702701</v>
      </c>
      <c r="B160" s="32" t="str">
        <f>'[2]Calc_Coef _18'!C159</f>
        <v>070410</v>
      </c>
      <c r="C160" s="32" t="str">
        <f>'[2]Calc_Coef _18'!AF159</f>
        <v>COUVE CHINESA</v>
      </c>
      <c r="D160" s="63">
        <f>'[2]Calc_Coef _18'!AG159</f>
        <v>349.4</v>
      </c>
      <c r="E160" s="63">
        <f>'[2]Calc_Coef _18'!AH159</f>
        <v>799.09345438723949</v>
      </c>
      <c r="F160" s="64">
        <f>'[2]Calc_Coef _18'!AI159</f>
        <v>1.35</v>
      </c>
      <c r="G160" s="30"/>
      <c r="H160"/>
      <c r="I160"/>
    </row>
    <row r="161" spans="1:9" x14ac:dyDescent="0.25">
      <c r="A161" s="32">
        <f>'[2]Calc_Coef _18'!AE160</f>
        <v>6702801</v>
      </c>
      <c r="B161" s="32" t="str">
        <f>'[2]Calc_Coef _18'!C160</f>
        <v>070519</v>
      </c>
      <c r="C161" s="32" t="str">
        <f>'[2]Calc_Coef _18'!AF160</f>
        <v>ERVA DOCE</v>
      </c>
      <c r="D161" s="63">
        <f>'[2]Calc_Coef _18'!AG160</f>
        <v>337.41888888888889</v>
      </c>
      <c r="E161" s="63">
        <f>'[2]Calc_Coef _18'!AH160</f>
        <v>416.07420888875833</v>
      </c>
      <c r="F161" s="64">
        <f>'[2]Calc_Coef _18'!AI160</f>
        <v>1.9417910447761193</v>
      </c>
      <c r="G161" s="30"/>
      <c r="H161"/>
      <c r="I161"/>
    </row>
    <row r="162" spans="1:9" x14ac:dyDescent="0.25">
      <c r="A162" s="32">
        <f>'[2]Calc_Coef _18'!AE161</f>
        <v>6703101</v>
      </c>
      <c r="B162" s="32" t="str">
        <f>'[2]Calc_Coef _18'!C161</f>
        <v>071339</v>
      </c>
      <c r="C162" s="32" t="str">
        <f>'[2]Calc_Coef _18'!AF161</f>
        <v>BROTO DE FEIJAO</v>
      </c>
      <c r="D162" s="63">
        <f>'[2]Calc_Coef _18'!AG161</f>
        <v>250.38333333333333</v>
      </c>
      <c r="E162" s="63">
        <f>'[2]Calc_Coef _18'!AH161</f>
        <v>3263.5062840917908</v>
      </c>
      <c r="F162" s="64">
        <f>'[2]Calc_Coef _18'!AI161</f>
        <v>5.3898582166145301</v>
      </c>
      <c r="G162" s="30"/>
      <c r="H162"/>
      <c r="I162"/>
    </row>
    <row r="163" spans="1:9" x14ac:dyDescent="0.25">
      <c r="A163" s="32">
        <f>'[2]Calc_Coef _18'!AE162</f>
        <v>6703306</v>
      </c>
      <c r="B163" s="32" t="str">
        <f>'[2]Calc_Coef _18'!C162</f>
        <v>070993</v>
      </c>
      <c r="C163" s="32" t="str">
        <f>'[2]Calc_Coef _18'!AF162</f>
        <v>MORANGA</v>
      </c>
      <c r="D163" s="63">
        <f>'[2]Calc_Coef _18'!AG162</f>
        <v>461</v>
      </c>
      <c r="E163" s="63">
        <f>'[2]Calc_Coef _18'!AH162</f>
        <v>799.09345438723949</v>
      </c>
      <c r="F163" s="64">
        <f>'[2]Calc_Coef _18'!AI162</f>
        <v>1.5</v>
      </c>
      <c r="G163" s="30"/>
      <c r="H163"/>
      <c r="I163"/>
    </row>
    <row r="164" spans="1:9" x14ac:dyDescent="0.25">
      <c r="A164" s="32">
        <f>'[2]Calc_Coef _18'!AE163</f>
        <v>6703701</v>
      </c>
      <c r="B164" s="32" t="str">
        <f>'[2]Calc_Coef _18'!C163</f>
        <v>070993</v>
      </c>
      <c r="C164" s="32" t="str">
        <f>'[2]Calc_Coef _18'!AF163</f>
        <v>ABOBRINHA</v>
      </c>
      <c r="D164" s="63">
        <f>'[2]Calc_Coef _18'!AG163</f>
        <v>167.70491803278688</v>
      </c>
      <c r="E164" s="63">
        <f>'[2]Calc_Coef _18'!AH163</f>
        <v>799.09345438723949</v>
      </c>
      <c r="F164" s="64">
        <f>'[2]Calc_Coef _18'!AI163</f>
        <v>1.5</v>
      </c>
      <c r="G164" s="30"/>
      <c r="H164"/>
      <c r="I164"/>
    </row>
    <row r="165" spans="1:9" x14ac:dyDescent="0.25">
      <c r="A165" s="32">
        <f>'[2]Calc_Coef _18'!AE164</f>
        <v>6703805</v>
      </c>
      <c r="B165" s="32" t="str">
        <f>'[2]Calc_Coef _18'!C164</f>
        <v>070993</v>
      </c>
      <c r="C165" s="32" t="str">
        <f>'[2]Calc_Coef _18'!AF164</f>
        <v>JERIMUM</v>
      </c>
      <c r="D165" s="63">
        <f>'[2]Calc_Coef _18'!AG164</f>
        <v>335.30210772833726</v>
      </c>
      <c r="E165" s="63">
        <f>'[2]Calc_Coef _18'!AH164</f>
        <v>799.09345438723949</v>
      </c>
      <c r="F165" s="64">
        <f>'[2]Calc_Coef _18'!AI164</f>
        <v>1.5</v>
      </c>
      <c r="G165" s="30"/>
      <c r="H165"/>
      <c r="I165"/>
    </row>
    <row r="166" spans="1:9" x14ac:dyDescent="0.25">
      <c r="A166" s="32">
        <f>'[2]Calc_Coef _18'!AE165</f>
        <v>6703901</v>
      </c>
      <c r="B166" s="32" t="str">
        <f>'[2]Calc_Coef _18'!C165</f>
        <v>070993</v>
      </c>
      <c r="C166" s="32" t="str">
        <f>'[2]Calc_Coef _18'!AF165</f>
        <v>ABOBORA</v>
      </c>
      <c r="D166" s="63">
        <f>'[2]Calc_Coef _18'!AG165</f>
        <v>335.30210772833726</v>
      </c>
      <c r="E166" s="63">
        <f>'[2]Calc_Coef _18'!AH165</f>
        <v>799.09345438723949</v>
      </c>
      <c r="F166" s="64">
        <f>'[2]Calc_Coef _18'!AI165</f>
        <v>1.5</v>
      </c>
      <c r="G166" s="30"/>
      <c r="H166"/>
      <c r="I166"/>
    </row>
    <row r="167" spans="1:9" x14ac:dyDescent="0.25">
      <c r="A167" s="32">
        <f>'[2]Calc_Coef _18'!AE166</f>
        <v>6704001</v>
      </c>
      <c r="B167" s="32" t="str">
        <f>'[2]Calc_Coef _18'!C166</f>
        <v>070700</v>
      </c>
      <c r="C167" s="32" t="str">
        <f>'[2]Calc_Coef _18'!AF166</f>
        <v>PEPINO</v>
      </c>
      <c r="D167" s="63">
        <f>'[2]Calc_Coef _18'!AG166</f>
        <v>327.12704918032784</v>
      </c>
      <c r="E167" s="63">
        <f>'[2]Calc_Coef _18'!AH166</f>
        <v>799.09345438723949</v>
      </c>
      <c r="F167" s="64">
        <f>'[2]Calc_Coef _18'!AI166</f>
        <v>2.6512005191434129</v>
      </c>
      <c r="G167" s="30"/>
      <c r="H167"/>
      <c r="I167"/>
    </row>
    <row r="168" spans="1:9" x14ac:dyDescent="0.25">
      <c r="A168" s="32">
        <f>'[2]Calc_Coef _18'!AE167</f>
        <v>6704101</v>
      </c>
      <c r="B168" s="32" t="str">
        <f>'[2]Calc_Coef _18'!C167</f>
        <v>070999</v>
      </c>
      <c r="C168" s="32" t="str">
        <f>'[2]Calc_Coef _18'!AF167</f>
        <v>CHUCHU</v>
      </c>
      <c r="D168" s="63">
        <f>'[2]Calc_Coef _18'!AG167</f>
        <v>335.30210772833726</v>
      </c>
      <c r="E168" s="63">
        <f>'[2]Calc_Coef _18'!AH167</f>
        <v>799.09345438723949</v>
      </c>
      <c r="F168" s="64">
        <f>'[2]Calc_Coef _18'!AI167</f>
        <v>1.5</v>
      </c>
      <c r="G168" s="30"/>
      <c r="H168"/>
      <c r="I168"/>
    </row>
    <row r="169" spans="1:9" x14ac:dyDescent="0.25">
      <c r="A169" s="32">
        <f>'[2]Calc_Coef _18'!AE168</f>
        <v>6704201</v>
      </c>
      <c r="B169" s="32" t="str">
        <f>'[2]Calc_Coef _18'!C168</f>
        <v>070930</v>
      </c>
      <c r="C169" s="32" t="str">
        <f>'[2]Calc_Coef _18'!AF168</f>
        <v>JILO</v>
      </c>
      <c r="D169" s="63">
        <f>'[2]Calc_Coef _18'!AG168</f>
        <v>335.59386156648452</v>
      </c>
      <c r="E169" s="63">
        <f>'[2]Calc_Coef _18'!AH168</f>
        <v>799.09345438723949</v>
      </c>
      <c r="F169" s="64">
        <f>'[2]Calc_Coef _18'!AI168</f>
        <v>1.45</v>
      </c>
      <c r="G169" s="30"/>
      <c r="H169"/>
      <c r="I169"/>
    </row>
    <row r="170" spans="1:9" x14ac:dyDescent="0.25">
      <c r="A170" s="32">
        <f>'[2]Calc_Coef _18'!AE169</f>
        <v>6704301</v>
      </c>
      <c r="B170" s="32" t="str">
        <f>'[2]Calc_Coef _18'!C169</f>
        <v>070999</v>
      </c>
      <c r="C170" s="32" t="str">
        <f>'[2]Calc_Coef _18'!AF169</f>
        <v>MAXIXE</v>
      </c>
      <c r="D170" s="63">
        <f>'[2]Calc_Coef _18'!AG169</f>
        <v>335.30210772833726</v>
      </c>
      <c r="E170" s="63">
        <f>'[2]Calc_Coef _18'!AH169</f>
        <v>799.09345438723949</v>
      </c>
      <c r="F170" s="64">
        <f>'[2]Calc_Coef _18'!AI169</f>
        <v>1.5</v>
      </c>
      <c r="G170" s="30"/>
      <c r="H170"/>
      <c r="I170"/>
    </row>
    <row r="171" spans="1:9" x14ac:dyDescent="0.25">
      <c r="A171" s="32">
        <f>'[2]Calc_Coef _18'!AE170</f>
        <v>6704306</v>
      </c>
      <c r="B171" s="32" t="str">
        <f>'[2]Calc_Coef _18'!C170</f>
        <v>070999</v>
      </c>
      <c r="C171" s="32" t="str">
        <f>'[2]Calc_Coef _18'!AF170</f>
        <v>PEPININHO (MAXIXE)</v>
      </c>
      <c r="D171" s="63">
        <f>'[2]Calc_Coef _18'!AG170</f>
        <v>335.30210772833726</v>
      </c>
      <c r="E171" s="63">
        <f>'[2]Calc_Coef _18'!AH170</f>
        <v>799.09345438723949</v>
      </c>
      <c r="F171" s="64">
        <f>'[2]Calc_Coef _18'!AI170</f>
        <v>1.5</v>
      </c>
      <c r="G171" s="30"/>
      <c r="H171"/>
      <c r="I171"/>
    </row>
    <row r="172" spans="1:9" x14ac:dyDescent="0.25">
      <c r="A172" s="32">
        <f>'[2]Calc_Coef _18'!AE171</f>
        <v>6704401</v>
      </c>
      <c r="B172" s="32" t="str">
        <f>'[2]Calc_Coef _18'!C171</f>
        <v>071080</v>
      </c>
      <c r="C172" s="32" t="str">
        <f>'[2]Calc_Coef _18'!AF171</f>
        <v>PALMITO IN NATURA</v>
      </c>
      <c r="D172" s="63">
        <f>'[2]Calc_Coef _18'!AG171</f>
        <v>809.81666666666672</v>
      </c>
      <c r="E172" s="63">
        <f>'[2]Calc_Coef _18'!AH171</f>
        <v>2396.5739768792887</v>
      </c>
      <c r="F172" s="64">
        <f>'[2]Calc_Coef _18'!AI171</f>
        <v>5.3898582166145301</v>
      </c>
      <c r="G172" s="30"/>
      <c r="H172"/>
      <c r="I172"/>
    </row>
    <row r="173" spans="1:9" x14ac:dyDescent="0.25">
      <c r="A173" s="32">
        <f>'[2]Calc_Coef _18'!AE172</f>
        <v>6704409</v>
      </c>
      <c r="B173" s="32" t="str">
        <f>'[2]Calc_Coef _18'!C172</f>
        <v>071080</v>
      </c>
      <c r="C173" s="32" t="str">
        <f>'[2]Calc_Coef _18'!AF172</f>
        <v>GUARIROBA (PALMITO IN NATURA)</v>
      </c>
      <c r="D173" s="63">
        <f>'[2]Calc_Coef _18'!AG172</f>
        <v>809.81666666666672</v>
      </c>
      <c r="E173" s="63">
        <f>'[2]Calc_Coef _18'!AH172</f>
        <v>2396.5739768792887</v>
      </c>
      <c r="F173" s="64">
        <f>'[2]Calc_Coef _18'!AI172</f>
        <v>5.3898582166145301</v>
      </c>
      <c r="G173" s="30"/>
      <c r="H173"/>
      <c r="I173"/>
    </row>
    <row r="174" spans="1:9" x14ac:dyDescent="0.25">
      <c r="A174" s="32">
        <f>'[2]Calc_Coef _18'!AE173</f>
        <v>6704410</v>
      </c>
      <c r="B174" s="32" t="str">
        <f>'[2]Calc_Coef _18'!C173</f>
        <v>071080</v>
      </c>
      <c r="C174" s="32" t="str">
        <f>'[2]Calc_Coef _18'!AF173</f>
        <v>GUEROBA / GUEIROBA (PALMITO IN NATURA)</v>
      </c>
      <c r="D174" s="63">
        <f>'[2]Calc_Coef _18'!AG173</f>
        <v>809.81666666666672</v>
      </c>
      <c r="E174" s="63">
        <f>'[2]Calc_Coef _18'!AH173</f>
        <v>2396.5739768792887</v>
      </c>
      <c r="F174" s="64">
        <f>'[2]Calc_Coef _18'!AI173</f>
        <v>5.3898582166145301</v>
      </c>
      <c r="G174" s="30"/>
      <c r="H174"/>
      <c r="I174"/>
    </row>
    <row r="175" spans="1:9" x14ac:dyDescent="0.25">
      <c r="A175" s="32">
        <f>'[2]Calc_Coef _18'!AE174</f>
        <v>6704501</v>
      </c>
      <c r="B175" s="32" t="str">
        <f>'[2]Calc_Coef _18'!C174</f>
        <v>070960</v>
      </c>
      <c r="C175" s="32" t="str">
        <f>'[2]Calc_Coef _18'!AF174</f>
        <v>PIMENTAO</v>
      </c>
      <c r="D175" s="63">
        <f>'[2]Calc_Coef _18'!AG174</f>
        <v>335.59386156648452</v>
      </c>
      <c r="E175" s="63">
        <f>'[2]Calc_Coef _18'!AH174</f>
        <v>799.09345438723949</v>
      </c>
      <c r="F175" s="64">
        <f>'[2]Calc_Coef _18'!AI174</f>
        <v>1.45</v>
      </c>
      <c r="G175" s="30"/>
      <c r="H175"/>
      <c r="I175"/>
    </row>
    <row r="176" spans="1:9" x14ac:dyDescent="0.25">
      <c r="A176" s="32">
        <f>'[2]Calc_Coef _18'!AE175</f>
        <v>6704601</v>
      </c>
      <c r="B176" s="32" t="str">
        <f>'[2]Calc_Coef _18'!C175</f>
        <v>090411</v>
      </c>
      <c r="C176" s="32" t="str">
        <f>'[2]Calc_Coef _18'!AF175</f>
        <v>PIMENTA MALAGUETA</v>
      </c>
      <c r="D176" s="63">
        <f>'[2]Calc_Coef _18'!AG175</f>
        <v>330</v>
      </c>
      <c r="E176" s="63">
        <f>'[2]Calc_Coef _18'!AH175</f>
        <v>1841.9097858043024</v>
      </c>
      <c r="F176" s="64">
        <f>'[2]Calc_Coef _18'!AI175</f>
        <v>49.5</v>
      </c>
      <c r="G176" s="30"/>
      <c r="H176"/>
      <c r="I176"/>
    </row>
    <row r="177" spans="1:9" x14ac:dyDescent="0.25">
      <c r="A177" s="32">
        <f>'[2]Calc_Coef _18'!AE176</f>
        <v>6705001</v>
      </c>
      <c r="B177" s="32" t="str">
        <f>'[2]Calc_Coef _18'!C176</f>
        <v>070990</v>
      </c>
      <c r="C177" s="32" t="str">
        <f>'[2]Calc_Coef _18'!AF176</f>
        <v>QUIABO</v>
      </c>
      <c r="D177" s="63">
        <f>'[2]Calc_Coef _18'!AG176</f>
        <v>335.30210772833726</v>
      </c>
      <c r="E177" s="63">
        <f>'[2]Calc_Coef _18'!AH176</f>
        <v>799.09345438723949</v>
      </c>
      <c r="F177" s="64">
        <f>'[2]Calc_Coef _18'!AI176</f>
        <v>1.5</v>
      </c>
      <c r="G177" s="30"/>
      <c r="H177"/>
      <c r="I177"/>
    </row>
    <row r="178" spans="1:9" x14ac:dyDescent="0.25">
      <c r="A178" s="32">
        <f>'[2]Calc_Coef _18'!AE177</f>
        <v>6705101</v>
      </c>
      <c r="B178" s="32" t="str">
        <f>'[2]Calc_Coef _18'!C177</f>
        <v>070200</v>
      </c>
      <c r="C178" s="32" t="str">
        <f>'[2]Calc_Coef _18'!AF177</f>
        <v>TOMATE</v>
      </c>
      <c r="D178" s="63">
        <f>'[2]Calc_Coef _18'!AG177</f>
        <v>751.57998140949815</v>
      </c>
      <c r="E178" s="63">
        <f>'[2]Calc_Coef _18'!AH177</f>
        <v>80.09236899680279</v>
      </c>
      <c r="F178" s="64">
        <f>'[2]Calc_Coef _18'!AI177</f>
        <v>0.8</v>
      </c>
      <c r="G178" s="30"/>
      <c r="H178"/>
      <c r="I178"/>
    </row>
    <row r="179" spans="1:9" x14ac:dyDescent="0.25">
      <c r="A179" s="32">
        <f>'[2]Calc_Coef _18'!AE178</f>
        <v>6705201</v>
      </c>
      <c r="B179" s="32" t="str">
        <f>'[2]Calc_Coef _18'!C178</f>
        <v>070820</v>
      </c>
      <c r="C179" s="32" t="str">
        <f>'[2]Calc_Coef _18'!AF178</f>
        <v>VAGEM</v>
      </c>
      <c r="D179" s="63">
        <f>'[2]Calc_Coef _18'!AG178</f>
        <v>504.25</v>
      </c>
      <c r="E179" s="63">
        <f>'[2]Calc_Coef _18'!AH178</f>
        <v>834.32065121342077</v>
      </c>
      <c r="F179" s="64">
        <f>'[2]Calc_Coef _18'!AI178</f>
        <v>26</v>
      </c>
      <c r="G179" s="30"/>
      <c r="H179"/>
      <c r="I179"/>
    </row>
    <row r="180" spans="1:9" x14ac:dyDescent="0.25">
      <c r="A180" s="32">
        <f>'[2]Calc_Coef _18'!AE179</f>
        <v>6705301</v>
      </c>
      <c r="B180" s="32" t="str">
        <f>'[2]Calc_Coef _18'!C179</f>
        <v>070959</v>
      </c>
      <c r="C180" s="32" t="str">
        <f>'[2]Calc_Coef _18'!AF179</f>
        <v>COGUMELO IN NATURA</v>
      </c>
      <c r="D180" s="63">
        <f>'[2]Calc_Coef _18'!AG179</f>
        <v>475.23</v>
      </c>
      <c r="E180" s="63">
        <f>'[2]Calc_Coef _18'!AH179</f>
        <v>799.09345438723949</v>
      </c>
      <c r="F180" s="64">
        <f>'[2]Calc_Coef _18'!AI179</f>
        <v>1.45</v>
      </c>
      <c r="G180" s="30"/>
      <c r="H180"/>
      <c r="I180"/>
    </row>
    <row r="181" spans="1:9" x14ac:dyDescent="0.25">
      <c r="A181" s="32">
        <f>'[2]Calc_Coef _18'!AE180</f>
        <v>6705401</v>
      </c>
      <c r="B181" s="32" t="str">
        <f>'[2]Calc_Coef _18'!C180</f>
        <v>070930</v>
      </c>
      <c r="C181" s="32" t="str">
        <f>'[2]Calc_Coef _18'!AF180</f>
        <v>BERINJELA</v>
      </c>
      <c r="D181" s="63">
        <f>'[2]Calc_Coef _18'!AG180</f>
        <v>335.59386156648452</v>
      </c>
      <c r="E181" s="63">
        <f>'[2]Calc_Coef _18'!AH180</f>
        <v>799.09345438723949</v>
      </c>
      <c r="F181" s="64">
        <f>'[2]Calc_Coef _18'!AI180</f>
        <v>1.45</v>
      </c>
      <c r="G181" s="30"/>
      <c r="H181"/>
      <c r="I181"/>
    </row>
    <row r="182" spans="1:9" x14ac:dyDescent="0.25">
      <c r="A182" s="32">
        <f>'[2]Calc_Coef _18'!AE181</f>
        <v>6705501</v>
      </c>
      <c r="B182" s="32" t="str">
        <f>'[2]Calc_Coef _18'!C181</f>
        <v>070810</v>
      </c>
      <c r="C182" s="32" t="str">
        <f>'[2]Calc_Coef _18'!AF181</f>
        <v>ERVILHA EM VAGEM</v>
      </c>
      <c r="D182" s="63">
        <f>'[2]Calc_Coef _18'!AG181</f>
        <v>504.25</v>
      </c>
      <c r="E182" s="63">
        <f>'[2]Calc_Coef _18'!AH181</f>
        <v>834.32065121342077</v>
      </c>
      <c r="F182" s="64">
        <f>'[2]Calc_Coef _18'!AI181</f>
        <v>26</v>
      </c>
      <c r="G182" s="30"/>
      <c r="H182"/>
      <c r="I182"/>
    </row>
    <row r="183" spans="1:9" x14ac:dyDescent="0.25">
      <c r="A183" s="32">
        <f>'[2]Calc_Coef _18'!AE182</f>
        <v>6705701</v>
      </c>
      <c r="B183" s="32" t="str">
        <f>'[2]Calc_Coef _18'!C182</f>
        <v>070310</v>
      </c>
      <c r="C183" s="32" t="str">
        <f>'[2]Calc_Coef _18'!AF182</f>
        <v>CEBOLA</v>
      </c>
      <c r="D183" s="63">
        <f>'[2]Calc_Coef _18'!AG182</f>
        <v>209.15</v>
      </c>
      <c r="E183" s="63">
        <f>'[2]Calc_Coef _18'!AH182</f>
        <v>465.48330790858756</v>
      </c>
      <c r="F183" s="64">
        <f>'[2]Calc_Coef _18'!AI182</f>
        <v>1.2</v>
      </c>
      <c r="G183" s="30"/>
      <c r="H183"/>
      <c r="I183"/>
    </row>
    <row r="184" spans="1:9" x14ac:dyDescent="0.25">
      <c r="A184" s="32">
        <f>'[2]Calc_Coef _18'!AE183</f>
        <v>6705704</v>
      </c>
      <c r="B184" s="32" t="str">
        <f>'[2]Calc_Coef _18'!C183</f>
        <v>070310</v>
      </c>
      <c r="C184" s="32" t="str">
        <f>'[2]Calc_Coef _18'!AF183</f>
        <v>CEBOLA ROXA</v>
      </c>
      <c r="D184" s="63">
        <f>'[2]Calc_Coef _18'!AG183</f>
        <v>209.15</v>
      </c>
      <c r="E184" s="63">
        <f>'[2]Calc_Coef _18'!AH183</f>
        <v>465.48330790858756</v>
      </c>
      <c r="F184" s="64">
        <f>'[2]Calc_Coef _18'!AI183</f>
        <v>1.2</v>
      </c>
      <c r="G184" s="30"/>
      <c r="H184"/>
      <c r="I184"/>
    </row>
    <row r="185" spans="1:9" x14ac:dyDescent="0.25">
      <c r="A185" s="32">
        <f>'[2]Calc_Coef _18'!AE184</f>
        <v>6706101</v>
      </c>
      <c r="B185" s="32" t="str">
        <f>'[2]Calc_Coef _18'!C184</f>
        <v>200540</v>
      </c>
      <c r="C185" s="32" t="str">
        <f>'[2]Calc_Coef _18'!AF184</f>
        <v>JARDINEIRA (SELETA)</v>
      </c>
      <c r="D185" s="63">
        <f>'[2]Calc_Coef _18'!AG184</f>
        <v>1730.4937285223366</v>
      </c>
      <c r="E185" s="63">
        <f>'[2]Calc_Coef _18'!AH184</f>
        <v>2256.485722150212</v>
      </c>
      <c r="F185" s="64">
        <f>'[2]Calc_Coef _18'!AI184</f>
        <v>5</v>
      </c>
      <c r="G185" s="30"/>
      <c r="H185"/>
      <c r="I185"/>
    </row>
    <row r="186" spans="1:9" x14ac:dyDescent="0.25">
      <c r="A186" s="32">
        <f>'[2]Calc_Coef _18'!AE185</f>
        <v>6706102</v>
      </c>
      <c r="B186" s="32" t="str">
        <f>'[2]Calc_Coef _18'!C185</f>
        <v>200540</v>
      </c>
      <c r="C186" s="32" t="str">
        <f>'[2]Calc_Coef _18'!AF185</f>
        <v>SELETA (JARDINEIRA)</v>
      </c>
      <c r="D186" s="63">
        <f>'[2]Calc_Coef _18'!AG185</f>
        <v>1730.4937285223366</v>
      </c>
      <c r="E186" s="63">
        <f>'[2]Calc_Coef _18'!AH185</f>
        <v>2256.485722150212</v>
      </c>
      <c r="F186" s="64">
        <f>'[2]Calc_Coef _18'!AI185</f>
        <v>5</v>
      </c>
      <c r="G186" s="30"/>
      <c r="H186"/>
      <c r="I186"/>
    </row>
    <row r="187" spans="1:9" x14ac:dyDescent="0.25">
      <c r="A187" s="32">
        <f>'[2]Calc_Coef _18'!AE186</f>
        <v>6706201</v>
      </c>
      <c r="B187" s="32" t="str">
        <f>'[2]Calc_Coef _18'!C186</f>
        <v>070320</v>
      </c>
      <c r="C187" s="32" t="str">
        <f>'[2]Calc_Coef _18'!AF186</f>
        <v>ALHO</v>
      </c>
      <c r="D187" s="63">
        <f>'[2]Calc_Coef _18'!AG186</f>
        <v>209.15</v>
      </c>
      <c r="E187" s="63">
        <f>'[2]Calc_Coef _18'!AH186</f>
        <v>2781.396945988402</v>
      </c>
      <c r="F187" s="64">
        <f>'[2]Calc_Coef _18'!AI186</f>
        <v>1.2333333333333334</v>
      </c>
      <c r="G187" s="30"/>
      <c r="H187"/>
      <c r="I187"/>
    </row>
    <row r="188" spans="1:9" x14ac:dyDescent="0.25">
      <c r="A188" s="32">
        <f>'[2]Calc_Coef _18'!AE187</f>
        <v>6706301</v>
      </c>
      <c r="B188" s="32" t="str">
        <f>'[2]Calc_Coef _18'!C187</f>
        <v>070390</v>
      </c>
      <c r="C188" s="32" t="str">
        <f>'[2]Calc_Coef _18'!AF187</f>
        <v>ALHO PORO</v>
      </c>
      <c r="D188" s="63">
        <f>'[2]Calc_Coef _18'!AG187</f>
        <v>209.15</v>
      </c>
      <c r="E188" s="63">
        <f>'[2]Calc_Coef _18'!AH187</f>
        <v>1623.4401269484947</v>
      </c>
      <c r="F188" s="64">
        <f>'[2]Calc_Coef _18'!AI187</f>
        <v>1.3</v>
      </c>
      <c r="G188" s="30"/>
      <c r="H188"/>
      <c r="I188"/>
    </row>
    <row r="189" spans="1:9" x14ac:dyDescent="0.25">
      <c r="A189" s="32">
        <f>'[2]Calc_Coef _18'!AE188</f>
        <v>6707301</v>
      </c>
      <c r="B189" s="32" t="str">
        <f>'[2]Calc_Coef _18'!C188</f>
        <v>071390</v>
      </c>
      <c r="C189" s="32" t="str">
        <f>'[2]Calc_Coef _18'!AF188</f>
        <v>BROTO DE ALFAFA</v>
      </c>
      <c r="D189" s="63">
        <f>'[2]Calc_Coef _18'!AG188</f>
        <v>1400</v>
      </c>
      <c r="E189" s="63">
        <f>'[2]Calc_Coef _18'!AH188</f>
        <v>3846.1896069182294</v>
      </c>
      <c r="F189" s="64">
        <f>'[2]Calc_Coef _18'!AI188</f>
        <v>5.3898582166145301</v>
      </c>
      <c r="G189" s="30"/>
      <c r="H189"/>
      <c r="I189"/>
    </row>
    <row r="190" spans="1:9" x14ac:dyDescent="0.25">
      <c r="A190" s="32">
        <f>'[2]Calc_Coef _18'!AE189</f>
        <v>6707901</v>
      </c>
      <c r="B190" s="32" t="str">
        <f>'[2]Calc_Coef _18'!C189</f>
        <v>070200</v>
      </c>
      <c r="C190" s="32" t="str">
        <f>'[2]Calc_Coef _18'!AF189</f>
        <v>TOMATE ORGANICO</v>
      </c>
      <c r="D190" s="63">
        <f>'[2]Calc_Coef _18'!AG189</f>
        <v>826.18392203256155</v>
      </c>
      <c r="E190" s="63">
        <f>'[2]Calc_Coef _18'!AH189</f>
        <v>441.55179914628678</v>
      </c>
      <c r="F190" s="64">
        <f>'[2]Calc_Coef _18'!AI189</f>
        <v>0.8</v>
      </c>
      <c r="G190" s="30"/>
      <c r="H190"/>
      <c r="I190"/>
    </row>
    <row r="191" spans="1:9" x14ac:dyDescent="0.25">
      <c r="A191" s="32">
        <f>'[2]Calc_Coef _18'!AE190</f>
        <v>6709701</v>
      </c>
      <c r="B191" s="32" t="str">
        <f>'[2]Calc_Coef _18'!C190</f>
        <v>070519</v>
      </c>
      <c r="C191" s="32" t="str">
        <f>'[2]Calc_Coef _18'!AF190</f>
        <v>OREGANO</v>
      </c>
      <c r="D191" s="63">
        <f>'[2]Calc_Coef _18'!AG190</f>
        <v>337.41888888888889</v>
      </c>
      <c r="E191" s="63">
        <f>'[2]Calc_Coef _18'!AH190</f>
        <v>416.07420888875833</v>
      </c>
      <c r="F191" s="64">
        <f>'[2]Calc_Coef _18'!AI190</f>
        <v>1.9417910447761193</v>
      </c>
      <c r="G191" s="30"/>
      <c r="H191"/>
      <c r="I191"/>
    </row>
    <row r="192" spans="1:9" x14ac:dyDescent="0.25">
      <c r="A192" s="32">
        <f>'[2]Calc_Coef _18'!AE191</f>
        <v>6709901</v>
      </c>
      <c r="B192" s="32" t="str">
        <f>'[2]Calc_Coef _18'!C191</f>
        <v>070920</v>
      </c>
      <c r="C192" s="32" t="str">
        <f>'[2]Calc_Coef _18'!AF191</f>
        <v>ASPARGOS FRESCO</v>
      </c>
      <c r="D192" s="63">
        <f>'[2]Calc_Coef _18'!AG191</f>
        <v>335.59386156648452</v>
      </c>
      <c r="E192" s="63">
        <f>'[2]Calc_Coef _18'!AH191</f>
        <v>799.09345438723949</v>
      </c>
      <c r="F192" s="64">
        <f>'[2]Calc_Coef _18'!AI191</f>
        <v>1.45</v>
      </c>
      <c r="G192" s="30"/>
      <c r="H192"/>
      <c r="I192"/>
    </row>
    <row r="193" spans="1:9" x14ac:dyDescent="0.25">
      <c r="A193" s="32">
        <f>'[2]Calc_Coef _18'!AE192</f>
        <v>6710101</v>
      </c>
      <c r="B193" s="32" t="str">
        <f>'[2]Calc_Coef _18'!C192</f>
        <v>070490</v>
      </c>
      <c r="C193" s="32" t="str">
        <f>'[2]Calc_Coef _18'!AF192</f>
        <v>MASTRUZ</v>
      </c>
      <c r="D193" s="63">
        <f>'[2]Calc_Coef _18'!AG192</f>
        <v>231.33333333333334</v>
      </c>
      <c r="E193" s="63">
        <f>'[2]Calc_Coef _18'!AH192</f>
        <v>799.09345438723949</v>
      </c>
      <c r="F193" s="64">
        <f>'[2]Calc_Coef _18'!AI192</f>
        <v>1.25</v>
      </c>
      <c r="G193" s="30"/>
      <c r="H193"/>
      <c r="I193"/>
    </row>
    <row r="194" spans="1:9" x14ac:dyDescent="0.25">
      <c r="A194" s="32">
        <f>'[2]Calc_Coef _18'!AE193</f>
        <v>6710701</v>
      </c>
      <c r="B194" s="32" t="str">
        <f>'[2]Calc_Coef _18'!C193</f>
        <v>070490</v>
      </c>
      <c r="C194" s="32" t="str">
        <f>'[2]Calc_Coef _18'!AF193</f>
        <v>ORA-PRO-NOBIS</v>
      </c>
      <c r="D194" s="63">
        <f>'[2]Calc_Coef _18'!AG193</f>
        <v>231.33333333333334</v>
      </c>
      <c r="E194" s="63">
        <f>'[2]Calc_Coef _18'!AH193</f>
        <v>799.09345438723949</v>
      </c>
      <c r="F194" s="64">
        <f>'[2]Calc_Coef _18'!AI193</f>
        <v>1.25</v>
      </c>
      <c r="G194" s="30"/>
      <c r="H194"/>
      <c r="I194"/>
    </row>
    <row r="195" spans="1:9" x14ac:dyDescent="0.25">
      <c r="A195" s="32">
        <f>'[2]Calc_Coef _18'!AE194</f>
        <v>6711001</v>
      </c>
      <c r="B195" s="32" t="str">
        <f>'[2]Calc_Coef _18'!C194</f>
        <v>070490</v>
      </c>
      <c r="C195" s="32" t="str">
        <f>'[2]Calc_Coef _18'!AF194</f>
        <v>VEGETAIS FOLHOSOS NAO ESPECIFICADOS</v>
      </c>
      <c r="D195" s="63">
        <f>'[2]Calc_Coef _18'!AG194</f>
        <v>231.33333333333334</v>
      </c>
      <c r="E195" s="63">
        <f>'[2]Calc_Coef _18'!AH194</f>
        <v>799.09345438723949</v>
      </c>
      <c r="F195" s="64">
        <f>'[2]Calc_Coef _18'!AI194</f>
        <v>1.25</v>
      </c>
      <c r="G195" s="30"/>
      <c r="H195"/>
      <c r="I195"/>
    </row>
    <row r="196" spans="1:9" x14ac:dyDescent="0.25">
      <c r="A196" s="32">
        <f>'[2]Calc_Coef _18'!AE195</f>
        <v>6711101</v>
      </c>
      <c r="B196" s="32" t="str">
        <f>'[2]Calc_Coef _18'!C195</f>
        <v>070490</v>
      </c>
      <c r="C196" s="32" t="str">
        <f>'[2]Calc_Coef _18'!AF195</f>
        <v>VEGETAIS NAO ESPECIFICADOS</v>
      </c>
      <c r="D196" s="63">
        <f>'[2]Calc_Coef _18'!AG195</f>
        <v>231.33333333333334</v>
      </c>
      <c r="E196" s="63">
        <f>'[2]Calc_Coef _18'!AH195</f>
        <v>799.09345438723949</v>
      </c>
      <c r="F196" s="64">
        <f>'[2]Calc_Coef _18'!AI195</f>
        <v>1.25</v>
      </c>
      <c r="G196" s="30"/>
      <c r="H196"/>
      <c r="I196"/>
    </row>
    <row r="197" spans="1:9" x14ac:dyDescent="0.25">
      <c r="A197" s="32">
        <f>'[2]Calc_Coef _18'!AE196</f>
        <v>6711201</v>
      </c>
      <c r="B197" s="32" t="str">
        <f>'[2]Calc_Coef _18'!C196</f>
        <v>200540</v>
      </c>
      <c r="C197" s="32" t="str">
        <f>'[2]Calc_Coef _18'!AF196</f>
        <v>ALCAPARRAS</v>
      </c>
      <c r="D197" s="63">
        <f>'[2]Calc_Coef _18'!AG196</f>
        <v>1730.4937285223366</v>
      </c>
      <c r="E197" s="63">
        <f>'[2]Calc_Coef _18'!AH196</f>
        <v>2256.485722150212</v>
      </c>
      <c r="F197" s="64">
        <f>'[2]Calc_Coef _18'!AI196</f>
        <v>5</v>
      </c>
      <c r="G197" s="30"/>
      <c r="H197"/>
      <c r="I197"/>
    </row>
    <row r="198" spans="1:9" x14ac:dyDescent="0.25">
      <c r="A198" s="32">
        <f>'[2]Calc_Coef _18'!AE197</f>
        <v>6711401</v>
      </c>
      <c r="B198" s="32">
        <f>'[2]Calc_Coef _18'!C197</f>
        <v>121221</v>
      </c>
      <c r="C198" s="32" t="str">
        <f>'[2]Calc_Coef _18'!AF197</f>
        <v>ALGAS</v>
      </c>
      <c r="D198" s="63">
        <f>'[2]Calc_Coef _18'!AG197</f>
        <v>631.33333333333326</v>
      </c>
      <c r="E198" s="63">
        <f>'[2]Calc_Coef _18'!AH197</f>
        <v>3252.3563229545975</v>
      </c>
      <c r="F198" s="64">
        <f>'[2]Calc_Coef _18'!AI197</f>
        <v>5.9456146715745248</v>
      </c>
      <c r="G198" s="30"/>
      <c r="H198"/>
      <c r="I198"/>
    </row>
    <row r="199" spans="1:9" x14ac:dyDescent="0.25">
      <c r="A199" s="32">
        <f>'[2]Calc_Coef _18'!AE198</f>
        <v>6800701</v>
      </c>
      <c r="B199" s="32" t="str">
        <f>'[2]Calc_Coef _18'!C198</f>
        <v>080300</v>
      </c>
      <c r="C199" s="32" t="str">
        <f>'[2]Calc_Coef _18'!AF198</f>
        <v>BANANA-ROXA</v>
      </c>
      <c r="D199" s="63">
        <f>'[2]Calc_Coef _18'!AG198</f>
        <v>953.75</v>
      </c>
      <c r="E199" s="63">
        <f>'[2]Calc_Coef _18'!AH198</f>
        <v>1003.3165478759558</v>
      </c>
      <c r="F199" s="64">
        <f>'[2]Calc_Coef _18'!AI198</f>
        <v>4.8757736240913818</v>
      </c>
      <c r="G199" s="30"/>
      <c r="H199"/>
      <c r="I199"/>
    </row>
    <row r="200" spans="1:9" x14ac:dyDescent="0.25">
      <c r="A200" s="32">
        <f>'[2]Calc_Coef _18'!AE199</f>
        <v>6800901</v>
      </c>
      <c r="B200" s="32" t="str">
        <f>'[2]Calc_Coef _18'!C199</f>
        <v>080300</v>
      </c>
      <c r="C200" s="32" t="str">
        <f>'[2]Calc_Coef _18'!AF199</f>
        <v>BANANA-SAO-TOME</v>
      </c>
      <c r="D200" s="63">
        <f>'[2]Calc_Coef _18'!AG199</f>
        <v>953.75</v>
      </c>
      <c r="E200" s="63">
        <f>'[2]Calc_Coef _18'!AH199</f>
        <v>1003.3165478759558</v>
      </c>
      <c r="F200" s="64">
        <f>'[2]Calc_Coef _18'!AI199</f>
        <v>4.8757736240913818</v>
      </c>
      <c r="G200" s="30"/>
      <c r="H200"/>
      <c r="I200"/>
    </row>
    <row r="201" spans="1:9" x14ac:dyDescent="0.25">
      <c r="A201" s="32">
        <f>'[2]Calc_Coef _18'!AE200</f>
        <v>6801001</v>
      </c>
      <c r="B201" s="32" t="str">
        <f>'[2]Calc_Coef _18'!C200</f>
        <v>080300</v>
      </c>
      <c r="C201" s="32" t="str">
        <f>'[2]Calc_Coef _18'!AF200</f>
        <v>BANANA DA TERRA</v>
      </c>
      <c r="D201" s="63">
        <f>'[2]Calc_Coef _18'!AG200</f>
        <v>953.75</v>
      </c>
      <c r="E201" s="63">
        <f>'[2]Calc_Coef _18'!AH200</f>
        <v>1003.3165478759558</v>
      </c>
      <c r="F201" s="64">
        <f>'[2]Calc_Coef _18'!AI200</f>
        <v>4.8757736240913818</v>
      </c>
      <c r="G201" s="30"/>
      <c r="H201"/>
      <c r="I201"/>
    </row>
    <row r="202" spans="1:9" x14ac:dyDescent="0.25">
      <c r="A202" s="32">
        <f>'[2]Calc_Coef _18'!AE201</f>
        <v>6801002</v>
      </c>
      <c r="B202" s="32" t="str">
        <f>'[2]Calc_Coef _18'!C201</f>
        <v>080300</v>
      </c>
      <c r="C202" s="32" t="str">
        <f>'[2]Calc_Coef _18'!AF201</f>
        <v>BANANA-PACOVA</v>
      </c>
      <c r="D202" s="63">
        <f>'[2]Calc_Coef _18'!AG201</f>
        <v>953.75</v>
      </c>
      <c r="E202" s="63">
        <f>'[2]Calc_Coef _18'!AH201</f>
        <v>1003.3165478759558</v>
      </c>
      <c r="F202" s="64">
        <f>'[2]Calc_Coef _18'!AI201</f>
        <v>4.8757736240913818</v>
      </c>
      <c r="G202" s="30"/>
      <c r="H202"/>
      <c r="I202"/>
    </row>
    <row r="203" spans="1:9" x14ac:dyDescent="0.25">
      <c r="A203" s="32">
        <f>'[2]Calc_Coef _18'!AE202</f>
        <v>6801101</v>
      </c>
      <c r="B203" s="32" t="str">
        <f>'[2]Calc_Coef _18'!C202</f>
        <v>080300</v>
      </c>
      <c r="C203" s="32" t="str">
        <f>'[2]Calc_Coef _18'!AF202</f>
        <v>BANANA (OURO, PRATA, D´ÁGUA, DA TERRA, ETC)</v>
      </c>
      <c r="D203" s="63">
        <f>'[2]Calc_Coef _18'!AG202</f>
        <v>953.75</v>
      </c>
      <c r="E203" s="63">
        <f>'[2]Calc_Coef _18'!AH202</f>
        <v>1003.3165478759558</v>
      </c>
      <c r="F203" s="64">
        <f>'[2]Calc_Coef _18'!AI202</f>
        <v>4.8757736240913818</v>
      </c>
      <c r="G203" s="30"/>
      <c r="H203"/>
      <c r="I203"/>
    </row>
    <row r="204" spans="1:9" x14ac:dyDescent="0.25">
      <c r="A204" s="32">
        <f>'[2]Calc_Coef _18'!AE203</f>
        <v>6801801</v>
      </c>
      <c r="B204" s="32" t="str">
        <f>'[2]Calc_Coef _18'!C203</f>
        <v>080590</v>
      </c>
      <c r="C204" s="32" t="str">
        <f>'[2]Calc_Coef _18'!AF203</f>
        <v>LARANJA (PERA, SELETA, LIMA, DA TERRA, ETC)</v>
      </c>
      <c r="D204" s="63">
        <f>'[2]Calc_Coef _18'!AG203</f>
        <v>257.66666666666669</v>
      </c>
      <c r="E204" s="63">
        <f>'[2]Calc_Coef _18'!AH203</f>
        <v>395.18339294745317</v>
      </c>
      <c r="F204" s="64">
        <f>'[2]Calc_Coef _18'!AI203</f>
        <v>4.8757736240913818</v>
      </c>
      <c r="G204" s="30"/>
      <c r="H204"/>
      <c r="I204"/>
    </row>
    <row r="205" spans="1:9" x14ac:dyDescent="0.25">
      <c r="A205" s="32">
        <f>'[2]Calc_Coef _18'!AE204</f>
        <v>6801901</v>
      </c>
      <c r="B205" s="32" t="str">
        <f>'[2]Calc_Coef _18'!C204</f>
        <v>080530</v>
      </c>
      <c r="C205" s="32" t="str">
        <f>'[2]Calc_Coef _18'!AF204</f>
        <v>LIMA</v>
      </c>
      <c r="D205" s="63">
        <f>'[2]Calc_Coef _18'!AG204</f>
        <v>80</v>
      </c>
      <c r="E205" s="63">
        <f>'[2]Calc_Coef _18'!AH204</f>
        <v>537.13215311199122</v>
      </c>
      <c r="F205" s="64">
        <f>'[2]Calc_Coef _18'!AI204</f>
        <v>4.8757736240913818</v>
      </c>
      <c r="G205" s="30"/>
      <c r="H205"/>
      <c r="I205"/>
    </row>
    <row r="206" spans="1:9" x14ac:dyDescent="0.25">
      <c r="A206" s="32">
        <f>'[2]Calc_Coef _18'!AE205</f>
        <v>6802001</v>
      </c>
      <c r="B206" s="32" t="str">
        <f>'[2]Calc_Coef _18'!C205</f>
        <v>080530</v>
      </c>
      <c r="C206" s="32" t="str">
        <f>'[2]Calc_Coef _18'!AF205</f>
        <v>LIMAO (COMUM, GALEGO, ETC)</v>
      </c>
      <c r="D206" s="63">
        <f>'[2]Calc_Coef _18'!AG205</f>
        <v>80</v>
      </c>
      <c r="E206" s="63">
        <f>'[2]Calc_Coef _18'!AH205</f>
        <v>537.13215311199122</v>
      </c>
      <c r="F206" s="64">
        <f>'[2]Calc_Coef _18'!AI205</f>
        <v>4.8757736240913818</v>
      </c>
      <c r="G206" s="30"/>
      <c r="H206"/>
      <c r="I206"/>
    </row>
    <row r="207" spans="1:9" x14ac:dyDescent="0.25">
      <c r="A207" s="32">
        <f>'[2]Calc_Coef _18'!AE206</f>
        <v>6802201</v>
      </c>
      <c r="B207" s="32" t="str">
        <f>'[2]Calc_Coef _18'!C206</f>
        <v>080520</v>
      </c>
      <c r="C207" s="32" t="str">
        <f>'[2]Calc_Coef _18'!AF206</f>
        <v>TANGERINA</v>
      </c>
      <c r="D207" s="63">
        <f>'[2]Calc_Coef _18'!AG206</f>
        <v>556</v>
      </c>
      <c r="E207" s="63">
        <f>'[2]Calc_Coef _18'!AH206</f>
        <v>515.40780131657789</v>
      </c>
      <c r="F207" s="64">
        <f>'[2]Calc_Coef _18'!AI206</f>
        <v>4.8757736240913818</v>
      </c>
      <c r="G207" s="30"/>
      <c r="H207"/>
      <c r="I207"/>
    </row>
    <row r="208" spans="1:9" x14ac:dyDescent="0.25">
      <c r="A208" s="32">
        <f>'[2]Calc_Coef _18'!AE207</f>
        <v>6802202</v>
      </c>
      <c r="B208" s="32" t="str">
        <f>'[2]Calc_Coef _18'!C207</f>
        <v>080520</v>
      </c>
      <c r="C208" s="32" t="str">
        <f>'[2]Calc_Coef _18'!AF207</f>
        <v>MEXERICA</v>
      </c>
      <c r="D208" s="63">
        <f>'[2]Calc_Coef _18'!AG207</f>
        <v>556</v>
      </c>
      <c r="E208" s="63">
        <f>'[2]Calc_Coef _18'!AH207</f>
        <v>570</v>
      </c>
      <c r="F208" s="64">
        <f>'[2]Calc_Coef _18'!AI207</f>
        <v>4.8757736240913818</v>
      </c>
      <c r="G208" s="30"/>
      <c r="H208"/>
      <c r="I208"/>
    </row>
    <row r="209" spans="1:9" x14ac:dyDescent="0.25">
      <c r="A209" s="32">
        <f>'[2]Calc_Coef _18'!AE208</f>
        <v>6802217</v>
      </c>
      <c r="B209" s="32" t="str">
        <f>'[2]Calc_Coef _18'!C208</f>
        <v>080520</v>
      </c>
      <c r="C209" s="32" t="str">
        <f>'[2]Calc_Coef _18'!AF208</f>
        <v>BERGAMOTA</v>
      </c>
      <c r="D209" s="63">
        <f>'[2]Calc_Coef _18'!AG208</f>
        <v>556</v>
      </c>
      <c r="E209" s="63">
        <f>'[2]Calc_Coef _18'!AH208</f>
        <v>542.70390065828894</v>
      </c>
      <c r="F209" s="64">
        <f>'[2]Calc_Coef _18'!AI208</f>
        <v>4.8757736240913818</v>
      </c>
      <c r="G209" s="30"/>
      <c r="H209"/>
      <c r="I209"/>
    </row>
    <row r="210" spans="1:9" x14ac:dyDescent="0.25">
      <c r="A210" s="32">
        <f>'[2]Calc_Coef _18'!AE209</f>
        <v>6802218</v>
      </c>
      <c r="B210" s="32" t="str">
        <f>'[2]Calc_Coef _18'!C209</f>
        <v>080520</v>
      </c>
      <c r="C210" s="32" t="str">
        <f>'[2]Calc_Coef _18'!AF209</f>
        <v>MIMOSA</v>
      </c>
      <c r="D210" s="63">
        <f>'[2]Calc_Coef _18'!AG209</f>
        <v>556</v>
      </c>
      <c r="E210" s="63">
        <f>'[2]Calc_Coef _18'!AH209</f>
        <v>542.70390065828894</v>
      </c>
      <c r="F210" s="64">
        <f>'[2]Calc_Coef _18'!AI209</f>
        <v>4.8757736240913818</v>
      </c>
      <c r="G210" s="30"/>
      <c r="H210"/>
      <c r="I210"/>
    </row>
    <row r="211" spans="1:9" x14ac:dyDescent="0.25">
      <c r="A211" s="32">
        <f>'[2]Calc_Coef _18'!AE210</f>
        <v>6802223</v>
      </c>
      <c r="B211" s="32" t="str">
        <f>'[2]Calc_Coef _18'!C210</f>
        <v>080520</v>
      </c>
      <c r="C211" s="32" t="str">
        <f>'[2]Calc_Coef _18'!AF210</f>
        <v>TANJA</v>
      </c>
      <c r="D211" s="63">
        <f>'[2]Calc_Coef _18'!AG210</f>
        <v>556</v>
      </c>
      <c r="E211" s="63">
        <f>'[2]Calc_Coef _18'!AH210</f>
        <v>542.70390065828894</v>
      </c>
      <c r="F211" s="64">
        <f>'[2]Calc_Coef _18'!AI210</f>
        <v>4.8757736240913818</v>
      </c>
      <c r="G211" s="30"/>
      <c r="H211"/>
      <c r="I211"/>
    </row>
    <row r="212" spans="1:9" x14ac:dyDescent="0.25">
      <c r="A212" s="32">
        <f>'[2]Calc_Coef _18'!AE211</f>
        <v>6802227</v>
      </c>
      <c r="B212" s="32" t="str">
        <f>'[2]Calc_Coef _18'!C211</f>
        <v>080520</v>
      </c>
      <c r="C212" s="32" t="str">
        <f>'[2]Calc_Coef _18'!AF211</f>
        <v>MARICOTA</v>
      </c>
      <c r="D212" s="63">
        <f>'[2]Calc_Coef _18'!AG211</f>
        <v>556</v>
      </c>
      <c r="E212" s="63">
        <f>'[2]Calc_Coef _18'!AH211</f>
        <v>542.70390065828894</v>
      </c>
      <c r="F212" s="64">
        <f>'[2]Calc_Coef _18'!AI211</f>
        <v>4.8757736240913818</v>
      </c>
      <c r="G212" s="30"/>
      <c r="H212"/>
      <c r="I212"/>
    </row>
    <row r="213" spans="1:9" x14ac:dyDescent="0.25">
      <c r="A213" s="32">
        <f>'[2]Calc_Coef _18'!AE212</f>
        <v>6802305</v>
      </c>
      <c r="B213" s="32" t="str">
        <f>'[2]Calc_Coef _18'!C212</f>
        <v>080520</v>
      </c>
      <c r="C213" s="32" t="str">
        <f>'[2]Calc_Coef _18'!AF212</f>
        <v>GRAPEFRUIT / TORANJA</v>
      </c>
      <c r="D213" s="63">
        <f>'[2]Calc_Coef _18'!AG212</f>
        <v>556</v>
      </c>
      <c r="E213" s="63">
        <f>'[2]Calc_Coef _18'!AH212</f>
        <v>542.70390065828894</v>
      </c>
      <c r="F213" s="64">
        <f>'[2]Calc_Coef _18'!AI212</f>
        <v>4.8757736240913818</v>
      </c>
      <c r="G213" s="30"/>
      <c r="H213"/>
      <c r="I213"/>
    </row>
    <row r="214" spans="1:9" x14ac:dyDescent="0.25">
      <c r="A214" s="32">
        <f>'[2]Calc_Coef _18'!AE213</f>
        <v>6802407</v>
      </c>
      <c r="B214" s="32" t="str">
        <f>'[2]Calc_Coef _18'!C213</f>
        <v>080590</v>
      </c>
      <c r="C214" s="32" t="str">
        <f>'[2]Calc_Coef _18'!AF213</f>
        <v>LARANJINHA JAPONESA</v>
      </c>
      <c r="D214" s="63">
        <f>'[2]Calc_Coef _18'!AG213</f>
        <v>257.66666666666669</v>
      </c>
      <c r="E214" s="63">
        <f>'[2]Calc_Coef _18'!AH213</f>
        <v>395.18339294745317</v>
      </c>
      <c r="F214" s="64">
        <f>'[2]Calc_Coef _18'!AI213</f>
        <v>4.8757736240913818</v>
      </c>
      <c r="G214" s="30"/>
      <c r="H214"/>
      <c r="I214"/>
    </row>
    <row r="215" spans="1:9" x14ac:dyDescent="0.25">
      <c r="A215" s="32">
        <f>'[2]Calc_Coef _18'!AE214</f>
        <v>6802501</v>
      </c>
      <c r="B215" s="32">
        <f>'[2]Calc_Coef _18'!C214</f>
        <v>170111</v>
      </c>
      <c r="C215" s="32" t="str">
        <f>'[2]Calc_Coef _18'!AF214</f>
        <v>CANA DE ACUCAR</v>
      </c>
      <c r="D215" s="63">
        <f>'[2]Calc_Coef _18'!AG214</f>
        <v>766.66750000000002</v>
      </c>
      <c r="E215" s="63">
        <f>'[2]Calc_Coef _18'!AH214</f>
        <v>137.24357266576502</v>
      </c>
      <c r="F215" s="64">
        <f>'[2]Calc_Coef _18'!AI214</f>
        <v>3.7796942010068992</v>
      </c>
      <c r="G215" s="30"/>
      <c r="H215"/>
      <c r="I215"/>
    </row>
    <row r="216" spans="1:9" x14ac:dyDescent="0.25">
      <c r="A216" s="32">
        <f>'[2]Calc_Coef _18'!AE215</f>
        <v>6802601</v>
      </c>
      <c r="B216" s="32" t="str">
        <f>'[2]Calc_Coef _18'!C215</f>
        <v>080430</v>
      </c>
      <c r="C216" s="32" t="str">
        <f>'[2]Calc_Coef _18'!AF215</f>
        <v>ABACAXI</v>
      </c>
      <c r="D216" s="63">
        <f>'[2]Calc_Coef _18'!AG215</f>
        <v>260.2</v>
      </c>
      <c r="E216" s="63">
        <f>'[2]Calc_Coef _18'!AH215</f>
        <v>159.54554321033251</v>
      </c>
      <c r="F216" s="64">
        <f>'[2]Calc_Coef _18'!AI215</f>
        <v>4.8757736240913818</v>
      </c>
      <c r="G216" s="30"/>
      <c r="H216"/>
      <c r="I216"/>
    </row>
    <row r="217" spans="1:9" x14ac:dyDescent="0.25">
      <c r="A217" s="32">
        <f>'[2]Calc_Coef _18'!AE216</f>
        <v>6802602</v>
      </c>
      <c r="B217" s="32" t="str">
        <f>'[2]Calc_Coef _18'!C216</f>
        <v>081090</v>
      </c>
      <c r="C217" s="32" t="str">
        <f>'[2]Calc_Coef _18'!AF216</f>
        <v>ANANAS</v>
      </c>
      <c r="D217" s="63">
        <f>'[2]Calc_Coef _18'!AG216</f>
        <v>60</v>
      </c>
      <c r="E217" s="63">
        <f>'[2]Calc_Coef _18'!AH216</f>
        <v>3921.118088006298</v>
      </c>
      <c r="F217" s="64">
        <f>'[2]Calc_Coef _18'!AI216</f>
        <v>4.0298141105216088</v>
      </c>
      <c r="G217" s="30"/>
      <c r="H217"/>
      <c r="I217"/>
    </row>
    <row r="218" spans="1:9" x14ac:dyDescent="0.25">
      <c r="A218" s="32">
        <f>'[2]Calc_Coef _18'!AE217</f>
        <v>6802701</v>
      </c>
      <c r="B218" s="32" t="str">
        <f>'[2]Calc_Coef _18'!C217</f>
        <v>080440</v>
      </c>
      <c r="C218" s="32" t="str">
        <f>'[2]Calc_Coef _18'!AF217</f>
        <v>ABACATE</v>
      </c>
      <c r="D218" s="63">
        <f>'[2]Calc_Coef _18'!AG217</f>
        <v>335</v>
      </c>
      <c r="E218" s="63">
        <f>'[2]Calc_Coef _18'!AH217</f>
        <v>951.11098827008595</v>
      </c>
      <c r="F218" s="64">
        <f>'[2]Calc_Coef _18'!AI217</f>
        <v>4.8757736240913818</v>
      </c>
      <c r="G218" s="30"/>
      <c r="H218"/>
      <c r="I218"/>
    </row>
    <row r="219" spans="1:9" x14ac:dyDescent="0.25">
      <c r="A219" s="32">
        <f>'[2]Calc_Coef _18'!AE218</f>
        <v>6802801</v>
      </c>
      <c r="B219" s="32" t="str">
        <f>'[2]Calc_Coef _18'!C218</f>
        <v>081090</v>
      </c>
      <c r="C219" s="32" t="str">
        <f>'[2]Calc_Coef _18'!AF218</f>
        <v>CAQUI</v>
      </c>
      <c r="D219" s="63">
        <f>'[2]Calc_Coef _18'!AG218</f>
        <v>586.5</v>
      </c>
      <c r="E219" s="63">
        <f>'[2]Calc_Coef _18'!AH218</f>
        <v>3921.118088006298</v>
      </c>
      <c r="F219" s="64">
        <f>'[2]Calc_Coef _18'!AI218</f>
        <v>4.0298141105216088</v>
      </c>
      <c r="G219" s="30"/>
      <c r="H219"/>
      <c r="I219"/>
    </row>
    <row r="220" spans="1:9" x14ac:dyDescent="0.25">
      <c r="A220" s="32">
        <f>'[2]Calc_Coef _18'!AE219</f>
        <v>6802901</v>
      </c>
      <c r="B220" s="32" t="str">
        <f>'[2]Calc_Coef _18'!C219</f>
        <v>080420</v>
      </c>
      <c r="C220" s="32" t="str">
        <f>'[2]Calc_Coef _18'!AF219</f>
        <v>FIGO</v>
      </c>
      <c r="D220" s="63">
        <f>'[2]Calc_Coef _18'!AG219</f>
        <v>238.88888888888889</v>
      </c>
      <c r="E220" s="63">
        <f>'[2]Calc_Coef _18'!AH219</f>
        <v>1211.6239076151651</v>
      </c>
      <c r="F220" s="64">
        <f>'[2]Calc_Coef _18'!AI219</f>
        <v>4.8757736240913818</v>
      </c>
      <c r="G220" s="30"/>
      <c r="H220"/>
      <c r="I220"/>
    </row>
    <row r="221" spans="1:9" x14ac:dyDescent="0.25">
      <c r="A221" s="32">
        <f>'[2]Calc_Coef _18'!AE220</f>
        <v>6803001</v>
      </c>
      <c r="B221" s="32" t="str">
        <f>'[2]Calc_Coef _18'!C220</f>
        <v>080810</v>
      </c>
      <c r="C221" s="32" t="str">
        <f>'[2]Calc_Coef _18'!AF220</f>
        <v>MACA</v>
      </c>
      <c r="D221" s="63">
        <f>'[2]Calc_Coef _18'!AG220</f>
        <v>238.3640444444444</v>
      </c>
      <c r="E221" s="63">
        <f>'[2]Calc_Coef _18'!AH220</f>
        <v>174.29743903085512</v>
      </c>
      <c r="F221" s="64">
        <f>'[2]Calc_Coef _18'!AI220</f>
        <v>1.0017757009345793</v>
      </c>
      <c r="G221" s="30"/>
      <c r="H221"/>
      <c r="I221"/>
    </row>
    <row r="222" spans="1:9" x14ac:dyDescent="0.25">
      <c r="A222" s="32">
        <f>'[2]Calc_Coef _18'!AE221</f>
        <v>6803101</v>
      </c>
      <c r="B222" s="32" t="str">
        <f>'[2]Calc_Coef _18'!C221</f>
        <v>080720</v>
      </c>
      <c r="C222" s="32" t="str">
        <f>'[2]Calc_Coef _18'!AF221</f>
        <v>MAMAO</v>
      </c>
      <c r="D222" s="63">
        <f>'[2]Calc_Coef _18'!AG221</f>
        <v>710</v>
      </c>
      <c r="E222" s="63">
        <f>'[2]Calc_Coef _18'!AH221</f>
        <v>237.90824017990215</v>
      </c>
      <c r="F222" s="64">
        <f>'[2]Calc_Coef _18'!AI221</f>
        <v>4.8757736240913818</v>
      </c>
      <c r="G222" s="30"/>
      <c r="H222"/>
      <c r="I222"/>
    </row>
    <row r="223" spans="1:9" x14ac:dyDescent="0.25">
      <c r="A223" s="32">
        <f>'[2]Calc_Coef _18'!AE222</f>
        <v>6803108</v>
      </c>
      <c r="B223" s="32" t="str">
        <f>'[2]Calc_Coef _18'!C222</f>
        <v>080720</v>
      </c>
      <c r="C223" s="32" t="str">
        <f>'[2]Calc_Coef _18'!AF222</f>
        <v>PAPAIA</v>
      </c>
      <c r="D223" s="63">
        <f>'[2]Calc_Coef _18'!AG222</f>
        <v>710</v>
      </c>
      <c r="E223" s="63">
        <f>'[2]Calc_Coef _18'!AH222</f>
        <v>237.90824017990215</v>
      </c>
      <c r="F223" s="64">
        <f>'[2]Calc_Coef _18'!AI222</f>
        <v>4.8757736240913818</v>
      </c>
      <c r="G223" s="30"/>
      <c r="H223"/>
      <c r="I223"/>
    </row>
    <row r="224" spans="1:9" x14ac:dyDescent="0.25">
      <c r="A224" s="32">
        <f>'[2]Calc_Coef _18'!AE223</f>
        <v>6803201</v>
      </c>
      <c r="B224" s="32" t="str">
        <f>'[2]Calc_Coef _18'!C223</f>
        <v>080450</v>
      </c>
      <c r="C224" s="32" t="str">
        <f>'[2]Calc_Coef _18'!AF223</f>
        <v>MANGA</v>
      </c>
      <c r="D224" s="63">
        <f>'[2]Calc_Coef _18'!AG223</f>
        <v>89.5</v>
      </c>
      <c r="E224" s="63">
        <f>'[2]Calc_Coef _18'!AH223</f>
        <v>933.05512564940193</v>
      </c>
      <c r="F224" s="64">
        <f>'[2]Calc_Coef _18'!AI223</f>
        <v>4.8757736240913818</v>
      </c>
      <c r="G224" s="30"/>
      <c r="H224"/>
      <c r="I224"/>
    </row>
    <row r="225" spans="1:9" x14ac:dyDescent="0.25">
      <c r="A225" s="32">
        <f>'[2]Calc_Coef _18'!AE224</f>
        <v>6803301</v>
      </c>
      <c r="B225" s="32" t="str">
        <f>'[2]Calc_Coef _18'!C224</f>
        <v>081090</v>
      </c>
      <c r="C225" s="32" t="str">
        <f>'[2]Calc_Coef _18'!AF224</f>
        <v>MARACUJA</v>
      </c>
      <c r="D225" s="63">
        <f>'[2]Calc_Coef _18'!AG224</f>
        <v>120</v>
      </c>
      <c r="E225" s="63">
        <f>'[2]Calc_Coef _18'!AH224</f>
        <v>3921.118088006298</v>
      </c>
      <c r="F225" s="64">
        <f>'[2]Calc_Coef _18'!AI224</f>
        <v>4.0298141105216088</v>
      </c>
      <c r="G225" s="30"/>
      <c r="H225"/>
      <c r="I225"/>
    </row>
    <row r="226" spans="1:9" x14ac:dyDescent="0.25">
      <c r="A226" s="32">
        <f>'[2]Calc_Coef _18'!AE225</f>
        <v>6803401</v>
      </c>
      <c r="B226" s="32" t="str">
        <f>'[2]Calc_Coef _18'!C225</f>
        <v>080711</v>
      </c>
      <c r="C226" s="32" t="str">
        <f>'[2]Calc_Coef _18'!AF225</f>
        <v>MELANCIA</v>
      </c>
      <c r="D226" s="63">
        <f>'[2]Calc_Coef _18'!AG225</f>
        <v>710</v>
      </c>
      <c r="E226" s="63">
        <f>'[2]Calc_Coef _18'!AH225</f>
        <v>225.33537902055838</v>
      </c>
      <c r="F226" s="64">
        <f>'[2]Calc_Coef _18'!AI225</f>
        <v>4.8757736240913818</v>
      </c>
      <c r="G226" s="30"/>
      <c r="H226"/>
      <c r="I226"/>
    </row>
    <row r="227" spans="1:9" x14ac:dyDescent="0.25">
      <c r="A227" s="32">
        <f>'[2]Calc_Coef _18'!AE226</f>
        <v>6803501</v>
      </c>
      <c r="B227" s="32" t="str">
        <f>'[2]Calc_Coef _18'!C226</f>
        <v>080719</v>
      </c>
      <c r="C227" s="32" t="str">
        <f>'[2]Calc_Coef _18'!AF226</f>
        <v>MELAO</v>
      </c>
      <c r="D227" s="63">
        <f>'[2]Calc_Coef _18'!AG226</f>
        <v>710</v>
      </c>
      <c r="E227" s="63">
        <f>'[2]Calc_Coef _18'!AH226</f>
        <v>185.96869752767057</v>
      </c>
      <c r="F227" s="64">
        <f>'[2]Calc_Coef _18'!AI226</f>
        <v>4.8757736240913818</v>
      </c>
      <c r="G227" s="30"/>
      <c r="H227"/>
      <c r="I227"/>
    </row>
    <row r="228" spans="1:9" x14ac:dyDescent="0.25">
      <c r="A228" s="32">
        <f>'[2]Calc_Coef _18'!AE227</f>
        <v>6803601</v>
      </c>
      <c r="B228" s="32" t="str">
        <f>'[2]Calc_Coef _18'!C227</f>
        <v>080820</v>
      </c>
      <c r="C228" s="32" t="str">
        <f>'[2]Calc_Coef _18'!AF227</f>
        <v>PERA</v>
      </c>
      <c r="D228" s="63">
        <f>'[2]Calc_Coef _18'!AG227</f>
        <v>120.625</v>
      </c>
      <c r="E228" s="63">
        <f>'[2]Calc_Coef _18'!AH227</f>
        <v>1120.3346677456234</v>
      </c>
      <c r="F228" s="64">
        <f>'[2]Calc_Coef _18'!AI227</f>
        <v>1.8691588785046731</v>
      </c>
      <c r="G228" s="30"/>
      <c r="H228"/>
      <c r="I228"/>
    </row>
    <row r="229" spans="1:9" x14ac:dyDescent="0.25">
      <c r="A229" s="32">
        <f>'[2]Calc_Coef _18'!AE228</f>
        <v>6803701</v>
      </c>
      <c r="B229" s="32" t="str">
        <f>'[2]Calc_Coef _18'!C228</f>
        <v>080930</v>
      </c>
      <c r="C229" s="32" t="str">
        <f>'[2]Calc_Coef _18'!AF228</f>
        <v>PESSEGO</v>
      </c>
      <c r="D229" s="63">
        <f>'[2]Calc_Coef _18'!AG228</f>
        <v>376.33333333333331</v>
      </c>
      <c r="E229" s="63">
        <f>'[2]Calc_Coef _18'!AH228</f>
        <v>1384.7231421317958</v>
      </c>
      <c r="F229" s="64">
        <f>'[2]Calc_Coef _18'!AI228</f>
        <v>5.8996884735202491</v>
      </c>
      <c r="G229" s="30"/>
      <c r="H229"/>
      <c r="I229"/>
    </row>
    <row r="230" spans="1:9" x14ac:dyDescent="0.25">
      <c r="A230" s="32">
        <f>'[2]Calc_Coef _18'!AE229</f>
        <v>6803801</v>
      </c>
      <c r="B230" s="32" t="str">
        <f>'[2]Calc_Coef _18'!C229</f>
        <v>081090</v>
      </c>
      <c r="C230" s="32" t="str">
        <f>'[2]Calc_Coef _18'!AF229</f>
        <v>FRUTA DE CONDE</v>
      </c>
      <c r="D230" s="63">
        <f>'[2]Calc_Coef _18'!AG229</f>
        <v>586.5</v>
      </c>
      <c r="E230" s="63">
        <f>'[2]Calc_Coef _18'!AH229</f>
        <v>3921.118088006298</v>
      </c>
      <c r="F230" s="64">
        <f>'[2]Calc_Coef _18'!AI229</f>
        <v>4.0298141105216088</v>
      </c>
      <c r="G230" s="30"/>
      <c r="H230"/>
      <c r="I230"/>
    </row>
    <row r="231" spans="1:9" x14ac:dyDescent="0.25">
      <c r="A231" s="32">
        <f>'[2]Calc_Coef _18'!AE230</f>
        <v>6803802</v>
      </c>
      <c r="B231" s="32" t="str">
        <f>'[2]Calc_Coef _18'!C230</f>
        <v>081090</v>
      </c>
      <c r="C231" s="32" t="str">
        <f>'[2]Calc_Coef _18'!AF230</f>
        <v>PINHA (FRUTA DE CONDE)</v>
      </c>
      <c r="D231" s="63">
        <f>'[2]Calc_Coef _18'!AG230</f>
        <v>586.5</v>
      </c>
      <c r="E231" s="63">
        <f>'[2]Calc_Coef _18'!AH230</f>
        <v>3921.118088006298</v>
      </c>
      <c r="F231" s="64">
        <f>'[2]Calc_Coef _18'!AI230</f>
        <v>4.0298141105216088</v>
      </c>
      <c r="G231" s="30"/>
      <c r="H231"/>
      <c r="I231"/>
    </row>
    <row r="232" spans="1:9" x14ac:dyDescent="0.25">
      <c r="A232" s="32">
        <f>'[2]Calc_Coef _18'!AE231</f>
        <v>6803803</v>
      </c>
      <c r="B232" s="32" t="str">
        <f>'[2]Calc_Coef _18'!C231</f>
        <v>081090</v>
      </c>
      <c r="C232" s="32" t="str">
        <f>'[2]Calc_Coef _18'!AF231</f>
        <v>ATA</v>
      </c>
      <c r="D232" s="63">
        <f>'[2]Calc_Coef _18'!AG231</f>
        <v>586.5</v>
      </c>
      <c r="E232" s="63">
        <f>'[2]Calc_Coef _18'!AH231</f>
        <v>3921.118088006298</v>
      </c>
      <c r="F232" s="64">
        <f>'[2]Calc_Coef _18'!AI231</f>
        <v>4.0298141105216088</v>
      </c>
      <c r="G232" s="30"/>
      <c r="H232"/>
      <c r="I232"/>
    </row>
    <row r="233" spans="1:9" x14ac:dyDescent="0.25">
      <c r="A233" s="32">
        <f>'[2]Calc_Coef _18'!AE232</f>
        <v>6803901</v>
      </c>
      <c r="B233" s="32" t="str">
        <f>'[2]Calc_Coef _18'!C232</f>
        <v>080610</v>
      </c>
      <c r="C233" s="32" t="str">
        <f>'[2]Calc_Coef _18'!AF232</f>
        <v>UVA</v>
      </c>
      <c r="D233" s="63">
        <f>'[2]Calc_Coef _18'!AG232</f>
        <v>196.66666666666666</v>
      </c>
      <c r="E233" s="63">
        <f>'[2]Calc_Coef _18'!AH232</f>
        <v>352.3239173551558</v>
      </c>
      <c r="F233" s="64">
        <f>'[2]Calc_Coef _18'!AI232</f>
        <v>4.8757736240913818</v>
      </c>
      <c r="G233" s="30"/>
      <c r="H233"/>
      <c r="I233"/>
    </row>
    <row r="234" spans="1:9" x14ac:dyDescent="0.25">
      <c r="A234" s="32">
        <f>'[2]Calc_Coef _18'!AE233</f>
        <v>6803912</v>
      </c>
      <c r="B234" s="32" t="str">
        <f>'[2]Calc_Coef _18'!C233</f>
        <v>080620</v>
      </c>
      <c r="C234" s="32" t="str">
        <f>'[2]Calc_Coef _18'!AF233</f>
        <v>UVA PASSA</v>
      </c>
      <c r="D234" s="63">
        <f>'[2]Calc_Coef _18'!AG233</f>
        <v>683.5</v>
      </c>
      <c r="E234" s="63">
        <f>'[2]Calc_Coef _18'!AH233</f>
        <v>1409.2956694206232</v>
      </c>
      <c r="F234" s="64">
        <f>'[2]Calc_Coef _18'!AI233</f>
        <v>4.8757736240913818</v>
      </c>
      <c r="G234" s="30"/>
      <c r="H234"/>
      <c r="I234"/>
    </row>
    <row r="235" spans="1:9" x14ac:dyDescent="0.25">
      <c r="A235" s="32">
        <f>'[2]Calc_Coef _18'!AE234</f>
        <v>6804001</v>
      </c>
      <c r="B235" s="32" t="str">
        <f>'[2]Calc_Coef _18'!C234</f>
        <v>081090</v>
      </c>
      <c r="C235" s="32" t="str">
        <f>'[2]Calc_Coef _18'!AF234</f>
        <v>JENIPAPO</v>
      </c>
      <c r="D235" s="63">
        <f>'[2]Calc_Coef _18'!AG234</f>
        <v>586.5</v>
      </c>
      <c r="E235" s="63">
        <f>'[2]Calc_Coef _18'!AH234</f>
        <v>3921.118088006298</v>
      </c>
      <c r="F235" s="64">
        <f>'[2]Calc_Coef _18'!AI234</f>
        <v>4.0298141105216088</v>
      </c>
      <c r="G235" s="30"/>
      <c r="H235"/>
      <c r="I235"/>
    </row>
    <row r="236" spans="1:9" x14ac:dyDescent="0.25">
      <c r="A236" s="32">
        <f>'[2]Calc_Coef _18'!AE235</f>
        <v>6804101</v>
      </c>
      <c r="B236" s="32" t="str">
        <f>'[2]Calc_Coef _18'!C235</f>
        <v>081090</v>
      </c>
      <c r="C236" s="32" t="str">
        <f>'[2]Calc_Coef _18'!AF235</f>
        <v>JACA</v>
      </c>
      <c r="D236" s="63">
        <f>'[2]Calc_Coef _18'!AG235</f>
        <v>586.5</v>
      </c>
      <c r="E236" s="63">
        <f>'[2]Calc_Coef _18'!AH235</f>
        <v>3921.118088006298</v>
      </c>
      <c r="F236" s="64">
        <f>'[2]Calc_Coef _18'!AI235</f>
        <v>4.0298141105216088</v>
      </c>
      <c r="G236" s="30"/>
      <c r="H236"/>
      <c r="I236"/>
    </row>
    <row r="237" spans="1:9" x14ac:dyDescent="0.25">
      <c r="A237" s="32">
        <f>'[2]Calc_Coef _18'!AE236</f>
        <v>6804201</v>
      </c>
      <c r="B237" s="32" t="str">
        <f>'[2]Calc_Coef _18'!C236</f>
        <v>080450</v>
      </c>
      <c r="C237" s="32" t="str">
        <f>'[2]Calc_Coef _18'!AF236</f>
        <v>GOIABA</v>
      </c>
      <c r="D237" s="63">
        <f>'[2]Calc_Coef _18'!AG236</f>
        <v>89.5</v>
      </c>
      <c r="E237" s="63">
        <f>'[2]Calc_Coef _18'!AH236</f>
        <v>933.05512564940193</v>
      </c>
      <c r="F237" s="64">
        <f>'[2]Calc_Coef _18'!AI236</f>
        <v>4.8757736240913818</v>
      </c>
      <c r="G237" s="30"/>
      <c r="H237"/>
      <c r="I237"/>
    </row>
    <row r="238" spans="1:9" x14ac:dyDescent="0.25">
      <c r="A238" s="32">
        <f>'[2]Calc_Coef _18'!AE237</f>
        <v>6804203</v>
      </c>
      <c r="B238" s="32" t="str">
        <f>'[2]Calc_Coef _18'!C237</f>
        <v>081090</v>
      </c>
      <c r="C238" s="32" t="str">
        <f>'[2]Calc_Coef _18'!AF237</f>
        <v>ARACA ACU (GOIABA)</v>
      </c>
      <c r="D238" s="63">
        <f>'[2]Calc_Coef _18'!AG237</f>
        <v>586.5</v>
      </c>
      <c r="E238" s="63">
        <f>'[2]Calc_Coef _18'!AH237</f>
        <v>3921.118088006298</v>
      </c>
      <c r="F238" s="64">
        <f>'[2]Calc_Coef _18'!AI237</f>
        <v>4.0298141105216088</v>
      </c>
      <c r="G238" s="30"/>
      <c r="H238"/>
      <c r="I238"/>
    </row>
    <row r="239" spans="1:9" x14ac:dyDescent="0.25">
      <c r="A239" s="32">
        <f>'[2]Calc_Coef _18'!AE238</f>
        <v>6804301</v>
      </c>
      <c r="B239" s="32" t="str">
        <f>'[2]Calc_Coef _18'!C238</f>
        <v>080940</v>
      </c>
      <c r="C239" s="32" t="str">
        <f>'[2]Calc_Coef _18'!AF238</f>
        <v>AMEIXA</v>
      </c>
      <c r="D239" s="63">
        <f>'[2]Calc_Coef _18'!AG238</f>
        <v>367.8</v>
      </c>
      <c r="E239" s="63">
        <f>'[2]Calc_Coef _18'!AH238</f>
        <v>1384.7231421317958</v>
      </c>
      <c r="F239" s="64">
        <f>'[2]Calc_Coef _18'!AI238</f>
        <v>2.2429906542056073</v>
      </c>
      <c r="G239" s="30"/>
      <c r="H239"/>
      <c r="I239"/>
    </row>
    <row r="240" spans="1:9" x14ac:dyDescent="0.25">
      <c r="A240" s="32">
        <f>'[2]Calc_Coef _18'!AE239</f>
        <v>6804401</v>
      </c>
      <c r="B240" s="32" t="str">
        <f>'[2]Calc_Coef _18'!C239</f>
        <v>081090</v>
      </c>
      <c r="C240" s="32" t="str">
        <f>'[2]Calc_Coef _18'!AF239</f>
        <v>CAJU</v>
      </c>
      <c r="D240" s="63">
        <f>'[2]Calc_Coef _18'!AG239</f>
        <v>1440</v>
      </c>
      <c r="E240" s="63">
        <f>'[2]Calc_Coef _18'!AH239</f>
        <v>3921.118088006298</v>
      </c>
      <c r="F240" s="64">
        <f>'[2]Calc_Coef _18'!AI239</f>
        <v>4.0298141105216088</v>
      </c>
      <c r="G240" s="30"/>
      <c r="H240"/>
      <c r="I240"/>
    </row>
    <row r="241" spans="1:9" x14ac:dyDescent="0.25">
      <c r="A241" s="32">
        <f>'[2]Calc_Coef _18'!AE240</f>
        <v>6804501</v>
      </c>
      <c r="B241" s="32" t="str">
        <f>'[2]Calc_Coef _18'!C240</f>
        <v>080920</v>
      </c>
      <c r="C241" s="32" t="str">
        <f>'[2]Calc_Coef _18'!AF240</f>
        <v>CEREJA</v>
      </c>
      <c r="D241" s="63">
        <f>'[2]Calc_Coef _18'!AG240</f>
        <v>355</v>
      </c>
      <c r="E241" s="63">
        <f>'[2]Calc_Coef _18'!AH240</f>
        <v>1384.7231421317958</v>
      </c>
      <c r="F241" s="64">
        <f>'[2]Calc_Coef _18'!AI240</f>
        <v>4.9855140186915881</v>
      </c>
      <c r="G241" s="30"/>
      <c r="H241"/>
      <c r="I241"/>
    </row>
    <row r="242" spans="1:9" x14ac:dyDescent="0.25">
      <c r="A242" s="32">
        <f>'[2]Calc_Coef _18'!AE241</f>
        <v>6804601</v>
      </c>
      <c r="B242" s="32" t="str">
        <f>'[2]Calc_Coef _18'!C241</f>
        <v>081090</v>
      </c>
      <c r="C242" s="32" t="str">
        <f>'[2]Calc_Coef _18'!AF241</f>
        <v>CAJA MANGA</v>
      </c>
      <c r="D242" s="63">
        <f>'[2]Calc_Coef _18'!AG241</f>
        <v>586.5</v>
      </c>
      <c r="E242" s="63">
        <f>'[2]Calc_Coef _18'!AH241</f>
        <v>3921.118088006298</v>
      </c>
      <c r="F242" s="64">
        <f>'[2]Calc_Coef _18'!AI241</f>
        <v>4.0298141105216088</v>
      </c>
      <c r="G242" s="30"/>
      <c r="H242"/>
      <c r="I242"/>
    </row>
    <row r="243" spans="1:9" x14ac:dyDescent="0.25">
      <c r="A243" s="32">
        <f>'[2]Calc_Coef _18'!AE242</f>
        <v>6804602</v>
      </c>
      <c r="B243" s="32" t="str">
        <f>'[2]Calc_Coef _18'!C242</f>
        <v>081090</v>
      </c>
      <c r="C243" s="32" t="str">
        <f>'[2]Calc_Coef _18'!AF242</f>
        <v>CAJARANA</v>
      </c>
      <c r="D243" s="63">
        <f>'[2]Calc_Coef _18'!AG242</f>
        <v>586.5</v>
      </c>
      <c r="E243" s="63">
        <f>'[2]Calc_Coef _18'!AH242</f>
        <v>3921.118088006298</v>
      </c>
      <c r="F243" s="64">
        <f>'[2]Calc_Coef _18'!AI242</f>
        <v>4.0298141105216088</v>
      </c>
      <c r="G243" s="30"/>
      <c r="H243"/>
      <c r="I243"/>
    </row>
    <row r="244" spans="1:9" x14ac:dyDescent="0.25">
      <c r="A244" s="32">
        <f>'[2]Calc_Coef _18'!AE243</f>
        <v>6804701</v>
      </c>
      <c r="B244" s="32" t="str">
        <f>'[2]Calc_Coef _18'!C243</f>
        <v>081090</v>
      </c>
      <c r="C244" s="32" t="str">
        <f>'[2]Calc_Coef _18'!AF243</f>
        <v>TAPEREBA</v>
      </c>
      <c r="D244" s="63">
        <f>'[2]Calc_Coef _18'!AG243</f>
        <v>586.5</v>
      </c>
      <c r="E244" s="63">
        <f>'[2]Calc_Coef _18'!AH243</f>
        <v>3921.118088006298</v>
      </c>
      <c r="F244" s="64">
        <f>'[2]Calc_Coef _18'!AI243</f>
        <v>4.0298141105216088</v>
      </c>
      <c r="G244" s="30"/>
      <c r="H244"/>
      <c r="I244"/>
    </row>
    <row r="245" spans="1:9" x14ac:dyDescent="0.25">
      <c r="A245" s="32">
        <f>'[2]Calc_Coef _18'!AE244</f>
        <v>6804705</v>
      </c>
      <c r="B245" s="32" t="str">
        <f>'[2]Calc_Coef _18'!C244</f>
        <v>081090</v>
      </c>
      <c r="C245" s="32" t="str">
        <f>'[2]Calc_Coef _18'!AF244</f>
        <v>CAJA</v>
      </c>
      <c r="D245" s="63">
        <f>'[2]Calc_Coef _18'!AG244</f>
        <v>586.5</v>
      </c>
      <c r="E245" s="63">
        <f>'[2]Calc_Coef _18'!AH244</f>
        <v>3921.118088006298</v>
      </c>
      <c r="F245" s="64">
        <f>'[2]Calc_Coef _18'!AI244</f>
        <v>4.0298141105216088</v>
      </c>
      <c r="G245" s="30"/>
      <c r="H245"/>
      <c r="I245"/>
    </row>
    <row r="246" spans="1:9" x14ac:dyDescent="0.25">
      <c r="A246" s="32">
        <f>'[2]Calc_Coef _18'!AE245</f>
        <v>6804801</v>
      </c>
      <c r="B246" s="32" t="str">
        <f>'[2]Calc_Coef _18'!C245</f>
        <v>081090</v>
      </c>
      <c r="C246" s="32" t="str">
        <f>'[2]Calc_Coef _18'!AF245</f>
        <v>CARAMBOLA</v>
      </c>
      <c r="D246" s="63">
        <f>'[2]Calc_Coef _18'!AG245</f>
        <v>586.5</v>
      </c>
      <c r="E246" s="63">
        <f>'[2]Calc_Coef _18'!AH245</f>
        <v>3921.118088006298</v>
      </c>
      <c r="F246" s="64">
        <f>'[2]Calc_Coef _18'!AI245</f>
        <v>4.0298141105216088</v>
      </c>
      <c r="G246" s="30"/>
      <c r="H246"/>
      <c r="I246"/>
    </row>
    <row r="247" spans="1:9" x14ac:dyDescent="0.25">
      <c r="A247" s="32">
        <f>'[2]Calc_Coef _18'!AE246</f>
        <v>6804908</v>
      </c>
      <c r="B247" s="32" t="str">
        <f>'[2]Calc_Coef _18'!C246</f>
        <v>081090</v>
      </c>
      <c r="C247" s="32" t="str">
        <f>'[2]Calc_Coef _18'!AF246</f>
        <v>JABUTICABA / JABOTICABA</v>
      </c>
      <c r="D247" s="63">
        <f>'[2]Calc_Coef _18'!AG246</f>
        <v>586.5</v>
      </c>
      <c r="E247" s="63">
        <f>'[2]Calc_Coef _18'!AH246</f>
        <v>3921.118088006298</v>
      </c>
      <c r="F247" s="64">
        <f>'[2]Calc_Coef _18'!AI246</f>
        <v>4.0298141105216088</v>
      </c>
      <c r="G247" s="30"/>
      <c r="H247"/>
      <c r="I247"/>
    </row>
    <row r="248" spans="1:9" x14ac:dyDescent="0.25">
      <c r="A248" s="32">
        <f>'[2]Calc_Coef _18'!AE247</f>
        <v>6805001</v>
      </c>
      <c r="B248" s="32" t="str">
        <f>'[2]Calc_Coef _18'!C247</f>
        <v>081090</v>
      </c>
      <c r="C248" s="32" t="str">
        <f>'[2]Calc_Coef _18'!AF247</f>
        <v>GRAVIOLA</v>
      </c>
      <c r="D248" s="63">
        <f>'[2]Calc_Coef _18'!AG247</f>
        <v>586.5</v>
      </c>
      <c r="E248" s="63">
        <f>'[2]Calc_Coef _18'!AH247</f>
        <v>3921.118088006298</v>
      </c>
      <c r="F248" s="64">
        <f>'[2]Calc_Coef _18'!AI247</f>
        <v>4.0298141105216088</v>
      </c>
      <c r="G248" s="30"/>
      <c r="H248"/>
      <c r="I248"/>
    </row>
    <row r="249" spans="1:9" x14ac:dyDescent="0.25">
      <c r="A249" s="32">
        <f>'[2]Calc_Coef _18'!AE248</f>
        <v>6805101</v>
      </c>
      <c r="B249" s="32" t="str">
        <f>'[2]Calc_Coef _18'!C248</f>
        <v>081090</v>
      </c>
      <c r="C249" s="32" t="str">
        <f>'[2]Calc_Coef _18'!AF248</f>
        <v>ARATICUM</v>
      </c>
      <c r="D249" s="63">
        <f>'[2]Calc_Coef _18'!AG248</f>
        <v>586.5</v>
      </c>
      <c r="E249" s="63">
        <f>'[2]Calc_Coef _18'!AH248</f>
        <v>3921.118088006298</v>
      </c>
      <c r="F249" s="64">
        <f>'[2]Calc_Coef _18'!AI248</f>
        <v>4.0298141105216088</v>
      </c>
      <c r="G249" s="30"/>
      <c r="H249"/>
      <c r="I249"/>
    </row>
    <row r="250" spans="1:9" x14ac:dyDescent="0.25">
      <c r="A250" s="32">
        <f>'[2]Calc_Coef _18'!AE249</f>
        <v>6805201</v>
      </c>
      <c r="B250" s="32" t="str">
        <f>'[2]Calc_Coef _18'!C249</f>
        <v>081010</v>
      </c>
      <c r="C250" s="32" t="str">
        <f>'[2]Calc_Coef _18'!AF249</f>
        <v>MORANGO</v>
      </c>
      <c r="D250" s="63">
        <f>'[2]Calc_Coef _18'!AG249</f>
        <v>569.78593144560364</v>
      </c>
      <c r="E250" s="63">
        <f>'[2]Calc_Coef _18'!AH249</f>
        <v>520.60563378506049</v>
      </c>
      <c r="F250" s="64">
        <f>'[2]Calc_Coef _18'!AI249</f>
        <v>1.6</v>
      </c>
      <c r="G250" s="30"/>
      <c r="H250"/>
      <c r="I250"/>
    </row>
    <row r="251" spans="1:9" x14ac:dyDescent="0.25">
      <c r="A251" s="32">
        <f>'[2]Calc_Coef _18'!AE250</f>
        <v>6805301</v>
      </c>
      <c r="B251" s="32" t="str">
        <f>'[2]Calc_Coef _18'!C250</f>
        <v>081090</v>
      </c>
      <c r="C251" s="32" t="str">
        <f>'[2]Calc_Coef _18'!AF250</f>
        <v>JAMBO</v>
      </c>
      <c r="D251" s="63">
        <f>'[2]Calc_Coef _18'!AG250</f>
        <v>586.5</v>
      </c>
      <c r="E251" s="63">
        <f>'[2]Calc_Coef _18'!AH250</f>
        <v>3921.118088006298</v>
      </c>
      <c r="F251" s="64">
        <f>'[2]Calc_Coef _18'!AI250</f>
        <v>4.0298141105216088</v>
      </c>
      <c r="G251" s="30"/>
      <c r="H251"/>
      <c r="I251"/>
    </row>
    <row r="252" spans="1:9" x14ac:dyDescent="0.25">
      <c r="A252" s="32">
        <f>'[2]Calc_Coef _18'!AE251</f>
        <v>6805401</v>
      </c>
      <c r="B252" s="32" t="str">
        <f>'[2]Calc_Coef _18'!C251</f>
        <v>081090</v>
      </c>
      <c r="C252" s="32" t="str">
        <f>'[2]Calc_Coef _18'!AF251</f>
        <v>ATEMOIA</v>
      </c>
      <c r="D252" s="63">
        <f>'[2]Calc_Coef _18'!AG251</f>
        <v>586.5</v>
      </c>
      <c r="E252" s="63">
        <f>'[2]Calc_Coef _18'!AH251</f>
        <v>3921.118088006298</v>
      </c>
      <c r="F252" s="64">
        <f>'[2]Calc_Coef _18'!AI251</f>
        <v>4.0298141105216088</v>
      </c>
      <c r="G252" s="30"/>
      <c r="H252"/>
      <c r="I252"/>
    </row>
    <row r="253" spans="1:9" x14ac:dyDescent="0.25">
      <c r="A253" s="32">
        <f>'[2]Calc_Coef _18'!AE252</f>
        <v>6805501</v>
      </c>
      <c r="B253" s="32" t="str">
        <f>'[2]Calc_Coef _18'!C252</f>
        <v>081090</v>
      </c>
      <c r="C253" s="32" t="str">
        <f>'[2]Calc_Coef _18'!AF252</f>
        <v>GROSELHA</v>
      </c>
      <c r="D253" s="63">
        <f>'[2]Calc_Coef _18'!AG252</f>
        <v>586.5</v>
      </c>
      <c r="E253" s="63">
        <f>'[2]Calc_Coef _18'!AH252</f>
        <v>3921.118088006298</v>
      </c>
      <c r="F253" s="64">
        <f>'[2]Calc_Coef _18'!AI252</f>
        <v>4.0298141105216088</v>
      </c>
      <c r="G253" s="30"/>
      <c r="H253"/>
      <c r="I253"/>
    </row>
    <row r="254" spans="1:9" x14ac:dyDescent="0.25">
      <c r="A254" s="32">
        <f>'[2]Calc_Coef _18'!AE253</f>
        <v>6805601</v>
      </c>
      <c r="B254" s="32" t="str">
        <f>'[2]Calc_Coef _18'!C253</f>
        <v>081090</v>
      </c>
      <c r="C254" s="32" t="str">
        <f>'[2]Calc_Coef _18'!AF253</f>
        <v>MANGABA</v>
      </c>
      <c r="D254" s="63">
        <f>'[2]Calc_Coef _18'!AG253</f>
        <v>586.5</v>
      </c>
      <c r="E254" s="63">
        <f>'[2]Calc_Coef _18'!AH253</f>
        <v>3921.118088006298</v>
      </c>
      <c r="F254" s="64">
        <f>'[2]Calc_Coef _18'!AI253</f>
        <v>4.0298141105216088</v>
      </c>
      <c r="G254" s="30"/>
      <c r="H254"/>
      <c r="I254"/>
    </row>
    <row r="255" spans="1:9" x14ac:dyDescent="0.25">
      <c r="A255" s="32">
        <f>'[2]Calc_Coef _18'!AE254</f>
        <v>6805701</v>
      </c>
      <c r="B255" s="32" t="str">
        <f>'[2]Calc_Coef _18'!C254</f>
        <v>081090</v>
      </c>
      <c r="C255" s="32" t="str">
        <f>'[2]Calc_Coef _18'!AF254</f>
        <v>ARACA</v>
      </c>
      <c r="D255" s="63">
        <f>'[2]Calc_Coef _18'!AG254</f>
        <v>586.5</v>
      </c>
      <c r="E255" s="63">
        <f>'[2]Calc_Coef _18'!AH254</f>
        <v>3921.118088006298</v>
      </c>
      <c r="F255" s="64">
        <f>'[2]Calc_Coef _18'!AI254</f>
        <v>4.0298141105216088</v>
      </c>
      <c r="G255" s="30"/>
      <c r="H255"/>
      <c r="I255"/>
    </row>
    <row r="256" spans="1:9" x14ac:dyDescent="0.25">
      <c r="A256" s="32">
        <f>'[2]Calc_Coef _18'!AE255</f>
        <v>6805901</v>
      </c>
      <c r="B256" s="32" t="str">
        <f>'[2]Calc_Coef _18'!C255</f>
        <v>081090</v>
      </c>
      <c r="C256" s="32" t="str">
        <f>'[2]Calc_Coef _18'!AF255</f>
        <v>FRUTA PAO</v>
      </c>
      <c r="D256" s="63">
        <f>'[2]Calc_Coef _18'!AG255</f>
        <v>586.5</v>
      </c>
      <c r="E256" s="63">
        <f>'[2]Calc_Coef _18'!AH255</f>
        <v>3921.118088006298</v>
      </c>
      <c r="F256" s="64">
        <f>'[2]Calc_Coef _18'!AI255</f>
        <v>4.0298141105216088</v>
      </c>
      <c r="G256" s="30"/>
      <c r="H256"/>
      <c r="I256"/>
    </row>
    <row r="257" spans="1:9" x14ac:dyDescent="0.25">
      <c r="A257" s="32">
        <f>'[2]Calc_Coef _18'!AE256</f>
        <v>6806001</v>
      </c>
      <c r="B257" s="32" t="str">
        <f>'[2]Calc_Coef _18'!C256</f>
        <v>081090</v>
      </c>
      <c r="C257" s="32" t="str">
        <f>'[2]Calc_Coef _18'!AF256</f>
        <v>SAPOTI</v>
      </c>
      <c r="D257" s="63">
        <f>'[2]Calc_Coef _18'!AG256</f>
        <v>586.5</v>
      </c>
      <c r="E257" s="63">
        <f>'[2]Calc_Coef _18'!AH256</f>
        <v>3921.118088006298</v>
      </c>
      <c r="F257" s="64">
        <f>'[2]Calc_Coef _18'!AI256</f>
        <v>4.0298141105216088</v>
      </c>
      <c r="G257" s="30"/>
      <c r="H257"/>
      <c r="I257"/>
    </row>
    <row r="258" spans="1:9" x14ac:dyDescent="0.25">
      <c r="A258" s="32">
        <f>'[2]Calc_Coef _18'!AE257</f>
        <v>6806101</v>
      </c>
      <c r="B258" s="32" t="str">
        <f>'[2]Calc_Coef _18'!C257</f>
        <v>081090</v>
      </c>
      <c r="C258" s="32" t="str">
        <f>'[2]Calc_Coef _18'!AF257</f>
        <v>UXI</v>
      </c>
      <c r="D258" s="63">
        <f>'[2]Calc_Coef _18'!AG257</f>
        <v>586.5</v>
      </c>
      <c r="E258" s="63">
        <f>'[2]Calc_Coef _18'!AH257</f>
        <v>3921.118088006298</v>
      </c>
      <c r="F258" s="64">
        <f>'[2]Calc_Coef _18'!AI257</f>
        <v>4.0298141105216088</v>
      </c>
      <c r="G258" s="30"/>
      <c r="H258"/>
      <c r="I258"/>
    </row>
    <row r="259" spans="1:9" x14ac:dyDescent="0.25">
      <c r="A259" s="32">
        <f>'[2]Calc_Coef _18'!AE258</f>
        <v>6806201</v>
      </c>
      <c r="B259" s="32" t="str">
        <f>'[2]Calc_Coef _18'!C258</f>
        <v>081090</v>
      </c>
      <c r="C259" s="32" t="str">
        <f>'[2]Calc_Coef _18'!AF258</f>
        <v>TAMARINDO</v>
      </c>
      <c r="D259" s="63">
        <f>'[2]Calc_Coef _18'!AG258</f>
        <v>586.5</v>
      </c>
      <c r="E259" s="63">
        <f>'[2]Calc_Coef _18'!AH258</f>
        <v>3921.118088006298</v>
      </c>
      <c r="F259" s="64">
        <f>'[2]Calc_Coef _18'!AI258</f>
        <v>4.0298141105216088</v>
      </c>
      <c r="G259" s="30"/>
      <c r="H259"/>
      <c r="I259"/>
    </row>
    <row r="260" spans="1:9" x14ac:dyDescent="0.25">
      <c r="A260" s="32">
        <f>'[2]Calc_Coef _18'!AE259</f>
        <v>6806301</v>
      </c>
      <c r="B260" s="32" t="str">
        <f>'[2]Calc_Coef _18'!C259</f>
        <v>180100</v>
      </c>
      <c r="C260" s="32" t="str">
        <f>'[2]Calc_Coef _18'!AF259</f>
        <v>CACAU</v>
      </c>
      <c r="D260" s="63">
        <f>'[2]Calc_Coef _18'!AG259</f>
        <v>3100</v>
      </c>
      <c r="E260" s="63">
        <f>'[2]Calc_Coef _18'!AH259</f>
        <v>30989.752514303607</v>
      </c>
      <c r="F260" s="64">
        <f>'[2]Calc_Coef _18'!AI259</f>
        <v>46</v>
      </c>
      <c r="G260" s="30"/>
      <c r="H260"/>
      <c r="I260"/>
    </row>
    <row r="261" spans="1:9" x14ac:dyDescent="0.25">
      <c r="A261" s="32">
        <f>'[2]Calc_Coef _18'!AE260</f>
        <v>6806401</v>
      </c>
      <c r="B261" s="32" t="str">
        <f>'[2]Calc_Coef _18'!C260</f>
        <v>081090</v>
      </c>
      <c r="C261" s="32" t="str">
        <f>'[2]Calc_Coef _18'!AF260</f>
        <v>PITOMBA</v>
      </c>
      <c r="D261" s="63">
        <f>'[2]Calc_Coef _18'!AG260</f>
        <v>586.5</v>
      </c>
      <c r="E261" s="63">
        <f>'[2]Calc_Coef _18'!AH260</f>
        <v>3921.118088006298</v>
      </c>
      <c r="F261" s="64">
        <f>'[2]Calc_Coef _18'!AI260</f>
        <v>4.0298141105216088</v>
      </c>
      <c r="G261" s="30"/>
      <c r="H261"/>
      <c r="I261"/>
    </row>
    <row r="262" spans="1:9" x14ac:dyDescent="0.25">
      <c r="A262" s="32">
        <f>'[2]Calc_Coef _18'!AE261</f>
        <v>6806501</v>
      </c>
      <c r="B262" s="32" t="str">
        <f>'[2]Calc_Coef _18'!C261</f>
        <v>081090</v>
      </c>
      <c r="C262" s="32" t="str">
        <f>'[2]Calc_Coef _18'!AF261</f>
        <v>BACURI</v>
      </c>
      <c r="D262" s="63">
        <f>'[2]Calc_Coef _18'!AG261</f>
        <v>586.5</v>
      </c>
      <c r="E262" s="63">
        <f>'[2]Calc_Coef _18'!AH261</f>
        <v>3921.118088006298</v>
      </c>
      <c r="F262" s="64">
        <f>'[2]Calc_Coef _18'!AI261</f>
        <v>4.0298141105216088</v>
      </c>
      <c r="G262" s="30"/>
      <c r="H262"/>
      <c r="I262"/>
    </row>
    <row r="263" spans="1:9" x14ac:dyDescent="0.25">
      <c r="A263" s="32">
        <f>'[2]Calc_Coef _18'!AE262</f>
        <v>6806601</v>
      </c>
      <c r="B263" s="32" t="str">
        <f>'[2]Calc_Coef _18'!C262</f>
        <v>081090</v>
      </c>
      <c r="C263" s="32" t="str">
        <f>'[2]Calc_Coef _18'!AF262</f>
        <v>INGA</v>
      </c>
      <c r="D263" s="63">
        <f>'[2]Calc_Coef _18'!AG262</f>
        <v>586.5</v>
      </c>
      <c r="E263" s="63">
        <f>'[2]Calc_Coef _18'!AH262</f>
        <v>3921.118088006298</v>
      </c>
      <c r="F263" s="64">
        <f>'[2]Calc_Coef _18'!AI262</f>
        <v>4.0298141105216088</v>
      </c>
      <c r="G263" s="30"/>
      <c r="H263"/>
      <c r="I263"/>
    </row>
    <row r="264" spans="1:9" x14ac:dyDescent="0.25">
      <c r="A264" s="32">
        <f>'[2]Calc_Coef _18'!AE263</f>
        <v>6806701</v>
      </c>
      <c r="B264" s="32" t="str">
        <f>'[2]Calc_Coef _18'!C263</f>
        <v>081090</v>
      </c>
      <c r="C264" s="32" t="str">
        <f>'[2]Calc_Coef _18'!AF263</f>
        <v>PEQUI</v>
      </c>
      <c r="D264" s="63">
        <f>'[2]Calc_Coef _18'!AG263</f>
        <v>586.5</v>
      </c>
      <c r="E264" s="63">
        <f>'[2]Calc_Coef _18'!AH263</f>
        <v>3921.118088006298</v>
      </c>
      <c r="F264" s="64">
        <f>'[2]Calc_Coef _18'!AI263</f>
        <v>4.0298141105216088</v>
      </c>
      <c r="G264" s="30"/>
      <c r="H264"/>
      <c r="I264"/>
    </row>
    <row r="265" spans="1:9" x14ac:dyDescent="0.25">
      <c r="A265" s="32">
        <f>'[2]Calc_Coef _18'!AE264</f>
        <v>6806704</v>
      </c>
      <c r="B265" s="32" t="str">
        <f>'[2]Calc_Coef _18'!C264</f>
        <v>081090</v>
      </c>
      <c r="C265" s="32" t="str">
        <f>'[2]Calc_Coef _18'!AF264</f>
        <v>PIQUIA</v>
      </c>
      <c r="D265" s="63">
        <f>'[2]Calc_Coef _18'!AG264</f>
        <v>586.5</v>
      </c>
      <c r="E265" s="63">
        <f>'[2]Calc_Coef _18'!AH264</f>
        <v>3921.118088006298</v>
      </c>
      <c r="F265" s="64">
        <f>'[2]Calc_Coef _18'!AI264</f>
        <v>4.0298141105216088</v>
      </c>
      <c r="G265" s="30"/>
      <c r="H265"/>
      <c r="I265"/>
    </row>
    <row r="266" spans="1:9" x14ac:dyDescent="0.25">
      <c r="A266" s="32">
        <f>'[2]Calc_Coef _18'!AE265</f>
        <v>6806801</v>
      </c>
      <c r="B266" s="32" t="str">
        <f>'[2]Calc_Coef _18'!C265</f>
        <v>081090</v>
      </c>
      <c r="C266" s="32" t="str">
        <f>'[2]Calc_Coef _18'!AF265</f>
        <v>PITANGA</v>
      </c>
      <c r="D266" s="63">
        <f>'[2]Calc_Coef _18'!AG265</f>
        <v>586.5</v>
      </c>
      <c r="E266" s="63">
        <f>'[2]Calc_Coef _18'!AH265</f>
        <v>3921.118088006298</v>
      </c>
      <c r="F266" s="64">
        <f>'[2]Calc_Coef _18'!AI265</f>
        <v>4.0298141105216088</v>
      </c>
      <c r="G266" s="30"/>
      <c r="H266"/>
      <c r="I266"/>
    </row>
    <row r="267" spans="1:9" x14ac:dyDescent="0.25">
      <c r="A267" s="32">
        <f>'[2]Calc_Coef _18'!AE266</f>
        <v>6806901</v>
      </c>
      <c r="B267" s="32" t="str">
        <f>'[2]Calc_Coef _18'!C266</f>
        <v>081090</v>
      </c>
      <c r="C267" s="32" t="str">
        <f>'[2]Calc_Coef _18'!AF266</f>
        <v>CIRIGUELA</v>
      </c>
      <c r="D267" s="63">
        <f>'[2]Calc_Coef _18'!AG266</f>
        <v>586.5</v>
      </c>
      <c r="E267" s="63">
        <f>'[2]Calc_Coef _18'!AH266</f>
        <v>3921.118088006298</v>
      </c>
      <c r="F267" s="64">
        <f>'[2]Calc_Coef _18'!AI266</f>
        <v>4.0298141105216088</v>
      </c>
      <c r="G267" s="30"/>
      <c r="H267"/>
      <c r="I267"/>
    </row>
    <row r="268" spans="1:9" x14ac:dyDescent="0.25">
      <c r="A268" s="32">
        <f>'[2]Calc_Coef _18'!AE267</f>
        <v>6806902</v>
      </c>
      <c r="B268" s="32" t="str">
        <f>'[2]Calc_Coef _18'!C267</f>
        <v>081090</v>
      </c>
      <c r="C268" s="32" t="str">
        <f>'[2]Calc_Coef _18'!AF267</f>
        <v>CERIGUELA / SERIGUELA / SIRIGUELA</v>
      </c>
      <c r="D268" s="63">
        <f>'[2]Calc_Coef _18'!AG267</f>
        <v>586.5</v>
      </c>
      <c r="E268" s="63">
        <f>'[2]Calc_Coef _18'!AH267</f>
        <v>3921.118088006298</v>
      </c>
      <c r="F268" s="64">
        <f>'[2]Calc_Coef _18'!AI267</f>
        <v>4.0298141105216088</v>
      </c>
      <c r="G268" s="30"/>
      <c r="H268"/>
      <c r="I268"/>
    </row>
    <row r="269" spans="1:9" x14ac:dyDescent="0.25">
      <c r="A269" s="32">
        <f>'[2]Calc_Coef _18'!AE268</f>
        <v>6807001</v>
      </c>
      <c r="B269" s="32" t="str">
        <f>'[2]Calc_Coef _18'!C268</f>
        <v>081090</v>
      </c>
      <c r="C269" s="32" t="str">
        <f>'[2]Calc_Coef _18'!AF268</f>
        <v>MURICI</v>
      </c>
      <c r="D269" s="63">
        <f>'[2]Calc_Coef _18'!AG268</f>
        <v>586.5</v>
      </c>
      <c r="E269" s="63">
        <f>'[2]Calc_Coef _18'!AH268</f>
        <v>3921.118088006298</v>
      </c>
      <c r="F269" s="64">
        <f>'[2]Calc_Coef _18'!AI268</f>
        <v>4.0298141105216088</v>
      </c>
      <c r="G269" s="30"/>
      <c r="H269"/>
      <c r="I269"/>
    </row>
    <row r="270" spans="1:9" x14ac:dyDescent="0.25">
      <c r="A270" s="32">
        <f>'[2]Calc_Coef _18'!AE269</f>
        <v>6807101</v>
      </c>
      <c r="B270" s="32" t="str">
        <f>'[2]Calc_Coef _18'!C269</f>
        <v>081090</v>
      </c>
      <c r="C270" s="32" t="str">
        <f>'[2]Calc_Coef _18'!AF269</f>
        <v>UMBU</v>
      </c>
      <c r="D270" s="63">
        <f>'[2]Calc_Coef _18'!AG269</f>
        <v>586.5</v>
      </c>
      <c r="E270" s="63">
        <f>'[2]Calc_Coef _18'!AH269</f>
        <v>3921.118088006298</v>
      </c>
      <c r="F270" s="64">
        <f>'[2]Calc_Coef _18'!AI269</f>
        <v>4.0298141105216088</v>
      </c>
      <c r="G270" s="30"/>
      <c r="H270"/>
      <c r="I270"/>
    </row>
    <row r="271" spans="1:9" x14ac:dyDescent="0.25">
      <c r="A271" s="32">
        <f>'[2]Calc_Coef _18'!AE270</f>
        <v>6807202</v>
      </c>
      <c r="B271" s="32" t="str">
        <f>'[2]Calc_Coef _18'!C270</f>
        <v>081090</v>
      </c>
      <c r="C271" s="32" t="str">
        <f>'[2]Calc_Coef _18'!AF270</f>
        <v>BIRIBA</v>
      </c>
      <c r="D271" s="63">
        <f>'[2]Calc_Coef _18'!AG270</f>
        <v>586.5</v>
      </c>
      <c r="E271" s="63">
        <f>'[2]Calc_Coef _18'!AH270</f>
        <v>3921.118088006298</v>
      </c>
      <c r="F271" s="64">
        <f>'[2]Calc_Coef _18'!AI270</f>
        <v>4.0298141105216088</v>
      </c>
      <c r="G271" s="30"/>
      <c r="H271"/>
      <c r="I271"/>
    </row>
    <row r="272" spans="1:9" x14ac:dyDescent="0.25">
      <c r="A272" s="32">
        <f>'[2]Calc_Coef _18'!AE271</f>
        <v>6807301</v>
      </c>
      <c r="B272" s="32" t="str">
        <f>'[2]Calc_Coef _18'!C271</f>
        <v>081090</v>
      </c>
      <c r="C272" s="32" t="str">
        <f>'[2]Calc_Coef _18'!AF271</f>
        <v>CUPUACU</v>
      </c>
      <c r="D272" s="63">
        <f>'[2]Calc_Coef _18'!AG271</f>
        <v>586.5</v>
      </c>
      <c r="E272" s="63">
        <f>'[2]Calc_Coef _18'!AH271</f>
        <v>3921.118088006298</v>
      </c>
      <c r="F272" s="64">
        <f>'[2]Calc_Coef _18'!AI271</f>
        <v>4.0298141105216088</v>
      </c>
      <c r="G272" s="30"/>
      <c r="H272"/>
      <c r="I272"/>
    </row>
    <row r="273" spans="1:9" x14ac:dyDescent="0.25">
      <c r="A273" s="32">
        <f>'[2]Calc_Coef _18'!AE272</f>
        <v>6807401</v>
      </c>
      <c r="B273" s="32" t="str">
        <f>'[2]Calc_Coef _18'!C272</f>
        <v>080930</v>
      </c>
      <c r="C273" s="32" t="str">
        <f>'[2]Calc_Coef _18'!AF272</f>
        <v>NECTARINA</v>
      </c>
      <c r="D273" s="63">
        <f>'[2]Calc_Coef _18'!AG272</f>
        <v>376.33333333333331</v>
      </c>
      <c r="E273" s="63">
        <f>'[2]Calc_Coef _18'!AH272</f>
        <v>1384.7231421317958</v>
      </c>
      <c r="F273" s="64">
        <f>'[2]Calc_Coef _18'!AI272</f>
        <v>5.8996884735202491</v>
      </c>
      <c r="G273" s="30"/>
      <c r="H273"/>
      <c r="I273"/>
    </row>
    <row r="274" spans="1:9" x14ac:dyDescent="0.25">
      <c r="A274" s="32">
        <f>'[2]Calc_Coef _18'!AE273</f>
        <v>6807501</v>
      </c>
      <c r="B274" s="32" t="str">
        <f>'[2]Calc_Coef _18'!C273</f>
        <v>081090</v>
      </c>
      <c r="C274" s="32" t="str">
        <f>'[2]Calc_Coef _18'!AF273</f>
        <v>MARI</v>
      </c>
      <c r="D274" s="63">
        <f>'[2]Calc_Coef _18'!AG273</f>
        <v>586.5</v>
      </c>
      <c r="E274" s="63">
        <f>'[2]Calc_Coef _18'!AH273</f>
        <v>3921.118088006298</v>
      </c>
      <c r="F274" s="64">
        <f>'[2]Calc_Coef _18'!AI273</f>
        <v>4.0298141105216088</v>
      </c>
      <c r="G274" s="30"/>
      <c r="H274"/>
      <c r="I274"/>
    </row>
    <row r="275" spans="1:9" x14ac:dyDescent="0.25">
      <c r="A275" s="32">
        <f>'[2]Calc_Coef _18'!AE274</f>
        <v>6807701</v>
      </c>
      <c r="B275" s="32" t="str">
        <f>'[2]Calc_Coef _18'!C274</f>
        <v>081090</v>
      </c>
      <c r="C275" s="32" t="str">
        <f>'[2]Calc_Coef _18'!AF274</f>
        <v>ACEROLA</v>
      </c>
      <c r="D275" s="63">
        <f>'[2]Calc_Coef _18'!AG274</f>
        <v>586.5</v>
      </c>
      <c r="E275" s="63">
        <f>'[2]Calc_Coef _18'!AH274</f>
        <v>3921.118088006298</v>
      </c>
      <c r="F275" s="64">
        <f>'[2]Calc_Coef _18'!AI274</f>
        <v>4.0298141105216088</v>
      </c>
      <c r="G275" s="30"/>
      <c r="H275"/>
      <c r="I275"/>
    </row>
    <row r="276" spans="1:9" x14ac:dyDescent="0.25">
      <c r="A276" s="32">
        <f>'[2]Calc_Coef _18'!AE275</f>
        <v>6807801</v>
      </c>
      <c r="B276" s="32" t="str">
        <f>'[2]Calc_Coef _18'!C275</f>
        <v>081050</v>
      </c>
      <c r="C276" s="32" t="str">
        <f>'[2]Calc_Coef _18'!AF275</f>
        <v>KIWI</v>
      </c>
      <c r="D276" s="63">
        <f>'[2]Calc_Coef _18'!AG275</f>
        <v>1328.25</v>
      </c>
      <c r="E276" s="63">
        <f>'[2]Calc_Coef _18'!AH275</f>
        <v>1200.7081246293078</v>
      </c>
      <c r="F276" s="64">
        <f>'[2]Calc_Coef _18'!AI275</f>
        <v>2.4926635514018693</v>
      </c>
      <c r="G276" s="30"/>
      <c r="H276"/>
      <c r="I276"/>
    </row>
    <row r="277" spans="1:9" x14ac:dyDescent="0.25">
      <c r="A277" s="32">
        <f>'[2]Calc_Coef _18'!AE276</f>
        <v>6808001</v>
      </c>
      <c r="B277" s="32" t="str">
        <f>'[2]Calc_Coef _18'!C276</f>
        <v>081090</v>
      </c>
      <c r="C277" s="32" t="str">
        <f>'[2]Calc_Coef _18'!AF276</f>
        <v>ABIU</v>
      </c>
      <c r="D277" s="63">
        <f>'[2]Calc_Coef _18'!AG276</f>
        <v>586.5</v>
      </c>
      <c r="E277" s="63">
        <f>'[2]Calc_Coef _18'!AH276</f>
        <v>3921.118088006298</v>
      </c>
      <c r="F277" s="64">
        <f>'[2]Calc_Coef _18'!AI276</f>
        <v>4.0298141105216088</v>
      </c>
      <c r="G277" s="30"/>
      <c r="H277"/>
      <c r="I277"/>
    </row>
    <row r="278" spans="1:9" x14ac:dyDescent="0.25">
      <c r="A278" s="32">
        <f>'[2]Calc_Coef _18'!AE277</f>
        <v>6808101</v>
      </c>
      <c r="B278" s="32" t="str">
        <f>'[2]Calc_Coef _18'!C277</f>
        <v>081090</v>
      </c>
      <c r="C278" s="32" t="str">
        <f>'[2]Calc_Coef _18'!AF277</f>
        <v>ABRICO</v>
      </c>
      <c r="D278" s="63">
        <f>'[2]Calc_Coef _18'!AG277</f>
        <v>586.5</v>
      </c>
      <c r="E278" s="63">
        <f>'[2]Calc_Coef _18'!AH277</f>
        <v>3921.118088006298</v>
      </c>
      <c r="F278" s="64">
        <f>'[2]Calc_Coef _18'!AI277</f>
        <v>4.0298141105216088</v>
      </c>
      <c r="G278" s="30"/>
      <c r="H278"/>
      <c r="I278"/>
    </row>
    <row r="279" spans="1:9" x14ac:dyDescent="0.25">
      <c r="A279" s="32">
        <f>'[2]Calc_Coef _18'!AE278</f>
        <v>6808201</v>
      </c>
      <c r="B279" s="32" t="str">
        <f>'[2]Calc_Coef _18'!C278</f>
        <v>081090</v>
      </c>
      <c r="C279" s="32" t="str">
        <f>'[2]Calc_Coef _18'!AF278</f>
        <v>JURUBEBA</v>
      </c>
      <c r="D279" s="63">
        <f>'[2]Calc_Coef _18'!AG278</f>
        <v>586.5</v>
      </c>
      <c r="E279" s="63">
        <f>'[2]Calc_Coef _18'!AH278</f>
        <v>3921.118088006298</v>
      </c>
      <c r="F279" s="64">
        <f>'[2]Calc_Coef _18'!AI278</f>
        <v>4.0298141105216088</v>
      </c>
      <c r="G279" s="30"/>
      <c r="H279"/>
      <c r="I279"/>
    </row>
    <row r="280" spans="1:9" x14ac:dyDescent="0.25">
      <c r="A280" s="32">
        <f>'[2]Calc_Coef _18'!AE279</f>
        <v>6808401</v>
      </c>
      <c r="B280" s="32" t="str">
        <f>'[2]Calc_Coef _18'!C279</f>
        <v>081090</v>
      </c>
      <c r="C280" s="32" t="str">
        <f>'[2]Calc_Coef _18'!AF279</f>
        <v>FRUTA (NÃO ESPECIFICADA)</v>
      </c>
      <c r="D280" s="63">
        <f>'[2]Calc_Coef _18'!AG279</f>
        <v>864.5</v>
      </c>
      <c r="E280" s="63">
        <f>'[2]Calc_Coef _18'!AH279</f>
        <v>3921.118088006298</v>
      </c>
      <c r="F280" s="64">
        <f>'[2]Calc_Coef _18'!AI279</f>
        <v>4.0298141105216088</v>
      </c>
      <c r="G280" s="30"/>
      <c r="H280"/>
      <c r="I280"/>
    </row>
    <row r="281" spans="1:9" x14ac:dyDescent="0.25">
      <c r="A281" s="32">
        <f>'[2]Calc_Coef _18'!AE280</f>
        <v>6809901</v>
      </c>
      <c r="B281" s="32" t="str">
        <f>'[2]Calc_Coef _18'!C280</f>
        <v>081090</v>
      </c>
      <c r="C281" s="32" t="str">
        <f>'[2]Calc_Coef _18'!AF280</f>
        <v>AMORA</v>
      </c>
      <c r="D281" s="63">
        <f>'[2]Calc_Coef _18'!AG280</f>
        <v>170</v>
      </c>
      <c r="E281" s="63">
        <f>'[2]Calc_Coef _18'!AH280</f>
        <v>3921.118088006298</v>
      </c>
      <c r="F281" s="64">
        <f>'[2]Calc_Coef _18'!AI280</f>
        <v>4.0298141105216088</v>
      </c>
      <c r="G281" s="30"/>
      <c r="H281"/>
      <c r="I281"/>
    </row>
    <row r="282" spans="1:9" x14ac:dyDescent="0.25">
      <c r="A282" s="32">
        <f>'[2]Calc_Coef _18'!AE281</f>
        <v>6810001</v>
      </c>
      <c r="B282" s="32" t="str">
        <f>'[2]Calc_Coef _18'!C281</f>
        <v>081090</v>
      </c>
      <c r="C282" s="32" t="str">
        <f>'[2]Calc_Coef _18'!AF281</f>
        <v>LICHIA</v>
      </c>
      <c r="D282" s="63">
        <f>'[2]Calc_Coef _18'!AG281</f>
        <v>586.5</v>
      </c>
      <c r="E282" s="63">
        <f>'[2]Calc_Coef _18'!AH281</f>
        <v>3921.118088006298</v>
      </c>
      <c r="F282" s="64">
        <f>'[2]Calc_Coef _18'!AI281</f>
        <v>4.0298141105216088</v>
      </c>
      <c r="G282" s="30"/>
      <c r="H282"/>
      <c r="I282"/>
    </row>
    <row r="283" spans="1:9" x14ac:dyDescent="0.25">
      <c r="A283" s="32">
        <f>'[2]Calc_Coef _18'!AE282</f>
        <v>6810201</v>
      </c>
      <c r="B283" s="32" t="str">
        <f>'[2]Calc_Coef _18'!C282</f>
        <v>081090</v>
      </c>
      <c r="C283" s="32" t="str">
        <f>'[2]Calc_Coef _18'!AF282</f>
        <v>JAMELAO (JAMBURAO)</v>
      </c>
      <c r="D283" s="63">
        <f>'[2]Calc_Coef _18'!AG282</f>
        <v>586.5</v>
      </c>
      <c r="E283" s="63">
        <f>'[2]Calc_Coef _18'!AH282</f>
        <v>3921.118088006298</v>
      </c>
      <c r="F283" s="64">
        <f>'[2]Calc_Coef _18'!AI282</f>
        <v>4.0298141105216088</v>
      </c>
      <c r="G283" s="30"/>
      <c r="H283"/>
      <c r="I283"/>
    </row>
    <row r="284" spans="1:9" x14ac:dyDescent="0.25">
      <c r="A284" s="32">
        <f>'[2]Calc_Coef _18'!AE283</f>
        <v>6810402</v>
      </c>
      <c r="B284" s="32" t="str">
        <f>'[2]Calc_Coef _18'!C283</f>
        <v>081090</v>
      </c>
      <c r="C284" s="32" t="str">
        <f>'[2]Calc_Coef _18'!AF283</f>
        <v>FISALIS</v>
      </c>
      <c r="D284" s="63">
        <f>'[2]Calc_Coef _18'!AG283</f>
        <v>586.5</v>
      </c>
      <c r="E284" s="63">
        <f>'[2]Calc_Coef _18'!AH283</f>
        <v>3921.118088006298</v>
      </c>
      <c r="F284" s="64">
        <f>'[2]Calc_Coef _18'!AI283</f>
        <v>4.0298141105216088</v>
      </c>
      <c r="G284" s="30"/>
      <c r="H284"/>
      <c r="I284"/>
    </row>
    <row r="285" spans="1:9" x14ac:dyDescent="0.25">
      <c r="A285" s="32">
        <f>'[2]Calc_Coef _18'!AE284</f>
        <v>6810501</v>
      </c>
      <c r="B285" s="32" t="str">
        <f>'[2]Calc_Coef _18'!C284</f>
        <v>081090</v>
      </c>
      <c r="C285" s="32" t="str">
        <f>'[2]Calc_Coef _18'!AF284</f>
        <v>CRANBERRY</v>
      </c>
      <c r="D285" s="63">
        <f>'[2]Calc_Coef _18'!AG284</f>
        <v>586.5</v>
      </c>
      <c r="E285" s="63">
        <f>'[2]Calc_Coef _18'!AH284</f>
        <v>3921.118088006298</v>
      </c>
      <c r="F285" s="64">
        <f>'[2]Calc_Coef _18'!AI284</f>
        <v>4.0298141105216088</v>
      </c>
      <c r="G285" s="30"/>
      <c r="H285"/>
      <c r="I285"/>
    </row>
    <row r="286" spans="1:9" x14ac:dyDescent="0.25">
      <c r="A286" s="32">
        <f>'[2]Calc_Coef _18'!AE285</f>
        <v>6810901</v>
      </c>
      <c r="B286" s="32" t="str">
        <f>'[2]Calc_Coef _18'!C285</f>
        <v>081090</v>
      </c>
      <c r="C286" s="32" t="str">
        <f>'[2]Calc_Coef _18'!AF285</f>
        <v>TAMARA</v>
      </c>
      <c r="D286" s="63">
        <f>'[2]Calc_Coef _18'!AG285</f>
        <v>586.5</v>
      </c>
      <c r="E286" s="63">
        <f>'[2]Calc_Coef _18'!AH285</f>
        <v>3921.118088006298</v>
      </c>
      <c r="F286" s="64">
        <f>'[2]Calc_Coef _18'!AI285</f>
        <v>4.0298141105216088</v>
      </c>
      <c r="G286" s="30"/>
      <c r="H286"/>
      <c r="I286"/>
    </row>
    <row r="287" spans="1:9" x14ac:dyDescent="0.25">
      <c r="A287" s="32">
        <f>'[2]Calc_Coef _18'!AE286</f>
        <v>6811001</v>
      </c>
      <c r="B287" s="32" t="str">
        <f>'[2]Calc_Coef _18'!C286</f>
        <v>081090</v>
      </c>
      <c r="C287" s="32" t="str">
        <f>'[2]Calc_Coef _18'!AF286</f>
        <v>DAMASCO</v>
      </c>
      <c r="D287" s="63">
        <f>'[2]Calc_Coef _18'!AG286</f>
        <v>586.5</v>
      </c>
      <c r="E287" s="63">
        <f>'[2]Calc_Coef _18'!AH286</f>
        <v>3921.118088006298</v>
      </c>
      <c r="F287" s="64">
        <f>'[2]Calc_Coef _18'!AI286</f>
        <v>4.0298141105216088</v>
      </c>
      <c r="G287" s="30"/>
      <c r="H287"/>
      <c r="I287"/>
    </row>
    <row r="288" spans="1:9" x14ac:dyDescent="0.25">
      <c r="A288" s="32">
        <f>'[2]Calc_Coef _18'!AE287</f>
        <v>6900301</v>
      </c>
      <c r="B288" s="32" t="str">
        <f>'[2]Calc_Coef _18'!C287</f>
        <v>081090</v>
      </c>
      <c r="C288" s="32" t="str">
        <f>'[2]Calc_Coef _18'!AF287</f>
        <v>ACUCAR DEMERARA</v>
      </c>
      <c r="D288" s="63">
        <f>'[2]Calc_Coef _18'!AG287</f>
        <v>586.5</v>
      </c>
      <c r="E288" s="63">
        <f>'[2]Calc_Coef _18'!AH287</f>
        <v>3921.118088006298</v>
      </c>
      <c r="F288" s="64">
        <f>'[2]Calc_Coef _18'!AI287</f>
        <v>4.0298141105216088</v>
      </c>
      <c r="G288" s="30"/>
      <c r="H288"/>
      <c r="I288"/>
    </row>
    <row r="289" spans="1:9" x14ac:dyDescent="0.25">
      <c r="A289" s="32">
        <f>'[2]Calc_Coef _18'!AE288</f>
        <v>6900304</v>
      </c>
      <c r="B289" s="32">
        <f>'[2]Calc_Coef _18'!C288</f>
        <v>170111</v>
      </c>
      <c r="C289" s="32" t="str">
        <f>'[2]Calc_Coef _18'!AF288</f>
        <v>ACUCAR MASCAVO</v>
      </c>
      <c r="D289" s="63">
        <f>'[2]Calc_Coef _18'!AG288</f>
        <v>1800</v>
      </c>
      <c r="E289" s="63">
        <f>'[2]Calc_Coef _18'!AH288</f>
        <v>1090.9133482192635</v>
      </c>
      <c r="F289" s="64">
        <f>'[2]Calc_Coef _18'!AI288</f>
        <v>3.7796942010068992</v>
      </c>
      <c r="G289" s="30"/>
      <c r="H289"/>
      <c r="I289"/>
    </row>
    <row r="290" spans="1:9" x14ac:dyDescent="0.25">
      <c r="A290" s="32">
        <f>'[2]Calc_Coef _18'!AE289</f>
        <v>6900401</v>
      </c>
      <c r="B290" s="32">
        <f>'[2]Calc_Coef _18'!C289</f>
        <v>170191</v>
      </c>
      <c r="C290" s="32" t="str">
        <f>'[2]Calc_Coef _18'!AF289</f>
        <v>RAPADURA</v>
      </c>
      <c r="D290" s="63">
        <f>'[2]Calc_Coef _18'!AG289</f>
        <v>766.66750000000002</v>
      </c>
      <c r="E290" s="63">
        <f>'[2]Calc_Coef _18'!AH289</f>
        <v>344.86208723291998</v>
      </c>
      <c r="F290" s="64">
        <f>'[2]Calc_Coef _18'!AI289</f>
        <v>3.7796942010068992</v>
      </c>
      <c r="G290" s="30"/>
      <c r="H290"/>
      <c r="I290"/>
    </row>
    <row r="291" spans="1:9" x14ac:dyDescent="0.25">
      <c r="A291" s="32">
        <f>'[2]Calc_Coef _18'!AE290</f>
        <v>6900402</v>
      </c>
      <c r="B291" s="32">
        <f>'[2]Calc_Coef _18'!C290</f>
        <v>170191</v>
      </c>
      <c r="C291" s="32" t="str">
        <f>'[2]Calc_Coef _18'!AF290</f>
        <v>ALFENIM DE CANA</v>
      </c>
      <c r="D291" s="63">
        <f>'[2]Calc_Coef _18'!AG290</f>
        <v>766.66750000000002</v>
      </c>
      <c r="E291" s="63">
        <f>'[2]Calc_Coef _18'!AH290</f>
        <v>344.86208723291998</v>
      </c>
      <c r="F291" s="64">
        <f>'[2]Calc_Coef _18'!AI290</f>
        <v>3.7796942010068992</v>
      </c>
      <c r="G291" s="30"/>
      <c r="H291"/>
      <c r="I291"/>
    </row>
    <row r="292" spans="1:9" x14ac:dyDescent="0.25">
      <c r="A292" s="32">
        <f>'[2]Calc_Coef _18'!AE291</f>
        <v>6900403</v>
      </c>
      <c r="B292" s="32" t="str">
        <f>'[2]Calc_Coef _18'!C291</f>
        <v>170111</v>
      </c>
      <c r="C292" s="32" t="str">
        <f>'[2]Calc_Coef _18'!AF291</f>
        <v>BATIDA (RAPADURA)</v>
      </c>
      <c r="D292" s="63">
        <f>'[2]Calc_Coef _18'!AG291</f>
        <v>766.66750000000002</v>
      </c>
      <c r="E292" s="63">
        <f>'[2]Calc_Coef _18'!AH291</f>
        <v>649.22729124245052</v>
      </c>
      <c r="F292" s="64">
        <f>'[2]Calc_Coef _18'!AI291</f>
        <v>3.7796942010068992</v>
      </c>
      <c r="G292" s="30"/>
      <c r="H292"/>
      <c r="I292"/>
    </row>
    <row r="293" spans="1:9" x14ac:dyDescent="0.25">
      <c r="A293" s="32">
        <f>'[2]Calc_Coef _18'!AE292</f>
        <v>6900501</v>
      </c>
      <c r="B293" s="32" t="str">
        <f>'[2]Calc_Coef _18'!C292</f>
        <v>210500</v>
      </c>
      <c r="C293" s="32" t="str">
        <f>'[2]Calc_Coef _18'!AF292</f>
        <v>SORVETE DE QUALQUER SABOR INDUSTRIALIZADO</v>
      </c>
      <c r="D293" s="63">
        <f>'[2]Calc_Coef _18'!AG292</f>
        <v>2350</v>
      </c>
      <c r="E293" s="63">
        <f>'[2]Calc_Coef _18'!AH292</f>
        <v>6114.9086447857417</v>
      </c>
      <c r="F293" s="64">
        <f>'[2]Calc_Coef _18'!AI292</f>
        <v>33.5</v>
      </c>
      <c r="G293" s="30"/>
      <c r="H293"/>
      <c r="I293"/>
    </row>
    <row r="294" spans="1:9" x14ac:dyDescent="0.25">
      <c r="A294" s="32">
        <f>'[2]Calc_Coef _18'!AE293</f>
        <v>6900502</v>
      </c>
      <c r="B294" s="32" t="str">
        <f>'[2]Calc_Coef _18'!C293</f>
        <v>210500</v>
      </c>
      <c r="C294" s="32" t="str">
        <f>'[2]Calc_Coef _18'!AF293</f>
        <v>PICOLE DE QUALQUER SABOR INDUSTRIALIZADO</v>
      </c>
      <c r="D294" s="63">
        <f>'[2]Calc_Coef _18'!AG293</f>
        <v>2350</v>
      </c>
      <c r="E294" s="63">
        <f>'[2]Calc_Coef _18'!AH293</f>
        <v>6114.9086447857417</v>
      </c>
      <c r="F294" s="64">
        <f>'[2]Calc_Coef _18'!AI293</f>
        <v>33.5</v>
      </c>
      <c r="G294" s="30"/>
      <c r="H294"/>
      <c r="I294"/>
    </row>
    <row r="295" spans="1:9" x14ac:dyDescent="0.25">
      <c r="A295" s="32">
        <f>'[2]Calc_Coef _18'!AE294</f>
        <v>6900507</v>
      </c>
      <c r="B295" s="32" t="str">
        <f>'[2]Calc_Coef _18'!C294</f>
        <v>210500</v>
      </c>
      <c r="C295" s="32" t="str">
        <f>'[2]Calc_Coef _18'!AF294</f>
        <v>SORVETE DE PALITO</v>
      </c>
      <c r="D295" s="63">
        <f>'[2]Calc_Coef _18'!AG294</f>
        <v>2350</v>
      </c>
      <c r="E295" s="63">
        <f>'[2]Calc_Coef _18'!AH294</f>
        <v>6114.9086447857417</v>
      </c>
      <c r="F295" s="64">
        <f>'[2]Calc_Coef _18'!AI294</f>
        <v>33.5</v>
      </c>
      <c r="G295" s="30"/>
      <c r="H295"/>
      <c r="I295"/>
    </row>
    <row r="296" spans="1:9" x14ac:dyDescent="0.25">
      <c r="A296" s="32">
        <f>'[2]Calc_Coef _18'!AE295</f>
        <v>6900601</v>
      </c>
      <c r="B296" s="32">
        <f>'[2]Calc_Coef _18'!C295</f>
        <v>170410</v>
      </c>
      <c r="C296" s="32" t="str">
        <f>'[2]Calc_Coef _18'!AF295</f>
        <v>CHICLETE</v>
      </c>
      <c r="D296" s="63">
        <f>'[2]Calc_Coef _18'!AG295</f>
        <v>3295</v>
      </c>
      <c r="E296" s="63">
        <f>'[2]Calc_Coef _18'!AH295</f>
        <v>588.35425044054443</v>
      </c>
      <c r="F296" s="64">
        <f>'[2]Calc_Coef _18'!AI295</f>
        <v>3.7796942010068992</v>
      </c>
      <c r="G296" s="30"/>
      <c r="H296"/>
      <c r="I296"/>
    </row>
    <row r="297" spans="1:9" x14ac:dyDescent="0.25">
      <c r="A297" s="32">
        <f>'[2]Calc_Coef _18'!AE296</f>
        <v>6900603</v>
      </c>
      <c r="B297" s="32">
        <f>'[2]Calc_Coef _18'!C296</f>
        <v>170490</v>
      </c>
      <c r="C297" s="32" t="str">
        <f>'[2]Calc_Coef _18'!AF296</f>
        <v>BALA</v>
      </c>
      <c r="D297" s="63">
        <f>'[2]Calc_Coef _18'!AG296</f>
        <v>4000</v>
      </c>
      <c r="E297" s="63">
        <f>'[2]Calc_Coef _18'!AH296</f>
        <v>588.35425044054443</v>
      </c>
      <c r="F297" s="64">
        <f>'[2]Calc_Coef _18'!AI296</f>
        <v>3.7796942010068992</v>
      </c>
      <c r="G297" s="30"/>
      <c r="H297"/>
      <c r="I297"/>
    </row>
    <row r="298" spans="1:9" x14ac:dyDescent="0.25">
      <c r="A298" s="32">
        <f>'[2]Calc_Coef _18'!AE297</f>
        <v>6900604</v>
      </c>
      <c r="B298" s="32">
        <f>'[2]Calc_Coef _18'!C297</f>
        <v>170490</v>
      </c>
      <c r="C298" s="32" t="str">
        <f>'[2]Calc_Coef _18'!AF297</f>
        <v>CARAMELO (BALA)</v>
      </c>
      <c r="D298" s="63">
        <f>'[2]Calc_Coef _18'!AG297</f>
        <v>3295</v>
      </c>
      <c r="E298" s="63">
        <f>'[2]Calc_Coef _18'!AH297</f>
        <v>588.35425044054443</v>
      </c>
      <c r="F298" s="64">
        <f>'[2]Calc_Coef _18'!AI297</f>
        <v>3.7796942010068992</v>
      </c>
      <c r="G298" s="30"/>
      <c r="H298"/>
      <c r="I298"/>
    </row>
    <row r="299" spans="1:9" x14ac:dyDescent="0.25">
      <c r="A299" s="32">
        <f>'[2]Calc_Coef _18'!AE298</f>
        <v>6900605</v>
      </c>
      <c r="B299" s="32">
        <f>'[2]Calc_Coef _18'!C298</f>
        <v>170490</v>
      </c>
      <c r="C299" s="32" t="str">
        <f>'[2]Calc_Coef _18'!AF298</f>
        <v>DROPS</v>
      </c>
      <c r="D299" s="63">
        <f>'[2]Calc_Coef _18'!AG298</f>
        <v>3295</v>
      </c>
      <c r="E299" s="63">
        <f>'[2]Calc_Coef _18'!AH298</f>
        <v>588.35425044054443</v>
      </c>
      <c r="F299" s="64">
        <f>'[2]Calc_Coef _18'!AI298</f>
        <v>3.7796942010068992</v>
      </c>
      <c r="G299" s="30"/>
      <c r="H299"/>
      <c r="I299"/>
    </row>
    <row r="300" spans="1:9" x14ac:dyDescent="0.25">
      <c r="A300" s="32">
        <f>'[2]Calc_Coef _18'!AE299</f>
        <v>6900606</v>
      </c>
      <c r="B300" s="32">
        <f>'[2]Calc_Coef _18'!C299</f>
        <v>170490</v>
      </c>
      <c r="C300" s="32" t="str">
        <f>'[2]Calc_Coef _18'!AF299</f>
        <v>PASTILHA</v>
      </c>
      <c r="D300" s="63">
        <f>'[2]Calc_Coef _18'!AG299</f>
        <v>3295</v>
      </c>
      <c r="E300" s="63">
        <f>'[2]Calc_Coef _18'!AH299</f>
        <v>588.35425044054443</v>
      </c>
      <c r="F300" s="64">
        <f>'[2]Calc_Coef _18'!AI299</f>
        <v>3.7796942010068992</v>
      </c>
      <c r="G300" s="30"/>
      <c r="H300"/>
      <c r="I300"/>
    </row>
    <row r="301" spans="1:9" x14ac:dyDescent="0.25">
      <c r="A301" s="32">
        <f>'[2]Calc_Coef _18'!AE300</f>
        <v>6900607</v>
      </c>
      <c r="B301" s="32">
        <f>'[2]Calc_Coef _18'!C300</f>
        <v>170490</v>
      </c>
      <c r="C301" s="32" t="str">
        <f>'[2]Calc_Coef _18'!AF300</f>
        <v>PIRULITO</v>
      </c>
      <c r="D301" s="63">
        <f>'[2]Calc_Coef _18'!AG300</f>
        <v>3295</v>
      </c>
      <c r="E301" s="63">
        <f>'[2]Calc_Coef _18'!AH300</f>
        <v>588.35425044054443</v>
      </c>
      <c r="F301" s="64">
        <f>'[2]Calc_Coef _18'!AI300</f>
        <v>3.7796942010068992</v>
      </c>
      <c r="G301" s="30"/>
      <c r="H301"/>
      <c r="I301"/>
    </row>
    <row r="302" spans="1:9" x14ac:dyDescent="0.25">
      <c r="A302" s="32">
        <f>'[2]Calc_Coef _18'!AE301</f>
        <v>6900609</v>
      </c>
      <c r="B302" s="32">
        <f>'[2]Calc_Coef _18'!C301</f>
        <v>170410</v>
      </c>
      <c r="C302" s="32" t="str">
        <f>'[2]Calc_Coef _18'!AF301</f>
        <v>GOMA DE MASCAR</v>
      </c>
      <c r="D302" s="63">
        <f>'[2]Calc_Coef _18'!AG301</f>
        <v>3295</v>
      </c>
      <c r="E302" s="63">
        <f>'[2]Calc_Coef _18'!AH301</f>
        <v>588.35425044054443</v>
      </c>
      <c r="F302" s="64">
        <f>'[2]Calc_Coef _18'!AI301</f>
        <v>3.7796942010068992</v>
      </c>
      <c r="G302" s="30"/>
      <c r="H302"/>
      <c r="I302"/>
    </row>
    <row r="303" spans="1:9" x14ac:dyDescent="0.25">
      <c r="A303" s="32">
        <f>'[2]Calc_Coef _18'!AE302</f>
        <v>6900610</v>
      </c>
      <c r="B303" s="32">
        <f>'[2]Calc_Coef _18'!C302</f>
        <v>170490</v>
      </c>
      <c r="C303" s="32" t="str">
        <f>'[2]Calc_Coef _18'!AF302</f>
        <v>JUJUBA</v>
      </c>
      <c r="D303" s="63">
        <f>'[2]Calc_Coef _18'!AG302</f>
        <v>2590</v>
      </c>
      <c r="E303" s="63">
        <f>'[2]Calc_Coef _18'!AH302</f>
        <v>588.35425044054443</v>
      </c>
      <c r="F303" s="64">
        <f>'[2]Calc_Coef _18'!AI302</f>
        <v>3.7796942010068992</v>
      </c>
      <c r="G303" s="30"/>
      <c r="H303"/>
      <c r="I303"/>
    </row>
    <row r="304" spans="1:9" x14ac:dyDescent="0.25">
      <c r="A304" s="32">
        <f>'[2]Calc_Coef _18'!AE303</f>
        <v>6900615</v>
      </c>
      <c r="B304" s="32">
        <f>'[2]Calc_Coef _18'!C303</f>
        <v>170490</v>
      </c>
      <c r="C304" s="32" t="str">
        <f>'[2]Calc_Coef _18'!AF303</f>
        <v>BALA DE COCO</v>
      </c>
      <c r="D304" s="63">
        <f>'[2]Calc_Coef _18'!AG303</f>
        <v>3295</v>
      </c>
      <c r="E304" s="63">
        <f>'[2]Calc_Coef _18'!AH303</f>
        <v>588.35425044054443</v>
      </c>
      <c r="F304" s="64">
        <f>'[2]Calc_Coef _18'!AI303</f>
        <v>3.7796942010068992</v>
      </c>
      <c r="G304" s="30"/>
      <c r="H304"/>
      <c r="I304"/>
    </row>
    <row r="305" spans="1:9" x14ac:dyDescent="0.25">
      <c r="A305" s="32">
        <f>'[2]Calc_Coef _18'!AE304</f>
        <v>6900616</v>
      </c>
      <c r="B305" s="32">
        <f>'[2]Calc_Coef _18'!C304</f>
        <v>170490</v>
      </c>
      <c r="C305" s="32" t="str">
        <f>'[2]Calc_Coef _18'!AF304</f>
        <v>BALA DE GOMA</v>
      </c>
      <c r="D305" s="63">
        <f>'[2]Calc_Coef _18'!AG304</f>
        <v>3295</v>
      </c>
      <c r="E305" s="63">
        <f>'[2]Calc_Coef _18'!AH304</f>
        <v>588.35425044054443</v>
      </c>
      <c r="F305" s="64">
        <f>'[2]Calc_Coef _18'!AI304</f>
        <v>3.7796942010068992</v>
      </c>
      <c r="G305" s="30"/>
      <c r="H305"/>
      <c r="I305"/>
    </row>
    <row r="306" spans="1:9" x14ac:dyDescent="0.25">
      <c r="A306" s="32">
        <f>'[2]Calc_Coef _18'!AE305</f>
        <v>6900617</v>
      </c>
      <c r="B306" s="32">
        <f>'[2]Calc_Coef _18'!C305</f>
        <v>170490</v>
      </c>
      <c r="C306" s="32" t="str">
        <f>'[2]Calc_Coef _18'!AF305</f>
        <v>BALA DE FRUTA</v>
      </c>
      <c r="D306" s="63">
        <f>'[2]Calc_Coef _18'!AG305</f>
        <v>3295</v>
      </c>
      <c r="E306" s="63">
        <f>'[2]Calc_Coef _18'!AH305</f>
        <v>588.35425044054443</v>
      </c>
      <c r="F306" s="64">
        <f>'[2]Calc_Coef _18'!AI305</f>
        <v>3.7796942010068992</v>
      </c>
      <c r="G306" s="30"/>
      <c r="H306"/>
      <c r="I306"/>
    </row>
    <row r="307" spans="1:9" x14ac:dyDescent="0.25">
      <c r="A307" s="32">
        <f>'[2]Calc_Coef _18'!AE306</f>
        <v>6900701</v>
      </c>
      <c r="B307" s="32" t="str">
        <f>'[2]Calc_Coef _18'!C306</f>
        <v>180500</v>
      </c>
      <c r="C307" s="32" t="str">
        <f>'[2]Calc_Coef _18'!AF306</f>
        <v>TABLETE DE CHOCOLATE</v>
      </c>
      <c r="D307" s="63">
        <f>'[2]Calc_Coef _18'!AG306</f>
        <v>2333.3333333333335</v>
      </c>
      <c r="E307" s="63">
        <f>'[2]Calc_Coef _18'!AH306</f>
        <v>30989.752514303607</v>
      </c>
      <c r="F307" s="64">
        <f>'[2]Calc_Coef _18'!AI306</f>
        <v>46</v>
      </c>
      <c r="G307" s="30"/>
      <c r="H307"/>
      <c r="I307"/>
    </row>
    <row r="308" spans="1:9" x14ac:dyDescent="0.25">
      <c r="A308" s="32">
        <f>'[2]Calc_Coef _18'!AE307</f>
        <v>6900702</v>
      </c>
      <c r="B308" s="32" t="str">
        <f>'[2]Calc_Coef _18'!C307</f>
        <v>180500</v>
      </c>
      <c r="C308" s="32" t="str">
        <f>'[2]Calc_Coef _18'!AF307</f>
        <v>BARRA DE CHOCOLATE</v>
      </c>
      <c r="D308" s="63">
        <f>'[2]Calc_Coef _18'!AG307</f>
        <v>2333.3333333333335</v>
      </c>
      <c r="E308" s="63">
        <f>'[2]Calc_Coef _18'!AH307</f>
        <v>30989.752514303607</v>
      </c>
      <c r="F308" s="64">
        <f>'[2]Calc_Coef _18'!AI307</f>
        <v>46</v>
      </c>
      <c r="G308" s="30"/>
      <c r="H308"/>
      <c r="I308"/>
    </row>
    <row r="309" spans="1:9" x14ac:dyDescent="0.25">
      <c r="A309" s="32">
        <f>'[2]Calc_Coef _18'!AE308</f>
        <v>6900703</v>
      </c>
      <c r="B309" s="32" t="str">
        <f>'[2]Calc_Coef _18'!C308</f>
        <v>180500</v>
      </c>
      <c r="C309" s="32" t="str">
        <f>'[2]Calc_Coef _18'!AF308</f>
        <v>CHOCOLATE, TABLETE NAO ESPECIFICADO</v>
      </c>
      <c r="D309" s="63">
        <f>'[2]Calc_Coef _18'!AG308</f>
        <v>2333.3333333333335</v>
      </c>
      <c r="E309" s="63">
        <f>'[2]Calc_Coef _18'!AH308</f>
        <v>30989.752514303607</v>
      </c>
      <c r="F309" s="64">
        <f>'[2]Calc_Coef _18'!AI308</f>
        <v>46</v>
      </c>
      <c r="G309" s="30"/>
      <c r="H309"/>
      <c r="I309"/>
    </row>
    <row r="310" spans="1:9" x14ac:dyDescent="0.25">
      <c r="A310" s="32">
        <f>'[2]Calc_Coef _18'!AE309</f>
        <v>6900706</v>
      </c>
      <c r="B310" s="32" t="str">
        <f>'[2]Calc_Coef _18'!C309</f>
        <v>180500</v>
      </c>
      <c r="C310" s="32" t="str">
        <f>'[2]Calc_Coef _18'!AF309</f>
        <v>CONFETE</v>
      </c>
      <c r="D310" s="63">
        <f>'[2]Calc_Coef _18'!AG309</f>
        <v>2333.3333333333335</v>
      </c>
      <c r="E310" s="63">
        <f>'[2]Calc_Coef _18'!AH309</f>
        <v>30989.752514303607</v>
      </c>
      <c r="F310" s="64">
        <f>'[2]Calc_Coef _18'!AI309</f>
        <v>46</v>
      </c>
      <c r="G310" s="30"/>
      <c r="H310"/>
      <c r="I310"/>
    </row>
    <row r="311" spans="1:9" x14ac:dyDescent="0.25">
      <c r="A311" s="32">
        <f>'[2]Calc_Coef _18'!AE310</f>
        <v>6900710</v>
      </c>
      <c r="B311" s="32" t="str">
        <f>'[2]Calc_Coef _18'!C310</f>
        <v>180500</v>
      </c>
      <c r="C311" s="32" t="str">
        <f>'[2]Calc_Coef _18'!AF310</f>
        <v>CHOCOLATE, TABLETE, AO LEITE</v>
      </c>
      <c r="D311" s="63">
        <f>'[2]Calc_Coef _18'!AG310</f>
        <v>2333.3333333333335</v>
      </c>
      <c r="E311" s="63">
        <f>'[2]Calc_Coef _18'!AH310</f>
        <v>30989.752514303607</v>
      </c>
      <c r="F311" s="64">
        <f>'[2]Calc_Coef _18'!AI310</f>
        <v>46</v>
      </c>
      <c r="G311" s="30"/>
      <c r="H311"/>
      <c r="I311"/>
    </row>
    <row r="312" spans="1:9" x14ac:dyDescent="0.25">
      <c r="A312" s="32">
        <f>'[2]Calc_Coef _18'!AE311</f>
        <v>6900711</v>
      </c>
      <c r="B312" s="32" t="str">
        <f>'[2]Calc_Coef _18'!C311</f>
        <v>180500</v>
      </c>
      <c r="C312" s="32" t="str">
        <f>'[2]Calc_Coef _18'!AF311</f>
        <v>CHOCOLATE, TABLETE, AO LEITE, RECHEADO</v>
      </c>
      <c r="D312" s="63">
        <f>'[2]Calc_Coef _18'!AG311</f>
        <v>2333.3333333333335</v>
      </c>
      <c r="E312" s="63">
        <f>'[2]Calc_Coef _18'!AH311</f>
        <v>30989.752514303607</v>
      </c>
      <c r="F312" s="64">
        <f>'[2]Calc_Coef _18'!AI311</f>
        <v>46</v>
      </c>
      <c r="G312" s="30"/>
      <c r="H312"/>
      <c r="I312"/>
    </row>
    <row r="313" spans="1:9" x14ac:dyDescent="0.25">
      <c r="A313" s="32">
        <f>'[2]Calc_Coef _18'!AE312</f>
        <v>6900712</v>
      </c>
      <c r="B313" s="32" t="str">
        <f>'[2]Calc_Coef _18'!C312</f>
        <v>180500</v>
      </c>
      <c r="C313" s="32" t="str">
        <f>'[2]Calc_Coef _18'!AF312</f>
        <v>CHOCOLATE, TABLETE, BRANCO</v>
      </c>
      <c r="D313" s="63">
        <f>'[2]Calc_Coef _18'!AG312</f>
        <v>2333.3333333333335</v>
      </c>
      <c r="E313" s="63">
        <f>'[2]Calc_Coef _18'!AH312</f>
        <v>30989.752514303607</v>
      </c>
      <c r="F313" s="64">
        <f>'[2]Calc_Coef _18'!AI312</f>
        <v>46</v>
      </c>
      <c r="G313" s="30"/>
      <c r="H313"/>
      <c r="I313"/>
    </row>
    <row r="314" spans="1:9" x14ac:dyDescent="0.25">
      <c r="A314" s="32">
        <f>'[2]Calc_Coef _18'!AE313</f>
        <v>6900713</v>
      </c>
      <c r="B314" s="32" t="str">
        <f>'[2]Calc_Coef _18'!C313</f>
        <v>180500</v>
      </c>
      <c r="C314" s="32" t="str">
        <f>'[2]Calc_Coef _18'!AF313</f>
        <v>CHOCOLATE, TABLETE, BRANCO, RECHEADO</v>
      </c>
      <c r="D314" s="63">
        <f>'[2]Calc_Coef _18'!AG313</f>
        <v>2333.3333333333335</v>
      </c>
      <c r="E314" s="63">
        <f>'[2]Calc_Coef _18'!AH313</f>
        <v>30989.752514303607</v>
      </c>
      <c r="F314" s="64">
        <f>'[2]Calc_Coef _18'!AI313</f>
        <v>46</v>
      </c>
      <c r="G314" s="30"/>
      <c r="H314"/>
      <c r="I314"/>
    </row>
    <row r="315" spans="1:9" x14ac:dyDescent="0.25">
      <c r="A315" s="32">
        <f>'[2]Calc_Coef _18'!AE314</f>
        <v>6900714</v>
      </c>
      <c r="B315" s="32" t="str">
        <f>'[2]Calc_Coef _18'!C314</f>
        <v>180500</v>
      </c>
      <c r="C315" s="32" t="str">
        <f>'[2]Calc_Coef _18'!AF314</f>
        <v>CHOCOLATE, TABLETE, MEIO AMARGO</v>
      </c>
      <c r="D315" s="63">
        <f>'[2]Calc_Coef _18'!AG314</f>
        <v>2333.3333333333335</v>
      </c>
      <c r="E315" s="63">
        <f>'[2]Calc_Coef _18'!AH314</f>
        <v>30989.752514303607</v>
      </c>
      <c r="F315" s="64">
        <f>'[2]Calc_Coef _18'!AI314</f>
        <v>46</v>
      </c>
      <c r="G315" s="30"/>
      <c r="H315"/>
      <c r="I315"/>
    </row>
    <row r="316" spans="1:9" x14ac:dyDescent="0.25">
      <c r="A316" s="32">
        <f>'[2]Calc_Coef _18'!AE315</f>
        <v>6900716</v>
      </c>
      <c r="B316" s="32" t="str">
        <f>'[2]Calc_Coef _18'!C315</f>
        <v>180500</v>
      </c>
      <c r="C316" s="32" t="str">
        <f>'[2]Calc_Coef _18'!AF315</f>
        <v>CHOCOLATE, TABLETE, RECHEADO NAO ESPECIFICADO</v>
      </c>
      <c r="D316" s="63">
        <f>'[2]Calc_Coef _18'!AG315</f>
        <v>2333.3333333333335</v>
      </c>
      <c r="E316" s="63">
        <f>'[2]Calc_Coef _18'!AH315</f>
        <v>30989.752514303607</v>
      </c>
      <c r="F316" s="64">
        <f>'[2]Calc_Coef _18'!AI315</f>
        <v>46</v>
      </c>
      <c r="G316" s="30"/>
      <c r="H316"/>
      <c r="I316"/>
    </row>
    <row r="317" spans="1:9" x14ac:dyDescent="0.25">
      <c r="A317" s="32">
        <f>'[2]Calc_Coef _18'!AE316</f>
        <v>6900801</v>
      </c>
      <c r="B317" s="32">
        <f>'[2]Calc_Coef _18'!C316</f>
        <v>220290</v>
      </c>
      <c r="C317" s="32" t="str">
        <f>'[2]Calc_Coef _18'!AF316</f>
        <v>CHOCOLATE EM PO DE QUALQUER MARCA</v>
      </c>
      <c r="D317" s="63">
        <f>'[2]Calc_Coef _18'!AG316</f>
        <v>794.44444444444446</v>
      </c>
      <c r="E317" s="63">
        <f>'[2]Calc_Coef _18'!AH316</f>
        <v>24910.22243540459</v>
      </c>
      <c r="F317" s="64">
        <f>'[2]Calc_Coef _18'!AI316</f>
        <v>57.5</v>
      </c>
      <c r="G317" s="30"/>
      <c r="H317"/>
      <c r="I317"/>
    </row>
    <row r="318" spans="1:9" x14ac:dyDescent="0.25">
      <c r="A318" s="32">
        <f>'[2]Calc_Coef _18'!AE317</f>
        <v>6900818</v>
      </c>
      <c r="B318" s="32">
        <f>'[2]Calc_Coef _18'!C317</f>
        <v>220290</v>
      </c>
      <c r="C318" s="32" t="str">
        <f>'[2]Calc_Coef _18'!AF317</f>
        <v>OVOMALTINE</v>
      </c>
      <c r="D318" s="63">
        <f>'[2]Calc_Coef _18'!AG317</f>
        <v>794.44444444444446</v>
      </c>
      <c r="E318" s="63">
        <f>'[2]Calc_Coef _18'!AH317</f>
        <v>11543.725015272823</v>
      </c>
      <c r="F318" s="64">
        <f>'[2]Calc_Coef _18'!AI317</f>
        <v>57.5</v>
      </c>
      <c r="G318" s="30"/>
      <c r="H318"/>
      <c r="I318"/>
    </row>
    <row r="319" spans="1:9" x14ac:dyDescent="0.25">
      <c r="A319" s="32">
        <f>'[2]Calc_Coef _18'!AE318</f>
        <v>6900819</v>
      </c>
      <c r="B319" s="32">
        <f>'[2]Calc_Coef _18'!C318</f>
        <v>220290</v>
      </c>
      <c r="C319" s="32" t="str">
        <f>'[2]Calc_Coef _18'!AF318</f>
        <v>OVOMALTINE EM PO</v>
      </c>
      <c r="D319" s="63">
        <f>'[2]Calc_Coef _18'!AG318</f>
        <v>794.44444444444446</v>
      </c>
      <c r="E319" s="63">
        <f>'[2]Calc_Coef _18'!AH318</f>
        <v>11543.725015272823</v>
      </c>
      <c r="F319" s="64">
        <f>'[2]Calc_Coef _18'!AI318</f>
        <v>57.5</v>
      </c>
      <c r="G319" s="30"/>
      <c r="H319"/>
      <c r="I319"/>
    </row>
    <row r="320" spans="1:9" x14ac:dyDescent="0.25">
      <c r="A320" s="32">
        <f>'[2]Calc_Coef _18'!AE319</f>
        <v>6900821</v>
      </c>
      <c r="B320" s="32">
        <f>'[2]Calc_Coef _18'!C319</f>
        <v>220290</v>
      </c>
      <c r="C320" s="32" t="str">
        <f>'[2]Calc_Coef _18'!AF319</f>
        <v>ACHOCOLATADO EM PO</v>
      </c>
      <c r="D320" s="63">
        <f>'[2]Calc_Coef _18'!AG319</f>
        <v>794.44444444444446</v>
      </c>
      <c r="E320" s="63">
        <f>'[2]Calc_Coef _18'!AH319</f>
        <v>11543.725015272823</v>
      </c>
      <c r="F320" s="64">
        <f>'[2]Calc_Coef _18'!AI319</f>
        <v>57.5</v>
      </c>
      <c r="G320" s="30"/>
      <c r="H320"/>
      <c r="I320"/>
    </row>
    <row r="321" spans="1:9" x14ac:dyDescent="0.25">
      <c r="A321" s="32">
        <f>'[2]Calc_Coef _18'!AE320</f>
        <v>6900822</v>
      </c>
      <c r="B321" s="32">
        <f>'[2]Calc_Coef _18'!C320</f>
        <v>220290</v>
      </c>
      <c r="C321" s="32" t="str">
        <f>'[2]Calc_Coef _18'!AF320</f>
        <v>TODDYNHO</v>
      </c>
      <c r="D321" s="63">
        <f>'[2]Calc_Coef _18'!AG320</f>
        <v>794.44444444444446</v>
      </c>
      <c r="E321" s="63">
        <f>'[2]Calc_Coef _18'!AH320</f>
        <v>11543.725015272823</v>
      </c>
      <c r="F321" s="64">
        <f>'[2]Calc_Coef _18'!AI320</f>
        <v>57.5</v>
      </c>
      <c r="G321" s="30"/>
      <c r="H321"/>
      <c r="I321"/>
    </row>
    <row r="322" spans="1:9" x14ac:dyDescent="0.25">
      <c r="A322" s="32">
        <f>'[2]Calc_Coef _18'!AE321</f>
        <v>6900901</v>
      </c>
      <c r="B322" s="32" t="str">
        <f>'[2]Calc_Coef _18'!C321</f>
        <v>180500</v>
      </c>
      <c r="C322" s="32" t="str">
        <f>'[2]Calc_Coef _18'!AF321</f>
        <v>BOMBOM DE QUALQUER MARCA</v>
      </c>
      <c r="D322" s="63">
        <f>'[2]Calc_Coef _18'!AG321</f>
        <v>2333.3333333333335</v>
      </c>
      <c r="E322" s="63">
        <f>'[2]Calc_Coef _18'!AH321</f>
        <v>30989.752514303607</v>
      </c>
      <c r="F322" s="64">
        <f>'[2]Calc_Coef _18'!AI321</f>
        <v>46</v>
      </c>
      <c r="G322" s="30"/>
      <c r="H322"/>
      <c r="I322"/>
    </row>
    <row r="323" spans="1:9" x14ac:dyDescent="0.25">
      <c r="A323" s="32">
        <f>'[2]Calc_Coef _18'!AE322</f>
        <v>6900904</v>
      </c>
      <c r="B323" s="32" t="str">
        <f>'[2]Calc_Coef _18'!C322</f>
        <v>180500</v>
      </c>
      <c r="C323" s="32" t="str">
        <f>'[2]Calc_Coef _18'!AF322</f>
        <v>TRUFA</v>
      </c>
      <c r="D323" s="63">
        <f>'[2]Calc_Coef _18'!AG322</f>
        <v>2333.3333333333335</v>
      </c>
      <c r="E323" s="63">
        <f>'[2]Calc_Coef _18'!AH322</f>
        <v>30989.752514303607</v>
      </c>
      <c r="F323" s="64">
        <f>'[2]Calc_Coef _18'!AI322</f>
        <v>46</v>
      </c>
      <c r="G323" s="30"/>
      <c r="H323"/>
      <c r="I323"/>
    </row>
    <row r="324" spans="1:9" x14ac:dyDescent="0.25">
      <c r="A324" s="32">
        <f>'[2]Calc_Coef _18'!AE323</f>
        <v>6901001</v>
      </c>
      <c r="B324" s="32">
        <f>'[2]Calc_Coef _18'!C323</f>
        <v>200799</v>
      </c>
      <c r="C324" s="32" t="str">
        <f>'[2]Calc_Coef _18'!AF323</f>
        <v>GELEIA DE FRUTAS DE QUALQUER MARCA OU SABOR</v>
      </c>
      <c r="D324" s="63">
        <f>'[2]Calc_Coef _18'!AG323</f>
        <v>3495</v>
      </c>
      <c r="E324" s="63">
        <f>'[2]Calc_Coef _18'!AH323</f>
        <v>1471.4151641407616</v>
      </c>
      <c r="F324" s="64">
        <f>'[2]Calc_Coef _18'!AI323</f>
        <v>5.52</v>
      </c>
      <c r="G324" s="30"/>
      <c r="H324"/>
      <c r="I324"/>
    </row>
    <row r="325" spans="1:9" x14ac:dyDescent="0.25">
      <c r="A325" s="32">
        <f>'[2]Calc_Coef _18'!AE324</f>
        <v>6901002</v>
      </c>
      <c r="B325" s="32">
        <f>'[2]Calc_Coef _18'!C324</f>
        <v>200799</v>
      </c>
      <c r="C325" s="32" t="str">
        <f>'[2]Calc_Coef _18'!AF324</f>
        <v>MOUSSE DE QUALQUER SABOR (GELÉIA)</v>
      </c>
      <c r="D325" s="63">
        <f>'[2]Calc_Coef _18'!AG324</f>
        <v>2947.5</v>
      </c>
      <c r="E325" s="63">
        <f>'[2]Calc_Coef _18'!AH324</f>
        <v>1471.4151641407616</v>
      </c>
      <c r="F325" s="64">
        <f>'[2]Calc_Coef _18'!AI324</f>
        <v>5.52</v>
      </c>
      <c r="G325" s="30"/>
      <c r="H325"/>
      <c r="I325"/>
    </row>
    <row r="326" spans="1:9" x14ac:dyDescent="0.25">
      <c r="A326" s="32">
        <f>'[2]Calc_Coef _18'!AE325</f>
        <v>6901101</v>
      </c>
      <c r="B326" s="32">
        <f>'[2]Calc_Coef _18'!C325</f>
        <v>200799</v>
      </c>
      <c r="C326" s="32" t="str">
        <f>'[2]Calc_Coef _18'!AF325</f>
        <v>GELEIA DE MOCOTO</v>
      </c>
      <c r="D326" s="63">
        <f>'[2]Calc_Coef _18'!AG325</f>
        <v>2947.5</v>
      </c>
      <c r="E326" s="63">
        <f>'[2]Calc_Coef _18'!AH325</f>
        <v>1471.4151641407616</v>
      </c>
      <c r="F326" s="64">
        <f>'[2]Calc_Coef _18'!AI325</f>
        <v>5.52</v>
      </c>
      <c r="G326" s="30"/>
      <c r="H326"/>
      <c r="I326"/>
    </row>
    <row r="327" spans="1:9" x14ac:dyDescent="0.25">
      <c r="A327" s="32">
        <f>'[2]Calc_Coef _18'!AE326</f>
        <v>6901201</v>
      </c>
      <c r="B327" s="32">
        <f>'[2]Calc_Coef _18'!C326</f>
        <v>200799</v>
      </c>
      <c r="C327" s="32" t="str">
        <f>'[2]Calc_Coef _18'!AF326</f>
        <v>DOCE DE FRUTAS EM PASTA DE QUALQUER SABOR</v>
      </c>
      <c r="D327" s="63">
        <f>'[2]Calc_Coef _18'!AG326</f>
        <v>2947.5</v>
      </c>
      <c r="E327" s="63">
        <f>'[2]Calc_Coef _18'!AH326</f>
        <v>1471.4151641407616</v>
      </c>
      <c r="F327" s="64">
        <f>'[2]Calc_Coef _18'!AI326</f>
        <v>5.52</v>
      </c>
      <c r="G327" s="30"/>
      <c r="H327"/>
      <c r="I327"/>
    </row>
    <row r="328" spans="1:9" x14ac:dyDescent="0.25">
      <c r="A328" s="32">
        <f>'[2]Calc_Coef _18'!AE327</f>
        <v>6901203</v>
      </c>
      <c r="B328" s="32">
        <f>'[2]Calc_Coef _18'!C327</f>
        <v>200819</v>
      </c>
      <c r="C328" s="32" t="str">
        <f>'[2]Calc_Coef _18'!AF327</f>
        <v>PASTA DE AMENDOIM</v>
      </c>
      <c r="D328" s="63">
        <f>'[2]Calc_Coef _18'!AG327</f>
        <v>1840.3250126347202</v>
      </c>
      <c r="E328" s="63">
        <f>'[2]Calc_Coef _18'!AH327</f>
        <v>1471.4151641407616</v>
      </c>
      <c r="F328" s="64">
        <f>'[2]Calc_Coef _18'!AI327</f>
        <v>5.52</v>
      </c>
      <c r="G328" s="30"/>
      <c r="H328"/>
      <c r="I328"/>
    </row>
    <row r="329" spans="1:9" x14ac:dyDescent="0.25">
      <c r="A329" s="32">
        <f>'[2]Calc_Coef _18'!AE328</f>
        <v>6901204</v>
      </c>
      <c r="B329" s="32">
        <f>'[2]Calc_Coef _18'!C328</f>
        <v>200799</v>
      </c>
      <c r="C329" s="32" t="str">
        <f>'[2]Calc_Coef _18'!AF328</f>
        <v>PESSEGADA</v>
      </c>
      <c r="D329" s="63">
        <f>'[2]Calc_Coef _18'!AG328</f>
        <v>2947.5</v>
      </c>
      <c r="E329" s="63">
        <f>'[2]Calc_Coef _18'!AH328</f>
        <v>1471.4151641407616</v>
      </c>
      <c r="F329" s="64">
        <f>'[2]Calc_Coef _18'!AI328</f>
        <v>5.52</v>
      </c>
      <c r="G329" s="30"/>
      <c r="H329"/>
      <c r="I329"/>
    </row>
    <row r="330" spans="1:9" x14ac:dyDescent="0.25">
      <c r="A330" s="32">
        <f>'[2]Calc_Coef _18'!AE329</f>
        <v>6901206</v>
      </c>
      <c r="B330" s="32">
        <f>'[2]Calc_Coef _18'!C329</f>
        <v>200799</v>
      </c>
      <c r="C330" s="32" t="str">
        <f>'[2]Calc_Coef _18'!AF329</f>
        <v>MARMELADA</v>
      </c>
      <c r="D330" s="63">
        <f>'[2]Calc_Coef _18'!AG329</f>
        <v>2400</v>
      </c>
      <c r="E330" s="63">
        <f>'[2]Calc_Coef _18'!AH329</f>
        <v>1471.4151641407616</v>
      </c>
      <c r="F330" s="64">
        <f>'[2]Calc_Coef _18'!AI329</f>
        <v>5.52</v>
      </c>
      <c r="G330" s="30"/>
      <c r="H330"/>
      <c r="I330"/>
    </row>
    <row r="331" spans="1:9" x14ac:dyDescent="0.25">
      <c r="A331" s="32">
        <f>'[2]Calc_Coef _18'!AE330</f>
        <v>6901209</v>
      </c>
      <c r="B331" s="32">
        <f>'[2]Calc_Coef _18'!C330</f>
        <v>200799</v>
      </c>
      <c r="C331" s="32" t="str">
        <f>'[2]Calc_Coef _18'!AF330</f>
        <v>FIGADA</v>
      </c>
      <c r="D331" s="63">
        <f>'[2]Calc_Coef _18'!AG330</f>
        <v>2947.5</v>
      </c>
      <c r="E331" s="63">
        <f>'[2]Calc_Coef _18'!AH330</f>
        <v>1471.4151641407616</v>
      </c>
      <c r="F331" s="64">
        <f>'[2]Calc_Coef _18'!AI330</f>
        <v>5.52</v>
      </c>
      <c r="G331" s="30"/>
      <c r="H331"/>
      <c r="I331"/>
    </row>
    <row r="332" spans="1:9" x14ac:dyDescent="0.25">
      <c r="A332" s="32">
        <f>'[2]Calc_Coef _18'!AE331</f>
        <v>6901211</v>
      </c>
      <c r="B332" s="32">
        <f>'[2]Calc_Coef _18'!C331</f>
        <v>200799</v>
      </c>
      <c r="C332" s="32" t="str">
        <f>'[2]Calc_Coef _18'!AF331</f>
        <v>GOIABADA</v>
      </c>
      <c r="D332" s="63">
        <f>'[2]Calc_Coef _18'!AG331</f>
        <v>2947.5</v>
      </c>
      <c r="E332" s="63">
        <f>'[2]Calc_Coef _18'!AH331</f>
        <v>1471.4151641407616</v>
      </c>
      <c r="F332" s="64">
        <f>'[2]Calc_Coef _18'!AI331</f>
        <v>5.52</v>
      </c>
      <c r="G332" s="30"/>
      <c r="H332"/>
      <c r="I332"/>
    </row>
    <row r="333" spans="1:9" x14ac:dyDescent="0.25">
      <c r="A333" s="32">
        <f>'[2]Calc_Coef _18'!AE332</f>
        <v>6901224</v>
      </c>
      <c r="B333" s="32">
        <f>'[2]Calc_Coef _18'!C332</f>
        <v>200799</v>
      </c>
      <c r="C333" s="32" t="str">
        <f>'[2]Calc_Coef _18'!AF332</f>
        <v>MARIOLA</v>
      </c>
      <c r="D333" s="63">
        <f>'[2]Calc_Coef _18'!AG332</f>
        <v>2947.5</v>
      </c>
      <c r="E333" s="63">
        <f>'[2]Calc_Coef _18'!AH332</f>
        <v>1471.4151641407616</v>
      </c>
      <c r="F333" s="64">
        <f>'[2]Calc_Coef _18'!AI332</f>
        <v>5.52</v>
      </c>
      <c r="G333" s="30"/>
      <c r="H333"/>
      <c r="I333"/>
    </row>
    <row r="334" spans="1:9" x14ac:dyDescent="0.25">
      <c r="A334" s="32">
        <f>'[2]Calc_Coef _18'!AE333</f>
        <v>6901231</v>
      </c>
      <c r="B334" s="32">
        <f>'[2]Calc_Coef _18'!C333</f>
        <v>200600</v>
      </c>
      <c r="C334" s="32" t="str">
        <f>'[2]Calc_Coef _18'!AF333</f>
        <v>DOCE DE BANANA EM PASTA</v>
      </c>
      <c r="D334" s="63">
        <f>'[2]Calc_Coef _18'!AG333</f>
        <v>1600</v>
      </c>
      <c r="E334" s="63">
        <f>'[2]Calc_Coef _18'!AH333</f>
        <v>1471.4151641407616</v>
      </c>
      <c r="F334" s="64">
        <f>'[2]Calc_Coef _18'!AI333</f>
        <v>5.52</v>
      </c>
      <c r="G334" s="30"/>
      <c r="H334"/>
      <c r="I334"/>
    </row>
    <row r="335" spans="1:9" x14ac:dyDescent="0.25">
      <c r="A335" s="32">
        <f>'[2]Calc_Coef _18'!AE334</f>
        <v>6901240</v>
      </c>
      <c r="B335" s="32">
        <f>'[2]Calc_Coef _18'!C334</f>
        <v>200600</v>
      </c>
      <c r="C335" s="32" t="str">
        <f>'[2]Calc_Coef _18'!AF334</f>
        <v>BANANADA</v>
      </c>
      <c r="D335" s="63">
        <f>'[2]Calc_Coef _18'!AG334</f>
        <v>1600</v>
      </c>
      <c r="E335" s="63">
        <f>'[2]Calc_Coef _18'!AH334</f>
        <v>1471.4151641407616</v>
      </c>
      <c r="F335" s="64">
        <f>'[2]Calc_Coef _18'!AI334</f>
        <v>5.52</v>
      </c>
      <c r="G335" s="30"/>
      <c r="H335"/>
      <c r="I335"/>
    </row>
    <row r="336" spans="1:9" x14ac:dyDescent="0.25">
      <c r="A336" s="32">
        <f>'[2]Calc_Coef _18'!AE335</f>
        <v>6901301</v>
      </c>
      <c r="B336" s="32">
        <f>'[2]Calc_Coef _18'!C335</f>
        <v>200600</v>
      </c>
      <c r="C336" s="32" t="str">
        <f>'[2]Calc_Coef _18'!AF335</f>
        <v>DOCE DE FRUTAS EM CALDA DE QUALQUER SABOR</v>
      </c>
      <c r="D336" s="63">
        <f>'[2]Calc_Coef _18'!AG335</f>
        <v>1600</v>
      </c>
      <c r="E336" s="63">
        <f>'[2]Calc_Coef _18'!AH335</f>
        <v>1471.4151641407616</v>
      </c>
      <c r="F336" s="64">
        <f>'[2]Calc_Coef _18'!AI335</f>
        <v>5.52</v>
      </c>
      <c r="G336" s="30"/>
      <c r="H336"/>
      <c r="I336"/>
    </row>
    <row r="337" spans="1:9" x14ac:dyDescent="0.25">
      <c r="A337" s="32">
        <f>'[2]Calc_Coef _18'!AE336</f>
        <v>6901401</v>
      </c>
      <c r="B337" s="32">
        <f>'[2]Calc_Coef _18'!C336</f>
        <v>200600</v>
      </c>
      <c r="C337" s="32" t="str">
        <f>'[2]Calc_Coef _18'!AF336</f>
        <v>DOCE DE FRUTAS CRISTALIZADO DE QUALQUER SABOR</v>
      </c>
      <c r="D337" s="63">
        <f>'[2]Calc_Coef _18'!AG336</f>
        <v>1600</v>
      </c>
      <c r="E337" s="63">
        <f>'[2]Calc_Coef _18'!AH336</f>
        <v>1471.4151641407616</v>
      </c>
      <c r="F337" s="64">
        <f>'[2]Calc_Coef _18'!AI336</f>
        <v>5.52</v>
      </c>
      <c r="G337" s="30"/>
      <c r="H337"/>
      <c r="I337"/>
    </row>
    <row r="338" spans="1:9" x14ac:dyDescent="0.25">
      <c r="A338" s="32">
        <f>'[2]Calc_Coef _18'!AE337</f>
        <v>6901501</v>
      </c>
      <c r="B338" s="32">
        <f>'[2]Calc_Coef _18'!C337</f>
        <v>170191</v>
      </c>
      <c r="C338" s="32" t="str">
        <f>'[2]Calc_Coef _18'!AF337</f>
        <v>MELADO</v>
      </c>
      <c r="D338" s="63">
        <f>'[2]Calc_Coef _18'!AG337</f>
        <v>766.66750000000002</v>
      </c>
      <c r="E338" s="63">
        <f>'[2]Calc_Coef _18'!AH337</f>
        <v>344.86208723291998</v>
      </c>
      <c r="F338" s="64">
        <f>'[2]Calc_Coef _18'!AI337</f>
        <v>3.7796942010068992</v>
      </c>
      <c r="G338" s="30"/>
      <c r="H338"/>
      <c r="I338"/>
    </row>
    <row r="339" spans="1:9" x14ac:dyDescent="0.25">
      <c r="A339" s="32">
        <f>'[2]Calc_Coef _18'!AE338</f>
        <v>6901602</v>
      </c>
      <c r="B339" s="32" t="str">
        <f>'[2]Calc_Coef _18'!C338</f>
        <v>040900</v>
      </c>
      <c r="C339" s="32" t="str">
        <f>'[2]Calc_Coef _18'!AF338</f>
        <v>MEL</v>
      </c>
      <c r="D339" s="63">
        <f>'[2]Calc_Coef _18'!AG338</f>
        <v>1997.5</v>
      </c>
      <c r="E339" s="63">
        <f>'[2]Calc_Coef _18'!AH338</f>
        <v>3977.5725722325878</v>
      </c>
      <c r="F339" s="64">
        <f>'[2]Calc_Coef _18'!AI338</f>
        <v>9</v>
      </c>
      <c r="G339" s="30"/>
      <c r="H339"/>
      <c r="I339"/>
    </row>
    <row r="340" spans="1:9" x14ac:dyDescent="0.25">
      <c r="A340" s="32">
        <f>'[2]Calc_Coef _18'!AE339</f>
        <v>6901701</v>
      </c>
      <c r="B340" s="32">
        <f>'[2]Calc_Coef _18'!C339</f>
        <v>200799</v>
      </c>
      <c r="C340" s="32" t="str">
        <f>'[2]Calc_Coef _18'!AF339</f>
        <v>GELATINA DE QUALQUER SABOR</v>
      </c>
      <c r="D340" s="63">
        <f>'[2]Calc_Coef _18'!AG339</f>
        <v>2947.5</v>
      </c>
      <c r="E340" s="63">
        <f>'[2]Calc_Coef _18'!AH339</f>
        <v>1471.4151641407616</v>
      </c>
      <c r="F340" s="64">
        <f>'[2]Calc_Coef _18'!AI339</f>
        <v>5.52</v>
      </c>
      <c r="G340" s="30"/>
      <c r="H340"/>
      <c r="I340"/>
    </row>
    <row r="341" spans="1:9" x14ac:dyDescent="0.25">
      <c r="A341" s="32">
        <f>'[2]Calc_Coef _18'!AE340</f>
        <v>6901801</v>
      </c>
      <c r="B341" s="32">
        <f>'[2]Calc_Coef _18'!C340</f>
        <v>210690</v>
      </c>
      <c r="C341" s="32" t="str">
        <f>'[2]Calc_Coef _18'!AF340</f>
        <v>ADOCANTE ARTIFICIAL</v>
      </c>
      <c r="D341" s="63">
        <f>'[2]Calc_Coef _18'!AG340</f>
        <v>44570</v>
      </c>
      <c r="E341" s="63">
        <f>'[2]Calc_Coef _18'!AH340</f>
        <v>17481</v>
      </c>
      <c r="F341" s="64">
        <f>'[2]Calc_Coef _18'!AI340</f>
        <v>33.5</v>
      </c>
      <c r="G341" s="30"/>
      <c r="H341"/>
      <c r="I341"/>
    </row>
    <row r="342" spans="1:9" x14ac:dyDescent="0.25">
      <c r="A342" s="32">
        <f>'[2]Calc_Coef _18'!AE341</f>
        <v>6902004</v>
      </c>
      <c r="B342" s="32">
        <f>'[2]Calc_Coef _18'!C341</f>
        <v>170490</v>
      </c>
      <c r="C342" s="32" t="str">
        <f>'[2]Calc_Coef _18'!AF341</f>
        <v>MERENGUE</v>
      </c>
      <c r="D342" s="63">
        <f>'[2]Calc_Coef _18'!AG341</f>
        <v>3295</v>
      </c>
      <c r="E342" s="63">
        <f>'[2]Calc_Coef _18'!AH341</f>
        <v>588.35425044054443</v>
      </c>
      <c r="F342" s="64">
        <f>'[2]Calc_Coef _18'!AI341</f>
        <v>3.7796942010068992</v>
      </c>
      <c r="G342" s="30"/>
      <c r="H342"/>
      <c r="I342"/>
    </row>
    <row r="343" spans="1:9" x14ac:dyDescent="0.25">
      <c r="A343" s="32">
        <f>'[2]Calc_Coef _18'!AE342</f>
        <v>6902209</v>
      </c>
      <c r="B343" s="32">
        <f>'[2]Calc_Coef _18'!C342</f>
        <v>170490</v>
      </c>
      <c r="C343" s="32" t="str">
        <f>'[2]Calc_Coef _18'!AF342</f>
        <v>MARSHMALLOW</v>
      </c>
      <c r="D343" s="63">
        <f>'[2]Calc_Coef _18'!AG342</f>
        <v>3295</v>
      </c>
      <c r="E343" s="63">
        <f>'[2]Calc_Coef _18'!AH342</f>
        <v>588.35425044054443</v>
      </c>
      <c r="F343" s="64">
        <f>'[2]Calc_Coef _18'!AI342</f>
        <v>3.7796942010068992</v>
      </c>
      <c r="G343" s="30"/>
      <c r="H343"/>
      <c r="I343"/>
    </row>
    <row r="344" spans="1:9" x14ac:dyDescent="0.25">
      <c r="A344" s="32">
        <f>'[2]Calc_Coef _18'!AE343</f>
        <v>6902301</v>
      </c>
      <c r="B344" s="32">
        <f>'[2]Calc_Coef _18'!C343</f>
        <v>200799</v>
      </c>
      <c r="C344" s="32" t="str">
        <f>'[2]Calc_Coef _18'!AF343</f>
        <v>SCHIMIER DE CANA</v>
      </c>
      <c r="D344" s="63">
        <f>'[2]Calc_Coef _18'!AG343</f>
        <v>2947.5</v>
      </c>
      <c r="E344" s="63">
        <f>'[2]Calc_Coef _18'!AH343</f>
        <v>1471.4151641407616</v>
      </c>
      <c r="F344" s="64">
        <f>'[2]Calc_Coef _18'!AI343</f>
        <v>5.52</v>
      </c>
      <c r="G344" s="30"/>
      <c r="H344"/>
      <c r="I344"/>
    </row>
    <row r="345" spans="1:9" x14ac:dyDescent="0.25">
      <c r="A345" s="32">
        <f>'[2]Calc_Coef _18'!AE344</f>
        <v>6902401</v>
      </c>
      <c r="B345" s="32" t="str">
        <f>'[2]Calc_Coef _18'!C344</f>
        <v>081340</v>
      </c>
      <c r="C345" s="32" t="str">
        <f>'[2]Calc_Coef _18'!AF344</f>
        <v>FRUTA SECA OU DESIDRATADA</v>
      </c>
      <c r="D345" s="63">
        <f>'[2]Calc_Coef _18'!AG344</f>
        <v>719.03072599531617</v>
      </c>
      <c r="E345" s="63">
        <f>'[2]Calc_Coef _18'!AH344</f>
        <v>3082.4359757713787</v>
      </c>
      <c r="F345" s="64">
        <f>'[2]Calc_Coef _18'!AI344</f>
        <v>3.4182457517703764</v>
      </c>
      <c r="G345" s="30"/>
      <c r="H345"/>
      <c r="I345"/>
    </row>
    <row r="346" spans="1:9" x14ac:dyDescent="0.25">
      <c r="A346" s="32">
        <f>'[2]Calc_Coef _18'!AE345</f>
        <v>6902402</v>
      </c>
      <c r="B346" s="32" t="str">
        <f>'[2]Calc_Coef _18'!C345</f>
        <v>080620</v>
      </c>
      <c r="C346" s="32" t="str">
        <f>'[2]Calc_Coef _18'!AF345</f>
        <v>PASSA</v>
      </c>
      <c r="D346" s="63">
        <f>'[2]Calc_Coef _18'!AG345</f>
        <v>683.5</v>
      </c>
      <c r="E346" s="63">
        <f>'[2]Calc_Coef _18'!AH345</f>
        <v>1409.2956694206232</v>
      </c>
      <c r="F346" s="64">
        <f>'[2]Calc_Coef _18'!AI345</f>
        <v>4.8757736240913818</v>
      </c>
      <c r="G346" s="30"/>
      <c r="H346"/>
      <c r="I346"/>
    </row>
    <row r="347" spans="1:9" x14ac:dyDescent="0.25">
      <c r="A347" s="32">
        <f>'[2]Calc_Coef _18'!AE346</f>
        <v>6902607</v>
      </c>
      <c r="B347" s="32">
        <f>'[2]Calc_Coef _18'!C346</f>
        <v>190190</v>
      </c>
      <c r="C347" s="32" t="str">
        <f>'[2]Calc_Coef _18'!AF346</f>
        <v>DANETTE PUDIM</v>
      </c>
      <c r="D347" s="63">
        <f>'[2]Calc_Coef _18'!AG346</f>
        <v>3200</v>
      </c>
      <c r="E347" s="63">
        <f>'[2]Calc_Coef _18'!AH346</f>
        <v>1870.1099089032616</v>
      </c>
      <c r="F347" s="64">
        <f>'[2]Calc_Coef _18'!AI346</f>
        <v>5</v>
      </c>
      <c r="G347" s="30"/>
      <c r="H347"/>
      <c r="I347"/>
    </row>
    <row r="348" spans="1:9" x14ac:dyDescent="0.25">
      <c r="A348" s="32">
        <f>'[2]Calc_Coef _18'!AE347</f>
        <v>6903001</v>
      </c>
      <c r="B348" s="32" t="str">
        <f>'[2]Calc_Coef _18'!C347</f>
        <v>200799</v>
      </c>
      <c r="C348" s="32" t="str">
        <f>'[2]Calc_Coef _18'!AF347</f>
        <v>MARIA MOLE</v>
      </c>
      <c r="D348" s="63">
        <f>'[2]Calc_Coef _18'!AG347</f>
        <v>2947.5</v>
      </c>
      <c r="E348" s="63">
        <f>'[2]Calc_Coef _18'!AH347</f>
        <v>1471.4151641407616</v>
      </c>
      <c r="F348" s="64">
        <f>'[2]Calc_Coef _18'!AI347</f>
        <v>5.52</v>
      </c>
      <c r="G348" s="30"/>
      <c r="H348"/>
      <c r="I348"/>
    </row>
    <row r="349" spans="1:9" x14ac:dyDescent="0.25">
      <c r="A349" s="32">
        <f>'[2]Calc_Coef _18'!AE348</f>
        <v>6903101</v>
      </c>
      <c r="B349" s="32">
        <f>'[2]Calc_Coef _18'!C348</f>
        <v>200819</v>
      </c>
      <c r="C349" s="32" t="str">
        <f>'[2]Calc_Coef _18'!AF348</f>
        <v>COCADA</v>
      </c>
      <c r="D349" s="63">
        <f>'[2]Calc_Coef _18'!AG348</f>
        <v>1840.3250126347202</v>
      </c>
      <c r="E349" s="63">
        <f>'[2]Calc_Coef _18'!AH348</f>
        <v>1471.4151641407616</v>
      </c>
      <c r="F349" s="64">
        <f>'[2]Calc_Coef _18'!AI348</f>
        <v>5.52</v>
      </c>
      <c r="G349" s="30"/>
      <c r="H349"/>
      <c r="I349"/>
    </row>
    <row r="350" spans="1:9" x14ac:dyDescent="0.25">
      <c r="A350" s="32">
        <f>'[2]Calc_Coef _18'!AE349</f>
        <v>6903102</v>
      </c>
      <c r="B350" s="32">
        <f>'[2]Calc_Coef _18'!C349</f>
        <v>200819</v>
      </c>
      <c r="C350" s="32" t="str">
        <f>'[2]Calc_Coef _18'!AF349</f>
        <v>QUEBRA QUEIXO</v>
      </c>
      <c r="D350" s="63">
        <f>'[2]Calc_Coef _18'!AG349</f>
        <v>1840.3250126347202</v>
      </c>
      <c r="E350" s="63">
        <f>'[2]Calc_Coef _18'!AH349</f>
        <v>1471.4151641407616</v>
      </c>
      <c r="F350" s="64">
        <f>'[2]Calc_Coef _18'!AI349</f>
        <v>5.52</v>
      </c>
      <c r="G350" s="30"/>
      <c r="H350"/>
      <c r="I350"/>
    </row>
    <row r="351" spans="1:9" x14ac:dyDescent="0.25">
      <c r="A351" s="32">
        <f>'[2]Calc_Coef _18'!AE350</f>
        <v>6903201</v>
      </c>
      <c r="B351" s="32">
        <f>'[2]Calc_Coef _18'!C350</f>
        <v>200819</v>
      </c>
      <c r="C351" s="32" t="str">
        <f>'[2]Calc_Coef _18'!AF350</f>
        <v>DOCE DE AMENDOIM</v>
      </c>
      <c r="D351" s="63">
        <f>'[2]Calc_Coef _18'!AG350</f>
        <v>1840.3250126347202</v>
      </c>
      <c r="E351" s="63">
        <f>'[2]Calc_Coef _18'!AH350</f>
        <v>1471.4151641407616</v>
      </c>
      <c r="F351" s="64">
        <f>'[2]Calc_Coef _18'!AI350</f>
        <v>5.52</v>
      </c>
      <c r="G351" s="30"/>
      <c r="H351"/>
      <c r="I351"/>
    </row>
    <row r="352" spans="1:9" x14ac:dyDescent="0.25">
      <c r="A352" s="32">
        <f>'[2]Calc_Coef _18'!AE351</f>
        <v>6903202</v>
      </c>
      <c r="B352" s="32">
        <f>'[2]Calc_Coef _18'!C351</f>
        <v>200819</v>
      </c>
      <c r="C352" s="32" t="str">
        <f>'[2]Calc_Coef _18'!AF351</f>
        <v>PE DE MOLEQUE</v>
      </c>
      <c r="D352" s="63">
        <f>'[2]Calc_Coef _18'!AG351</f>
        <v>1840.3250126347202</v>
      </c>
      <c r="E352" s="63">
        <f>'[2]Calc_Coef _18'!AH351</f>
        <v>1471.4151641407616</v>
      </c>
      <c r="F352" s="64">
        <f>'[2]Calc_Coef _18'!AI351</f>
        <v>5.52</v>
      </c>
      <c r="G352" s="30"/>
      <c r="H352"/>
      <c r="I352"/>
    </row>
    <row r="353" spans="1:9" x14ac:dyDescent="0.25">
      <c r="A353" s="32">
        <f>'[2]Calc_Coef _18'!AE352</f>
        <v>6903203</v>
      </c>
      <c r="B353" s="32" t="str">
        <f>'[2]Calc_Coef _18'!C352</f>
        <v>200819</v>
      </c>
      <c r="C353" s="32" t="str">
        <f>'[2]Calc_Coef _18'!AF352</f>
        <v>PACOCA</v>
      </c>
      <c r="D353" s="63">
        <f>'[2]Calc_Coef _18'!AG352</f>
        <v>1840.3250126347202</v>
      </c>
      <c r="E353" s="63">
        <f>'[2]Calc_Coef _18'!AH352</f>
        <v>1471.4151641407616</v>
      </c>
      <c r="F353" s="64">
        <f>'[2]Calc_Coef _18'!AI352</f>
        <v>5.52</v>
      </c>
      <c r="G353" s="30"/>
      <c r="H353"/>
      <c r="I353"/>
    </row>
    <row r="354" spans="1:9" x14ac:dyDescent="0.25">
      <c r="A354" s="32">
        <f>'[2]Calc_Coef _18'!AE353</f>
        <v>6903204</v>
      </c>
      <c r="B354" s="32">
        <f>'[2]Calc_Coef _18'!C353</f>
        <v>200819</v>
      </c>
      <c r="C354" s="32" t="str">
        <f>'[2]Calc_Coef _18'!AF353</f>
        <v>TORRAO DE AMENDOIM</v>
      </c>
      <c r="D354" s="63">
        <f>'[2]Calc_Coef _18'!AG353</f>
        <v>1840.3250126347202</v>
      </c>
      <c r="E354" s="63">
        <f>'[2]Calc_Coef _18'!AH353</f>
        <v>1471.4151641407616</v>
      </c>
      <c r="F354" s="64">
        <f>'[2]Calc_Coef _18'!AI353</f>
        <v>5.52</v>
      </c>
      <c r="G354" s="30"/>
      <c r="H354"/>
      <c r="I354"/>
    </row>
    <row r="355" spans="1:9" x14ac:dyDescent="0.25">
      <c r="A355" s="32">
        <f>'[2]Calc_Coef _18'!AE354</f>
        <v>6903205</v>
      </c>
      <c r="B355" s="32" t="str">
        <f>'[2]Calc_Coef _18'!C354</f>
        <v>200819</v>
      </c>
      <c r="C355" s="32" t="str">
        <f>'[2]Calc_Coef _18'!AF354</f>
        <v>PACOQUINHA DE AMENDOIM</v>
      </c>
      <c r="D355" s="63">
        <f>'[2]Calc_Coef _18'!AG354</f>
        <v>1840.3250126347202</v>
      </c>
      <c r="E355" s="63">
        <f>'[2]Calc_Coef _18'!AH354</f>
        <v>1471.4151641407616</v>
      </c>
      <c r="F355" s="64">
        <f>'[2]Calc_Coef _18'!AI354</f>
        <v>5.52</v>
      </c>
      <c r="G355" s="30"/>
      <c r="H355"/>
      <c r="I355"/>
    </row>
    <row r="356" spans="1:9" x14ac:dyDescent="0.25">
      <c r="A356" s="32">
        <f>'[2]Calc_Coef _18'!AE355</f>
        <v>6903208</v>
      </c>
      <c r="B356" s="32">
        <f>'[2]Calc_Coef _18'!C355</f>
        <v>200819</v>
      </c>
      <c r="C356" s="32" t="str">
        <f>'[2]Calc_Coef _18'!AF355</f>
        <v>AMENDOIM AMANTEIGADO</v>
      </c>
      <c r="D356" s="63">
        <f>'[2]Calc_Coef _18'!AG355</f>
        <v>1840.3250126347202</v>
      </c>
      <c r="E356" s="63">
        <f>'[2]Calc_Coef _18'!AH355</f>
        <v>1471.4151641407616</v>
      </c>
      <c r="F356" s="64">
        <f>'[2]Calc_Coef _18'!AI355</f>
        <v>5.52</v>
      </c>
      <c r="G356" s="30"/>
      <c r="H356"/>
      <c r="I356"/>
    </row>
    <row r="357" spans="1:9" x14ac:dyDescent="0.25">
      <c r="A357" s="32">
        <f>'[2]Calc_Coef _18'!AE356</f>
        <v>6903209</v>
      </c>
      <c r="B357" s="32">
        <f>'[2]Calc_Coef _18'!C356</f>
        <v>200819</v>
      </c>
      <c r="C357" s="32" t="str">
        <f>'[2]Calc_Coef _18'!AF356</f>
        <v>AMENDOIM ACHOCOLATADO</v>
      </c>
      <c r="D357" s="63">
        <f>'[2]Calc_Coef _18'!AG356</f>
        <v>1840.3250126347202</v>
      </c>
      <c r="E357" s="63">
        <f>'[2]Calc_Coef _18'!AH356</f>
        <v>1471.4151641407616</v>
      </c>
      <c r="F357" s="64">
        <f>'[2]Calc_Coef _18'!AI356</f>
        <v>5.52</v>
      </c>
      <c r="G357" s="30"/>
      <c r="H357"/>
      <c r="I357"/>
    </row>
    <row r="358" spans="1:9" x14ac:dyDescent="0.25">
      <c r="A358" s="32">
        <f>'[2]Calc_Coef _18'!AE357</f>
        <v>6903303</v>
      </c>
      <c r="B358" s="32">
        <f>'[2]Calc_Coef _18'!C357</f>
        <v>200819</v>
      </c>
      <c r="C358" s="32" t="str">
        <f>'[2]Calc_Coef _18'!AF357</f>
        <v>AMENDOIM APIMENTADO</v>
      </c>
      <c r="D358" s="63">
        <f>'[2]Calc_Coef _18'!AG357</f>
        <v>1840.3250126347202</v>
      </c>
      <c r="E358" s="63">
        <f>'[2]Calc_Coef _18'!AH357</f>
        <v>1471.4151641407616</v>
      </c>
      <c r="F358" s="64">
        <f>'[2]Calc_Coef _18'!AI357</f>
        <v>5.52</v>
      </c>
      <c r="G358" s="30"/>
      <c r="H358"/>
      <c r="I358"/>
    </row>
    <row r="359" spans="1:9" x14ac:dyDescent="0.25">
      <c r="A359" s="32">
        <f>'[2]Calc_Coef _18'!AE358</f>
        <v>6903304</v>
      </c>
      <c r="B359" s="32">
        <f>'[2]Calc_Coef _18'!C358</f>
        <v>200819</v>
      </c>
      <c r="C359" s="32" t="str">
        <f>'[2]Calc_Coef _18'!AF358</f>
        <v>AMENDOIM COZIDO</v>
      </c>
      <c r="D359" s="63">
        <f>'[2]Calc_Coef _18'!AG358</f>
        <v>1840.3250126347202</v>
      </c>
      <c r="E359" s="63">
        <f>'[2]Calc_Coef _18'!AH358</f>
        <v>1471.4151641407616</v>
      </c>
      <c r="F359" s="64">
        <f>'[2]Calc_Coef _18'!AI358</f>
        <v>5.52</v>
      </c>
      <c r="G359" s="30"/>
      <c r="H359"/>
      <c r="I359"/>
    </row>
    <row r="360" spans="1:9" x14ac:dyDescent="0.25">
      <c r="A360" s="32">
        <f>'[2]Calc_Coef _18'!AE359</f>
        <v>6903601</v>
      </c>
      <c r="B360" s="32" t="str">
        <f>'[2]Calc_Coef _18'!C359</f>
        <v>180500</v>
      </c>
      <c r="C360" s="32" t="str">
        <f>'[2]Calc_Coef _18'!AF359</f>
        <v>BRIGADEIRO</v>
      </c>
      <c r="D360" s="63">
        <f>'[2]Calc_Coef _18'!AG359</f>
        <v>2333.3333333333335</v>
      </c>
      <c r="E360" s="63">
        <f>'[2]Calc_Coef _18'!AH359</f>
        <v>30989.752514303607</v>
      </c>
      <c r="F360" s="64">
        <f>'[2]Calc_Coef _18'!AI359</f>
        <v>46</v>
      </c>
      <c r="G360" s="30"/>
      <c r="H360"/>
      <c r="I360"/>
    </row>
    <row r="361" spans="1:9" x14ac:dyDescent="0.25">
      <c r="A361" s="32">
        <f>'[2]Calc_Coef _18'!AE360</f>
        <v>6903701</v>
      </c>
      <c r="B361" s="32" t="str">
        <f>'[2]Calc_Coef _18'!C360</f>
        <v>180500</v>
      </c>
      <c r="C361" s="32" t="str">
        <f>'[2]Calc_Coef _18'!AF360</f>
        <v>BOMBA DE QUALQUER TIPO</v>
      </c>
      <c r="D361" s="63">
        <f>'[2]Calc_Coef _18'!AG360</f>
        <v>2333.3333333333335</v>
      </c>
      <c r="E361" s="63">
        <f>'[2]Calc_Coef _18'!AH360</f>
        <v>30989.752514303607</v>
      </c>
      <c r="F361" s="64">
        <f>'[2]Calc_Coef _18'!AI360</f>
        <v>46</v>
      </c>
      <c r="G361" s="30"/>
      <c r="H361"/>
      <c r="I361"/>
    </row>
    <row r="362" spans="1:9" x14ac:dyDescent="0.25">
      <c r="A362" s="32">
        <f>'[2]Calc_Coef _18'!AE361</f>
        <v>6903801</v>
      </c>
      <c r="B362" s="32">
        <f>'[2]Calc_Coef _18'!C361</f>
        <v>190520</v>
      </c>
      <c r="C362" s="32" t="str">
        <f>'[2]Calc_Coef _18'!AF361</f>
        <v>MIL FOLHAS</v>
      </c>
      <c r="D362" s="63">
        <f>'[2]Calc_Coef _18'!AG361</f>
        <v>2315.1666666666665</v>
      </c>
      <c r="E362" s="63">
        <f>'[2]Calc_Coef _18'!AH361</f>
        <v>1956.5333333333333</v>
      </c>
      <c r="F362" s="64">
        <f>'[2]Calc_Coef _18'!AI361</f>
        <v>12.832539682539684</v>
      </c>
      <c r="G362" s="30"/>
      <c r="H362"/>
      <c r="I362"/>
    </row>
    <row r="363" spans="1:9" x14ac:dyDescent="0.25">
      <c r="A363" s="32">
        <f>'[2]Calc_Coef _18'!AE362</f>
        <v>6903802</v>
      </c>
      <c r="B363" s="32">
        <f>'[2]Calc_Coef _18'!C362</f>
        <v>190520</v>
      </c>
      <c r="C363" s="32" t="str">
        <f>'[2]Calc_Coef _18'!AF362</f>
        <v>DOCE DE MASSA FOLHADA</v>
      </c>
      <c r="D363" s="63">
        <f>'[2]Calc_Coef _18'!AG362</f>
        <v>2315.1666666666665</v>
      </c>
      <c r="E363" s="63">
        <f>'[2]Calc_Coef _18'!AH362</f>
        <v>1956.5333333333333</v>
      </c>
      <c r="F363" s="64">
        <f>'[2]Calc_Coef _18'!AI362</f>
        <v>12.832539682539684</v>
      </c>
      <c r="G363" s="30"/>
      <c r="H363"/>
      <c r="I363"/>
    </row>
    <row r="364" spans="1:9" x14ac:dyDescent="0.25">
      <c r="A364" s="32">
        <f>'[2]Calc_Coef _18'!AE363</f>
        <v>6903901</v>
      </c>
      <c r="B364" s="32" t="str">
        <f>'[2]Calc_Coef _18'!C363</f>
        <v>170490</v>
      </c>
      <c r="C364" s="32" t="str">
        <f>'[2]Calc_Coef _18'!AF363</f>
        <v>QUEIJADINHA</v>
      </c>
      <c r="D364" s="63">
        <f>'[2]Calc_Coef _18'!AG363</f>
        <v>3295</v>
      </c>
      <c r="E364" s="63">
        <f>'[2]Calc_Coef _18'!AH363</f>
        <v>588.35425044054443</v>
      </c>
      <c r="F364" s="64">
        <f>'[2]Calc_Coef _18'!AI363</f>
        <v>3.7796942010068992</v>
      </c>
      <c r="G364" s="30"/>
      <c r="H364"/>
      <c r="I364"/>
    </row>
    <row r="365" spans="1:9" x14ac:dyDescent="0.25">
      <c r="A365" s="32">
        <f>'[2]Calc_Coef _18'!AE364</f>
        <v>6904101</v>
      </c>
      <c r="B365" s="32" t="str">
        <f>'[2]Calc_Coef _18'!C364</f>
        <v>170490</v>
      </c>
      <c r="C365" s="32" t="str">
        <f>'[2]Calc_Coef _18'!AF364</f>
        <v>DOCE A BASE DE OVOS</v>
      </c>
      <c r="D365" s="63">
        <f>'[2]Calc_Coef _18'!AG364</f>
        <v>3295</v>
      </c>
      <c r="E365" s="63">
        <f>'[2]Calc_Coef _18'!AH364</f>
        <v>588.35425044054443</v>
      </c>
      <c r="F365" s="64">
        <f>'[2]Calc_Coef _18'!AI364</f>
        <v>3.7796942010068992</v>
      </c>
      <c r="G365" s="30"/>
      <c r="H365"/>
      <c r="I365"/>
    </row>
    <row r="366" spans="1:9" x14ac:dyDescent="0.25">
      <c r="A366" s="32">
        <f>'[2]Calc_Coef _18'!AE365</f>
        <v>6904201</v>
      </c>
      <c r="B366" s="32">
        <f>'[2]Calc_Coef _18'!C365</f>
        <v>190190</v>
      </c>
      <c r="C366" s="32" t="str">
        <f>'[2]Calc_Coef _18'!AF365</f>
        <v>DOCE A BASE DE LEITE</v>
      </c>
      <c r="D366" s="63">
        <f>'[2]Calc_Coef _18'!AG365</f>
        <v>3200</v>
      </c>
      <c r="E366" s="63">
        <f>'[2]Calc_Coef _18'!AH365</f>
        <v>1870.1099089032616</v>
      </c>
      <c r="F366" s="64">
        <f>'[2]Calc_Coef _18'!AI365</f>
        <v>5</v>
      </c>
      <c r="G366" s="30"/>
      <c r="H366"/>
      <c r="I366"/>
    </row>
    <row r="367" spans="1:9" x14ac:dyDescent="0.25">
      <c r="A367" s="32">
        <f>'[2]Calc_Coef _18'!AE366</f>
        <v>6904204</v>
      </c>
      <c r="B367" s="32">
        <f>'[2]Calc_Coef _18'!C366</f>
        <v>190190</v>
      </c>
      <c r="C367" s="32" t="str">
        <f>'[2]Calc_Coef _18'!AF366</f>
        <v>LEITE GELEIFICADO</v>
      </c>
      <c r="D367" s="63">
        <f>'[2]Calc_Coef _18'!AG366</f>
        <v>3200</v>
      </c>
      <c r="E367" s="63">
        <f>'[2]Calc_Coef _18'!AH366</f>
        <v>1870.1099089032616</v>
      </c>
      <c r="F367" s="64">
        <f>'[2]Calc_Coef _18'!AI366</f>
        <v>5</v>
      </c>
      <c r="G367" s="30"/>
      <c r="H367"/>
      <c r="I367"/>
    </row>
    <row r="368" spans="1:9" x14ac:dyDescent="0.25">
      <c r="A368" s="32">
        <f>'[2]Calc_Coef _18'!AE367</f>
        <v>6904205</v>
      </c>
      <c r="B368" s="32">
        <f>'[2]Calc_Coef _18'!C367</f>
        <v>190190</v>
      </c>
      <c r="C368" s="32" t="str">
        <f>'[2]Calc_Coef _18'!AF367</f>
        <v>CHANDELE DE QUALQUER SABOR</v>
      </c>
      <c r="D368" s="63">
        <f>'[2]Calc_Coef _18'!AG367</f>
        <v>3200</v>
      </c>
      <c r="E368" s="63">
        <f>'[2]Calc_Coef _18'!AH367</f>
        <v>1870.1099089032616</v>
      </c>
      <c r="F368" s="64">
        <f>'[2]Calc_Coef _18'!AI367</f>
        <v>5</v>
      </c>
      <c r="G368" s="30"/>
      <c r="H368"/>
      <c r="I368"/>
    </row>
    <row r="369" spans="1:9" x14ac:dyDescent="0.25">
      <c r="A369" s="32">
        <f>'[2]Calc_Coef _18'!AE368</f>
        <v>6904301</v>
      </c>
      <c r="B369" s="32">
        <f>'[2]Calc_Coef _18'!C368</f>
        <v>190190</v>
      </c>
      <c r="C369" s="32" t="str">
        <f>'[2]Calc_Coef _18'!AF368</f>
        <v>DOCE DE LEITE</v>
      </c>
      <c r="D369" s="63">
        <f>'[2]Calc_Coef _18'!AG368</f>
        <v>3200</v>
      </c>
      <c r="E369" s="63">
        <f>'[2]Calc_Coef _18'!AH368</f>
        <v>1870.1099089032616</v>
      </c>
      <c r="F369" s="64">
        <f>'[2]Calc_Coef _18'!AI368</f>
        <v>5</v>
      </c>
      <c r="G369" s="30"/>
      <c r="H369"/>
      <c r="I369"/>
    </row>
    <row r="370" spans="1:9" x14ac:dyDescent="0.25">
      <c r="A370" s="32">
        <f>'[2]Calc_Coef _18'!AE369</f>
        <v>6904302</v>
      </c>
      <c r="B370" s="32">
        <f>'[2]Calc_Coef _18'!C369</f>
        <v>190190</v>
      </c>
      <c r="C370" s="32" t="str">
        <f>'[2]Calc_Coef _18'!AF369</f>
        <v>MUMU</v>
      </c>
      <c r="D370" s="63">
        <f>'[2]Calc_Coef _18'!AG369</f>
        <v>3200</v>
      </c>
      <c r="E370" s="63">
        <f>'[2]Calc_Coef _18'!AH369</f>
        <v>1870.1099089032616</v>
      </c>
      <c r="F370" s="64">
        <f>'[2]Calc_Coef _18'!AI369</f>
        <v>5</v>
      </c>
      <c r="G370" s="30"/>
      <c r="H370"/>
      <c r="I370"/>
    </row>
    <row r="371" spans="1:9" x14ac:dyDescent="0.25">
      <c r="A371" s="32">
        <f>'[2]Calc_Coef _18'!AE370</f>
        <v>6904401</v>
      </c>
      <c r="B371" s="32">
        <f>'[2]Calc_Coef _18'!C370</f>
        <v>190520</v>
      </c>
      <c r="C371" s="32" t="str">
        <f>'[2]Calc_Coef _18'!AF370</f>
        <v>CANUDINHO RECHEADO</v>
      </c>
      <c r="D371" s="63">
        <f>'[2]Calc_Coef _18'!AG370</f>
        <v>2315.1666666666665</v>
      </c>
      <c r="E371" s="63">
        <f>'[2]Calc_Coef _18'!AH370</f>
        <v>1956.5333333333333</v>
      </c>
      <c r="F371" s="64">
        <f>'[2]Calc_Coef _18'!AI370</f>
        <v>12.832539682539684</v>
      </c>
      <c r="G371" s="30"/>
      <c r="H371"/>
      <c r="I371"/>
    </row>
    <row r="372" spans="1:9" x14ac:dyDescent="0.25">
      <c r="A372" s="32">
        <f>'[2]Calc_Coef _18'!AE371</f>
        <v>6904601</v>
      </c>
      <c r="B372" s="32">
        <f>'[2]Calc_Coef _18'!C371</f>
        <v>200799</v>
      </c>
      <c r="C372" s="32" t="str">
        <f>'[2]Calc_Coef _18'!AF371</f>
        <v>SCHIMIER DE FRUTA (EXCETO DE CANA)</v>
      </c>
      <c r="D372" s="63">
        <f>'[2]Calc_Coef _18'!AG371</f>
        <v>2947.5</v>
      </c>
      <c r="E372" s="63">
        <f>'[2]Calc_Coef _18'!AH371</f>
        <v>1471.4151641407616</v>
      </c>
      <c r="F372" s="64">
        <f>'[2]Calc_Coef _18'!AI371</f>
        <v>5.52</v>
      </c>
      <c r="G372" s="30"/>
      <c r="H372"/>
      <c r="I372"/>
    </row>
    <row r="373" spans="1:9" x14ac:dyDescent="0.25">
      <c r="A373" s="32">
        <f>'[2]Calc_Coef _18'!AE372</f>
        <v>6904701</v>
      </c>
      <c r="B373" s="32">
        <f>'[2]Calc_Coef _18'!C372</f>
        <v>190190</v>
      </c>
      <c r="C373" s="32" t="str">
        <f>'[2]Calc_Coef _18'!AF372</f>
        <v>BEIJO DE MOCA</v>
      </c>
      <c r="D373" s="63">
        <f>'[2]Calc_Coef _18'!AG372</f>
        <v>3200</v>
      </c>
      <c r="E373" s="63">
        <f>'[2]Calc_Coef _18'!AH372</f>
        <v>1870.1099089032616</v>
      </c>
      <c r="F373" s="64">
        <f>'[2]Calc_Coef _18'!AI372</f>
        <v>5</v>
      </c>
      <c r="G373" s="30"/>
      <c r="H373"/>
      <c r="I373"/>
    </row>
    <row r="374" spans="1:9" x14ac:dyDescent="0.25">
      <c r="A374" s="32">
        <f>'[2]Calc_Coef _18'!AE373</f>
        <v>6904801</v>
      </c>
      <c r="B374" s="32" t="str">
        <f>'[2]Calc_Coef _18'!C373</f>
        <v>210500</v>
      </c>
      <c r="C374" s="32" t="str">
        <f>'[2]Calc_Coef _18'!AF373</f>
        <v>PICOLE ENSACADO</v>
      </c>
      <c r="D374" s="63">
        <f>'[2]Calc_Coef _18'!AG373</f>
        <v>2350</v>
      </c>
      <c r="E374" s="63">
        <f>'[2]Calc_Coef _18'!AH373</f>
        <v>6114.9086447857417</v>
      </c>
      <c r="F374" s="64">
        <f>'[2]Calc_Coef _18'!AI373</f>
        <v>33.5</v>
      </c>
      <c r="G374" s="30"/>
      <c r="H374"/>
      <c r="I374"/>
    </row>
    <row r="375" spans="1:9" x14ac:dyDescent="0.25">
      <c r="A375" s="32">
        <f>'[2]Calc_Coef _18'!AE374</f>
        <v>6904802</v>
      </c>
      <c r="B375" s="32" t="str">
        <f>'[2]Calc_Coef _18'!C374</f>
        <v>210500</v>
      </c>
      <c r="C375" s="32" t="str">
        <f>'[2]Calc_Coef _18'!AF374</f>
        <v>DIN DIN</v>
      </c>
      <c r="D375" s="63">
        <f>'[2]Calc_Coef _18'!AG374</f>
        <v>2350</v>
      </c>
      <c r="E375" s="63">
        <f>'[2]Calc_Coef _18'!AH374</f>
        <v>6114.9086447857417</v>
      </c>
      <c r="F375" s="64">
        <f>'[2]Calc_Coef _18'!AI374</f>
        <v>33.5</v>
      </c>
      <c r="G375" s="30"/>
      <c r="H375"/>
      <c r="I375"/>
    </row>
    <row r="376" spans="1:9" x14ac:dyDescent="0.25">
      <c r="A376" s="32">
        <f>'[2]Calc_Coef _18'!AE375</f>
        <v>6904804</v>
      </c>
      <c r="B376" s="32" t="str">
        <f>'[2]Calc_Coef _18'!C375</f>
        <v>210500</v>
      </c>
      <c r="C376" s="32" t="str">
        <f>'[2]Calc_Coef _18'!AF375</f>
        <v>CHUPE CHUPE</v>
      </c>
      <c r="D376" s="63">
        <f>'[2]Calc_Coef _18'!AG375</f>
        <v>2350</v>
      </c>
      <c r="E376" s="63">
        <f>'[2]Calc_Coef _18'!AH375</f>
        <v>6114.9086447857417</v>
      </c>
      <c r="F376" s="64">
        <f>'[2]Calc_Coef _18'!AI375</f>
        <v>33.5</v>
      </c>
      <c r="G376" s="30"/>
      <c r="H376"/>
      <c r="I376"/>
    </row>
    <row r="377" spans="1:9" x14ac:dyDescent="0.25">
      <c r="A377" s="32">
        <f>'[2]Calc_Coef _18'!AE376</f>
        <v>6904807</v>
      </c>
      <c r="B377" s="32" t="str">
        <f>'[2]Calc_Coef _18'!C376</f>
        <v>210500</v>
      </c>
      <c r="C377" s="32" t="str">
        <f>'[2]Calc_Coef _18'!AF376</f>
        <v>GELADINHO</v>
      </c>
      <c r="D377" s="63">
        <f>'[2]Calc_Coef _18'!AG376</f>
        <v>2350</v>
      </c>
      <c r="E377" s="63">
        <f>'[2]Calc_Coef _18'!AH376</f>
        <v>6114.9086447857417</v>
      </c>
      <c r="F377" s="64">
        <f>'[2]Calc_Coef _18'!AI376</f>
        <v>33.5</v>
      </c>
      <c r="G377" s="30"/>
      <c r="H377"/>
      <c r="I377"/>
    </row>
    <row r="378" spans="1:9" x14ac:dyDescent="0.25">
      <c r="A378" s="32">
        <f>'[2]Calc_Coef _18'!AE377</f>
        <v>6905001</v>
      </c>
      <c r="B378" s="32" t="str">
        <f>'[2]Calc_Coef _18'!C377</f>
        <v>190120</v>
      </c>
      <c r="C378" s="32" t="str">
        <f>'[2]Calc_Coef _18'!AF377</f>
        <v>CHURRO</v>
      </c>
      <c r="D378" s="63">
        <f>'[2]Calc_Coef _18'!AG377</f>
        <v>547.0901639344263</v>
      </c>
      <c r="E378" s="63">
        <f>'[2]Calc_Coef _18'!AH377</f>
        <v>1870.1099089032616</v>
      </c>
      <c r="F378" s="64">
        <f>'[2]Calc_Coef _18'!AI377</f>
        <v>5</v>
      </c>
      <c r="G378" s="30"/>
      <c r="H378"/>
      <c r="I378"/>
    </row>
    <row r="379" spans="1:9" x14ac:dyDescent="0.25">
      <c r="A379" s="32">
        <f>'[2]Calc_Coef _18'!AE378</f>
        <v>6905101</v>
      </c>
      <c r="B379" s="32">
        <f>'[2]Calc_Coef _18'!C378</f>
        <v>190190</v>
      </c>
      <c r="C379" s="32" t="str">
        <f>'[2]Calc_Coef _18'!AF378</f>
        <v>PAMONHA</v>
      </c>
      <c r="D379" s="63">
        <f>'[2]Calc_Coef _18'!AG378</f>
        <v>3200</v>
      </c>
      <c r="E379" s="63">
        <f>'[2]Calc_Coef _18'!AH378</f>
        <v>1870.1099089032616</v>
      </c>
      <c r="F379" s="64">
        <f>'[2]Calc_Coef _18'!AI378</f>
        <v>5</v>
      </c>
      <c r="G379" s="30"/>
      <c r="H379"/>
      <c r="I379"/>
    </row>
    <row r="380" spans="1:9" x14ac:dyDescent="0.25">
      <c r="A380" s="32">
        <f>'[2]Calc_Coef _18'!AE379</f>
        <v>6905603</v>
      </c>
      <c r="B380" s="32">
        <f>'[2]Calc_Coef _18'!C379</f>
        <v>180690</v>
      </c>
      <c r="C380" s="32" t="str">
        <f>'[2]Calc_Coef _18'!AF379</f>
        <v>IOIO CREME (CHOCOLATE EM CREME)</v>
      </c>
      <c r="D380" s="63">
        <f>'[2]Calc_Coef _18'!AG379</f>
        <v>2525</v>
      </c>
      <c r="E380" s="63">
        <f>'[2]Calc_Coef _18'!AH379</f>
        <v>30989.752514303607</v>
      </c>
      <c r="F380" s="64">
        <f>'[2]Calc_Coef _18'!AI379</f>
        <v>46</v>
      </c>
      <c r="G380" s="30"/>
      <c r="H380"/>
      <c r="I380"/>
    </row>
    <row r="381" spans="1:9" x14ac:dyDescent="0.25">
      <c r="A381" s="32">
        <f>'[2]Calc_Coef _18'!AE380</f>
        <v>6905606</v>
      </c>
      <c r="B381" s="32">
        <f>'[2]Calc_Coef _18'!C380</f>
        <v>180690</v>
      </c>
      <c r="C381" s="32" t="str">
        <f>'[2]Calc_Coef _18'!AF380</f>
        <v>NUTELLA</v>
      </c>
      <c r="D381" s="63">
        <f>'[2]Calc_Coef _18'!AG380</f>
        <v>2525</v>
      </c>
      <c r="E381" s="63">
        <f>'[2]Calc_Coef _18'!AH380</f>
        <v>30989.752514303607</v>
      </c>
      <c r="F381" s="64">
        <f>'[2]Calc_Coef _18'!AI380</f>
        <v>46</v>
      </c>
      <c r="G381" s="30"/>
      <c r="H381"/>
      <c r="I381"/>
    </row>
    <row r="382" spans="1:9" x14ac:dyDescent="0.25">
      <c r="A382" s="32">
        <f>'[2]Calc_Coef _18'!AE381</f>
        <v>6905702</v>
      </c>
      <c r="B382" s="32">
        <f>'[2]Calc_Coef _18'!C381</f>
        <v>180690</v>
      </c>
      <c r="C382" s="32" t="str">
        <f>'[2]Calc_Coef _18'!AF381</f>
        <v>GUARANA EM PO</v>
      </c>
      <c r="D382" s="63">
        <f>'[2]Calc_Coef _18'!AG381</f>
        <v>2525</v>
      </c>
      <c r="E382" s="63">
        <f>'[2]Calc_Coef _18'!AH381</f>
        <v>30989.752514303607</v>
      </c>
      <c r="F382" s="64">
        <f>'[2]Calc_Coef _18'!AI381</f>
        <v>46</v>
      </c>
      <c r="G382" s="30"/>
      <c r="H382"/>
      <c r="I382"/>
    </row>
    <row r="383" spans="1:9" x14ac:dyDescent="0.25">
      <c r="A383" s="32">
        <f>'[2]Calc_Coef _18'!AE382</f>
        <v>6905801</v>
      </c>
      <c r="B383" s="32" t="str">
        <f>'[2]Calc_Coef _18'!C382</f>
        <v>180500</v>
      </c>
      <c r="C383" s="32" t="str">
        <f>'[2]Calc_Coef _18'!AF382</f>
        <v>OVO DE PASCOA</v>
      </c>
      <c r="D383" s="63">
        <f>'[2]Calc_Coef _18'!AG382</f>
        <v>2333.3333333333335</v>
      </c>
      <c r="E383" s="63">
        <f>'[2]Calc_Coef _18'!AH382</f>
        <v>30989.752514303607</v>
      </c>
      <c r="F383" s="64">
        <f>'[2]Calc_Coef _18'!AI382</f>
        <v>46</v>
      </c>
      <c r="G383" s="30"/>
      <c r="H383"/>
      <c r="I383"/>
    </row>
    <row r="384" spans="1:9" x14ac:dyDescent="0.25">
      <c r="A384" s="32">
        <f>'[2]Calc_Coef _18'!AE383</f>
        <v>6905804</v>
      </c>
      <c r="B384" s="32" t="str">
        <f>'[2]Calc_Coef _18'!C383</f>
        <v>180500</v>
      </c>
      <c r="C384" s="32" t="str">
        <f>'[2]Calc_Coef _18'!AF383</f>
        <v>KINDER OVO</v>
      </c>
      <c r="D384" s="63">
        <f>'[2]Calc_Coef _18'!AG383</f>
        <v>2333.3333333333335</v>
      </c>
      <c r="E384" s="63">
        <f>'[2]Calc_Coef _18'!AH383</f>
        <v>30989.752514303607</v>
      </c>
      <c r="F384" s="64">
        <f>'[2]Calc_Coef _18'!AI383</f>
        <v>46</v>
      </c>
      <c r="G384" s="30"/>
      <c r="H384"/>
      <c r="I384"/>
    </row>
    <row r="385" spans="1:9" x14ac:dyDescent="0.25">
      <c r="A385" s="32">
        <f>'[2]Calc_Coef _18'!AE384</f>
        <v>6905901</v>
      </c>
      <c r="B385" s="32">
        <f>'[2]Calc_Coef _18'!C384</f>
        <v>170490</v>
      </c>
      <c r="C385" s="32" t="str">
        <f>'[2]Calc_Coef _18'!AF384</f>
        <v>TORRONE</v>
      </c>
      <c r="D385" s="63">
        <f>'[2]Calc_Coef _18'!AG384</f>
        <v>3295</v>
      </c>
      <c r="E385" s="63">
        <f>'[2]Calc_Coef _18'!AH384</f>
        <v>588.35425044054443</v>
      </c>
      <c r="F385" s="64">
        <f>'[2]Calc_Coef _18'!AI384</f>
        <v>3.7796942010068992</v>
      </c>
      <c r="G385" s="30"/>
      <c r="H385"/>
      <c r="I385"/>
    </row>
    <row r="386" spans="1:9" x14ac:dyDescent="0.25">
      <c r="A386" s="32">
        <f>'[2]Calc_Coef _18'!AE385</f>
        <v>6906404</v>
      </c>
      <c r="B386" s="32" t="str">
        <f>'[2]Calc_Coef _18'!C385</f>
        <v>080111</v>
      </c>
      <c r="C386" s="32" t="str">
        <f>'[2]Calc_Coef _18'!AF385</f>
        <v>POLPA DE COCO</v>
      </c>
      <c r="D386" s="63">
        <f>'[2]Calc_Coef _18'!AG385</f>
        <v>1853.3333333333333</v>
      </c>
      <c r="E386" s="63">
        <f>'[2]Calc_Coef _18'!AH385</f>
        <v>928.18058566005857</v>
      </c>
      <c r="F386" s="64">
        <f>'[2]Calc_Coef _18'!AI385</f>
        <v>4.8757736240913818</v>
      </c>
      <c r="G386" s="30"/>
      <c r="H386"/>
      <c r="I386"/>
    </row>
    <row r="387" spans="1:9" x14ac:dyDescent="0.25">
      <c r="A387" s="32">
        <f>'[2]Calc_Coef _18'!AE386</f>
        <v>6906501</v>
      </c>
      <c r="B387" s="32">
        <f>'[2]Calc_Coef _18'!C386</f>
        <v>220290</v>
      </c>
      <c r="C387" s="32" t="str">
        <f>'[2]Calc_Coef _18'!AF386</f>
        <v>DIET SHAKE</v>
      </c>
      <c r="D387" s="63">
        <f>'[2]Calc_Coef _18'!AG386</f>
        <v>794.44444444444446</v>
      </c>
      <c r="E387" s="63">
        <f>'[2]Calc_Coef _18'!AH386</f>
        <v>11543.725015272823</v>
      </c>
      <c r="F387" s="64">
        <f>'[2]Calc_Coef _18'!AI386</f>
        <v>57.5</v>
      </c>
      <c r="G387" s="30"/>
      <c r="H387"/>
      <c r="I387"/>
    </row>
    <row r="388" spans="1:9" x14ac:dyDescent="0.25">
      <c r="A388" s="32">
        <f>'[2]Calc_Coef _18'!AE387</f>
        <v>6906502</v>
      </c>
      <c r="B388" s="32">
        <f>'[2]Calc_Coef _18'!C387</f>
        <v>220290</v>
      </c>
      <c r="C388" s="32" t="str">
        <f>'[2]Calc_Coef _18'!AF387</f>
        <v>CONCENTRADO ALIMENTAR DIET SHAKE</v>
      </c>
      <c r="D388" s="63">
        <f>'[2]Calc_Coef _18'!AG387</f>
        <v>794.44444444444446</v>
      </c>
      <c r="E388" s="63">
        <f>'[2]Calc_Coef _18'!AH387</f>
        <v>11543.725015272823</v>
      </c>
      <c r="F388" s="64">
        <f>'[2]Calc_Coef _18'!AI387</f>
        <v>57.5</v>
      </c>
      <c r="G388" s="30"/>
      <c r="H388"/>
      <c r="I388"/>
    </row>
    <row r="389" spans="1:9" x14ac:dyDescent="0.25">
      <c r="A389" s="32">
        <f>'[2]Calc_Coef _18'!AE388</f>
        <v>6906503</v>
      </c>
      <c r="B389" s="32">
        <f>'[2]Calc_Coef _18'!C388</f>
        <v>220290</v>
      </c>
      <c r="C389" s="32" t="str">
        <f>'[2]Calc_Coef _18'!AF388</f>
        <v>HERBALIFE</v>
      </c>
      <c r="D389" s="63">
        <f>'[2]Calc_Coef _18'!AG388</f>
        <v>794.44444444444446</v>
      </c>
      <c r="E389" s="63">
        <f>'[2]Calc_Coef _18'!AH388</f>
        <v>11543.725015272823</v>
      </c>
      <c r="F389" s="64">
        <f>'[2]Calc_Coef _18'!AI388</f>
        <v>57.5</v>
      </c>
      <c r="G389" s="30"/>
      <c r="H389"/>
      <c r="I389"/>
    </row>
    <row r="390" spans="1:9" x14ac:dyDescent="0.25">
      <c r="A390" s="32">
        <f>'[2]Calc_Coef _18'!AE389</f>
        <v>6906602</v>
      </c>
      <c r="B390" s="32">
        <f>'[2]Calc_Coef _18'!C389</f>
        <v>170111</v>
      </c>
      <c r="C390" s="32" t="str">
        <f>'[2]Calc_Coef _18'!AF389</f>
        <v>ACUCAR</v>
      </c>
      <c r="D390" s="63">
        <f>'[2]Calc_Coef _18'!AG389</f>
        <v>422.22333333333336</v>
      </c>
      <c r="E390" s="63">
        <f>'[2]Calc_Coef _18'!AH389</f>
        <v>684.3761220423869</v>
      </c>
      <c r="F390" s="64">
        <f>'[2]Calc_Coef _18'!AI389</f>
        <v>3.7796942010068992</v>
      </c>
      <c r="G390" s="30"/>
      <c r="H390"/>
      <c r="I390"/>
    </row>
    <row r="391" spans="1:9" x14ac:dyDescent="0.25">
      <c r="A391" s="32">
        <f>'[2]Calc_Coef _18'!AE390</f>
        <v>6907001</v>
      </c>
      <c r="B391" s="32">
        <f>'[2]Calc_Coef _18'!C390</f>
        <v>170113</v>
      </c>
      <c r="C391" s="32" t="str">
        <f>'[2]Calc_Coef _18'!AF390</f>
        <v>ACUCAR LIGHT</v>
      </c>
      <c r="D391" s="63">
        <f>'[2]Calc_Coef _18'!AG390</f>
        <v>766.66750000000002</v>
      </c>
      <c r="E391" s="63">
        <f>'[2]Calc_Coef _18'!AH390</f>
        <v>649.22729124245052</v>
      </c>
      <c r="F391" s="64">
        <f>'[2]Calc_Coef _18'!AI390</f>
        <v>3.7796942010068992</v>
      </c>
      <c r="G391" s="30"/>
      <c r="H391"/>
      <c r="I391"/>
    </row>
    <row r="392" spans="1:9" x14ac:dyDescent="0.25">
      <c r="A392" s="32">
        <f>'[2]Calc_Coef _18'!AE391</f>
        <v>6907201</v>
      </c>
      <c r="B392" s="32">
        <f>'[2]Calc_Coef _18'!C391</f>
        <v>190420</v>
      </c>
      <c r="C392" s="32" t="str">
        <f>'[2]Calc_Coef _18'!AF391</f>
        <v>BARRA DE CEREAIS</v>
      </c>
      <c r="D392" s="63">
        <f>'[2]Calc_Coef _18'!AG391</f>
        <v>2903</v>
      </c>
      <c r="E392" s="63">
        <f>'[2]Calc_Coef _18'!AH391</f>
        <v>1772</v>
      </c>
      <c r="F392" s="64">
        <f>'[2]Calc_Coef _18'!AI391</f>
        <v>10.334717607973422</v>
      </c>
      <c r="G392" s="30"/>
      <c r="H392"/>
      <c r="I392"/>
    </row>
    <row r="393" spans="1:9" x14ac:dyDescent="0.25">
      <c r="A393" s="32">
        <f>'[2]Calc_Coef _18'!AE392</f>
        <v>6907203</v>
      </c>
      <c r="B393" s="32">
        <f>'[2]Calc_Coef _18'!C392</f>
        <v>190420</v>
      </c>
      <c r="C393" s="32" t="str">
        <f>'[2]Calc_Coef _18'!AF392</f>
        <v>BARRA DE CEREAIS DOCE</v>
      </c>
      <c r="D393" s="63">
        <f>'[2]Calc_Coef _18'!AG392</f>
        <v>2903</v>
      </c>
      <c r="E393" s="63">
        <f>'[2]Calc_Coef _18'!AH392</f>
        <v>1772</v>
      </c>
      <c r="F393" s="64">
        <f>'[2]Calc_Coef _18'!AI392</f>
        <v>10.334717607973422</v>
      </c>
      <c r="G393" s="30"/>
      <c r="H393"/>
      <c r="I393"/>
    </row>
    <row r="394" spans="1:9" x14ac:dyDescent="0.25">
      <c r="A394" s="32">
        <f>'[2]Calc_Coef _18'!AE393</f>
        <v>6907501</v>
      </c>
      <c r="B394" s="32" t="str">
        <f>'[2]Calc_Coef _18'!C393</f>
        <v>210500</v>
      </c>
      <c r="C394" s="32" t="str">
        <f>'[2]Calc_Coef _18'!AF393</f>
        <v>MILK SHAKE</v>
      </c>
      <c r="D394" s="63">
        <f>'[2]Calc_Coef _18'!AG393</f>
        <v>2350</v>
      </c>
      <c r="E394" s="63">
        <f>'[2]Calc_Coef _18'!AH393</f>
        <v>6114.9086447857417</v>
      </c>
      <c r="F394" s="64">
        <f>'[2]Calc_Coef _18'!AI393</f>
        <v>33.5</v>
      </c>
      <c r="G394" s="30"/>
      <c r="H394"/>
      <c r="I394"/>
    </row>
    <row r="395" spans="1:9" x14ac:dyDescent="0.25">
      <c r="A395" s="32">
        <f>'[2]Calc_Coef _18'!AE394</f>
        <v>6907901</v>
      </c>
      <c r="B395" s="32">
        <f>'[2]Calc_Coef _18'!C394</f>
        <v>200799</v>
      </c>
      <c r="C395" s="32" t="str">
        <f>'[2]Calc_Coef _18'!AF394</f>
        <v>GELEIA DIET</v>
      </c>
      <c r="D395" s="63">
        <f>'[2]Calc_Coef _18'!AG394</f>
        <v>2947.5</v>
      </c>
      <c r="E395" s="63">
        <f>'[2]Calc_Coef _18'!AH394</f>
        <v>1471.4151641407616</v>
      </c>
      <c r="F395" s="64">
        <f>'[2]Calc_Coef _18'!AI394</f>
        <v>5.52</v>
      </c>
      <c r="G395" s="30"/>
      <c r="H395"/>
      <c r="I395"/>
    </row>
    <row r="396" spans="1:9" x14ac:dyDescent="0.25">
      <c r="A396" s="32">
        <f>'[2]Calc_Coef _18'!AE395</f>
        <v>6908001</v>
      </c>
      <c r="B396" s="32">
        <f>'[2]Calc_Coef _18'!C395</f>
        <v>200799</v>
      </c>
      <c r="C396" s="32" t="str">
        <f>'[2]Calc_Coef _18'!AF395</f>
        <v>DOCE DE FRUTAS DIET</v>
      </c>
      <c r="D396" s="63">
        <f>'[2]Calc_Coef _18'!AG395</f>
        <v>2947.5</v>
      </c>
      <c r="E396" s="63">
        <f>'[2]Calc_Coef _18'!AH395</f>
        <v>1471.4151641407616</v>
      </c>
      <c r="F396" s="64">
        <f>'[2]Calc_Coef _18'!AI395</f>
        <v>5.52</v>
      </c>
      <c r="G396" s="30"/>
      <c r="H396"/>
      <c r="I396"/>
    </row>
    <row r="397" spans="1:9" x14ac:dyDescent="0.25">
      <c r="A397" s="32">
        <f>'[2]Calc_Coef _18'!AE396</f>
        <v>6908501</v>
      </c>
      <c r="B397" s="32">
        <f>'[2]Calc_Coef _18'!C396</f>
        <v>170490</v>
      </c>
      <c r="C397" s="32" t="str">
        <f>'[2]Calc_Coef _18'!AF396</f>
        <v>SUSPIRO</v>
      </c>
      <c r="D397" s="63">
        <f>'[2]Calc_Coef _18'!AG396</f>
        <v>3295</v>
      </c>
      <c r="E397" s="63">
        <f>'[2]Calc_Coef _18'!AH396</f>
        <v>588.35425044054443</v>
      </c>
      <c r="F397" s="64">
        <f>'[2]Calc_Coef _18'!AI396</f>
        <v>3.7796942010068992</v>
      </c>
      <c r="G397" s="30"/>
      <c r="H397"/>
      <c r="I397"/>
    </row>
    <row r="398" spans="1:9" x14ac:dyDescent="0.25">
      <c r="A398" s="32">
        <f>'[2]Calc_Coef _18'!AE397</f>
        <v>6909601</v>
      </c>
      <c r="B398" s="32" t="str">
        <f>'[2]Calc_Coef _18'!C397</f>
        <v>210500</v>
      </c>
      <c r="C398" s="32" t="str">
        <f>'[2]Calc_Coef _18'!AF397</f>
        <v>SORVETE DE QUALQUER SABOR INDUSTRIALIZADO LIGHT</v>
      </c>
      <c r="D398" s="63">
        <f>'[2]Calc_Coef _18'!AG397</f>
        <v>2350</v>
      </c>
      <c r="E398" s="63">
        <f>'[2]Calc_Coef _18'!AH397</f>
        <v>6114.9086447857417</v>
      </c>
      <c r="F398" s="64">
        <f>'[2]Calc_Coef _18'!AI397</f>
        <v>33.5</v>
      </c>
      <c r="G398" s="30"/>
      <c r="H398"/>
      <c r="I398"/>
    </row>
    <row r="399" spans="1:9" x14ac:dyDescent="0.25">
      <c r="A399" s="32">
        <f>'[2]Calc_Coef _18'!AE398</f>
        <v>6909701</v>
      </c>
      <c r="B399" s="32" t="str">
        <f>'[2]Calc_Coef _18'!C398</f>
        <v>210500</v>
      </c>
      <c r="C399" s="32" t="str">
        <f>'[2]Calc_Coef _18'!AF398</f>
        <v>SORVETE DE QUALQUER SABOR INDUSTRIALIZADO DIET</v>
      </c>
      <c r="D399" s="63">
        <f>'[2]Calc_Coef _18'!AG398</f>
        <v>2350</v>
      </c>
      <c r="E399" s="63">
        <f>'[2]Calc_Coef _18'!AH398</f>
        <v>6114.9086447857417</v>
      </c>
      <c r="F399" s="64">
        <f>'[2]Calc_Coef _18'!AI398</f>
        <v>33.5</v>
      </c>
      <c r="G399" s="30"/>
      <c r="H399"/>
      <c r="I399"/>
    </row>
    <row r="400" spans="1:9" x14ac:dyDescent="0.25">
      <c r="A400" s="32">
        <f>'[2]Calc_Coef _18'!AE399</f>
        <v>6909901</v>
      </c>
      <c r="B400" s="32">
        <f>'[2]Calc_Coef _18'!C399</f>
        <v>170490</v>
      </c>
      <c r="C400" s="32" t="str">
        <f>'[2]Calc_Coef _18'!AF399</f>
        <v>CHICLETE DIET</v>
      </c>
      <c r="D400" s="63">
        <f>'[2]Calc_Coef _18'!AG399</f>
        <v>3295</v>
      </c>
      <c r="E400" s="63">
        <f>'[2]Calc_Coef _18'!AH399</f>
        <v>588.35425044054443</v>
      </c>
      <c r="F400" s="64">
        <f>'[2]Calc_Coef _18'!AI399</f>
        <v>3.7796942010068992</v>
      </c>
      <c r="G400" s="30"/>
      <c r="H400"/>
      <c r="I400"/>
    </row>
    <row r="401" spans="1:9" x14ac:dyDescent="0.25">
      <c r="A401" s="32">
        <f>'[2]Calc_Coef _18'!AE400</f>
        <v>6910002</v>
      </c>
      <c r="B401" s="32" t="str">
        <f>'[2]Calc_Coef _18'!C400</f>
        <v>180500</v>
      </c>
      <c r="C401" s="32" t="str">
        <f>'[2]Calc_Coef _18'!AF400</f>
        <v>BARRA DE CHOCOLATE LIGHT</v>
      </c>
      <c r="D401" s="63">
        <f>'[2]Calc_Coef _18'!AG400</f>
        <v>2333.3333333333335</v>
      </c>
      <c r="E401" s="63">
        <f>'[2]Calc_Coef _18'!AH400</f>
        <v>30989.752514303607</v>
      </c>
      <c r="F401" s="64">
        <f>'[2]Calc_Coef _18'!AI400</f>
        <v>46</v>
      </c>
      <c r="G401" s="30"/>
      <c r="H401"/>
      <c r="I401"/>
    </row>
    <row r="402" spans="1:9" x14ac:dyDescent="0.25">
      <c r="A402" s="32">
        <f>'[2]Calc_Coef _18'!AE401</f>
        <v>6910102</v>
      </c>
      <c r="B402" s="32" t="str">
        <f>'[2]Calc_Coef _18'!C401</f>
        <v>180500</v>
      </c>
      <c r="C402" s="32" t="str">
        <f>'[2]Calc_Coef _18'!AF401</f>
        <v>BARRA DE CHOCOLATE DIET</v>
      </c>
      <c r="D402" s="63">
        <f>'[2]Calc_Coef _18'!AG401</f>
        <v>2333.3333333333335</v>
      </c>
      <c r="E402" s="63">
        <f>'[2]Calc_Coef _18'!AH401</f>
        <v>30989.752514303607</v>
      </c>
      <c r="F402" s="64">
        <f>'[2]Calc_Coef _18'!AI401</f>
        <v>46</v>
      </c>
      <c r="G402" s="30"/>
      <c r="H402"/>
      <c r="I402"/>
    </row>
    <row r="403" spans="1:9" x14ac:dyDescent="0.25">
      <c r="A403" s="32">
        <f>'[2]Calc_Coef _18'!AE402</f>
        <v>6910221</v>
      </c>
      <c r="B403" s="32">
        <f>'[2]Calc_Coef _18'!C402</f>
        <v>220290</v>
      </c>
      <c r="C403" s="32" t="str">
        <f>'[2]Calc_Coef _18'!AF402</f>
        <v>ACHOCOLATADO EM PO LIGHT</v>
      </c>
      <c r="D403" s="63">
        <f>'[2]Calc_Coef _18'!AG402</f>
        <v>794.44444444444446</v>
      </c>
      <c r="E403" s="63">
        <f>'[2]Calc_Coef _18'!AH402</f>
        <v>11543.725015272823</v>
      </c>
      <c r="F403" s="64">
        <f>'[2]Calc_Coef _18'!AI402</f>
        <v>57.5</v>
      </c>
      <c r="G403" s="30"/>
      <c r="H403"/>
      <c r="I403"/>
    </row>
    <row r="404" spans="1:9" x14ac:dyDescent="0.25">
      <c r="A404" s="32">
        <f>'[2]Calc_Coef _18'!AE403</f>
        <v>6910321</v>
      </c>
      <c r="B404" s="32">
        <f>'[2]Calc_Coef _18'!C403</f>
        <v>220290</v>
      </c>
      <c r="C404" s="32" t="str">
        <f>'[2]Calc_Coef _18'!AF403</f>
        <v>ACHOCOLATADO EM PO DIET</v>
      </c>
      <c r="D404" s="63">
        <f>'[2]Calc_Coef _18'!AG403</f>
        <v>794.44444444444446</v>
      </c>
      <c r="E404" s="63">
        <f>'[2]Calc_Coef _18'!AH403</f>
        <v>11543.725015272823</v>
      </c>
      <c r="F404" s="64">
        <f>'[2]Calc_Coef _18'!AI403</f>
        <v>57.5</v>
      </c>
      <c r="G404" s="30"/>
      <c r="H404"/>
      <c r="I404"/>
    </row>
    <row r="405" spans="1:9" x14ac:dyDescent="0.25">
      <c r="A405" s="32">
        <f>'[2]Calc_Coef _18'!AE404</f>
        <v>6910322</v>
      </c>
      <c r="B405" s="32">
        <f>'[2]Calc_Coef _18'!C404</f>
        <v>220290</v>
      </c>
      <c r="C405" s="32" t="str">
        <f>'[2]Calc_Coef _18'!AF404</f>
        <v>TODDYNHO DIET</v>
      </c>
      <c r="D405" s="63">
        <f>'[2]Calc_Coef _18'!AG404</f>
        <v>794.44444444444446</v>
      </c>
      <c r="E405" s="63">
        <f>'[2]Calc_Coef _18'!AH404</f>
        <v>11543.725015272823</v>
      </c>
      <c r="F405" s="64">
        <f>'[2]Calc_Coef _18'!AI404</f>
        <v>57.5</v>
      </c>
      <c r="G405" s="30"/>
      <c r="H405"/>
      <c r="I405"/>
    </row>
    <row r="406" spans="1:9" x14ac:dyDescent="0.25">
      <c r="A406" s="32">
        <f>'[2]Calc_Coef _18'!AE405</f>
        <v>6910601</v>
      </c>
      <c r="B406" s="32">
        <f>'[2]Calc_Coef _18'!C405</f>
        <v>200799</v>
      </c>
      <c r="C406" s="32" t="str">
        <f>'[2]Calc_Coef _18'!AF405</f>
        <v>GELEIA DE FRUTAS DE QUALQUER MARCA OU SABOR LIGHT</v>
      </c>
      <c r="D406" s="63">
        <f>'[2]Calc_Coef _18'!AG405</f>
        <v>2947.5</v>
      </c>
      <c r="E406" s="63">
        <f>'[2]Calc_Coef _18'!AH405</f>
        <v>1471.4151641407616</v>
      </c>
      <c r="F406" s="64">
        <f>'[2]Calc_Coef _18'!AI405</f>
        <v>5.52</v>
      </c>
      <c r="G406" s="30"/>
      <c r="H406"/>
      <c r="I406"/>
    </row>
    <row r="407" spans="1:9" x14ac:dyDescent="0.25">
      <c r="A407" s="32">
        <f>'[2]Calc_Coef _18'!AE406</f>
        <v>6910604</v>
      </c>
      <c r="B407" s="32">
        <f>'[2]Calc_Coef _18'!C406</f>
        <v>200799</v>
      </c>
      <c r="C407" s="32" t="str">
        <f>'[2]Calc_Coef _18'!AF406</f>
        <v>GELEIA LIGHT</v>
      </c>
      <c r="D407" s="63">
        <f>'[2]Calc_Coef _18'!AG406</f>
        <v>2947.5</v>
      </c>
      <c r="E407" s="63">
        <f>'[2]Calc_Coef _18'!AH406</f>
        <v>1471.4151641407616</v>
      </c>
      <c r="F407" s="64">
        <f>'[2]Calc_Coef _18'!AI406</f>
        <v>5.52</v>
      </c>
      <c r="G407" s="30"/>
      <c r="H407"/>
      <c r="I407"/>
    </row>
    <row r="408" spans="1:9" x14ac:dyDescent="0.25">
      <c r="A408" s="32">
        <f>'[2]Calc_Coef _18'!AE407</f>
        <v>6910605</v>
      </c>
      <c r="B408" s="32">
        <f>'[2]Calc_Coef _18'!C407</f>
        <v>200799</v>
      </c>
      <c r="C408" s="32" t="str">
        <f>'[2]Calc_Coef _18'!AF407</f>
        <v>GELEIA DE FRUTAS LIGHT</v>
      </c>
      <c r="D408" s="63">
        <f>'[2]Calc_Coef _18'!AG407</f>
        <v>2947.5</v>
      </c>
      <c r="E408" s="63">
        <f>'[2]Calc_Coef _18'!AH407</f>
        <v>1471.4151641407616</v>
      </c>
      <c r="F408" s="64">
        <f>'[2]Calc_Coef _18'!AI407</f>
        <v>5.52</v>
      </c>
      <c r="G408" s="30"/>
      <c r="H408"/>
      <c r="I408"/>
    </row>
    <row r="409" spans="1:9" x14ac:dyDescent="0.25">
      <c r="A409" s="32">
        <f>'[2]Calc_Coef _18'!AE408</f>
        <v>6910701</v>
      </c>
      <c r="B409" s="32">
        <f>'[2]Calc_Coef _18'!C408</f>
        <v>200799</v>
      </c>
      <c r="C409" s="32" t="str">
        <f>'[2]Calc_Coef _18'!AF408</f>
        <v>DOCE DE FRUTAS EM BARRA OU PASTA LIGHT</v>
      </c>
      <c r="D409" s="63">
        <f>'[2]Calc_Coef _18'!AG408</f>
        <v>2947.5</v>
      </c>
      <c r="E409" s="63">
        <f>'[2]Calc_Coef _18'!AH408</f>
        <v>1471.4151641407616</v>
      </c>
      <c r="F409" s="64">
        <f>'[2]Calc_Coef _18'!AI408</f>
        <v>5.52</v>
      </c>
      <c r="G409" s="30"/>
      <c r="H409"/>
      <c r="I409"/>
    </row>
    <row r="410" spans="1:9" x14ac:dyDescent="0.25">
      <c r="A410" s="32">
        <f>'[2]Calc_Coef _18'!AE409</f>
        <v>6910702</v>
      </c>
      <c r="B410" s="32">
        <f>'[2]Calc_Coef _18'!C409</f>
        <v>200799</v>
      </c>
      <c r="C410" s="32" t="str">
        <f>'[2]Calc_Coef _18'!AF409</f>
        <v>DOCE DE FRUTAS EM PASTA LIGHT</v>
      </c>
      <c r="D410" s="63">
        <f>'[2]Calc_Coef _18'!AG409</f>
        <v>2947.5</v>
      </c>
      <c r="E410" s="63">
        <f>'[2]Calc_Coef _18'!AH409</f>
        <v>1471.4151641407616</v>
      </c>
      <c r="F410" s="64">
        <f>'[2]Calc_Coef _18'!AI409</f>
        <v>5.52</v>
      </c>
      <c r="G410" s="30"/>
      <c r="H410"/>
      <c r="I410"/>
    </row>
    <row r="411" spans="1:9" x14ac:dyDescent="0.25">
      <c r="A411" s="32">
        <f>'[2]Calc_Coef _18'!AE410</f>
        <v>6911301</v>
      </c>
      <c r="B411" s="32">
        <f>'[2]Calc_Coef _18'!C410</f>
        <v>190190</v>
      </c>
      <c r="C411" s="32" t="str">
        <f>'[2]Calc_Coef _18'!AF410</f>
        <v>DOCE DE LEITE DIET</v>
      </c>
      <c r="D411" s="63">
        <f>'[2]Calc_Coef _18'!AG410</f>
        <v>3200</v>
      </c>
      <c r="E411" s="63">
        <f>'[2]Calc_Coef _18'!AH410</f>
        <v>1870.1099089032616</v>
      </c>
      <c r="F411" s="64">
        <f>'[2]Calc_Coef _18'!AI410</f>
        <v>5</v>
      </c>
      <c r="G411" s="30"/>
      <c r="H411"/>
      <c r="I411"/>
    </row>
    <row r="412" spans="1:9" x14ac:dyDescent="0.25">
      <c r="A412" s="32">
        <f>'[2]Calc_Coef _18'!AE411</f>
        <v>6912501</v>
      </c>
      <c r="B412" s="32">
        <f>'[2]Calc_Coef _18'!C411</f>
        <v>190420</v>
      </c>
      <c r="C412" s="32" t="str">
        <f>'[2]Calc_Coef _18'!AF411</f>
        <v>BARRA DE CEREAIS DIET</v>
      </c>
      <c r="D412" s="63">
        <f>'[2]Calc_Coef _18'!AG411</f>
        <v>2903</v>
      </c>
      <c r="E412" s="63">
        <f>'[2]Calc_Coef _18'!AH411</f>
        <v>1772</v>
      </c>
      <c r="F412" s="64">
        <f>'[2]Calc_Coef _18'!AI411</f>
        <v>10.334717607973422</v>
      </c>
      <c r="G412" s="30"/>
      <c r="H412"/>
      <c r="I412"/>
    </row>
    <row r="413" spans="1:9" x14ac:dyDescent="0.25">
      <c r="A413" s="32">
        <f>'[2]Calc_Coef _18'!AE412</f>
        <v>6912502</v>
      </c>
      <c r="B413" s="32">
        <f>'[2]Calc_Coef _18'!C412</f>
        <v>190420</v>
      </c>
      <c r="C413" s="32" t="str">
        <f>'[2]Calc_Coef _18'!AF412</f>
        <v>BARRA DE CEREAIS DOCE DIET</v>
      </c>
      <c r="D413" s="63">
        <f>'[2]Calc_Coef _18'!AG412</f>
        <v>2903</v>
      </c>
      <c r="E413" s="63">
        <f>'[2]Calc_Coef _18'!AH412</f>
        <v>1772</v>
      </c>
      <c r="F413" s="64">
        <f>'[2]Calc_Coef _18'!AI412</f>
        <v>10.334717607973422</v>
      </c>
      <c r="G413" s="30"/>
      <c r="H413"/>
      <c r="I413"/>
    </row>
    <row r="414" spans="1:9" x14ac:dyDescent="0.25">
      <c r="A414" s="32">
        <f>'[2]Calc_Coef _18'!AE413</f>
        <v>6912801</v>
      </c>
      <c r="B414" s="32">
        <f>'[2]Calc_Coef _18'!C413</f>
        <v>220290</v>
      </c>
      <c r="C414" s="32" t="str">
        <f>'[2]Calc_Coef _18'!AF413</f>
        <v>MILK SHAKE DIET</v>
      </c>
      <c r="D414" s="63">
        <f>'[2]Calc_Coef _18'!AG413</f>
        <v>794.44444444444446</v>
      </c>
      <c r="E414" s="63">
        <f>'[2]Calc_Coef _18'!AH413</f>
        <v>11543.725015272823</v>
      </c>
      <c r="F414" s="64">
        <f>'[2]Calc_Coef _18'!AI413</f>
        <v>57.5</v>
      </c>
      <c r="G414" s="30"/>
      <c r="H414"/>
      <c r="I414"/>
    </row>
    <row r="415" spans="1:9" x14ac:dyDescent="0.25">
      <c r="A415" s="32">
        <f>'[2]Calc_Coef _18'!AE414</f>
        <v>6913001</v>
      </c>
      <c r="B415" s="32">
        <f>'[2]Calc_Coef _18'!C414</f>
        <v>200799</v>
      </c>
      <c r="C415" s="32" t="str">
        <f>'[2]Calc_Coef _18'!AF414</f>
        <v>COCADA DIET</v>
      </c>
      <c r="D415" s="63">
        <f>'[2]Calc_Coef _18'!AG414</f>
        <v>2947.5</v>
      </c>
      <c r="E415" s="63">
        <f>'[2]Calc_Coef _18'!AH414</f>
        <v>1471.4151641407616</v>
      </c>
      <c r="F415" s="64">
        <f>'[2]Calc_Coef _18'!AI414</f>
        <v>5.52</v>
      </c>
      <c r="G415" s="30"/>
      <c r="H415"/>
      <c r="I415"/>
    </row>
    <row r="416" spans="1:9" x14ac:dyDescent="0.25">
      <c r="A416" s="32">
        <f>'[2]Calc_Coef _18'!AE415</f>
        <v>6913103</v>
      </c>
      <c r="B416" s="32">
        <f>'[2]Calc_Coef _18'!C415</f>
        <v>200799</v>
      </c>
      <c r="C416" s="32" t="str">
        <f>'[2]Calc_Coef _18'!AF415</f>
        <v>PACOCA DIET</v>
      </c>
      <c r="D416" s="63">
        <f>'[2]Calc_Coef _18'!AG415</f>
        <v>2947.5</v>
      </c>
      <c r="E416" s="63">
        <f>'[2]Calc_Coef _18'!AH415</f>
        <v>1471.4151641407616</v>
      </c>
      <c r="F416" s="64">
        <f>'[2]Calc_Coef _18'!AI415</f>
        <v>5.52</v>
      </c>
      <c r="G416" s="30"/>
      <c r="H416"/>
      <c r="I416"/>
    </row>
    <row r="417" spans="1:9" x14ac:dyDescent="0.25">
      <c r="A417" s="32">
        <f>'[2]Calc_Coef _18'!AE416</f>
        <v>6913801</v>
      </c>
      <c r="B417" s="32">
        <f>'[2]Calc_Coef _18'!C416</f>
        <v>190190</v>
      </c>
      <c r="C417" s="32" t="str">
        <f>'[2]Calc_Coef _18'!AF416</f>
        <v>DOCE A BASE DE LEITE DIET</v>
      </c>
      <c r="D417" s="63">
        <f>'[2]Calc_Coef _18'!AG416</f>
        <v>3200</v>
      </c>
      <c r="E417" s="63">
        <f>'[2]Calc_Coef _18'!AH416</f>
        <v>1870.1099089032616</v>
      </c>
      <c r="F417" s="64">
        <f>'[2]Calc_Coef _18'!AI416</f>
        <v>5</v>
      </c>
      <c r="G417" s="30"/>
      <c r="H417"/>
      <c r="I417"/>
    </row>
    <row r="418" spans="1:9" x14ac:dyDescent="0.25">
      <c r="A418" s="32">
        <f>'[2]Calc_Coef _18'!AE417</f>
        <v>6913901</v>
      </c>
      <c r="B418" s="32">
        <f>'[2]Calc_Coef _18'!C417</f>
        <v>200799</v>
      </c>
      <c r="C418" s="32" t="str">
        <f>'[2]Calc_Coef _18'!AF417</f>
        <v>GELATINA DE QUALQUER SABOR LIGHT</v>
      </c>
      <c r="D418" s="63">
        <f>'[2]Calc_Coef _18'!AG417</f>
        <v>2947.5</v>
      </c>
      <c r="E418" s="63">
        <f>'[2]Calc_Coef _18'!AH417</f>
        <v>1471.4151641407616</v>
      </c>
      <c r="F418" s="64">
        <f>'[2]Calc_Coef _18'!AI417</f>
        <v>5.52</v>
      </c>
      <c r="G418" s="30"/>
      <c r="H418"/>
      <c r="I418"/>
    </row>
    <row r="419" spans="1:9" x14ac:dyDescent="0.25">
      <c r="A419" s="32">
        <f>'[2]Calc_Coef _18'!AE418</f>
        <v>6914002</v>
      </c>
      <c r="B419" s="32">
        <f>'[2]Calc_Coef _18'!C418</f>
        <v>210690</v>
      </c>
      <c r="C419" s="32" t="str">
        <f>'[2]Calc_Coef _18'!AF418</f>
        <v>ADOCANTE EM PO LIGHT</v>
      </c>
      <c r="D419" s="63">
        <f>'[2]Calc_Coef _18'!AG418</f>
        <v>44570</v>
      </c>
      <c r="E419" s="63">
        <f>'[2]Calc_Coef _18'!AH418</f>
        <v>17481</v>
      </c>
      <c r="F419" s="64">
        <f>'[2]Calc_Coef _18'!AI418</f>
        <v>33.5</v>
      </c>
      <c r="G419" s="30"/>
      <c r="H419"/>
      <c r="I419"/>
    </row>
    <row r="420" spans="1:9" x14ac:dyDescent="0.25">
      <c r="A420" s="32">
        <f>'[2]Calc_Coef _18'!AE419</f>
        <v>6914003</v>
      </c>
      <c r="B420" s="32">
        <f>'[2]Calc_Coef _18'!C419</f>
        <v>210690</v>
      </c>
      <c r="C420" s="32" t="str">
        <f>'[2]Calc_Coef _18'!AF419</f>
        <v>ADOCANTE LIQUIDO LIGHT</v>
      </c>
      <c r="D420" s="63">
        <f>'[2]Calc_Coef _18'!AG419</f>
        <v>44570</v>
      </c>
      <c r="E420" s="63">
        <f>'[2]Calc_Coef _18'!AH419</f>
        <v>17481</v>
      </c>
      <c r="F420" s="64">
        <f>'[2]Calc_Coef _18'!AI419</f>
        <v>33.5</v>
      </c>
      <c r="G420" s="30"/>
      <c r="H420"/>
      <c r="I420"/>
    </row>
    <row r="421" spans="1:9" x14ac:dyDescent="0.25">
      <c r="A421" s="32">
        <f>'[2]Calc_Coef _18'!AE420</f>
        <v>6914901</v>
      </c>
      <c r="B421" s="32" t="str">
        <f>'[2]Calc_Coef _18'!C420</f>
        <v>210500</v>
      </c>
      <c r="C421" s="32" t="str">
        <f>'[2]Calc_Coef _18'!AF420</f>
        <v>SORVETE A BASE DE IOGURTE</v>
      </c>
      <c r="D421" s="63">
        <f>'[2]Calc_Coef _18'!AG420</f>
        <v>2350</v>
      </c>
      <c r="E421" s="63">
        <f>'[2]Calc_Coef _18'!AH420</f>
        <v>6114.9086447857417</v>
      </c>
      <c r="F421" s="64">
        <f>'[2]Calc_Coef _18'!AI420</f>
        <v>33.5</v>
      </c>
      <c r="G421" s="30"/>
      <c r="H421"/>
      <c r="I421"/>
    </row>
    <row r="422" spans="1:9" x14ac:dyDescent="0.25">
      <c r="A422" s="32">
        <f>'[2]Calc_Coef _18'!AE421</f>
        <v>6915001</v>
      </c>
      <c r="B422" s="32" t="str">
        <f>'[2]Calc_Coef _18'!C421</f>
        <v>210500</v>
      </c>
      <c r="C422" s="32" t="str">
        <f>'[2]Calc_Coef _18'!AF421</f>
        <v>SORVETE DE CASQUINHA / CONE</v>
      </c>
      <c r="D422" s="63">
        <f>'[2]Calc_Coef _18'!AG421</f>
        <v>2350</v>
      </c>
      <c r="E422" s="63">
        <f>'[2]Calc_Coef _18'!AH421</f>
        <v>6114.9086447857417</v>
      </c>
      <c r="F422" s="64">
        <f>'[2]Calc_Coef _18'!AI421</f>
        <v>33.5</v>
      </c>
      <c r="G422" s="30"/>
      <c r="H422"/>
      <c r="I422"/>
    </row>
    <row r="423" spans="1:9" x14ac:dyDescent="0.25">
      <c r="A423" s="32">
        <f>'[2]Calc_Coef _18'!AE422</f>
        <v>6915101</v>
      </c>
      <c r="B423" s="32" t="str">
        <f>'[2]Calc_Coef _18'!C422</f>
        <v>210500</v>
      </c>
      <c r="C423" s="32" t="str">
        <f>'[2]Calc_Coef _18'!AF422</f>
        <v>SORVETE, SUNDAE</v>
      </c>
      <c r="D423" s="63">
        <f>'[2]Calc_Coef _18'!AG422</f>
        <v>2350</v>
      </c>
      <c r="E423" s="63">
        <f>'[2]Calc_Coef _18'!AH422</f>
        <v>6114.9086447857417</v>
      </c>
      <c r="F423" s="64">
        <f>'[2]Calc_Coef _18'!AI422</f>
        <v>33.5</v>
      </c>
      <c r="G423" s="30"/>
      <c r="H423"/>
      <c r="I423"/>
    </row>
    <row r="424" spans="1:9" x14ac:dyDescent="0.25">
      <c r="A424" s="32">
        <f>'[2]Calc_Coef _18'!AE423</f>
        <v>6915302</v>
      </c>
      <c r="B424" s="32">
        <f>'[2]Calc_Coef _18'!C423</f>
        <v>190190</v>
      </c>
      <c r="C424" s="32" t="str">
        <f>'[2]Calc_Coef _18'!AF423</f>
        <v>PUDIM DE CHOCOLATE</v>
      </c>
      <c r="D424" s="63">
        <f>'[2]Calc_Coef _18'!AG423</f>
        <v>3200</v>
      </c>
      <c r="E424" s="63">
        <f>'[2]Calc_Coef _18'!AH423</f>
        <v>1870.1099089032616</v>
      </c>
      <c r="F424" s="64">
        <f>'[2]Calc_Coef _18'!AI423</f>
        <v>5</v>
      </c>
      <c r="G424" s="30"/>
      <c r="H424"/>
      <c r="I424"/>
    </row>
    <row r="425" spans="1:9" x14ac:dyDescent="0.25">
      <c r="A425" s="32">
        <f>'[2]Calc_Coef _18'!AE424</f>
        <v>6915310</v>
      </c>
      <c r="B425" s="32">
        <f>'[2]Calc_Coef _18'!C424</f>
        <v>190190</v>
      </c>
      <c r="C425" s="32" t="str">
        <f>'[2]Calc_Coef _18'!AF424</f>
        <v>PUDIM FLAN</v>
      </c>
      <c r="D425" s="63">
        <f>'[2]Calc_Coef _18'!AG424</f>
        <v>3200</v>
      </c>
      <c r="E425" s="63">
        <f>'[2]Calc_Coef _18'!AH424</f>
        <v>1870.1099089032616</v>
      </c>
      <c r="F425" s="64">
        <f>'[2]Calc_Coef _18'!AI424</f>
        <v>5</v>
      </c>
      <c r="G425" s="30"/>
      <c r="H425"/>
      <c r="I425"/>
    </row>
    <row r="426" spans="1:9" x14ac:dyDescent="0.25">
      <c r="A426" s="32">
        <f>'[2]Calc_Coef _18'!AE425</f>
        <v>6915702</v>
      </c>
      <c r="B426" s="32">
        <f>'[2]Calc_Coef _18'!C425</f>
        <v>190190</v>
      </c>
      <c r="C426" s="32" t="str">
        <f>'[2]Calc_Coef _18'!AF425</f>
        <v>BANANINHA COM CHOCOLATE</v>
      </c>
      <c r="D426" s="63">
        <f>'[2]Calc_Coef _18'!AG425</f>
        <v>3200</v>
      </c>
      <c r="E426" s="63">
        <f>'[2]Calc_Coef _18'!AH425</f>
        <v>1870.1099089032616</v>
      </c>
      <c r="F426" s="64">
        <f>'[2]Calc_Coef _18'!AI425</f>
        <v>5</v>
      </c>
      <c r="G426" s="30"/>
      <c r="H426"/>
      <c r="I426"/>
    </row>
    <row r="427" spans="1:9" x14ac:dyDescent="0.25">
      <c r="A427" s="32">
        <f>'[2]Calc_Coef _18'!AE426</f>
        <v>6915902</v>
      </c>
      <c r="B427" s="32">
        <f>'[2]Calc_Coef _18'!C426</f>
        <v>190190</v>
      </c>
      <c r="C427" s="32" t="str">
        <f>'[2]Calc_Coef _18'!AF426</f>
        <v>CALDA DE CHOCOLATE</v>
      </c>
      <c r="D427" s="63">
        <f>'[2]Calc_Coef _18'!AG426</f>
        <v>3200</v>
      </c>
      <c r="E427" s="63">
        <f>'[2]Calc_Coef _18'!AH426</f>
        <v>1870.1099089032616</v>
      </c>
      <c r="F427" s="64">
        <f>'[2]Calc_Coef _18'!AI426</f>
        <v>5</v>
      </c>
      <c r="G427" s="30"/>
      <c r="H427"/>
      <c r="I427"/>
    </row>
    <row r="428" spans="1:9" x14ac:dyDescent="0.25">
      <c r="A428" s="32">
        <f>'[2]Calc_Coef _18'!AE427</f>
        <v>6915904</v>
      </c>
      <c r="B428" s="32">
        <f>'[2]Calc_Coef _18'!C427</f>
        <v>190190</v>
      </c>
      <c r="C428" s="32" t="str">
        <f>'[2]Calc_Coef _18'!AF427</f>
        <v>CALDA SABOR FRUTA (MORANGO, ETC)</v>
      </c>
      <c r="D428" s="63">
        <f>'[2]Calc_Coef _18'!AG427</f>
        <v>3200</v>
      </c>
      <c r="E428" s="63">
        <f>'[2]Calc_Coef _18'!AH427</f>
        <v>1870.1099089032616</v>
      </c>
      <c r="F428" s="64">
        <f>'[2]Calc_Coef _18'!AI427</f>
        <v>5</v>
      </c>
      <c r="G428" s="30"/>
      <c r="H428"/>
      <c r="I428"/>
    </row>
    <row r="429" spans="1:9" x14ac:dyDescent="0.25">
      <c r="A429" s="32">
        <f>'[2]Calc_Coef _18'!AE428</f>
        <v>6915905</v>
      </c>
      <c r="B429" s="32">
        <f>'[2]Calc_Coef _18'!C428</f>
        <v>190190</v>
      </c>
      <c r="C429" s="32" t="str">
        <f>'[2]Calc_Coef _18'!AF428</f>
        <v>EXTRATO DE MALTE</v>
      </c>
      <c r="D429" s="63">
        <f>'[2]Calc_Coef _18'!AG428</f>
        <v>3200</v>
      </c>
      <c r="E429" s="63">
        <f>'[2]Calc_Coef _18'!AH428</f>
        <v>1870.1099089032616</v>
      </c>
      <c r="F429" s="64">
        <f>'[2]Calc_Coef _18'!AI428</f>
        <v>5</v>
      </c>
      <c r="G429" s="30"/>
      <c r="H429"/>
      <c r="I429"/>
    </row>
    <row r="430" spans="1:9" x14ac:dyDescent="0.25">
      <c r="A430" s="32">
        <f>'[2]Calc_Coef _18'!AE429</f>
        <v>6916401</v>
      </c>
      <c r="B430" s="32">
        <f>'[2]Calc_Coef _18'!C429</f>
        <v>190190</v>
      </c>
      <c r="C430" s="32" t="str">
        <f>'[2]Calc_Coef _18'!AF429</f>
        <v>DOCES (CONFEITARIA) NAO ESPECIFICADO</v>
      </c>
      <c r="D430" s="63">
        <f>'[2]Calc_Coef _18'!AG429</f>
        <v>3200</v>
      </c>
      <c r="E430" s="63">
        <f>'[2]Calc_Coef _18'!AH429</f>
        <v>1870.1099089032616</v>
      </c>
      <c r="F430" s="64">
        <f>'[2]Calc_Coef _18'!AI429</f>
        <v>5</v>
      </c>
      <c r="G430" s="30"/>
      <c r="H430"/>
      <c r="I430"/>
    </row>
    <row r="431" spans="1:9" x14ac:dyDescent="0.25">
      <c r="A431" s="32">
        <f>'[2]Calc_Coef _18'!AE430</f>
        <v>6916601</v>
      </c>
      <c r="B431" s="32">
        <f>'[2]Calc_Coef _18'!C430</f>
        <v>190190</v>
      </c>
      <c r="C431" s="32" t="str">
        <f>'[2]Calc_Coef _18'!AF430</f>
        <v>MARRON GLACE</v>
      </c>
      <c r="D431" s="63">
        <f>'[2]Calc_Coef _18'!AG430</f>
        <v>3200</v>
      </c>
      <c r="E431" s="63">
        <f>'[2]Calc_Coef _18'!AH430</f>
        <v>1870.1099089032616</v>
      </c>
      <c r="F431" s="64">
        <f>'[2]Calc_Coef _18'!AI430</f>
        <v>5</v>
      </c>
      <c r="G431" s="30"/>
      <c r="H431"/>
      <c r="I431"/>
    </row>
    <row r="432" spans="1:9" x14ac:dyDescent="0.25">
      <c r="A432" s="32">
        <f>'[2]Calc_Coef _18'!AE431</f>
        <v>6916901</v>
      </c>
      <c r="B432" s="32">
        <f>'[2]Calc_Coef _18'!C431</f>
        <v>190190</v>
      </c>
      <c r="C432" s="32" t="str">
        <f>'[2]Calc_Coef _18'!AF431</f>
        <v>PASTEL COM RECHEIO DOCE</v>
      </c>
      <c r="D432" s="63">
        <f>'[2]Calc_Coef _18'!AG431</f>
        <v>3200</v>
      </c>
      <c r="E432" s="63">
        <f>'[2]Calc_Coef _18'!AH431</f>
        <v>1870.1099089032616</v>
      </c>
      <c r="F432" s="64">
        <f>'[2]Calc_Coef _18'!AI431</f>
        <v>5</v>
      </c>
      <c r="G432" s="30"/>
      <c r="H432"/>
      <c r="I432"/>
    </row>
    <row r="433" spans="1:9" x14ac:dyDescent="0.25">
      <c r="A433" s="32">
        <f>'[2]Calc_Coef _18'!AE432</f>
        <v>6917001</v>
      </c>
      <c r="B433" s="32" t="str">
        <f>'[2]Calc_Coef _18'!C432</f>
        <v>170490</v>
      </c>
      <c r="C433" s="32" t="str">
        <f>'[2]Calc_Coef _18'!AF432</f>
        <v>PASTEL DE NATA</v>
      </c>
      <c r="D433" s="63">
        <f>'[2]Calc_Coef _18'!AG432</f>
        <v>3295</v>
      </c>
      <c r="E433" s="63">
        <f>'[2]Calc_Coef _18'!AH432</f>
        <v>588.35425044054443</v>
      </c>
      <c r="F433" s="64">
        <f>'[2]Calc_Coef _18'!AI432</f>
        <v>3.7796942010068992</v>
      </c>
      <c r="G433" s="30"/>
      <c r="H433"/>
      <c r="I433"/>
    </row>
    <row r="434" spans="1:9" x14ac:dyDescent="0.25">
      <c r="A434" s="32">
        <f>'[2]Calc_Coef _18'!AE433</f>
        <v>6980001</v>
      </c>
      <c r="B434" s="32">
        <f>'[2]Calc_Coef _18'!C433</f>
        <v>190190</v>
      </c>
      <c r="C434" s="32" t="str">
        <f>'[2]Calc_Coef _18'!AF433</f>
        <v>DOCE DE ABOBORA</v>
      </c>
      <c r="D434" s="63">
        <f>'[2]Calc_Coef _18'!AG433</f>
        <v>3200</v>
      </c>
      <c r="E434" s="63">
        <f>'[2]Calc_Coef _18'!AH433</f>
        <v>1870.1099089032616</v>
      </c>
      <c r="F434" s="64">
        <f>'[2]Calc_Coef _18'!AI433</f>
        <v>5</v>
      </c>
      <c r="G434" s="30"/>
      <c r="H434"/>
      <c r="I434"/>
    </row>
    <row r="435" spans="1:9" x14ac:dyDescent="0.25">
      <c r="A435" s="32">
        <f>'[2]Calc_Coef _18'!AE5</f>
        <v>70006</v>
      </c>
      <c r="B435" s="32">
        <f>'[2]Calc_Coef _18'!C5</f>
        <v>210230</v>
      </c>
      <c r="C435" s="32" t="str">
        <f>'[2]Calc_Coef _18'!AF5</f>
        <v>FERMENTO EM PÓ</v>
      </c>
      <c r="D435" s="63">
        <f>'[2]Calc_Coef _18'!AG5</f>
        <v>7312.5</v>
      </c>
      <c r="E435" s="63">
        <f>'[2]Calc_Coef _18'!AH5</f>
        <v>6114.9086447857417</v>
      </c>
      <c r="F435" s="64">
        <f>'[2]Calc_Coef _18'!AI5</f>
        <v>33.5</v>
      </c>
      <c r="G435" s="30"/>
      <c r="H435"/>
      <c r="I435"/>
    </row>
    <row r="436" spans="1:9" x14ac:dyDescent="0.25">
      <c r="A436" s="32">
        <f>'[2]Calc_Coef _18'!AE434</f>
        <v>7001001</v>
      </c>
      <c r="B436" s="32" t="str">
        <f>'[2]Calc_Coef _18'!C434</f>
        <v>090611</v>
      </c>
      <c r="C436" s="32" t="str">
        <f>'[2]Calc_Coef _18'!AF434</f>
        <v>CANELA</v>
      </c>
      <c r="D436" s="63">
        <f>'[2]Calc_Coef _18'!AG434</f>
        <v>330</v>
      </c>
      <c r="E436" s="63">
        <f>'[2]Calc_Coef _18'!AH434</f>
        <v>8158.8851894663994</v>
      </c>
      <c r="F436" s="64">
        <f>'[2]Calc_Coef _18'!AI434</f>
        <v>49.5</v>
      </c>
      <c r="G436" s="30"/>
      <c r="H436"/>
      <c r="I436"/>
    </row>
    <row r="437" spans="1:9" x14ac:dyDescent="0.25">
      <c r="A437" s="32">
        <f>'[2]Calc_Coef _18'!AE435</f>
        <v>7001501</v>
      </c>
      <c r="B437" s="32">
        <f>'[2]Calc_Coef _18'!C435</f>
        <v>210330</v>
      </c>
      <c r="C437" s="32" t="str">
        <f>'[2]Calc_Coef _18'!AF435</f>
        <v>MOSTARDA MOLHO</v>
      </c>
      <c r="D437" s="63">
        <f>'[2]Calc_Coef _18'!AG435</f>
        <v>1560</v>
      </c>
      <c r="E437" s="63">
        <f>'[2]Calc_Coef _18'!AH435</f>
        <v>431.86296717861296</v>
      </c>
      <c r="F437" s="64">
        <f>'[2]Calc_Coef _18'!AI435</f>
        <v>33.5</v>
      </c>
      <c r="G437" s="30"/>
      <c r="H437"/>
      <c r="I437"/>
    </row>
    <row r="438" spans="1:9" x14ac:dyDescent="0.25">
      <c r="A438" s="32">
        <f>'[2]Calc_Coef _18'!AE436</f>
        <v>7002304</v>
      </c>
      <c r="B438" s="32" t="str">
        <f>'[2]Calc_Coef _18'!C436</f>
        <v>070999</v>
      </c>
      <c r="C438" s="32" t="str">
        <f>'[2]Calc_Coef _18'!AF436</f>
        <v>HORTELA</v>
      </c>
      <c r="D438" s="63">
        <f>'[2]Calc_Coef _18'!AG436</f>
        <v>335.30210772833726</v>
      </c>
      <c r="E438" s="63">
        <f>'[2]Calc_Coef _18'!AH436</f>
        <v>799.09345438723949</v>
      </c>
      <c r="F438" s="64">
        <f>'[2]Calc_Coef _18'!AI436</f>
        <v>1.5</v>
      </c>
      <c r="G438" s="30"/>
      <c r="H438"/>
      <c r="I438"/>
    </row>
    <row r="439" spans="1:9" x14ac:dyDescent="0.25">
      <c r="A439" s="32">
        <f>'[2]Calc_Coef _18'!AE437</f>
        <v>7002601</v>
      </c>
      <c r="B439" s="32" t="str">
        <f>'[2]Calc_Coef _18'!C437</f>
        <v>070519</v>
      </c>
      <c r="C439" s="32" t="str">
        <f>'[2]Calc_Coef _18'!AF437</f>
        <v>COENTRO</v>
      </c>
      <c r="D439" s="63">
        <f>'[2]Calc_Coef _18'!AG437</f>
        <v>337.41888888888889</v>
      </c>
      <c r="E439" s="63">
        <f>'[2]Calc_Coef _18'!AH437</f>
        <v>416.07420888875833</v>
      </c>
      <c r="F439" s="64">
        <f>'[2]Calc_Coef _18'!AI437</f>
        <v>1.3</v>
      </c>
      <c r="G439" s="30"/>
      <c r="H439"/>
      <c r="I439"/>
    </row>
    <row r="440" spans="1:9" x14ac:dyDescent="0.25">
      <c r="A440" s="32">
        <f>'[2]Calc_Coef _18'!AE438</f>
        <v>7003601</v>
      </c>
      <c r="B440" s="32">
        <f>'[2]Calc_Coef _18'!C438</f>
        <v>210310</v>
      </c>
      <c r="C440" s="32" t="str">
        <f>'[2]Calc_Coef _18'!AF438</f>
        <v>MOLHO DE SOJA</v>
      </c>
      <c r="D440" s="63">
        <f>'[2]Calc_Coef _18'!AG438</f>
        <v>1560</v>
      </c>
      <c r="E440" s="63">
        <f>'[2]Calc_Coef _18'!AH438</f>
        <v>627.80224438919811</v>
      </c>
      <c r="F440" s="64">
        <f>'[2]Calc_Coef _18'!AI438</f>
        <v>33.5</v>
      </c>
      <c r="G440" s="30"/>
      <c r="H440"/>
      <c r="I440"/>
    </row>
    <row r="441" spans="1:9" x14ac:dyDescent="0.25">
      <c r="A441" s="32">
        <f>'[2]Calc_Coef _18'!AE439</f>
        <v>7003604</v>
      </c>
      <c r="B441" s="32" t="str">
        <f>'[2]Calc_Coef _18'!C439</f>
        <v>210310</v>
      </c>
      <c r="C441" s="32" t="str">
        <f>'[2]Calc_Coef _18'!AF439</f>
        <v>SHOYO</v>
      </c>
      <c r="D441" s="63">
        <f>'[2]Calc_Coef _18'!AG439</f>
        <v>1560</v>
      </c>
      <c r="E441" s="63">
        <f>'[2]Calc_Coef _18'!AH439</f>
        <v>627.80224438919811</v>
      </c>
      <c r="F441" s="64">
        <f>'[2]Calc_Coef _18'!AI439</f>
        <v>33.5</v>
      </c>
      <c r="G441" s="30"/>
      <c r="H441"/>
      <c r="I441"/>
    </row>
    <row r="442" spans="1:9" x14ac:dyDescent="0.25">
      <c r="A442" s="32">
        <f>'[2]Calc_Coef _18'!AE440</f>
        <v>7003801</v>
      </c>
      <c r="B442" s="32">
        <f>'[2]Calc_Coef _18'!C440</f>
        <v>200989</v>
      </c>
      <c r="C442" s="32" t="str">
        <f>'[2]Calc_Coef _18'!AF440</f>
        <v>LEITE DE COCO</v>
      </c>
      <c r="D442" s="63">
        <f>'[2]Calc_Coef _18'!AG440</f>
        <v>728.29107237189646</v>
      </c>
      <c r="E442" s="63">
        <f>'[2]Calc_Coef _18'!AH440</f>
        <v>2071.6080837668223</v>
      </c>
      <c r="F442" s="64">
        <f>'[2]Calc_Coef _18'!AI440</f>
        <v>11</v>
      </c>
      <c r="G442" s="30"/>
      <c r="H442"/>
      <c r="I442"/>
    </row>
    <row r="443" spans="1:9" x14ac:dyDescent="0.25">
      <c r="A443" s="32">
        <f>'[2]Calc_Coef _18'!AE441</f>
        <v>7003901</v>
      </c>
      <c r="B443" s="32">
        <f>'[2]Calc_Coef _18'!C441</f>
        <v>210390</v>
      </c>
      <c r="C443" s="32" t="str">
        <f>'[2]Calc_Coef _18'!AF441</f>
        <v>MOLHO TARTARO</v>
      </c>
      <c r="D443" s="63">
        <f>'[2]Calc_Coef _18'!AG441</f>
        <v>1560</v>
      </c>
      <c r="E443" s="63">
        <f>'[2]Calc_Coef _18'!AH441</f>
        <v>431.86296717861296</v>
      </c>
      <c r="F443" s="64">
        <f>'[2]Calc_Coef _18'!AI441</f>
        <v>33.5</v>
      </c>
      <c r="G443" s="30"/>
      <c r="H443"/>
      <c r="I443"/>
    </row>
    <row r="444" spans="1:9" x14ac:dyDescent="0.25">
      <c r="A444" s="32">
        <f>'[2]Calc_Coef _18'!AE442</f>
        <v>7004301</v>
      </c>
      <c r="B444" s="32" t="str">
        <f>'[2]Calc_Coef _18'!C442</f>
        <v>210390</v>
      </c>
      <c r="C444" s="32" t="str">
        <f>'[2]Calc_Coef _18'!AF442</f>
        <v>MAIONESE (MOLHO)</v>
      </c>
      <c r="D444" s="63">
        <f>'[2]Calc_Coef _18'!AG442</f>
        <v>1560</v>
      </c>
      <c r="E444" s="63">
        <f>'[2]Calc_Coef _18'!AH442</f>
        <v>431.86296717861296</v>
      </c>
      <c r="F444" s="64">
        <f>'[2]Calc_Coef _18'!AI442</f>
        <v>33.5</v>
      </c>
      <c r="G444" s="30"/>
      <c r="H444"/>
      <c r="I444"/>
    </row>
    <row r="445" spans="1:9" x14ac:dyDescent="0.25">
      <c r="A445" s="32">
        <f>'[2]Calc_Coef _18'!AE443</f>
        <v>7004701</v>
      </c>
      <c r="B445" s="32">
        <f>'[2]Calc_Coef _18'!C443</f>
        <v>200210</v>
      </c>
      <c r="C445" s="32" t="str">
        <f>'[2]Calc_Coef _18'!AF443</f>
        <v>MASSA DE TOMATE</v>
      </c>
      <c r="D445" s="63">
        <f>'[2]Calc_Coef _18'!AG443</f>
        <v>1500</v>
      </c>
      <c r="E445" s="63">
        <f>'[2]Calc_Coef _18'!AH443</f>
        <v>357.34760796873837</v>
      </c>
      <c r="F445" s="64">
        <f>'[2]Calc_Coef _18'!AI443</f>
        <v>5.35</v>
      </c>
      <c r="G445" s="30"/>
      <c r="H445"/>
      <c r="I445"/>
    </row>
    <row r="446" spans="1:9" x14ac:dyDescent="0.25">
      <c r="A446" s="32">
        <f>'[2]Calc_Coef _18'!AE444</f>
        <v>7004801</v>
      </c>
      <c r="B446" s="32">
        <f>'[2]Calc_Coef _18'!C444</f>
        <v>200210</v>
      </c>
      <c r="C446" s="32" t="str">
        <f>'[2]Calc_Coef _18'!AF444</f>
        <v>MOLHO DE TOMATE</v>
      </c>
      <c r="D446" s="63">
        <f>'[2]Calc_Coef _18'!AG444</f>
        <v>1299.6666666666667</v>
      </c>
      <c r="E446" s="63">
        <f>'[2]Calc_Coef _18'!AH444</f>
        <v>322.28245997868521</v>
      </c>
      <c r="F446" s="64">
        <f>'[2]Calc_Coef _18'!AI444</f>
        <v>5.35</v>
      </c>
      <c r="G446" s="30"/>
      <c r="H446"/>
      <c r="I446"/>
    </row>
    <row r="447" spans="1:9" x14ac:dyDescent="0.25">
      <c r="A447" s="32">
        <f>'[2]Calc_Coef _18'!AE445</f>
        <v>7004802</v>
      </c>
      <c r="B447" s="32" t="str">
        <f>'[2]Calc_Coef _18'!C445</f>
        <v>210320</v>
      </c>
      <c r="C447" s="32" t="str">
        <f>'[2]Calc_Coef _18'!AF445</f>
        <v>KETCHUP</v>
      </c>
      <c r="D447" s="63">
        <f>'[2]Calc_Coef _18'!AG445</f>
        <v>1560</v>
      </c>
      <c r="E447" s="63">
        <f>'[2]Calc_Coef _18'!AH445</f>
        <v>235.92368996802784</v>
      </c>
      <c r="F447" s="64">
        <f>'[2]Calc_Coef _18'!AI445</f>
        <v>33.5</v>
      </c>
      <c r="G447" s="30"/>
      <c r="H447"/>
      <c r="I447"/>
    </row>
    <row r="448" spans="1:9" x14ac:dyDescent="0.25">
      <c r="A448" s="32">
        <f>'[2]Calc_Coef _18'!AE446</f>
        <v>7004803</v>
      </c>
      <c r="B448" s="32" t="str">
        <f>'[2]Calc_Coef _18'!C446</f>
        <v>210320</v>
      </c>
      <c r="C448" s="32" t="str">
        <f>'[2]Calc_Coef _18'!AF446</f>
        <v>CATCHUP</v>
      </c>
      <c r="D448" s="63">
        <f>'[2]Calc_Coef _18'!AG446</f>
        <v>1560</v>
      </c>
      <c r="E448" s="63">
        <f>'[2]Calc_Coef _18'!AH446</f>
        <v>235.92368996802784</v>
      </c>
      <c r="F448" s="64">
        <f>'[2]Calc_Coef _18'!AI446</f>
        <v>33.5</v>
      </c>
      <c r="G448" s="30"/>
      <c r="H448"/>
      <c r="I448"/>
    </row>
    <row r="449" spans="1:9" x14ac:dyDescent="0.25">
      <c r="A449" s="32">
        <f>'[2]Calc_Coef _18'!AE447</f>
        <v>7006101</v>
      </c>
      <c r="B449" s="32" t="str">
        <f>'[2]Calc_Coef _18'!C447</f>
        <v>090412</v>
      </c>
      <c r="C449" s="32" t="str">
        <f>'[2]Calc_Coef _18'!AF447</f>
        <v>PIMENTA EM PO</v>
      </c>
      <c r="D449" s="63">
        <f>'[2]Calc_Coef _18'!AG447</f>
        <v>330</v>
      </c>
      <c r="E449" s="63">
        <f>'[2]Calc_Coef _18'!AH447</f>
        <v>1841.9097858043024</v>
      </c>
      <c r="F449" s="64">
        <f>'[2]Calc_Coef _18'!AI447</f>
        <v>49.5</v>
      </c>
      <c r="G449" s="30"/>
      <c r="H449"/>
      <c r="I449"/>
    </row>
    <row r="450" spans="1:9" x14ac:dyDescent="0.25">
      <c r="A450" s="32">
        <f>'[2]Calc_Coef _18'!AE448</f>
        <v>7007101</v>
      </c>
      <c r="B450" s="32" t="str">
        <f>'[2]Calc_Coef _18'!C448</f>
        <v>210410</v>
      </c>
      <c r="C450" s="32" t="str">
        <f>'[2]Calc_Coef _18'!AF448</f>
        <v>TUCUPI EM CALDO SEM PIMENTA</v>
      </c>
      <c r="D450" s="63">
        <f>'[2]Calc_Coef _18'!AG448</f>
        <v>2900</v>
      </c>
      <c r="E450" s="63">
        <f>'[2]Calc_Coef _18'!AH448</f>
        <v>6114.9086447857417</v>
      </c>
      <c r="F450" s="64">
        <f>'[2]Calc_Coef _18'!AI448</f>
        <v>33.5</v>
      </c>
      <c r="G450" s="30"/>
      <c r="H450"/>
      <c r="I450"/>
    </row>
    <row r="451" spans="1:9" x14ac:dyDescent="0.25">
      <c r="A451" s="32">
        <f>'[2]Calc_Coef _18'!AE449</f>
        <v>7007502</v>
      </c>
      <c r="B451" s="32" t="str">
        <f>'[2]Calc_Coef _18'!C449</f>
        <v>040612</v>
      </c>
      <c r="C451" s="32" t="str">
        <f>'[2]Calc_Coef _18'!AF449</f>
        <v>CREME DE QUEIJO</v>
      </c>
      <c r="D451" s="63">
        <f>'[2]Calc_Coef _18'!AG449</f>
        <v>4000</v>
      </c>
      <c r="E451" s="63">
        <f>'[2]Calc_Coef _18'!AH449</f>
        <v>2620</v>
      </c>
      <c r="F451" s="64">
        <f>'[2]Calc_Coef _18'!AI449</f>
        <v>13.7</v>
      </c>
      <c r="G451" s="30"/>
      <c r="H451"/>
      <c r="I451"/>
    </row>
    <row r="452" spans="1:9" x14ac:dyDescent="0.25">
      <c r="A452" s="32">
        <f>'[2]Calc_Coef _18'!AE450</f>
        <v>7007701</v>
      </c>
      <c r="B452" s="32" t="str">
        <f>'[2]Calc_Coef _18'!C450</f>
        <v>210410</v>
      </c>
      <c r="C452" s="32" t="str">
        <f>'[2]Calc_Coef _18'!AF450</f>
        <v>CALDO DE PEIXE</v>
      </c>
      <c r="D452" s="63">
        <f>'[2]Calc_Coef _18'!AG450</f>
        <v>2900</v>
      </c>
      <c r="E452" s="63">
        <f>'[2]Calc_Coef _18'!AH450</f>
        <v>6114.9086447857417</v>
      </c>
      <c r="F452" s="64">
        <f>'[2]Calc_Coef _18'!AI450</f>
        <v>33.5</v>
      </c>
      <c r="G452" s="30"/>
      <c r="H452"/>
      <c r="I452"/>
    </row>
    <row r="453" spans="1:9" x14ac:dyDescent="0.25">
      <c r="A453" s="32">
        <f>'[2]Calc_Coef _18'!AE451</f>
        <v>7009102</v>
      </c>
      <c r="B453" s="32" t="str">
        <f>'[2]Calc_Coef _18'!C451</f>
        <v>120740</v>
      </c>
      <c r="C453" s="32" t="str">
        <f>'[2]Calc_Coef _18'!AF451</f>
        <v>GERGELIM</v>
      </c>
      <c r="D453" s="63">
        <f>'[2]Calc_Coef _18'!AG451</f>
        <v>631.33333333333326</v>
      </c>
      <c r="E453" s="63">
        <f>'[2]Calc_Coef _18'!AH451</f>
        <v>6848.7837130653252</v>
      </c>
      <c r="F453" s="64">
        <f>'[2]Calc_Coef _18'!AI451</f>
        <v>5.9456146715745248</v>
      </c>
      <c r="G453" s="30"/>
      <c r="H453"/>
      <c r="I453"/>
    </row>
    <row r="454" spans="1:9" x14ac:dyDescent="0.25">
      <c r="A454" s="32">
        <f>'[2]Calc_Coef _18'!AE452</f>
        <v>7010301</v>
      </c>
      <c r="B454" s="32" t="str">
        <f>'[2]Calc_Coef _18'!C452</f>
        <v>070200</v>
      </c>
      <c r="C454" s="32" t="str">
        <f>'[2]Calc_Coef _18'!AF452</f>
        <v>TOMATE SECO</v>
      </c>
      <c r="D454" s="63">
        <f>'[2]Calc_Coef _18'!AG452</f>
        <v>771.92651067033364</v>
      </c>
      <c r="E454" s="63">
        <f>'[2]Calc_Coef _18'!AH452</f>
        <v>1887.3895197442228</v>
      </c>
      <c r="F454" s="64">
        <f>'[2]Calc_Coef _18'!AI452</f>
        <v>0.8</v>
      </c>
      <c r="G454" s="30"/>
      <c r="H454"/>
      <c r="I454"/>
    </row>
    <row r="455" spans="1:9" x14ac:dyDescent="0.25">
      <c r="A455" s="32">
        <f>'[2]Calc_Coef _18'!AE453</f>
        <v>7010401</v>
      </c>
      <c r="B455" s="32" t="str">
        <f>'[2]Calc_Coef _18'!C453</f>
        <v>210390</v>
      </c>
      <c r="C455" s="32" t="str">
        <f>'[2]Calc_Coef _18'!AF453</f>
        <v>MAIONESE (MOLHO) LIGHT</v>
      </c>
      <c r="D455" s="63">
        <f>'[2]Calc_Coef _18'!AG453</f>
        <v>1560</v>
      </c>
      <c r="E455" s="63">
        <f>'[2]Calc_Coef _18'!AH453</f>
        <v>431.86296717861296</v>
      </c>
      <c r="F455" s="64">
        <f>'[2]Calc_Coef _18'!AI453</f>
        <v>33.5</v>
      </c>
      <c r="G455" s="30"/>
      <c r="H455"/>
      <c r="I455"/>
    </row>
    <row r="456" spans="1:9" x14ac:dyDescent="0.25">
      <c r="A456" s="32">
        <f>'[2]Calc_Coef _18'!AE454</f>
        <v>7080001</v>
      </c>
      <c r="B456" s="32">
        <f>'[2]Calc_Coef _18'!C454</f>
        <v>220900</v>
      </c>
      <c r="C456" s="32" t="str">
        <f>'[2]Calc_Coef _18'!AF454</f>
        <v>VINAGRE</v>
      </c>
      <c r="D456" s="63">
        <f>'[2]Calc_Coef _18'!AG454</f>
        <v>2240</v>
      </c>
      <c r="E456" s="63">
        <f>'[2]Calc_Coef _18'!AH454</f>
        <v>1011</v>
      </c>
      <c r="F456" s="64">
        <f>'[2]Calc_Coef _18'!AI454</f>
        <v>11.5</v>
      </c>
      <c r="G456" s="30"/>
      <c r="H456"/>
      <c r="I456"/>
    </row>
    <row r="457" spans="1:9" x14ac:dyDescent="0.25">
      <c r="A457" s="32">
        <f>'[2]Calc_Coef _18'!AE455</f>
        <v>7080101</v>
      </c>
      <c r="B457" s="32">
        <f>'[2]Calc_Coef _18'!C455</f>
        <v>250100</v>
      </c>
      <c r="C457" s="32" t="str">
        <f>'[2]Calc_Coef _18'!AF455</f>
        <v>SAL</v>
      </c>
      <c r="D457" s="63">
        <f>'[2]Calc_Coef _18'!AG455</f>
        <v>180</v>
      </c>
      <c r="E457" s="63">
        <f>'[2]Calc_Coef _18'!AH455</f>
        <v>0</v>
      </c>
      <c r="F457" s="64">
        <f>'[2]Calc_Coef _18'!AI455</f>
        <v>0</v>
      </c>
      <c r="G457" s="30"/>
      <c r="H457"/>
      <c r="I457"/>
    </row>
    <row r="458" spans="1:9" x14ac:dyDescent="0.25">
      <c r="A458" s="32">
        <f>'[2]Calc_Coef _18'!AE456</f>
        <v>7080301</v>
      </c>
      <c r="B458" s="32">
        <f>'[2]Calc_Coef _18'!C456</f>
        <v>210390</v>
      </c>
      <c r="C458" s="32" t="str">
        <f>'[2]Calc_Coef _18'!AF456</f>
        <v>MOLHO PARA SALADA</v>
      </c>
      <c r="D458" s="63">
        <f>'[2]Calc_Coef _18'!AG456</f>
        <v>1560</v>
      </c>
      <c r="E458" s="63">
        <f>'[2]Calc_Coef _18'!AH456</f>
        <v>431.86296717861296</v>
      </c>
      <c r="F458" s="64">
        <f>'[2]Calc_Coef _18'!AI456</f>
        <v>33.5</v>
      </c>
      <c r="G458" s="30"/>
      <c r="H458"/>
      <c r="I458"/>
    </row>
    <row r="459" spans="1:9" x14ac:dyDescent="0.25">
      <c r="A459" s="32">
        <f>'[2]Calc_Coef _18'!AE457</f>
        <v>7080401</v>
      </c>
      <c r="B459" s="32">
        <f>'[2]Calc_Coef _18'!C457</f>
        <v>200190</v>
      </c>
      <c r="C459" s="32" t="str">
        <f>'[2]Calc_Coef _18'!AF457</f>
        <v>CONSERVA DE BERINJELA</v>
      </c>
      <c r="D459" s="63">
        <f>'[2]Calc_Coef _18'!AG457</f>
        <v>1112.325</v>
      </c>
      <c r="E459" s="63">
        <f>'[2]Calc_Coef _18'!AH457</f>
        <v>7687.7940345406287</v>
      </c>
      <c r="F459" s="64">
        <f>'[2]Calc_Coef _18'!AI457</f>
        <v>5.52</v>
      </c>
      <c r="G459" s="30"/>
      <c r="H459"/>
      <c r="I459"/>
    </row>
    <row r="460" spans="1:9" x14ac:dyDescent="0.25">
      <c r="A460" s="32">
        <f>'[2]Calc_Coef _18'!AE458</f>
        <v>7100101</v>
      </c>
      <c r="B460" s="32" t="str">
        <f>'[2]Calc_Coef _18'!C458</f>
        <v>020130</v>
      </c>
      <c r="C460" s="32" t="str">
        <f>'[2]Calc_Coef _18'!AF458</f>
        <v>FILE MIGNON</v>
      </c>
      <c r="D460" s="63">
        <f>'[2]Calc_Coef _18'!AG458</f>
        <v>26937.633264372518</v>
      </c>
      <c r="E460" s="63">
        <f>'[2]Calc_Coef _18'!AH458</f>
        <v>18136.156896200948</v>
      </c>
      <c r="F460" s="64">
        <f>'[2]Calc_Coef _18'!AI458</f>
        <v>112.26701297421286</v>
      </c>
      <c r="G460" s="30"/>
      <c r="H460"/>
      <c r="I460"/>
    </row>
    <row r="461" spans="1:9" x14ac:dyDescent="0.25">
      <c r="A461" s="32">
        <f>'[2]Calc_Coef _18'!AE459</f>
        <v>7100201</v>
      </c>
      <c r="B461" s="32" t="str">
        <f>'[2]Calc_Coef _18'!C459</f>
        <v>020130</v>
      </c>
      <c r="C461" s="32" t="str">
        <f>'[2]Calc_Coef _18'!AF459</f>
        <v>CONTRAFILE</v>
      </c>
      <c r="D461" s="63">
        <f>'[2]Calc_Coef _18'!AG459</f>
        <v>26937.633264372518</v>
      </c>
      <c r="E461" s="63">
        <f>'[2]Calc_Coef _18'!AH459</f>
        <v>18136.156896200948</v>
      </c>
      <c r="F461" s="64">
        <f>'[2]Calc_Coef _18'!AI459</f>
        <v>112.26701297421286</v>
      </c>
      <c r="G461" s="30"/>
      <c r="H461"/>
      <c r="I461"/>
    </row>
    <row r="462" spans="1:9" x14ac:dyDescent="0.25">
      <c r="A462" s="32">
        <f>'[2]Calc_Coef _18'!AE460</f>
        <v>7100205</v>
      </c>
      <c r="B462" s="32" t="str">
        <f>'[2]Calc_Coef _18'!C460</f>
        <v>020130</v>
      </c>
      <c r="C462" s="32" t="str">
        <f>'[2]Calc_Coef _18'!AF460</f>
        <v>BISTECA BOVINA</v>
      </c>
      <c r="D462" s="63">
        <f>'[2]Calc_Coef _18'!AG460</f>
        <v>26937.633264372518</v>
      </c>
      <c r="E462" s="63">
        <f>'[2]Calc_Coef _18'!AH460</f>
        <v>18136.156896200948</v>
      </c>
      <c r="F462" s="64">
        <f>'[2]Calc_Coef _18'!AI460</f>
        <v>112.26701297421286</v>
      </c>
      <c r="G462" s="30"/>
      <c r="H462"/>
      <c r="I462"/>
    </row>
    <row r="463" spans="1:9" x14ac:dyDescent="0.25">
      <c r="A463" s="32">
        <f>'[2]Calc_Coef _18'!AE461</f>
        <v>7100301</v>
      </c>
      <c r="B463" s="32" t="str">
        <f>'[2]Calc_Coef _18'!C461</f>
        <v>020130</v>
      </c>
      <c r="C463" s="32" t="str">
        <f>'[2]Calc_Coef _18'!AF461</f>
        <v>ALCATRA</v>
      </c>
      <c r="D463" s="63">
        <f>'[2]Calc_Coef _18'!AG461</f>
        <v>26937.633264372518</v>
      </c>
      <c r="E463" s="63">
        <f>'[2]Calc_Coef _18'!AH461</f>
        <v>18136.156896200948</v>
      </c>
      <c r="F463" s="64">
        <f>'[2]Calc_Coef _18'!AI461</f>
        <v>112.26701297421286</v>
      </c>
      <c r="G463" s="30"/>
      <c r="H463"/>
      <c r="I463"/>
    </row>
    <row r="464" spans="1:9" x14ac:dyDescent="0.25">
      <c r="A464" s="32">
        <f>'[2]Calc_Coef _18'!AE462</f>
        <v>7100303</v>
      </c>
      <c r="B464" s="32" t="str">
        <f>'[2]Calc_Coef _18'!C462</f>
        <v>020130</v>
      </c>
      <c r="C464" s="32" t="str">
        <f>'[2]Calc_Coef _18'!AF462</f>
        <v>MAMINHA</v>
      </c>
      <c r="D464" s="63">
        <f>'[2]Calc_Coef _18'!AG462</f>
        <v>26937.633264372518</v>
      </c>
      <c r="E464" s="63">
        <f>'[2]Calc_Coef _18'!AH462</f>
        <v>18136.156896200948</v>
      </c>
      <c r="F464" s="64">
        <f>'[2]Calc_Coef _18'!AI462</f>
        <v>112.26701297421286</v>
      </c>
      <c r="G464" s="30"/>
      <c r="H464"/>
      <c r="I464"/>
    </row>
    <row r="465" spans="1:9" x14ac:dyDescent="0.25">
      <c r="A465" s="32">
        <f>'[2]Calc_Coef _18'!AE463</f>
        <v>7100304</v>
      </c>
      <c r="B465" s="32" t="str">
        <f>'[2]Calc_Coef _18'!C463</f>
        <v>020130</v>
      </c>
      <c r="C465" s="32" t="str">
        <f>'[2]Calc_Coef _18'!AF463</f>
        <v>PICANHA</v>
      </c>
      <c r="D465" s="63">
        <f>'[2]Calc_Coef _18'!AG463</f>
        <v>26937.633264372518</v>
      </c>
      <c r="E465" s="63">
        <f>'[2]Calc_Coef _18'!AH463</f>
        <v>18136.156896200948</v>
      </c>
      <c r="F465" s="64">
        <f>'[2]Calc_Coef _18'!AI463</f>
        <v>112.26701297421286</v>
      </c>
      <c r="G465" s="30"/>
      <c r="H465"/>
      <c r="I465"/>
    </row>
    <row r="466" spans="1:9" x14ac:dyDescent="0.25">
      <c r="A466" s="32">
        <f>'[2]Calc_Coef _18'!AE464</f>
        <v>7100502</v>
      </c>
      <c r="B466" s="32" t="str">
        <f>'[2]Calc_Coef _18'!C464</f>
        <v>020130</v>
      </c>
      <c r="C466" s="32" t="str">
        <f>'[2]Calc_Coef _18'!AF464</f>
        <v>CABECA DE LOMBO (CARNE BOVINA)</v>
      </c>
      <c r="D466" s="63">
        <f>'[2]Calc_Coef _18'!AG464</f>
        <v>26937.633264372518</v>
      </c>
      <c r="E466" s="63">
        <f>'[2]Calc_Coef _18'!AH464</f>
        <v>18136.156896200948</v>
      </c>
      <c r="F466" s="64">
        <f>'[2]Calc_Coef _18'!AI464</f>
        <v>112.26701297421286</v>
      </c>
      <c r="G466" s="30"/>
      <c r="H466"/>
      <c r="I466"/>
    </row>
    <row r="467" spans="1:9" x14ac:dyDescent="0.25">
      <c r="A467" s="32">
        <f>'[2]Calc_Coef _18'!AE465</f>
        <v>7100606</v>
      </c>
      <c r="B467" s="32" t="str">
        <f>'[2]Calc_Coef _18'!C465</f>
        <v>020130</v>
      </c>
      <c r="C467" s="32" t="str">
        <f>'[2]Calc_Coef _18'!AF465</f>
        <v>TATU (LAGARTO REDONDO)</v>
      </c>
      <c r="D467" s="63">
        <f>'[2]Calc_Coef _18'!AG465</f>
        <v>26937.633264372518</v>
      </c>
      <c r="E467" s="63">
        <f>'[2]Calc_Coef _18'!AH465</f>
        <v>18136.156896200948</v>
      </c>
      <c r="F467" s="64">
        <f>'[2]Calc_Coef _18'!AI465</f>
        <v>112.26701297421286</v>
      </c>
      <c r="G467" s="30"/>
      <c r="H467"/>
      <c r="I467"/>
    </row>
    <row r="468" spans="1:9" x14ac:dyDescent="0.25">
      <c r="A468" s="32">
        <f>'[2]Calc_Coef _18'!AE466</f>
        <v>7100607</v>
      </c>
      <c r="B468" s="32" t="str">
        <f>'[2]Calc_Coef _18'!C466</f>
        <v>020130</v>
      </c>
      <c r="C468" s="32" t="str">
        <f>'[2]Calc_Coef _18'!AF466</f>
        <v>PAULISTA</v>
      </c>
      <c r="D468" s="63">
        <f>'[2]Calc_Coef _18'!AG466</f>
        <v>26937.633264372518</v>
      </c>
      <c r="E468" s="63">
        <f>'[2]Calc_Coef _18'!AH466</f>
        <v>18136.156896200948</v>
      </c>
      <c r="F468" s="64">
        <f>'[2]Calc_Coef _18'!AI466</f>
        <v>112.26701297421286</v>
      </c>
      <c r="G468" s="30"/>
      <c r="H468"/>
      <c r="I468"/>
    </row>
    <row r="469" spans="1:9" x14ac:dyDescent="0.25">
      <c r="A469" s="32">
        <f>'[2]Calc_Coef _18'!AE467</f>
        <v>7100608</v>
      </c>
      <c r="B469" s="32" t="str">
        <f>'[2]Calc_Coef _18'!C467</f>
        <v>020130</v>
      </c>
      <c r="C469" s="32" t="str">
        <f>'[2]Calc_Coef _18'!AF467</f>
        <v>LOMBO PAULISTA (CARNE BOVINA)</v>
      </c>
      <c r="D469" s="63">
        <f>'[2]Calc_Coef _18'!AG467</f>
        <v>26937.633264372518</v>
      </c>
      <c r="E469" s="63">
        <f>'[2]Calc_Coef _18'!AH467</f>
        <v>18136.156896200948</v>
      </c>
      <c r="F469" s="64">
        <f>'[2]Calc_Coef _18'!AI467</f>
        <v>112.26701297421286</v>
      </c>
      <c r="G469" s="30"/>
      <c r="H469"/>
      <c r="I469"/>
    </row>
    <row r="470" spans="1:9" x14ac:dyDescent="0.25">
      <c r="A470" s="32">
        <f>'[2]Calc_Coef _18'!AE468</f>
        <v>7101001</v>
      </c>
      <c r="B470" s="32" t="str">
        <f>'[2]Calc_Coef _18'!C468</f>
        <v>020130</v>
      </c>
      <c r="C470" s="32" t="str">
        <f>'[2]Calc_Coef _18'!AF468</f>
        <v>MUSCULO BOVINO</v>
      </c>
      <c r="D470" s="63">
        <f>'[2]Calc_Coef _18'!AG468</f>
        <v>26937.633264372518</v>
      </c>
      <c r="E470" s="63">
        <f>'[2]Calc_Coef _18'!AH468</f>
        <v>18136.156896200948</v>
      </c>
      <c r="F470" s="64">
        <f>'[2]Calc_Coef _18'!AI468</f>
        <v>112.26701297421286</v>
      </c>
      <c r="G470" s="30"/>
      <c r="H470"/>
      <c r="I470"/>
    </row>
    <row r="471" spans="1:9" x14ac:dyDescent="0.25">
      <c r="A471" s="32">
        <f>'[2]Calc_Coef _18'!AE469</f>
        <v>7101009</v>
      </c>
      <c r="B471" s="32" t="str">
        <f>'[2]Calc_Coef _18'!C469</f>
        <v>020130</v>
      </c>
      <c r="C471" s="32" t="str">
        <f>'[2]Calc_Coef _18'!AF469</f>
        <v>CARNE MARICA BOVINA</v>
      </c>
      <c r="D471" s="63">
        <f>'[2]Calc_Coef _18'!AG469</f>
        <v>26937.633264372518</v>
      </c>
      <c r="E471" s="63">
        <f>'[2]Calc_Coef _18'!AH469</f>
        <v>18136.156896200948</v>
      </c>
      <c r="F471" s="64">
        <f>'[2]Calc_Coef _18'!AI469</f>
        <v>112.26701297421286</v>
      </c>
      <c r="G471" s="30"/>
      <c r="H471"/>
      <c r="I471"/>
    </row>
    <row r="472" spans="1:9" x14ac:dyDescent="0.25">
      <c r="A472" s="32">
        <f>'[2]Calc_Coef _18'!AE470</f>
        <v>7101011</v>
      </c>
      <c r="B472" s="32" t="str">
        <f>'[2]Calc_Coef _18'!C470</f>
        <v>020130</v>
      </c>
      <c r="C472" s="32" t="str">
        <f>'[2]Calc_Coef _18'!AF470</f>
        <v>VAZIO (CARNE BOVINA)</v>
      </c>
      <c r="D472" s="63">
        <f>'[2]Calc_Coef _18'!AG470</f>
        <v>26937.633264372518</v>
      </c>
      <c r="E472" s="63">
        <f>'[2]Calc_Coef _18'!AH470</f>
        <v>18136.156896200948</v>
      </c>
      <c r="F472" s="64">
        <f>'[2]Calc_Coef _18'!AI470</f>
        <v>112.26701297421286</v>
      </c>
      <c r="G472" s="30"/>
      <c r="H472"/>
      <c r="I472"/>
    </row>
    <row r="473" spans="1:9" x14ac:dyDescent="0.25">
      <c r="A473" s="32">
        <f>'[2]Calc_Coef _18'!AE471</f>
        <v>7101202</v>
      </c>
      <c r="B473" s="32" t="str">
        <f>'[2]Calc_Coef _18'!C471</f>
        <v>020130</v>
      </c>
      <c r="C473" s="32" t="str">
        <f>'[2]Calc_Coef _18'!AF471</f>
        <v>FRALDINHA (CAPA DE FILE)</v>
      </c>
      <c r="D473" s="63">
        <f>'[2]Calc_Coef _18'!AG471</f>
        <v>26937.633264372518</v>
      </c>
      <c r="E473" s="63">
        <f>'[2]Calc_Coef _18'!AH471</f>
        <v>18136.156896200948</v>
      </c>
      <c r="F473" s="64">
        <f>'[2]Calc_Coef _18'!AI471</f>
        <v>112.26701297421286</v>
      </c>
      <c r="G473" s="30"/>
      <c r="H473"/>
      <c r="I473"/>
    </row>
    <row r="474" spans="1:9" x14ac:dyDescent="0.25">
      <c r="A474" s="32">
        <f>'[2]Calc_Coef _18'!AE472</f>
        <v>7101301</v>
      </c>
      <c r="B474" s="32" t="str">
        <f>'[2]Calc_Coef _18'!C472</f>
        <v>020120</v>
      </c>
      <c r="C474" s="32" t="str">
        <f>'[2]Calc_Coef _18'!AF472</f>
        <v>COSTELA BOVINA</v>
      </c>
      <c r="D474" s="63">
        <f>'[2]Calc_Coef _18'!AG472</f>
        <v>25444.913183549295</v>
      </c>
      <c r="E474" s="63">
        <f>'[2]Calc_Coef _18'!AH472</f>
        <v>16712.437930800632</v>
      </c>
      <c r="F474" s="64">
        <f>'[2]Calc_Coef _18'!AI472</f>
        <v>102.14361037937029</v>
      </c>
      <c r="G474" s="30"/>
      <c r="H474"/>
      <c r="I474"/>
    </row>
    <row r="475" spans="1:9" x14ac:dyDescent="0.25">
      <c r="A475" s="32">
        <f>'[2]Calc_Coef _18'!AE473</f>
        <v>7101901</v>
      </c>
      <c r="B475" s="32" t="str">
        <f>'[2]Calc_Coef _18'!C473</f>
        <v>020610</v>
      </c>
      <c r="C475" s="32" t="str">
        <f>'[2]Calc_Coef _18'!AF473</f>
        <v>CORACAO BOVINO</v>
      </c>
      <c r="D475" s="63">
        <f>'[2]Calc_Coef _18'!AG473</f>
        <v>10100</v>
      </c>
      <c r="E475" s="63">
        <f>'[2]Calc_Coef _18'!AH473</f>
        <v>1388.8273394164951</v>
      </c>
      <c r="F475" s="64">
        <f>'[2]Calc_Coef _18'!AI473</f>
        <v>81.345740252913529</v>
      </c>
      <c r="G475" s="30"/>
      <c r="H475"/>
      <c r="I475"/>
    </row>
    <row r="476" spans="1:9" x14ac:dyDescent="0.25">
      <c r="A476" s="32">
        <f>'[2]Calc_Coef _18'!AE474</f>
        <v>7102001</v>
      </c>
      <c r="B476" s="32" t="str">
        <f>'[2]Calc_Coef _18'!C474</f>
        <v>020610</v>
      </c>
      <c r="C476" s="32" t="str">
        <f>'[2]Calc_Coef _18'!AF474</f>
        <v>RIM BOVINO</v>
      </c>
      <c r="D476" s="63">
        <f>'[2]Calc_Coef _18'!AG474</f>
        <v>10100</v>
      </c>
      <c r="E476" s="63">
        <f>'[2]Calc_Coef _18'!AH474</f>
        <v>1388.8273394164951</v>
      </c>
      <c r="F476" s="64">
        <f>'[2]Calc_Coef _18'!AI474</f>
        <v>81.345740252913529</v>
      </c>
      <c r="G476" s="30"/>
      <c r="H476"/>
      <c r="I476"/>
    </row>
    <row r="477" spans="1:9" x14ac:dyDescent="0.25">
      <c r="A477" s="32">
        <f>'[2]Calc_Coef _18'!AE475</f>
        <v>7102102</v>
      </c>
      <c r="B477" s="32" t="str">
        <f>'[2]Calc_Coef _18'!C475</f>
        <v>020610</v>
      </c>
      <c r="C477" s="32" t="str">
        <f>'[2]Calc_Coef _18'!AF475</f>
        <v>BOFE BOVINO</v>
      </c>
      <c r="D477" s="63">
        <f>'[2]Calc_Coef _18'!AG475</f>
        <v>10100</v>
      </c>
      <c r="E477" s="63">
        <f>'[2]Calc_Coef _18'!AH475</f>
        <v>1388.8273394164951</v>
      </c>
      <c r="F477" s="64">
        <f>'[2]Calc_Coef _18'!AI475</f>
        <v>81.345740252913529</v>
      </c>
      <c r="G477" s="30"/>
      <c r="H477"/>
      <c r="I477"/>
    </row>
    <row r="478" spans="1:9" x14ac:dyDescent="0.25">
      <c r="A478" s="32">
        <f>'[2]Calc_Coef _18'!AE476</f>
        <v>7102401</v>
      </c>
      <c r="B478" s="32" t="str">
        <f>'[2]Calc_Coef _18'!C476</f>
        <v>020610</v>
      </c>
      <c r="C478" s="32" t="str">
        <f>'[2]Calc_Coef _18'!AF476</f>
        <v>TRIPA BOVINA</v>
      </c>
      <c r="D478" s="63">
        <f>'[2]Calc_Coef _18'!AG476</f>
        <v>10100</v>
      </c>
      <c r="E478" s="63">
        <f>'[2]Calc_Coef _18'!AH476</f>
        <v>1388.8273394164951</v>
      </c>
      <c r="F478" s="64">
        <f>'[2]Calc_Coef _18'!AI476</f>
        <v>81.345740252913529</v>
      </c>
      <c r="G478" s="30"/>
      <c r="H478"/>
      <c r="I478"/>
    </row>
    <row r="479" spans="1:9" x14ac:dyDescent="0.25">
      <c r="A479" s="32">
        <f>'[2]Calc_Coef _18'!AE477</f>
        <v>7102402</v>
      </c>
      <c r="B479" s="32" t="str">
        <f>'[2]Calc_Coef _18'!C477</f>
        <v>020610</v>
      </c>
      <c r="C479" s="32" t="str">
        <f>'[2]Calc_Coef _18'!AF477</f>
        <v>DOBRADINHA FRESCA</v>
      </c>
      <c r="D479" s="63">
        <f>'[2]Calc_Coef _18'!AG477</f>
        <v>10100</v>
      </c>
      <c r="E479" s="63">
        <f>'[2]Calc_Coef _18'!AH477</f>
        <v>1388.8273394164951</v>
      </c>
      <c r="F479" s="64">
        <f>'[2]Calc_Coef _18'!AI477</f>
        <v>81.345740252913529</v>
      </c>
      <c r="G479" s="30"/>
      <c r="H479"/>
      <c r="I479"/>
    </row>
    <row r="480" spans="1:9" x14ac:dyDescent="0.25">
      <c r="A480" s="32">
        <f>'[2]Calc_Coef _18'!AE478</f>
        <v>7102403</v>
      </c>
      <c r="B480" s="32" t="str">
        <f>'[2]Calc_Coef _18'!C478</f>
        <v>020610</v>
      </c>
      <c r="C480" s="32" t="str">
        <f>'[2]Calc_Coef _18'!AF478</f>
        <v>FATO BOVINO</v>
      </c>
      <c r="D480" s="63">
        <f>'[2]Calc_Coef _18'!AG478</f>
        <v>10100</v>
      </c>
      <c r="E480" s="63">
        <f>'[2]Calc_Coef _18'!AH478</f>
        <v>1388.8273394164951</v>
      </c>
      <c r="F480" s="64">
        <f>'[2]Calc_Coef _18'!AI478</f>
        <v>81.345740252913529</v>
      </c>
      <c r="G480" s="30"/>
      <c r="H480"/>
      <c r="I480"/>
    </row>
    <row r="481" spans="1:9" x14ac:dyDescent="0.25">
      <c r="A481" s="32">
        <f>'[2]Calc_Coef _18'!AE479</f>
        <v>7102501</v>
      </c>
      <c r="B481" s="32" t="str">
        <f>'[2]Calc_Coef _18'!C479</f>
        <v>020610</v>
      </c>
      <c r="C481" s="32" t="str">
        <f>'[2]Calc_Coef _18'!AF479</f>
        <v>FIGADO BOVINO</v>
      </c>
      <c r="D481" s="63">
        <f>'[2]Calc_Coef _18'!AG479</f>
        <v>10100</v>
      </c>
      <c r="E481" s="63">
        <f>'[2]Calc_Coef _18'!AH479</f>
        <v>1388.8273394164951</v>
      </c>
      <c r="F481" s="64">
        <f>'[2]Calc_Coef _18'!AI479</f>
        <v>81.345740252913529</v>
      </c>
      <c r="G481" s="30"/>
      <c r="H481"/>
      <c r="I481"/>
    </row>
    <row r="482" spans="1:9" x14ac:dyDescent="0.25">
      <c r="A482" s="32">
        <f>'[2]Calc_Coef _18'!AE480</f>
        <v>7102502</v>
      </c>
      <c r="B482" s="32" t="str">
        <f>'[2]Calc_Coef _18'!C480</f>
        <v>020610</v>
      </c>
      <c r="C482" s="32" t="str">
        <f>'[2]Calc_Coef _18'!AF480</f>
        <v>FIGADO BOVINO (BIFE)</v>
      </c>
      <c r="D482" s="63">
        <f>'[2]Calc_Coef _18'!AG480</f>
        <v>10100</v>
      </c>
      <c r="E482" s="63">
        <f>'[2]Calc_Coef _18'!AH480</f>
        <v>1388.8273394164951</v>
      </c>
      <c r="F482" s="64">
        <f>'[2]Calc_Coef _18'!AI480</f>
        <v>81.345740252913529</v>
      </c>
      <c r="G482" s="30"/>
      <c r="H482"/>
      <c r="I482"/>
    </row>
    <row r="483" spans="1:9" x14ac:dyDescent="0.25">
      <c r="A483" s="32">
        <f>'[2]Calc_Coef _18'!AE481</f>
        <v>7102601</v>
      </c>
      <c r="B483" s="32" t="str">
        <f>'[2]Calc_Coef _18'!C481</f>
        <v>020130</v>
      </c>
      <c r="C483" s="32" t="str">
        <f>'[2]Calc_Coef _18'!AF481</f>
        <v>CUPIM</v>
      </c>
      <c r="D483" s="63">
        <f>'[2]Calc_Coef _18'!AG481</f>
        <v>26937.633264372518</v>
      </c>
      <c r="E483" s="63">
        <f>'[2]Calc_Coef _18'!AH481</f>
        <v>18136.156896200948</v>
      </c>
      <c r="F483" s="64">
        <f>'[2]Calc_Coef _18'!AI481</f>
        <v>112.26701297421286</v>
      </c>
      <c r="G483" s="30"/>
      <c r="H483"/>
      <c r="I483"/>
    </row>
    <row r="484" spans="1:9" x14ac:dyDescent="0.25">
      <c r="A484" s="32">
        <f>'[2]Calc_Coef _18'!AE482</f>
        <v>7102701</v>
      </c>
      <c r="B484" s="32" t="str">
        <f>'[2]Calc_Coef _18'!C482</f>
        <v>020610</v>
      </c>
      <c r="C484" s="32" t="str">
        <f>'[2]Calc_Coef _18'!AF482</f>
        <v>LINGUA BOVINA</v>
      </c>
      <c r="D484" s="63">
        <f>'[2]Calc_Coef _18'!AG482</f>
        <v>10100</v>
      </c>
      <c r="E484" s="63">
        <f>'[2]Calc_Coef _18'!AH482</f>
        <v>1388.8273394164951</v>
      </c>
      <c r="F484" s="64">
        <f>'[2]Calc_Coef _18'!AI482</f>
        <v>81.345740252913529</v>
      </c>
      <c r="G484" s="30"/>
      <c r="H484"/>
      <c r="I484"/>
    </row>
    <row r="485" spans="1:9" x14ac:dyDescent="0.25">
      <c r="A485" s="32">
        <f>'[2]Calc_Coef _18'!AE483</f>
        <v>7102801</v>
      </c>
      <c r="B485" s="32" t="str">
        <f>'[2]Calc_Coef _18'!C483</f>
        <v>020120</v>
      </c>
      <c r="C485" s="32" t="str">
        <f>'[2]Calc_Coef _18'!AF483</f>
        <v>RABADA BOVINA</v>
      </c>
      <c r="D485" s="63">
        <f>'[2]Calc_Coef _18'!AG483</f>
        <v>25444.913183549295</v>
      </c>
      <c r="E485" s="63">
        <f>'[2]Calc_Coef _18'!AH483</f>
        <v>16712.437930800632</v>
      </c>
      <c r="F485" s="64">
        <f>'[2]Calc_Coef _18'!AI483</f>
        <v>102.14361037937029</v>
      </c>
      <c r="G485" s="30"/>
      <c r="H485"/>
      <c r="I485"/>
    </row>
    <row r="486" spans="1:9" x14ac:dyDescent="0.25">
      <c r="A486" s="32">
        <f>'[2]Calc_Coef _18'!AE484</f>
        <v>7103101</v>
      </c>
      <c r="B486" s="32" t="str">
        <f>'[2]Calc_Coef _18'!C484</f>
        <v>020610</v>
      </c>
      <c r="C486" s="32" t="str">
        <f>'[2]Calc_Coef _18'!AF484</f>
        <v>MOCOTO BOVINO</v>
      </c>
      <c r="D486" s="63">
        <f>'[2]Calc_Coef _18'!AG484</f>
        <v>10100</v>
      </c>
      <c r="E486" s="63">
        <f>'[2]Calc_Coef _18'!AH484</f>
        <v>1388.8273394164951</v>
      </c>
      <c r="F486" s="64">
        <f>'[2]Calc_Coef _18'!AI484</f>
        <v>81.345740252913529</v>
      </c>
      <c r="G486" s="30"/>
      <c r="H486"/>
      <c r="I486"/>
    </row>
    <row r="487" spans="1:9" x14ac:dyDescent="0.25">
      <c r="A487" s="32">
        <f>'[2]Calc_Coef _18'!AE485</f>
        <v>7103301</v>
      </c>
      <c r="B487" s="32" t="str">
        <f>'[2]Calc_Coef _18'!C485</f>
        <v>020311</v>
      </c>
      <c r="C487" s="32" t="str">
        <f>'[2]Calc_Coef _18'!AF485</f>
        <v>CARRE</v>
      </c>
      <c r="D487" s="63">
        <f>'[2]Calc_Coef _18'!AG485</f>
        <v>4005.4397586713299</v>
      </c>
      <c r="E487" s="63">
        <f>'[2]Calc_Coef _18'!AH485</f>
        <v>7509.0702772841823</v>
      </c>
      <c r="F487" s="64">
        <f>'[2]Calc_Coef _18'!AI485</f>
        <v>34.875</v>
      </c>
      <c r="G487" s="30"/>
      <c r="H487"/>
      <c r="I487"/>
    </row>
    <row r="488" spans="1:9" x14ac:dyDescent="0.25">
      <c r="A488" s="32">
        <f>'[2]Calc_Coef _18'!AE486</f>
        <v>7103303</v>
      </c>
      <c r="B488" s="32" t="str">
        <f>'[2]Calc_Coef _18'!C486</f>
        <v>020111</v>
      </c>
      <c r="C488" s="32" t="str">
        <f>'[2]Calc_Coef _18'!AF486</f>
        <v>COSTELETA</v>
      </c>
      <c r="D488" s="63">
        <f>'[2]Calc_Coef _18'!AG486</f>
        <v>25444.913183549295</v>
      </c>
      <c r="E488" s="63">
        <f>'[2]Calc_Coef _18'!AH486</f>
        <v>16712.437930800632</v>
      </c>
      <c r="F488" s="64">
        <f>'[2]Calc_Coef _18'!AI486</f>
        <v>102.14361037937029</v>
      </c>
      <c r="G488" s="30"/>
      <c r="H488"/>
      <c r="I488"/>
    </row>
    <row r="489" spans="1:9" x14ac:dyDescent="0.25">
      <c r="A489" s="32">
        <f>'[2]Calc_Coef _18'!AE487</f>
        <v>7103305</v>
      </c>
      <c r="B489" s="32" t="str">
        <f>'[2]Calc_Coef _18'!C487</f>
        <v>020311</v>
      </c>
      <c r="C489" s="32" t="str">
        <f>'[2]Calc_Coef _18'!AF487</f>
        <v>BISTECA SUINA</v>
      </c>
      <c r="D489" s="63">
        <f>'[2]Calc_Coef _18'!AG487</f>
        <v>4005.4397586713299</v>
      </c>
      <c r="E489" s="63">
        <f>'[2]Calc_Coef _18'!AH487</f>
        <v>7509.0702772841823</v>
      </c>
      <c r="F489" s="64">
        <f>'[2]Calc_Coef _18'!AI487</f>
        <v>34.875</v>
      </c>
      <c r="G489" s="30"/>
      <c r="H489"/>
      <c r="I489"/>
    </row>
    <row r="490" spans="1:9" x14ac:dyDescent="0.25">
      <c r="A490" s="32">
        <f>'[2]Calc_Coef _18'!AE488</f>
        <v>7103403</v>
      </c>
      <c r="B490" s="32" t="str">
        <f>'[2]Calc_Coef _18'!C488</f>
        <v>020319</v>
      </c>
      <c r="C490" s="32" t="str">
        <f>'[2]Calc_Coef _18'!AF488</f>
        <v>QUARTO SUINO</v>
      </c>
      <c r="D490" s="63">
        <f>'[2]Calc_Coef _18'!AG488</f>
        <v>4005.4397586713299</v>
      </c>
      <c r="E490" s="63">
        <f>'[2]Calc_Coef _18'!AH488</f>
        <v>7509.0702772841823</v>
      </c>
      <c r="F490" s="64">
        <f>'[2]Calc_Coef _18'!AI488</f>
        <v>34.875</v>
      </c>
      <c r="G490" s="30"/>
      <c r="H490"/>
      <c r="I490"/>
    </row>
    <row r="491" spans="1:9" x14ac:dyDescent="0.25">
      <c r="A491" s="32">
        <f>'[2]Calc_Coef _18'!AE489</f>
        <v>7103501</v>
      </c>
      <c r="B491" s="32" t="str">
        <f>'[2]Calc_Coef _18'!C489</f>
        <v>020311</v>
      </c>
      <c r="C491" s="32" t="str">
        <f>'[2]Calc_Coef _18'!AF489</f>
        <v>COSTELA SUINA</v>
      </c>
      <c r="D491" s="63">
        <f>'[2]Calc_Coef _18'!AG489</f>
        <v>4005.4397586713299</v>
      </c>
      <c r="E491" s="63">
        <f>'[2]Calc_Coef _18'!AH489</f>
        <v>7509.0702772841823</v>
      </c>
      <c r="F491" s="64">
        <f>'[2]Calc_Coef _18'!AI489</f>
        <v>34.875</v>
      </c>
      <c r="G491" s="30"/>
      <c r="H491"/>
      <c r="I491"/>
    </row>
    <row r="492" spans="1:9" x14ac:dyDescent="0.25">
      <c r="A492" s="32">
        <f>'[2]Calc_Coef _18'!AE490</f>
        <v>7103701</v>
      </c>
      <c r="B492" s="32" t="str">
        <f>'[2]Calc_Coef _18'!C490</f>
        <v>020319</v>
      </c>
      <c r="C492" s="32" t="str">
        <f>'[2]Calc_Coef _18'!AF490</f>
        <v>LOMBO SUINO</v>
      </c>
      <c r="D492" s="63">
        <f>'[2]Calc_Coef _18'!AG490</f>
        <v>4885</v>
      </c>
      <c r="E492" s="63">
        <f>'[2]Calc_Coef _18'!AH490</f>
        <v>7509.0702772841823</v>
      </c>
      <c r="F492" s="64">
        <f>'[2]Calc_Coef _18'!AI490</f>
        <v>34.875</v>
      </c>
      <c r="G492" s="30"/>
      <c r="H492"/>
      <c r="I492"/>
    </row>
    <row r="493" spans="1:9" x14ac:dyDescent="0.25">
      <c r="A493" s="32">
        <f>'[2]Calc_Coef _18'!AE491</f>
        <v>7103801</v>
      </c>
      <c r="B493" s="32" t="str">
        <f>'[2]Calc_Coef _18'!C491</f>
        <v>021012</v>
      </c>
      <c r="C493" s="32" t="str">
        <f>'[2]Calc_Coef _18'!AF491</f>
        <v>TOUCINHO</v>
      </c>
      <c r="D493" s="63">
        <f>'[2]Calc_Coef _18'!AG491</f>
        <v>10200</v>
      </c>
      <c r="E493" s="63">
        <f>'[2]Calc_Coef _18'!AH491</f>
        <v>7359.5180236216484</v>
      </c>
      <c r="F493" s="64">
        <f>'[2]Calc_Coef _18'!AI491</f>
        <v>19</v>
      </c>
      <c r="G493" s="30"/>
      <c r="H493"/>
      <c r="I493"/>
    </row>
    <row r="494" spans="1:9" x14ac:dyDescent="0.25">
      <c r="A494" s="32">
        <f>'[2]Calc_Coef _18'!AE492</f>
        <v>7103903</v>
      </c>
      <c r="B494" s="32" t="str">
        <f>'[2]Calc_Coef _18'!C492</f>
        <v>020630</v>
      </c>
      <c r="C494" s="32" t="str">
        <f>'[2]Calc_Coef _18'!AF492</f>
        <v>MIUDO SUÍNO</v>
      </c>
      <c r="D494" s="63">
        <f>'[2]Calc_Coef _18'!AG492</f>
        <v>2925</v>
      </c>
      <c r="E494" s="63">
        <f>'[2]Calc_Coef _18'!AH492</f>
        <v>1388.8273394164951</v>
      </c>
      <c r="F494" s="64">
        <f>'[2]Calc_Coef _18'!AI492</f>
        <v>81.345740252913529</v>
      </c>
      <c r="G494" s="30"/>
      <c r="H494"/>
      <c r="I494"/>
    </row>
    <row r="495" spans="1:9" x14ac:dyDescent="0.25">
      <c r="A495" s="32">
        <f>'[2]Calc_Coef _18'!AE493</f>
        <v>7103907</v>
      </c>
      <c r="B495" s="32" t="str">
        <f>'[2]Calc_Coef _18'!C493</f>
        <v>020630</v>
      </c>
      <c r="C495" s="32" t="str">
        <f>'[2]Calc_Coef _18'!AF493</f>
        <v>SARAPATEL SUINO FRESCO</v>
      </c>
      <c r="D495" s="63">
        <f>'[2]Calc_Coef _18'!AG493</f>
        <v>2925</v>
      </c>
      <c r="E495" s="63">
        <f>'[2]Calc_Coef _18'!AH493</f>
        <v>1388.8273394164951</v>
      </c>
      <c r="F495" s="64">
        <f>'[2]Calc_Coef _18'!AI493</f>
        <v>81.345740252913529</v>
      </c>
      <c r="G495" s="30"/>
      <c r="H495"/>
      <c r="I495"/>
    </row>
    <row r="496" spans="1:9" x14ac:dyDescent="0.25">
      <c r="A496" s="32">
        <f>'[2]Calc_Coef _18'!AE494</f>
        <v>7104101</v>
      </c>
      <c r="B496" s="32" t="str">
        <f>'[2]Calc_Coef _18'!C494</f>
        <v>020319</v>
      </c>
      <c r="C496" s="32" t="str">
        <f>'[2]Calc_Coef _18'!AF494</f>
        <v>CARNE SUINA</v>
      </c>
      <c r="D496" s="63">
        <f>'[2]Calc_Coef _18'!AG494</f>
        <v>3983.450752638113</v>
      </c>
      <c r="E496" s="63">
        <f>'[2]Calc_Coef _18'!AH494</f>
        <v>7509.0702772841823</v>
      </c>
      <c r="F496" s="64">
        <f>'[2]Calc_Coef _18'!AI494</f>
        <v>34.875</v>
      </c>
      <c r="G496" s="30"/>
      <c r="H496"/>
      <c r="I496"/>
    </row>
    <row r="497" spans="1:9" x14ac:dyDescent="0.25">
      <c r="A497" s="32">
        <f>'[2]Calc_Coef _18'!AE495</f>
        <v>7104102</v>
      </c>
      <c r="B497" s="32" t="str">
        <f>'[2]Calc_Coef _18'!C495</f>
        <v>020319</v>
      </c>
      <c r="C497" s="32" t="str">
        <f>'[2]Calc_Coef _18'!AF495</f>
        <v>CARNE DE PORCO</v>
      </c>
      <c r="D497" s="63">
        <f>'[2]Calc_Coef _18'!AG495</f>
        <v>4005.4397586713299</v>
      </c>
      <c r="E497" s="63">
        <f>'[2]Calc_Coef _18'!AH495</f>
        <v>7509.0702772841823</v>
      </c>
      <c r="F497" s="64">
        <f>'[2]Calc_Coef _18'!AI495</f>
        <v>34.875</v>
      </c>
      <c r="G497" s="30"/>
      <c r="H497"/>
      <c r="I497"/>
    </row>
    <row r="498" spans="1:9" x14ac:dyDescent="0.25">
      <c r="A498" s="32">
        <f>'[2]Calc_Coef _18'!AE496</f>
        <v>7104301</v>
      </c>
      <c r="B498" s="32" t="str">
        <f>'[2]Calc_Coef _18'!C496</f>
        <v>020130</v>
      </c>
      <c r="C498" s="32" t="str">
        <f>'[2]Calc_Coef _18'!AF496</f>
        <v>CARNE MOIDA</v>
      </c>
      <c r="D498" s="63">
        <f>'[2]Calc_Coef _18'!AG496</f>
        <v>26937.633264372518</v>
      </c>
      <c r="E498" s="63">
        <f>'[2]Calc_Coef _18'!AH496</f>
        <v>18136.156896200948</v>
      </c>
      <c r="F498" s="64">
        <f>'[2]Calc_Coef _18'!AI496</f>
        <v>112.26701297421286</v>
      </c>
      <c r="G498" s="30"/>
      <c r="H498"/>
      <c r="I498"/>
    </row>
    <row r="499" spans="1:9" x14ac:dyDescent="0.25">
      <c r="A499" s="32">
        <f>'[2]Calc_Coef _18'!AE497</f>
        <v>7104501</v>
      </c>
      <c r="B499" s="32" t="str">
        <f>'[2]Calc_Coef _18'!C497</f>
        <v>020630</v>
      </c>
      <c r="C499" s="32" t="str">
        <f>'[2]Calc_Coef _18'!AF497</f>
        <v>TRIPA SUINA</v>
      </c>
      <c r="D499" s="63">
        <f>'[2]Calc_Coef _18'!AG497</f>
        <v>2925</v>
      </c>
      <c r="E499" s="63">
        <f>'[2]Calc_Coef _18'!AH497</f>
        <v>1388.8273394164951</v>
      </c>
      <c r="F499" s="64">
        <f>'[2]Calc_Coef _18'!AI497</f>
        <v>81.345740252913529</v>
      </c>
      <c r="G499" s="30"/>
      <c r="H499"/>
      <c r="I499"/>
    </row>
    <row r="500" spans="1:9" x14ac:dyDescent="0.25">
      <c r="A500" s="32">
        <f>'[2]Calc_Coef _18'!AE498</f>
        <v>7104601</v>
      </c>
      <c r="B500" s="32" t="str">
        <f>'[2]Calc_Coef _18'!C498</f>
        <v>020630</v>
      </c>
      <c r="C500" s="32" t="str">
        <f>'[2]Calc_Coef _18'!AF498</f>
        <v>FIGADO SUINO</v>
      </c>
      <c r="D500" s="63">
        <f>'[2]Calc_Coef _18'!AG498</f>
        <v>2925</v>
      </c>
      <c r="E500" s="63">
        <f>'[2]Calc_Coef _18'!AH498</f>
        <v>1388.8273394164951</v>
      </c>
      <c r="F500" s="64">
        <f>'[2]Calc_Coef _18'!AI498</f>
        <v>81.345740252913529</v>
      </c>
      <c r="G500" s="30"/>
      <c r="H500"/>
      <c r="I500"/>
    </row>
    <row r="501" spans="1:9" x14ac:dyDescent="0.25">
      <c r="A501" s="32">
        <f>'[2]Calc_Coef _18'!AE499</f>
        <v>7104701</v>
      </c>
      <c r="B501" s="32" t="str">
        <f>'[2]Calc_Coef _18'!C499</f>
        <v>020630</v>
      </c>
      <c r="C501" s="32" t="str">
        <f>'[2]Calc_Coef _18'!AF499</f>
        <v>LINGUA SUINA</v>
      </c>
      <c r="D501" s="63">
        <f>'[2]Calc_Coef _18'!AG499</f>
        <v>2925</v>
      </c>
      <c r="E501" s="63">
        <f>'[2]Calc_Coef _18'!AH499</f>
        <v>1388.8273394164951</v>
      </c>
      <c r="F501" s="64">
        <f>'[2]Calc_Coef _18'!AI499</f>
        <v>81.345740252913529</v>
      </c>
      <c r="G501" s="30"/>
      <c r="H501"/>
      <c r="I501"/>
    </row>
    <row r="502" spans="1:9" x14ac:dyDescent="0.25">
      <c r="A502" s="32">
        <f>'[2]Calc_Coef _18'!AE500</f>
        <v>7105001</v>
      </c>
      <c r="B502" s="32" t="str">
        <f>'[2]Calc_Coef _18'!C500</f>
        <v>020630</v>
      </c>
      <c r="C502" s="32" t="str">
        <f>'[2]Calc_Coef _18'!AF500</f>
        <v>ORELHA SUINA FRESCA</v>
      </c>
      <c r="D502" s="63">
        <f>'[2]Calc_Coef _18'!AG500</f>
        <v>2925</v>
      </c>
      <c r="E502" s="63">
        <f>'[2]Calc_Coef _18'!AH500</f>
        <v>1388.8273394164951</v>
      </c>
      <c r="F502" s="64">
        <f>'[2]Calc_Coef _18'!AI500</f>
        <v>81.345740252913529</v>
      </c>
      <c r="G502" s="30"/>
      <c r="H502"/>
      <c r="I502"/>
    </row>
    <row r="503" spans="1:9" x14ac:dyDescent="0.25">
      <c r="A503" s="32">
        <f>'[2]Calc_Coef _18'!AE501</f>
        <v>7105203</v>
      </c>
      <c r="B503" s="32" t="str">
        <f>'[2]Calc_Coef _18'!C501</f>
        <v>020630</v>
      </c>
      <c r="C503" s="32" t="str">
        <f>'[2]Calc_Coef _18'!AF501</f>
        <v>MOCOTO SUINO / MOCOTO DE PORCO</v>
      </c>
      <c r="D503" s="63">
        <f>'[2]Calc_Coef _18'!AG501</f>
        <v>2925</v>
      </c>
      <c r="E503" s="63">
        <f>'[2]Calc_Coef _18'!AH501</f>
        <v>1388.8273394164951</v>
      </c>
      <c r="F503" s="64">
        <f>'[2]Calc_Coef _18'!AI501</f>
        <v>81.345740252913529</v>
      </c>
      <c r="G503" s="30"/>
      <c r="H503"/>
      <c r="I503"/>
    </row>
    <row r="504" spans="1:9" x14ac:dyDescent="0.25">
      <c r="A504" s="32">
        <f>'[2]Calc_Coef _18'!AE502</f>
        <v>7105401</v>
      </c>
      <c r="B504" s="32" t="str">
        <f>'[2]Calc_Coef _18'!C502</f>
        <v>020451</v>
      </c>
      <c r="C504" s="32" t="str">
        <f>'[2]Calc_Coef _18'!AF502</f>
        <v>CARNE DE CABRITO</v>
      </c>
      <c r="D504" s="63">
        <f>'[2]Calc_Coef _18'!AG502</f>
        <v>13999.971734892786</v>
      </c>
      <c r="E504" s="63">
        <f>'[2]Calc_Coef _18'!AH502</f>
        <v>7594.0380444357997</v>
      </c>
      <c r="F504" s="64">
        <f>'[2]Calc_Coef _18'!AI502</f>
        <v>76</v>
      </c>
      <c r="G504" s="30"/>
      <c r="H504"/>
      <c r="I504"/>
    </row>
    <row r="505" spans="1:9" x14ac:dyDescent="0.25">
      <c r="A505" s="32">
        <f>'[2]Calc_Coef _18'!AE503</f>
        <v>7105402</v>
      </c>
      <c r="B505" s="32" t="str">
        <f>'[2]Calc_Coef _18'!C503</f>
        <v>020450</v>
      </c>
      <c r="C505" s="32" t="str">
        <f>'[2]Calc_Coef _18'!AF503</f>
        <v>CARNE DE BODE</v>
      </c>
      <c r="D505" s="63">
        <f>'[2]Calc_Coef _18'!AG503</f>
        <v>13999.971734892786</v>
      </c>
      <c r="E505" s="63">
        <f>'[2]Calc_Coef _18'!AH503</f>
        <v>7594.0380444357997</v>
      </c>
      <c r="F505" s="64">
        <f>'[2]Calc_Coef _18'!AI503</f>
        <v>76</v>
      </c>
      <c r="G505" s="30"/>
      <c r="H505"/>
      <c r="I505"/>
    </row>
    <row r="506" spans="1:9" x14ac:dyDescent="0.25">
      <c r="A506" s="32">
        <f>'[2]Calc_Coef _18'!AE504</f>
        <v>7105403</v>
      </c>
      <c r="B506" s="32" t="str">
        <f>'[2]Calc_Coef _18'!C504</f>
        <v>020450</v>
      </c>
      <c r="C506" s="32" t="str">
        <f>'[2]Calc_Coef _18'!AF504</f>
        <v>CARNE CAPRINA</v>
      </c>
      <c r="D506" s="63">
        <f>'[2]Calc_Coef _18'!AG504</f>
        <v>13999.971734892786</v>
      </c>
      <c r="E506" s="63">
        <f>'[2]Calc_Coef _18'!AH504</f>
        <v>7594.0380444357997</v>
      </c>
      <c r="F506" s="64">
        <f>'[2]Calc_Coef _18'!AI504</f>
        <v>76</v>
      </c>
      <c r="G506" s="30"/>
      <c r="H506"/>
      <c r="I506"/>
    </row>
    <row r="507" spans="1:9" x14ac:dyDescent="0.25">
      <c r="A507" s="32">
        <f>'[2]Calc_Coef _18'!AE505</f>
        <v>7105405</v>
      </c>
      <c r="B507" s="32" t="str">
        <f>'[2]Calc_Coef _18'!C505</f>
        <v>020450</v>
      </c>
      <c r="C507" s="32" t="str">
        <f>'[2]Calc_Coef _18'!AF505</f>
        <v>CARNE DE CAPRINO</v>
      </c>
      <c r="D507" s="63">
        <f>'[2]Calc_Coef _18'!AG505</f>
        <v>13999.971734892786</v>
      </c>
      <c r="E507" s="63">
        <f>'[2]Calc_Coef _18'!AH505</f>
        <v>7594.0380444357997</v>
      </c>
      <c r="F507" s="64">
        <f>'[2]Calc_Coef _18'!AI505</f>
        <v>76</v>
      </c>
      <c r="G507" s="30"/>
      <c r="H507"/>
      <c r="I507"/>
    </row>
    <row r="508" spans="1:9" x14ac:dyDescent="0.25">
      <c r="A508" s="32">
        <f>'[2]Calc_Coef _18'!AE506</f>
        <v>7105601</v>
      </c>
      <c r="B508" s="32" t="str">
        <f>'[2]Calc_Coef _18'!C506</f>
        <v>020423</v>
      </c>
      <c r="C508" s="32" t="str">
        <f>'[2]Calc_Coef _18'!AF506</f>
        <v>CARNE DE CARNEIRO</v>
      </c>
      <c r="D508" s="63">
        <f>'[2]Calc_Coef _18'!AG506</f>
        <v>13999.971734892786</v>
      </c>
      <c r="E508" s="63">
        <f>'[2]Calc_Coef _18'!AH506</f>
        <v>7594.0380444357997</v>
      </c>
      <c r="F508" s="64">
        <f>'[2]Calc_Coef _18'!AI506</f>
        <v>76</v>
      </c>
      <c r="G508" s="30"/>
      <c r="H508"/>
      <c r="I508"/>
    </row>
    <row r="509" spans="1:9" x14ac:dyDescent="0.25">
      <c r="A509" s="32">
        <f>'[2]Calc_Coef _18'!AE507</f>
        <v>7105602</v>
      </c>
      <c r="B509" s="32" t="str">
        <f>'[2]Calc_Coef _18'!C507</f>
        <v>020423</v>
      </c>
      <c r="C509" s="32" t="str">
        <f>'[2]Calc_Coef _18'!AF507</f>
        <v>CARNE DE OVELHA</v>
      </c>
      <c r="D509" s="63">
        <f>'[2]Calc_Coef _18'!AG507</f>
        <v>13999.971734892786</v>
      </c>
      <c r="E509" s="63">
        <f>'[2]Calc_Coef _18'!AH507</f>
        <v>7594.0380444357997</v>
      </c>
      <c r="F509" s="64">
        <f>'[2]Calc_Coef _18'!AI507</f>
        <v>76</v>
      </c>
      <c r="G509" s="30"/>
      <c r="H509"/>
      <c r="I509"/>
    </row>
    <row r="510" spans="1:9" x14ac:dyDescent="0.25">
      <c r="A510" s="32">
        <f>'[2]Calc_Coef _18'!AE508</f>
        <v>7106301</v>
      </c>
      <c r="B510" s="32" t="str">
        <f>'[2]Calc_Coef _18'!C508</f>
        <v>020319</v>
      </c>
      <c r="C510" s="32" t="str">
        <f>'[2]Calc_Coef _18'!AF508</f>
        <v>PERNIL</v>
      </c>
      <c r="D510" s="63">
        <f>'[2]Calc_Coef _18'!AG508</f>
        <v>4005.4397586713299</v>
      </c>
      <c r="E510" s="63">
        <f>'[2]Calc_Coef _18'!AH508</f>
        <v>7509.0702772841823</v>
      </c>
      <c r="F510" s="64">
        <f>'[2]Calc_Coef _18'!AI508</f>
        <v>34.875</v>
      </c>
      <c r="G510" s="30"/>
      <c r="H510"/>
      <c r="I510"/>
    </row>
    <row r="511" spans="1:9" x14ac:dyDescent="0.25">
      <c r="A511" s="32">
        <f>'[2]Calc_Coef _18'!AE509</f>
        <v>7107501</v>
      </c>
      <c r="B511" s="32" t="str">
        <f>'[2]Calc_Coef _18'!C509</f>
        <v>020630</v>
      </c>
      <c r="C511" s="32" t="str">
        <f>'[2]Calc_Coef _18'!AF509</f>
        <v>SUA SUINA</v>
      </c>
      <c r="D511" s="63">
        <f>'[2]Calc_Coef _18'!AG509</f>
        <v>2925</v>
      </c>
      <c r="E511" s="63">
        <f>'[2]Calc_Coef _18'!AH509</f>
        <v>1388.8273394164951</v>
      </c>
      <c r="F511" s="64">
        <f>'[2]Calc_Coef _18'!AI509</f>
        <v>81.345740252913529</v>
      </c>
      <c r="G511" s="30"/>
      <c r="H511"/>
      <c r="I511"/>
    </row>
    <row r="512" spans="1:9" x14ac:dyDescent="0.25">
      <c r="A512" s="32">
        <f>'[2]Calc_Coef _18'!AE510</f>
        <v>7107601</v>
      </c>
      <c r="B512" s="32" t="str">
        <f>'[2]Calc_Coef _18'!C510</f>
        <v>020890</v>
      </c>
      <c r="C512" s="32" t="str">
        <f>'[2]Calc_Coef _18'!AF510</f>
        <v>CARNE DE OUTROS ANIMAIS</v>
      </c>
      <c r="D512" s="63">
        <f>'[2]Calc_Coef _18'!AG510</f>
        <v>3321</v>
      </c>
      <c r="E512" s="63">
        <f>'[2]Calc_Coef _18'!AH510</f>
        <v>10606.971120102613</v>
      </c>
      <c r="F512" s="64">
        <f>'[2]Calc_Coef _18'!AI510</f>
        <v>81.345740252913529</v>
      </c>
      <c r="G512" s="30"/>
      <c r="H512"/>
      <c r="I512"/>
    </row>
    <row r="513" spans="1:9" x14ac:dyDescent="0.25">
      <c r="A513" s="32">
        <f>'[2]Calc_Coef _18'!AE511</f>
        <v>7107603</v>
      </c>
      <c r="B513" s="32" t="str">
        <f>'[2]Calc_Coef _18'!C511</f>
        <v>020890</v>
      </c>
      <c r="C513" s="32" t="str">
        <f>'[2]Calc_Coef _18'!AF511</f>
        <v>CARNE DA PACA</v>
      </c>
      <c r="D513" s="63">
        <f>'[2]Calc_Coef _18'!AG511</f>
        <v>3321</v>
      </c>
      <c r="E513" s="63">
        <f>'[2]Calc_Coef _18'!AH511</f>
        <v>10606.971120102613</v>
      </c>
      <c r="F513" s="64">
        <f>'[2]Calc_Coef _18'!AI511</f>
        <v>81.345740252913529</v>
      </c>
      <c r="G513" s="30"/>
      <c r="H513"/>
      <c r="I513"/>
    </row>
    <row r="514" spans="1:9" x14ac:dyDescent="0.25">
      <c r="A514" s="32">
        <f>'[2]Calc_Coef _18'!AE512</f>
        <v>7107611</v>
      </c>
      <c r="B514" s="32" t="str">
        <f>'[2]Calc_Coef _18'!C512</f>
        <v>020850</v>
      </c>
      <c r="C514" s="32" t="str">
        <f>'[2]Calc_Coef _18'!AF512</f>
        <v>CARNE DE JACARE</v>
      </c>
      <c r="D514" s="63">
        <f>'[2]Calc_Coef _18'!AG512</f>
        <v>3321</v>
      </c>
      <c r="E514" s="63">
        <f>'[2]Calc_Coef _18'!AH512</f>
        <v>10606.971120102613</v>
      </c>
      <c r="F514" s="64">
        <f>'[2]Calc_Coef _18'!AI512</f>
        <v>81.345740252913529</v>
      </c>
      <c r="G514" s="30"/>
      <c r="H514"/>
      <c r="I514"/>
    </row>
    <row r="515" spans="1:9" x14ac:dyDescent="0.25">
      <c r="A515" s="32">
        <f>'[2]Calc_Coef _18'!AE513</f>
        <v>7107615</v>
      </c>
      <c r="B515" s="32" t="str">
        <f>'[2]Calc_Coef _18'!C513</f>
        <v>020890</v>
      </c>
      <c r="C515" s="32" t="str">
        <f>'[2]Calc_Coef _18'!AF513</f>
        <v>CARNE DE CAPIVARA</v>
      </c>
      <c r="D515" s="63">
        <f>'[2]Calc_Coef _18'!AG513</f>
        <v>3321</v>
      </c>
      <c r="E515" s="63">
        <f>'[2]Calc_Coef _18'!AH513</f>
        <v>10606.971120102613</v>
      </c>
      <c r="F515" s="64">
        <f>'[2]Calc_Coef _18'!AI513</f>
        <v>81.345740252913529</v>
      </c>
      <c r="G515" s="30"/>
      <c r="H515"/>
      <c r="I515"/>
    </row>
    <row r="516" spans="1:9" x14ac:dyDescent="0.25">
      <c r="A516" s="32">
        <f>'[2]Calc_Coef _18'!AE514</f>
        <v>7107617</v>
      </c>
      <c r="B516" s="32" t="str">
        <f>'[2]Calc_Coef _18'!C514</f>
        <v>020890</v>
      </c>
      <c r="C516" s="32" t="str">
        <f>'[2]Calc_Coef _18'!AF514</f>
        <v>CARNE DE COTIA</v>
      </c>
      <c r="D516" s="63">
        <f>'[2]Calc_Coef _18'!AG514</f>
        <v>3321</v>
      </c>
      <c r="E516" s="63">
        <f>'[2]Calc_Coef _18'!AH514</f>
        <v>10606.971120102613</v>
      </c>
      <c r="F516" s="64">
        <f>'[2]Calc_Coef _18'!AI514</f>
        <v>81.345740252913529</v>
      </c>
      <c r="G516" s="30"/>
      <c r="H516"/>
      <c r="I516"/>
    </row>
    <row r="517" spans="1:9" x14ac:dyDescent="0.25">
      <c r="A517" s="32">
        <f>'[2]Calc_Coef _18'!AE515</f>
        <v>7107622</v>
      </c>
      <c r="B517" s="32" t="str">
        <f>'[2]Calc_Coef _18'!C515</f>
        <v>020850</v>
      </c>
      <c r="C517" s="32" t="str">
        <f>'[2]Calc_Coef _18'!AF515</f>
        <v>CARNE DE JABUTI</v>
      </c>
      <c r="D517" s="63">
        <f>'[2]Calc_Coef _18'!AG515</f>
        <v>3321</v>
      </c>
      <c r="E517" s="63">
        <f>'[2]Calc_Coef _18'!AH515</f>
        <v>10606.971120102613</v>
      </c>
      <c r="F517" s="64">
        <f>'[2]Calc_Coef _18'!AI515</f>
        <v>81.345740252913529</v>
      </c>
      <c r="G517" s="30"/>
      <c r="H517"/>
      <c r="I517"/>
    </row>
    <row r="518" spans="1:9" x14ac:dyDescent="0.25">
      <c r="A518" s="32">
        <f>'[2]Calc_Coef _18'!AE516</f>
        <v>7107804</v>
      </c>
      <c r="B518" s="32" t="str">
        <f>'[2]Calc_Coef _18'!C516</f>
        <v>020130</v>
      </c>
      <c r="C518" s="32" t="str">
        <f>'[2]Calc_Coef _18'!AF516</f>
        <v>CHULETA</v>
      </c>
      <c r="D518" s="63">
        <f>'[2]Calc_Coef _18'!AG516</f>
        <v>26937.633264372518</v>
      </c>
      <c r="E518" s="63">
        <f>'[2]Calc_Coef _18'!AH516</f>
        <v>18136.156896200948</v>
      </c>
      <c r="F518" s="64">
        <f>'[2]Calc_Coef _18'!AI516</f>
        <v>112.26701297421286</v>
      </c>
      <c r="G518" s="30"/>
      <c r="H518"/>
      <c r="I518"/>
    </row>
    <row r="519" spans="1:9" x14ac:dyDescent="0.25">
      <c r="A519" s="32">
        <f>'[2]Calc_Coef _18'!AE517</f>
        <v>7108107</v>
      </c>
      <c r="B519" s="32" t="str">
        <f>'[2]Calc_Coef _18'!C517</f>
        <v>020611</v>
      </c>
      <c r="C519" s="32" t="str">
        <f>'[2]Calc_Coef _18'!AF517</f>
        <v>MIUDO DE BODE</v>
      </c>
      <c r="D519" s="63">
        <f>'[2]Calc_Coef _18'!AG517</f>
        <v>10100</v>
      </c>
      <c r="E519" s="63">
        <f>'[2]Calc_Coef _18'!AH517</f>
        <v>1388.8273394164951</v>
      </c>
      <c r="F519" s="64">
        <f>'[2]Calc_Coef _18'!AI517</f>
        <v>81.345740252913529</v>
      </c>
      <c r="G519" s="30"/>
      <c r="H519"/>
      <c r="I519"/>
    </row>
    <row r="520" spans="1:9" x14ac:dyDescent="0.25">
      <c r="A520" s="32">
        <f>'[2]Calc_Coef _18'!AE518</f>
        <v>7108902</v>
      </c>
      <c r="B520" s="32" t="str">
        <f>'[2]Calc_Coef _18'!C518</f>
        <v>020130</v>
      </c>
      <c r="C520" s="32" t="str">
        <f>'[2]Calc_Coef _18'!AF518</f>
        <v>BIFE</v>
      </c>
      <c r="D520" s="63">
        <f>'[2]Calc_Coef _18'!AG518</f>
        <v>26937.633264372518</v>
      </c>
      <c r="E520" s="63">
        <f>'[2]Calc_Coef _18'!AH518</f>
        <v>18136.156896200948</v>
      </c>
      <c r="F520" s="64">
        <f>'[2]Calc_Coef _18'!AI518</f>
        <v>112.26701297421286</v>
      </c>
      <c r="G520" s="30"/>
      <c r="H520"/>
      <c r="I520"/>
    </row>
    <row r="521" spans="1:9" x14ac:dyDescent="0.25">
      <c r="A521" s="32">
        <f>'[2]Calc_Coef _18'!AE519</f>
        <v>7109101</v>
      </c>
      <c r="B521" s="32" t="str">
        <f>'[2]Calc_Coef _18'!C519</f>
        <v>020130</v>
      </c>
      <c r="C521" s="32" t="str">
        <f>'[2]Calc_Coef _18'!AF519</f>
        <v>CARNE BOVINA</v>
      </c>
      <c r="D521" s="63">
        <f>'[2]Calc_Coef _18'!AG519</f>
        <v>26937.633264372518</v>
      </c>
      <c r="E521" s="63">
        <f>'[2]Calc_Coef _18'!AH519</f>
        <v>18136.156896200948</v>
      </c>
      <c r="F521" s="64">
        <f>'[2]Calc_Coef _18'!AI519</f>
        <v>112.26701297421286</v>
      </c>
      <c r="G521" s="30"/>
      <c r="H521"/>
      <c r="I521"/>
    </row>
    <row r="522" spans="1:9" x14ac:dyDescent="0.25">
      <c r="A522" s="32">
        <f>'[2]Calc_Coef _18'!AE520</f>
        <v>7110902</v>
      </c>
      <c r="B522" s="32" t="str">
        <f>'[2]Calc_Coef _18'!C520</f>
        <v>020120</v>
      </c>
      <c r="C522" s="32" t="str">
        <f>'[2]Calc_Coef _18'!AF520</f>
        <v>OSSADA NAO ESPECIFICADA</v>
      </c>
      <c r="D522" s="63">
        <f>'[2]Calc_Coef _18'!AG520</f>
        <v>25444.913183549295</v>
      </c>
      <c r="E522" s="63">
        <f>'[2]Calc_Coef _18'!AH520</f>
        <v>16712.437930800632</v>
      </c>
      <c r="F522" s="64">
        <f>'[2]Calc_Coef _18'!AI520</f>
        <v>102.14361037937029</v>
      </c>
      <c r="G522" s="30"/>
      <c r="H522"/>
      <c r="I522"/>
    </row>
    <row r="523" spans="1:9" x14ac:dyDescent="0.25">
      <c r="A523" s="32">
        <f>'[2]Calc_Coef _18'!AE521</f>
        <v>7112502</v>
      </c>
      <c r="B523" s="32" t="str">
        <f>'[2]Calc_Coef _18'!C521</f>
        <v>020410</v>
      </c>
      <c r="C523" s="32" t="str">
        <f>'[2]Calc_Coef _18'!AF521</f>
        <v>CORDEIRO</v>
      </c>
      <c r="D523" s="63">
        <f>'[2]Calc_Coef _18'!AG521</f>
        <v>13999.971734892786</v>
      </c>
      <c r="E523" s="63">
        <f>'[2]Calc_Coef _18'!AH521</f>
        <v>7594.0380444357997</v>
      </c>
      <c r="F523" s="64">
        <f>'[2]Calc_Coef _18'!AI521</f>
        <v>76</v>
      </c>
      <c r="G523" s="30"/>
      <c r="H523"/>
      <c r="I523"/>
    </row>
    <row r="524" spans="1:9" x14ac:dyDescent="0.25">
      <c r="A524" s="32">
        <f>'[2]Calc_Coef _18'!AE522</f>
        <v>7112901</v>
      </c>
      <c r="B524" s="32" t="str">
        <f>'[2]Calc_Coef _18'!C522</f>
        <v>020311</v>
      </c>
      <c r="C524" s="32" t="str">
        <f>'[2]Calc_Coef _18'!AF522</f>
        <v>JOELHO DE PORCO</v>
      </c>
      <c r="D524" s="63">
        <f>'[2]Calc_Coef _18'!AG522</f>
        <v>4005.4397586713299</v>
      </c>
      <c r="E524" s="63">
        <f>'[2]Calc_Coef _18'!AH522</f>
        <v>7509.0702772841823</v>
      </c>
      <c r="F524" s="64">
        <f>'[2]Calc_Coef _18'!AI522</f>
        <v>34.875</v>
      </c>
      <c r="G524" s="30"/>
      <c r="H524"/>
      <c r="I524"/>
    </row>
    <row r="525" spans="1:9" x14ac:dyDescent="0.25">
      <c r="A525" s="32">
        <f>'[2]Calc_Coef _18'!AE523</f>
        <v>7113101</v>
      </c>
      <c r="B525" s="32" t="str">
        <f>'[2]Calc_Coef _18'!C523</f>
        <v>020319</v>
      </c>
      <c r="C525" s="32" t="str">
        <f>'[2]Calc_Coef _18'!AF523</f>
        <v>LEITAO</v>
      </c>
      <c r="D525" s="63">
        <f>'[2]Calc_Coef _18'!AG523</f>
        <v>4005.4397586713299</v>
      </c>
      <c r="E525" s="63">
        <f>'[2]Calc_Coef _18'!AH523</f>
        <v>7509.0702772841823</v>
      </c>
      <c r="F525" s="64">
        <f>'[2]Calc_Coef _18'!AI523</f>
        <v>34.875</v>
      </c>
      <c r="G525" s="30"/>
      <c r="H525"/>
      <c r="I525"/>
    </row>
    <row r="526" spans="1:9" x14ac:dyDescent="0.25">
      <c r="A526" s="32">
        <f>'[2]Calc_Coef _18'!AE524</f>
        <v>7113201</v>
      </c>
      <c r="B526" s="32" t="str">
        <f>'[2]Calc_Coef _18'!C524</f>
        <v>020319</v>
      </c>
      <c r="C526" s="32" t="str">
        <f>'[2]Calc_Coef _18'!AF524</f>
        <v>LOMBINHO</v>
      </c>
      <c r="D526" s="63">
        <f>'[2]Calc_Coef _18'!AG524</f>
        <v>4005.4397586713299</v>
      </c>
      <c r="E526" s="63">
        <f>'[2]Calc_Coef _18'!AH524</f>
        <v>7509.0702772841823</v>
      </c>
      <c r="F526" s="64">
        <f>'[2]Calc_Coef _18'!AI524</f>
        <v>34.875</v>
      </c>
      <c r="G526" s="30"/>
      <c r="H526"/>
      <c r="I526"/>
    </row>
    <row r="527" spans="1:9" x14ac:dyDescent="0.25">
      <c r="A527" s="32">
        <f>'[2]Calc_Coef _18'!AE525</f>
        <v>7113301</v>
      </c>
      <c r="B527" s="32" t="str">
        <f>'[2]Calc_Coef _18'!C525</f>
        <v>020319</v>
      </c>
      <c r="C527" s="32" t="str">
        <f>'[2]Calc_Coef _18'!AF525</f>
        <v>LOMBO</v>
      </c>
      <c r="D527" s="63">
        <f>'[2]Calc_Coef _18'!AG525</f>
        <v>4005.4397586713299</v>
      </c>
      <c r="E527" s="63">
        <f>'[2]Calc_Coef _18'!AH525</f>
        <v>7509.0702772841823</v>
      </c>
      <c r="F527" s="64">
        <f>'[2]Calc_Coef _18'!AI525</f>
        <v>34.875</v>
      </c>
      <c r="G527" s="30"/>
      <c r="H527"/>
      <c r="I527"/>
    </row>
    <row r="528" spans="1:9" x14ac:dyDescent="0.25">
      <c r="A528" s="32">
        <f>'[2]Calc_Coef _18'!AE526</f>
        <v>7113401</v>
      </c>
      <c r="B528" s="32" t="str">
        <f>'[2]Calc_Coef _18'!C526</f>
        <v>020130</v>
      </c>
      <c r="C528" s="32" t="str">
        <f>'[2]Calc_Coef _18'!AF526</f>
        <v>MEDALHOES BOVINOS</v>
      </c>
      <c r="D528" s="63">
        <f>'[2]Calc_Coef _18'!AG526</f>
        <v>26937.633264372518</v>
      </c>
      <c r="E528" s="63">
        <f>'[2]Calc_Coef _18'!AH526</f>
        <v>18136.156896200948</v>
      </c>
      <c r="F528" s="64">
        <f>'[2]Calc_Coef _18'!AI526</f>
        <v>112.26701297421286</v>
      </c>
      <c r="G528" s="30"/>
      <c r="H528"/>
      <c r="I528"/>
    </row>
    <row r="529" spans="1:9" x14ac:dyDescent="0.25">
      <c r="A529" s="32">
        <f>'[2]Calc_Coef _18'!AE527</f>
        <v>7113402</v>
      </c>
      <c r="B529" s="32" t="str">
        <f>'[2]Calc_Coef _18'!C527</f>
        <v>020130</v>
      </c>
      <c r="C529" s="32" t="str">
        <f>'[2]Calc_Coef _18'!AF527</f>
        <v>TORNEDOR BOVINO</v>
      </c>
      <c r="D529" s="63">
        <f>'[2]Calc_Coef _18'!AG527</f>
        <v>26937.633264372518</v>
      </c>
      <c r="E529" s="63">
        <f>'[2]Calc_Coef _18'!AH527</f>
        <v>18136.156896200948</v>
      </c>
      <c r="F529" s="64">
        <f>'[2]Calc_Coef _18'!AI527</f>
        <v>112.26701297421286</v>
      </c>
      <c r="G529" s="30"/>
      <c r="H529"/>
      <c r="I529"/>
    </row>
    <row r="530" spans="1:9" x14ac:dyDescent="0.25">
      <c r="A530" s="32">
        <f>'[2]Calc_Coef _18'!AE528</f>
        <v>7113501</v>
      </c>
      <c r="B530" s="32" t="str">
        <f>'[2]Calc_Coef _18'!C528</f>
        <v>020131</v>
      </c>
      <c r="C530" s="32" t="str">
        <f>'[2]Calc_Coef _18'!AF528</f>
        <v>VITELA</v>
      </c>
      <c r="D530" s="63">
        <f>'[2]Calc_Coef _18'!AG528</f>
        <v>12010.43245614035</v>
      </c>
      <c r="E530" s="63">
        <f>'[2]Calc_Coef _18'!AH528</f>
        <v>13865</v>
      </c>
      <c r="F530" s="64">
        <f>'[2]Calc_Coef _18'!AI528</f>
        <v>61.65</v>
      </c>
      <c r="G530" s="30"/>
      <c r="H530"/>
      <c r="I530"/>
    </row>
    <row r="531" spans="1:9" x14ac:dyDescent="0.25">
      <c r="A531" s="32">
        <f>'[2]Calc_Coef _18'!AE529</f>
        <v>7180001</v>
      </c>
      <c r="B531" s="32" t="str">
        <f>'[2]Calc_Coef _18'!C529</f>
        <v>020130</v>
      </c>
      <c r="C531" s="32" t="str">
        <f>'[2]Calc_Coef _18'!AF529</f>
        <v>ROSBIFE</v>
      </c>
      <c r="D531" s="63">
        <f>'[2]Calc_Coef _18'!AG529</f>
        <v>26937.633264372518</v>
      </c>
      <c r="E531" s="63">
        <f>'[2]Calc_Coef _18'!AH529</f>
        <v>18136.156896200948</v>
      </c>
      <c r="F531" s="64">
        <f>'[2]Calc_Coef _18'!AI529</f>
        <v>112.26701297421286</v>
      </c>
      <c r="G531" s="30"/>
      <c r="H531"/>
      <c r="I531"/>
    </row>
    <row r="532" spans="1:9" x14ac:dyDescent="0.25">
      <c r="A532" s="32">
        <f>'[2]Calc_Coef _18'!AE530</f>
        <v>7200101</v>
      </c>
      <c r="B532" s="32" t="str">
        <f>'[2]Calc_Coef _18'!C530</f>
        <v>030210</v>
      </c>
      <c r="C532" s="32" t="str">
        <f>'[2]Calc_Coef _18'!AF530</f>
        <v>PEIXE DE MAR (INTEIRO, EM POSTA, EM FILÉ, ETC)</v>
      </c>
      <c r="D532" s="63">
        <f>'[2]Calc_Coef _18'!AG530</f>
        <v>4452.4273529411776</v>
      </c>
      <c r="E532" s="63">
        <f>'[2]Calc_Coef _18'!AH530</f>
        <v>0</v>
      </c>
      <c r="F532" s="64">
        <f>'[2]Calc_Coef _18'!AI530</f>
        <v>227.27172789833566</v>
      </c>
      <c r="G532" s="30"/>
      <c r="H532"/>
      <c r="I532"/>
    </row>
    <row r="533" spans="1:9" x14ac:dyDescent="0.25">
      <c r="A533" s="32">
        <f>'[2]Calc_Coef _18'!AE531</f>
        <v>7200401</v>
      </c>
      <c r="B533" s="32" t="str">
        <f>'[2]Calc_Coef _18'!C531</f>
        <v>030551</v>
      </c>
      <c r="C533" s="32" t="str">
        <f>'[2]Calc_Coef _18'!AF531</f>
        <v>PEIXE DE MAR SALGADO (INTEIRO, EM POSTA, EM FILÉ, ETC)</v>
      </c>
      <c r="D533" s="63">
        <f>'[2]Calc_Coef _18'!AG531</f>
        <v>2857.8571428571427</v>
      </c>
      <c r="E533" s="63">
        <f>'[2]Calc_Coef _18'!AH531</f>
        <v>0</v>
      </c>
      <c r="F533" s="64">
        <f>'[2]Calc_Coef _18'!AI531</f>
        <v>208.95434557966715</v>
      </c>
      <c r="G533" s="30"/>
      <c r="H533"/>
      <c r="I533"/>
    </row>
    <row r="534" spans="1:9" x14ac:dyDescent="0.25">
      <c r="A534" s="32">
        <f>'[2]Calc_Coef _18'!AE532</f>
        <v>7260101</v>
      </c>
      <c r="B534" s="32" t="str">
        <f>'[2]Calc_Coef _18'!C532</f>
        <v>030623</v>
      </c>
      <c r="C534" s="32" t="str">
        <f>'[2]Calc_Coef _18'!AF532</f>
        <v>CAMARAO</v>
      </c>
      <c r="D534" s="63">
        <f>'[2]Calc_Coef _18'!AG532</f>
        <v>14690</v>
      </c>
      <c r="E534" s="63">
        <f>'[2]Calc_Coef _18'!AH532</f>
        <v>0</v>
      </c>
      <c r="F534" s="64">
        <f>'[2]Calc_Coef _18'!AI532</f>
        <v>208.95434557966715</v>
      </c>
      <c r="G534" s="30"/>
      <c r="H534"/>
      <c r="I534"/>
    </row>
    <row r="535" spans="1:9" x14ac:dyDescent="0.25">
      <c r="A535" s="32">
        <f>'[2]Calc_Coef _18'!AE533</f>
        <v>7261101</v>
      </c>
      <c r="B535" s="32" t="str">
        <f>'[2]Calc_Coef _18'!C533</f>
        <v>030624</v>
      </c>
      <c r="C535" s="32" t="str">
        <f>'[2]Calc_Coef _18'!AF533</f>
        <v>SIRI</v>
      </c>
      <c r="D535" s="63">
        <f>'[2]Calc_Coef _18'!AG533</f>
        <v>6320</v>
      </c>
      <c r="E535" s="63">
        <f>'[2]Calc_Coef _18'!AH533</f>
        <v>0</v>
      </c>
      <c r="F535" s="64">
        <f>'[2]Calc_Coef _18'!AI533</f>
        <v>208.95434557966715</v>
      </c>
      <c r="G535" s="30"/>
      <c r="H535"/>
      <c r="I535"/>
    </row>
    <row r="536" spans="1:9" x14ac:dyDescent="0.25">
      <c r="A536" s="32">
        <f>'[2]Calc_Coef _18'!AE534</f>
        <v>7262101</v>
      </c>
      <c r="B536" s="32" t="str">
        <f>'[2]Calc_Coef _18'!C534</f>
        <v>030624</v>
      </c>
      <c r="C536" s="32" t="str">
        <f>'[2]Calc_Coef _18'!AF534</f>
        <v>CARANGUEJO</v>
      </c>
      <c r="D536" s="63">
        <f>'[2]Calc_Coef _18'!AG534</f>
        <v>6320</v>
      </c>
      <c r="E536" s="63">
        <f>'[2]Calc_Coef _18'!AH534</f>
        <v>0</v>
      </c>
      <c r="F536" s="64">
        <f>'[2]Calc_Coef _18'!AI534</f>
        <v>208.95434557966715</v>
      </c>
      <c r="G536" s="30"/>
      <c r="H536"/>
      <c r="I536"/>
    </row>
    <row r="537" spans="1:9" x14ac:dyDescent="0.25">
      <c r="A537" s="32">
        <f>'[2]Calc_Coef _18'!AE535</f>
        <v>7263101</v>
      </c>
      <c r="B537" s="32" t="str">
        <f>'[2]Calc_Coef _18'!C535</f>
        <v>030710</v>
      </c>
      <c r="C537" s="32" t="str">
        <f>'[2]Calc_Coef _18'!AF535</f>
        <v>MARISCO</v>
      </c>
      <c r="D537" s="63">
        <f>'[2]Calc_Coef _18'!AG535</f>
        <v>4611.2000000000007</v>
      </c>
      <c r="E537" s="63">
        <f>'[2]Calc_Coef _18'!AH535</f>
        <v>0</v>
      </c>
      <c r="F537" s="64">
        <f>'[2]Calc_Coef _18'!AI535</f>
        <v>208.95434557966715</v>
      </c>
      <c r="G537" s="30"/>
      <c r="H537"/>
      <c r="I537"/>
    </row>
    <row r="538" spans="1:9" x14ac:dyDescent="0.25">
      <c r="A538" s="32">
        <f>'[2]Calc_Coef _18'!AE536</f>
        <v>7264101</v>
      </c>
      <c r="B538" s="32" t="str">
        <f>'[2]Calc_Coef _18'!C536</f>
        <v>030710</v>
      </c>
      <c r="C538" s="32" t="str">
        <f>'[2]Calc_Coef _18'!AF536</f>
        <v>OSTRA</v>
      </c>
      <c r="D538" s="63">
        <f>'[2]Calc_Coef _18'!AG536</f>
        <v>4611.2000000000007</v>
      </c>
      <c r="E538" s="63">
        <f>'[2]Calc_Coef _18'!AH536</f>
        <v>0</v>
      </c>
      <c r="F538" s="64">
        <f>'[2]Calc_Coef _18'!AI536</f>
        <v>208.95434557966715</v>
      </c>
      <c r="G538" s="30"/>
      <c r="H538"/>
      <c r="I538"/>
    </row>
    <row r="539" spans="1:9" x14ac:dyDescent="0.25">
      <c r="A539" s="32">
        <f>'[2]Calc_Coef _18'!AE537</f>
        <v>7265101</v>
      </c>
      <c r="B539" s="32" t="str">
        <f>'[2]Calc_Coef _18'!C537</f>
        <v>030749</v>
      </c>
      <c r="C539" s="32" t="str">
        <f>'[2]Calc_Coef _18'!AF537</f>
        <v>LULA</v>
      </c>
      <c r="D539" s="63">
        <f>'[2]Calc_Coef _18'!AG537</f>
        <v>6650</v>
      </c>
      <c r="E539" s="63">
        <f>'[2]Calc_Coef _18'!AH537</f>
        <v>0</v>
      </c>
      <c r="F539" s="64">
        <f>'[2]Calc_Coef _18'!AI537</f>
        <v>208.95434557966715</v>
      </c>
      <c r="G539" s="30"/>
      <c r="H539"/>
      <c r="I539"/>
    </row>
    <row r="540" spans="1:9" x14ac:dyDescent="0.25">
      <c r="A540" s="32">
        <f>'[2]Calc_Coef _18'!AE538</f>
        <v>7266101</v>
      </c>
      <c r="B540" s="32" t="str">
        <f>'[2]Calc_Coef _18'!C538</f>
        <v>030731</v>
      </c>
      <c r="C540" s="32" t="str">
        <f>'[2]Calc_Coef _18'!AF538</f>
        <v>SURURU</v>
      </c>
      <c r="D540" s="63">
        <f>'[2]Calc_Coef _18'!AG538</f>
        <v>5584.971428571429</v>
      </c>
      <c r="E540" s="63">
        <f>'[2]Calc_Coef _18'!AH538</f>
        <v>0</v>
      </c>
      <c r="F540" s="64">
        <f>'[2]Calc_Coef _18'!AI538</f>
        <v>208.95434557966715</v>
      </c>
      <c r="G540" s="30"/>
      <c r="H540"/>
      <c r="I540"/>
    </row>
    <row r="541" spans="1:9" x14ac:dyDescent="0.25">
      <c r="A541" s="32">
        <f>'[2]Calc_Coef _18'!AE539</f>
        <v>7267101</v>
      </c>
      <c r="B541" s="32" t="str">
        <f>'[2]Calc_Coef _18'!C539</f>
        <v>030623</v>
      </c>
      <c r="C541" s="32" t="str">
        <f>'[2]Calc_Coef _18'!AF539</f>
        <v>LAGOSTA</v>
      </c>
      <c r="D541" s="63">
        <f>'[2]Calc_Coef _18'!AG539</f>
        <v>26793.82</v>
      </c>
      <c r="E541" s="63">
        <f>'[2]Calc_Coef _18'!AH539</f>
        <v>0</v>
      </c>
      <c r="F541" s="64">
        <f>'[2]Calc_Coef _18'!AI539</f>
        <v>208.95434557966715</v>
      </c>
      <c r="G541" s="30"/>
      <c r="H541"/>
      <c r="I541"/>
    </row>
    <row r="542" spans="1:9" x14ac:dyDescent="0.25">
      <c r="A542" s="32">
        <f>'[2]Calc_Coef _18'!AE540</f>
        <v>7267104</v>
      </c>
      <c r="B542" s="32" t="str">
        <f>'[2]Calc_Coef _18'!C540</f>
        <v>030623</v>
      </c>
      <c r="C542" s="32" t="str">
        <f>'[2]Calc_Coef _18'!AF540</f>
        <v>LAGOSTIM</v>
      </c>
      <c r="D542" s="63">
        <f>'[2]Calc_Coef _18'!AG540</f>
        <v>20741.91</v>
      </c>
      <c r="E542" s="63">
        <f>'[2]Calc_Coef _18'!AH540</f>
        <v>0</v>
      </c>
      <c r="F542" s="64">
        <f>'[2]Calc_Coef _18'!AI540</f>
        <v>208.95434557966715</v>
      </c>
      <c r="G542" s="30"/>
      <c r="H542"/>
      <c r="I542"/>
    </row>
    <row r="543" spans="1:9" x14ac:dyDescent="0.25">
      <c r="A543" s="32">
        <f>'[2]Calc_Coef _18'!AE541</f>
        <v>7270401</v>
      </c>
      <c r="B543" s="32" t="str">
        <f>'[2]Calc_Coef _18'!C541</f>
        <v>030551</v>
      </c>
      <c r="C543" s="32" t="str">
        <f>'[2]Calc_Coef _18'!AF541</f>
        <v>BACALHAU</v>
      </c>
      <c r="D543" s="63">
        <f>'[2]Calc_Coef _18'!AG541</f>
        <v>2857.8571428571427</v>
      </c>
      <c r="E543" s="63">
        <f>'[2]Calc_Coef _18'!AH541</f>
        <v>0</v>
      </c>
      <c r="F543" s="64">
        <f>'[2]Calc_Coef _18'!AI541</f>
        <v>208.95434557966715</v>
      </c>
      <c r="G543" s="30"/>
      <c r="H543"/>
      <c r="I543"/>
    </row>
    <row r="544" spans="1:9" x14ac:dyDescent="0.25">
      <c r="A544" s="32">
        <f>'[2]Calc_Coef _18'!AE542</f>
        <v>7273101</v>
      </c>
      <c r="B544" s="32" t="str">
        <f>'[2]Calc_Coef _18'!C542</f>
        <v>160431</v>
      </c>
      <c r="C544" s="32" t="str">
        <f>'[2]Calc_Coef _18'!AF542</f>
        <v>OVAS DE PEIXE (QUALQUER ESPECIE)</v>
      </c>
      <c r="D544" s="63">
        <f>'[2]Calc_Coef _18'!AG542</f>
        <v>6545</v>
      </c>
      <c r="E544" s="63">
        <f>'[2]Calc_Coef _18'!AH542</f>
        <v>632</v>
      </c>
      <c r="F544" s="64">
        <f>'[2]Calc_Coef _18'!AI542</f>
        <v>52</v>
      </c>
      <c r="G544" s="30"/>
      <c r="H544"/>
      <c r="I544"/>
    </row>
    <row r="545" spans="1:9" x14ac:dyDescent="0.25">
      <c r="A545" s="32">
        <f>'[2]Calc_Coef _18'!AE543</f>
        <v>7274101</v>
      </c>
      <c r="B545" s="32" t="str">
        <f>'[2]Calc_Coef _18'!C543</f>
        <v>030749</v>
      </c>
      <c r="C545" s="32" t="str">
        <f>'[2]Calc_Coef _18'!AF543</f>
        <v>POLVO</v>
      </c>
      <c r="D545" s="63">
        <f>'[2]Calc_Coef _18'!AG543</f>
        <v>7350</v>
      </c>
      <c r="E545" s="63">
        <f>'[2]Calc_Coef _18'!AH543</f>
        <v>0</v>
      </c>
      <c r="F545" s="64">
        <f>'[2]Calc_Coef _18'!AI543</f>
        <v>208.95434557966715</v>
      </c>
      <c r="G545" s="30"/>
      <c r="H545"/>
      <c r="I545"/>
    </row>
    <row r="546" spans="1:9" x14ac:dyDescent="0.25">
      <c r="A546" s="32">
        <f>'[2]Calc_Coef _18'!AE544</f>
        <v>7280102</v>
      </c>
      <c r="B546" s="32" t="str">
        <f>'[2]Calc_Coef _18'!C544</f>
        <v>030210</v>
      </c>
      <c r="C546" s="32" t="str">
        <f>'[2]Calc_Coef _18'!AF544</f>
        <v>CEVICHE DE PEIXE</v>
      </c>
      <c r="D546" s="63">
        <f>'[2]Calc_Coef _18'!AG544</f>
        <v>4416.8385087719307</v>
      </c>
      <c r="E546" s="63">
        <f>'[2]Calc_Coef _18'!AH544</f>
        <v>0</v>
      </c>
      <c r="F546" s="64">
        <f>'[2]Calc_Coef _18'!AI544</f>
        <v>163.09057596611189</v>
      </c>
      <c r="G546" s="30"/>
      <c r="H546"/>
      <c r="I546"/>
    </row>
    <row r="547" spans="1:9" x14ac:dyDescent="0.25">
      <c r="A547" s="32">
        <f>'[2]Calc_Coef _18'!AE545</f>
        <v>7280501</v>
      </c>
      <c r="B547" s="32" t="str">
        <f>'[2]Calc_Coef _18'!C545</f>
        <v>030210</v>
      </c>
      <c r="C547" s="32" t="str">
        <f>'[2]Calc_Coef _18'!AF545</f>
        <v>FILE DE PEIXE</v>
      </c>
      <c r="D547" s="63">
        <f>'[2]Calc_Coef _18'!AG545</f>
        <v>4416.8385087719307</v>
      </c>
      <c r="E547" s="63">
        <f>'[2]Calc_Coef _18'!AH545</f>
        <v>0</v>
      </c>
      <c r="F547" s="64">
        <f>'[2]Calc_Coef _18'!AI545</f>
        <v>163.09057596611189</v>
      </c>
      <c r="G547" s="30"/>
      <c r="H547"/>
      <c r="I547"/>
    </row>
    <row r="548" spans="1:9" x14ac:dyDescent="0.25">
      <c r="A548" s="32">
        <f>'[2]Calc_Coef _18'!AE546</f>
        <v>7281201</v>
      </c>
      <c r="B548" s="32" t="str">
        <f>'[2]Calc_Coef _18'!C546</f>
        <v>030210</v>
      </c>
      <c r="C548" s="32" t="str">
        <f>'[2]Calc_Coef _18'!AF546</f>
        <v>ATUM FRESCO</v>
      </c>
      <c r="D548" s="63">
        <f>'[2]Calc_Coef _18'!AG546</f>
        <v>4416.8385087719307</v>
      </c>
      <c r="E548" s="63">
        <f>'[2]Calc_Coef _18'!AH546</f>
        <v>0</v>
      </c>
      <c r="F548" s="64">
        <f>'[2]Calc_Coef _18'!AI546</f>
        <v>163.09057596611189</v>
      </c>
      <c r="G548" s="30"/>
      <c r="H548"/>
      <c r="I548"/>
    </row>
    <row r="549" spans="1:9" x14ac:dyDescent="0.25">
      <c r="A549" s="32">
        <f>'[2]Calc_Coef _18'!AE547</f>
        <v>7281401</v>
      </c>
      <c r="B549" s="32" t="str">
        <f>'[2]Calc_Coef _18'!C547</f>
        <v>030749</v>
      </c>
      <c r="C549" s="32" t="str">
        <f>'[2]Calc_Coef _18'!AF547</f>
        <v>FRUTOS DO MAR</v>
      </c>
      <c r="D549" s="63">
        <f>'[2]Calc_Coef _18'!AG547</f>
        <v>6883.333333333333</v>
      </c>
      <c r="E549" s="63">
        <f>'[2]Calc_Coef _18'!AH547</f>
        <v>0</v>
      </c>
      <c r="F549" s="64">
        <f>'[2]Calc_Coef _18'!AI547</f>
        <v>208.95434557966715</v>
      </c>
      <c r="G549" s="30"/>
      <c r="H549"/>
      <c r="I549"/>
    </row>
    <row r="550" spans="1:9" x14ac:dyDescent="0.25">
      <c r="A550" s="32">
        <f>'[2]Calc_Coef _18'!AE548</f>
        <v>7281501</v>
      </c>
      <c r="B550" s="32">
        <f>'[2]Calc_Coef _18'!C548</f>
        <v>160419</v>
      </c>
      <c r="C550" s="32" t="str">
        <f>'[2]Calc_Coef _18'!AF548</f>
        <v>STEAK DE PEIXE</v>
      </c>
      <c r="D550" s="63">
        <f>'[2]Calc_Coef _18'!AG548</f>
        <v>6545</v>
      </c>
      <c r="E550" s="63">
        <f>'[2]Calc_Coef _18'!AH548</f>
        <v>632</v>
      </c>
      <c r="F550" s="64">
        <f>'[2]Calc_Coef _18'!AI548</f>
        <v>52</v>
      </c>
      <c r="G550" s="30"/>
      <c r="H550"/>
      <c r="I550"/>
    </row>
    <row r="551" spans="1:9" x14ac:dyDescent="0.25">
      <c r="A551" s="32">
        <f>'[2]Calc_Coef _18'!AE549</f>
        <v>7400101</v>
      </c>
      <c r="B551" s="32" t="str">
        <f>'[2]Calc_Coef _18'!C549</f>
        <v>030410</v>
      </c>
      <c r="C551" s="32" t="str">
        <f>'[2]Calc_Coef _18'!AF549</f>
        <v>PEIXE DE AGUA DOCE (INTEIRO, EM POSTA, EM FILÉ, ETC)</v>
      </c>
      <c r="D551" s="63">
        <f>'[2]Calc_Coef _18'!AG549</f>
        <v>3325.0666666666666</v>
      </c>
      <c r="E551" s="63">
        <f>'[2]Calc_Coef _18'!AH549</f>
        <v>0</v>
      </c>
      <c r="F551" s="64">
        <f>'[2]Calc_Coef _18'!AI549</f>
        <v>277.75</v>
      </c>
      <c r="G551" s="30"/>
      <c r="H551"/>
      <c r="I551"/>
    </row>
    <row r="552" spans="1:9" x14ac:dyDescent="0.25">
      <c r="A552" s="32">
        <f>'[2]Calc_Coef _18'!AE550</f>
        <v>7400401</v>
      </c>
      <c r="B552" s="32" t="str">
        <f>'[2]Calc_Coef _18'!C550</f>
        <v>030552</v>
      </c>
      <c r="C552" s="32" t="str">
        <f>'[2]Calc_Coef _18'!AF550</f>
        <v>PEIXE DE AGUA DOCE SALGADO (INTEIRO, EM POSTA, EM FILÉ, ETC)</v>
      </c>
      <c r="D552" s="63">
        <f>'[2]Calc_Coef _18'!AG550</f>
        <v>2857.8571428571427</v>
      </c>
      <c r="E552" s="63">
        <f>'[2]Calc_Coef _18'!AH550</f>
        <v>0</v>
      </c>
      <c r="F552" s="64">
        <f>'[2]Calc_Coef _18'!AI550</f>
        <v>208.95434557966715</v>
      </c>
      <c r="G552" s="30"/>
      <c r="H552"/>
      <c r="I552"/>
    </row>
    <row r="553" spans="1:9" x14ac:dyDescent="0.25">
      <c r="A553" s="32">
        <f>'[2]Calc_Coef _18'!AE551</f>
        <v>7480001</v>
      </c>
      <c r="B553" s="32" t="str">
        <f>'[2]Calc_Coef _18'!C551</f>
        <v>030410</v>
      </c>
      <c r="C553" s="32" t="str">
        <f>'[2]Calc_Coef _18'!AF551</f>
        <v>PACU</v>
      </c>
      <c r="D553" s="63">
        <f>'[2]Calc_Coef _18'!AG551</f>
        <v>3325.0666666666666</v>
      </c>
      <c r="E553" s="63">
        <f>'[2]Calc_Coef _18'!AH551</f>
        <v>0</v>
      </c>
      <c r="F553" s="64">
        <f>'[2]Calc_Coef _18'!AI551</f>
        <v>277.75</v>
      </c>
      <c r="G553" s="30"/>
      <c r="H553"/>
      <c r="I553"/>
    </row>
    <row r="554" spans="1:9" x14ac:dyDescent="0.25">
      <c r="A554" s="32">
        <f>'[2]Calc_Coef _18'!AE552</f>
        <v>7480101</v>
      </c>
      <c r="B554" s="32" t="str">
        <f>'[2]Calc_Coef _18'!C552</f>
        <v>030410</v>
      </c>
      <c r="C554" s="32" t="str">
        <f>'[2]Calc_Coef _18'!AF552</f>
        <v>TAMBAQUI</v>
      </c>
      <c r="D554" s="63">
        <f>'[2]Calc_Coef _18'!AG552</f>
        <v>3325.0666666666666</v>
      </c>
      <c r="E554" s="63">
        <f>'[2]Calc_Coef _18'!AH552</f>
        <v>0</v>
      </c>
      <c r="F554" s="64">
        <f>'[2]Calc_Coef _18'!AI552</f>
        <v>277.75</v>
      </c>
      <c r="G554" s="30"/>
      <c r="H554"/>
      <c r="I554"/>
    </row>
    <row r="555" spans="1:9" x14ac:dyDescent="0.25">
      <c r="A555" s="32">
        <f>'[2]Calc_Coef _18'!AE553</f>
        <v>7480201</v>
      </c>
      <c r="B555" s="32" t="str">
        <f>'[2]Calc_Coef _18'!C553</f>
        <v>030410</v>
      </c>
      <c r="C555" s="32" t="str">
        <f>'[2]Calc_Coef _18'!AF553</f>
        <v>TUCUNARE</v>
      </c>
      <c r="D555" s="63">
        <f>'[2]Calc_Coef _18'!AG553</f>
        <v>3325.0666666666666</v>
      </c>
      <c r="E555" s="63">
        <f>'[2]Calc_Coef _18'!AH553</f>
        <v>0</v>
      </c>
      <c r="F555" s="64">
        <f>'[2]Calc_Coef _18'!AI553</f>
        <v>277.75</v>
      </c>
      <c r="G555" s="30"/>
      <c r="H555"/>
      <c r="I555"/>
    </row>
    <row r="556" spans="1:9" x14ac:dyDescent="0.25">
      <c r="A556" s="32">
        <f>'[2]Calc_Coef _18'!AE554</f>
        <v>7600101</v>
      </c>
      <c r="B556" s="32" t="str">
        <f>'[2]Calc_Coef _18'!C554</f>
        <v>030210</v>
      </c>
      <c r="C556" s="32" t="str">
        <f>'[2]Calc_Coef _18'!AF554</f>
        <v>PEIXE NAO ESPECIFICADO (INTEIRO, EM POSTA, EM FILÉ, ETC)</v>
      </c>
      <c r="D556" s="63">
        <f>'[2]Calc_Coef _18'!AG554</f>
        <v>4114.333333333333</v>
      </c>
      <c r="E556" s="63">
        <f>'[2]Calc_Coef _18'!AH554</f>
        <v>0</v>
      </c>
      <c r="F556" s="64">
        <f>'[2]Calc_Coef _18'!AI554</f>
        <v>131</v>
      </c>
      <c r="G556" s="30"/>
      <c r="H556"/>
      <c r="I556"/>
    </row>
    <row r="557" spans="1:9" x14ac:dyDescent="0.25">
      <c r="A557" s="32">
        <f>'[2]Calc_Coef _18'!AE555</f>
        <v>7600401</v>
      </c>
      <c r="B557" s="32" t="str">
        <f>'[2]Calc_Coef _18'!C555</f>
        <v>030552</v>
      </c>
      <c r="C557" s="32" t="str">
        <f>'[2]Calc_Coef _18'!AF555</f>
        <v>PEIXE NAO ESPECIFICADO SALGADO (INTEIRO, EM POSTA, EM FILÉ, ETC)</v>
      </c>
      <c r="D557" s="63">
        <f>'[2]Calc_Coef _18'!AG555</f>
        <v>2857.8571428571427</v>
      </c>
      <c r="E557" s="63">
        <f>'[2]Calc_Coef _18'!AH555</f>
        <v>0</v>
      </c>
      <c r="F557" s="64">
        <f>'[2]Calc_Coef _18'!AI555</f>
        <v>208.95434557966715</v>
      </c>
      <c r="G557" s="30"/>
      <c r="H557"/>
      <c r="I557"/>
    </row>
    <row r="558" spans="1:9" x14ac:dyDescent="0.25">
      <c r="A558" s="32">
        <f>'[2]Calc_Coef _18'!AE556</f>
        <v>7700101</v>
      </c>
      <c r="B558" s="32" t="str">
        <f>'[2]Calc_Coef _18'!C556</f>
        <v>200190</v>
      </c>
      <c r="C558" s="32" t="str">
        <f>'[2]Calc_Coef _18'!AF556</f>
        <v>AZEITONA</v>
      </c>
      <c r="D558" s="63">
        <f>'[2]Calc_Coef _18'!AG556</f>
        <v>624.65000000000009</v>
      </c>
      <c r="E558" s="63">
        <f>'[2]Calc_Coef _18'!AH556</f>
        <v>7687.7940345406287</v>
      </c>
      <c r="F558" s="64">
        <f>'[2]Calc_Coef _18'!AI556</f>
        <v>5.52</v>
      </c>
      <c r="G558" s="30"/>
      <c r="H558"/>
      <c r="I558"/>
    </row>
    <row r="559" spans="1:9" x14ac:dyDescent="0.25">
      <c r="A559" s="32">
        <f>'[2]Calc_Coef _18'!AE557</f>
        <v>7700201</v>
      </c>
      <c r="B559" s="32" t="str">
        <f>'[2]Calc_Coef _18'!C557</f>
        <v>200540</v>
      </c>
      <c r="C559" s="32" t="str">
        <f>'[2]Calc_Coef _18'!AF557</f>
        <v>ERVILHA EM CONSERVA</v>
      </c>
      <c r="D559" s="63">
        <f>'[2]Calc_Coef _18'!AG557</f>
        <v>1730.4937285223366</v>
      </c>
      <c r="E559" s="63">
        <f>'[2]Calc_Coef _18'!AH557</f>
        <v>2256.485722150212</v>
      </c>
      <c r="F559" s="64">
        <f>'[2]Calc_Coef _18'!AI557</f>
        <v>5</v>
      </c>
      <c r="G559" s="30"/>
      <c r="H559"/>
      <c r="I559"/>
    </row>
    <row r="560" spans="1:9" x14ac:dyDescent="0.25">
      <c r="A560" s="32">
        <f>'[2]Calc_Coef _18'!AE558</f>
        <v>7700202</v>
      </c>
      <c r="B560" s="32" t="str">
        <f>'[2]Calc_Coef _18'!C558</f>
        <v>200540</v>
      </c>
      <c r="C560" s="32" t="str">
        <f>'[2]Calc_Coef _18'!AF558</f>
        <v>PETIT POIS</v>
      </c>
      <c r="D560" s="63">
        <f>'[2]Calc_Coef _18'!AG558</f>
        <v>1730.4937285223366</v>
      </c>
      <c r="E560" s="63">
        <f>'[2]Calc_Coef _18'!AH558</f>
        <v>2256.485722150212</v>
      </c>
      <c r="F560" s="64">
        <f>'[2]Calc_Coef _18'!AI558</f>
        <v>5</v>
      </c>
      <c r="G560" s="30"/>
      <c r="H560"/>
      <c r="I560"/>
    </row>
    <row r="561" spans="1:9" x14ac:dyDescent="0.25">
      <c r="A561" s="32">
        <f>'[2]Calc_Coef _18'!AE559</f>
        <v>7700401</v>
      </c>
      <c r="B561" s="32" t="str">
        <f>'[2]Calc_Coef _18'!C559</f>
        <v>200540</v>
      </c>
      <c r="C561" s="32" t="str">
        <f>'[2]Calc_Coef _18'!AF559</f>
        <v>MILHO VERDE EM CONSERVA</v>
      </c>
      <c r="D561" s="63">
        <f>'[2]Calc_Coef _18'!AG559</f>
        <v>1730.4937285223366</v>
      </c>
      <c r="E561" s="63">
        <f>'[2]Calc_Coef _18'!AH559</f>
        <v>2256.485722150212</v>
      </c>
      <c r="F561" s="64">
        <f>'[2]Calc_Coef _18'!AI559</f>
        <v>5</v>
      </c>
      <c r="G561" s="30"/>
      <c r="H561"/>
      <c r="I561"/>
    </row>
    <row r="562" spans="1:9" x14ac:dyDescent="0.25">
      <c r="A562" s="32">
        <f>'[2]Calc_Coef _18'!AE560</f>
        <v>7700501</v>
      </c>
      <c r="B562" s="32" t="str">
        <f>'[2]Calc_Coef _18'!C560</f>
        <v>200190</v>
      </c>
      <c r="C562" s="32" t="str">
        <f>'[2]Calc_Coef _18'!AF560</f>
        <v>PALMITO EM CONSERVA</v>
      </c>
      <c r="D562" s="63">
        <f>'[2]Calc_Coef _18'!AG560</f>
        <v>1112.325</v>
      </c>
      <c r="E562" s="63">
        <f>'[2]Calc_Coef _18'!AH560</f>
        <v>7687.7940345406287</v>
      </c>
      <c r="F562" s="64">
        <f>'[2]Calc_Coef _18'!AI560</f>
        <v>5.52</v>
      </c>
      <c r="G562" s="30"/>
      <c r="H562"/>
      <c r="I562"/>
    </row>
    <row r="563" spans="1:9" x14ac:dyDescent="0.25">
      <c r="A563" s="32">
        <f>'[2]Calc_Coef _18'!AE561</f>
        <v>7700601</v>
      </c>
      <c r="B563" s="32" t="str">
        <f>'[2]Calc_Coef _18'!C561</f>
        <v>200310</v>
      </c>
      <c r="C563" s="32" t="str">
        <f>'[2]Calc_Coef _18'!AF561</f>
        <v>COGUMELO EM CONSERVA</v>
      </c>
      <c r="D563" s="63">
        <f>'[2]Calc_Coef _18'!AG561</f>
        <v>3327.8350515463917</v>
      </c>
      <c r="E563" s="63">
        <f>'[2]Calc_Coef _18'!AH561</f>
        <v>2570</v>
      </c>
      <c r="F563" s="64">
        <f>'[2]Calc_Coef _18'!AI561</f>
        <v>0.9</v>
      </c>
      <c r="G563" s="30"/>
      <c r="H563"/>
      <c r="I563"/>
    </row>
    <row r="564" spans="1:9" x14ac:dyDescent="0.25">
      <c r="A564" s="32">
        <f>'[2]Calc_Coef _18'!AE562</f>
        <v>7700602</v>
      </c>
      <c r="B564" s="32" t="str">
        <f>'[2]Calc_Coef _18'!C562</f>
        <v>200310</v>
      </c>
      <c r="C564" s="32" t="str">
        <f>'[2]Calc_Coef _18'!AF562</f>
        <v>CHAMPIGNON EM CONSERVA</v>
      </c>
      <c r="D564" s="63">
        <f>'[2]Calc_Coef _18'!AG562</f>
        <v>3327.8350515463917</v>
      </c>
      <c r="E564" s="63">
        <f>'[2]Calc_Coef _18'!AH562</f>
        <v>2570</v>
      </c>
      <c r="F564" s="64">
        <f>'[2]Calc_Coef _18'!AI562</f>
        <v>0.9</v>
      </c>
      <c r="G564" s="30"/>
      <c r="H564"/>
      <c r="I564"/>
    </row>
    <row r="565" spans="1:9" x14ac:dyDescent="0.25">
      <c r="A565" s="32">
        <f>'[2]Calc_Coef _18'!AE563</f>
        <v>7700701</v>
      </c>
      <c r="B565" s="32">
        <f>'[2]Calc_Coef _18'!C563</f>
        <v>200310</v>
      </c>
      <c r="C565" s="32" t="str">
        <f>'[2]Calc_Coef _18'!AF563</f>
        <v>ASPARGO EM CONSERVA</v>
      </c>
      <c r="D565" s="63">
        <f>'[2]Calc_Coef _18'!AG563</f>
        <v>605.66666666666663</v>
      </c>
      <c r="E565" s="63">
        <f>'[2]Calc_Coef _18'!AH563</f>
        <v>2570</v>
      </c>
      <c r="F565" s="64">
        <f>'[2]Calc_Coef _18'!AI563</f>
        <v>0.9</v>
      </c>
      <c r="G565" s="30"/>
      <c r="H565"/>
      <c r="I565"/>
    </row>
    <row r="566" spans="1:9" x14ac:dyDescent="0.25">
      <c r="A566" s="32">
        <f>'[2]Calc_Coef _18'!AE564</f>
        <v>7700901</v>
      </c>
      <c r="B566" s="32" t="str">
        <f>'[2]Calc_Coef _18'!C564</f>
        <v>200190</v>
      </c>
      <c r="C566" s="32" t="str">
        <f>'[2]Calc_Coef _18'!AF564</f>
        <v>REPOLHO EM CONSERVA</v>
      </c>
      <c r="D566" s="63">
        <f>'[2]Calc_Coef _18'!AG564</f>
        <v>1112.325</v>
      </c>
      <c r="E566" s="63">
        <f>'[2]Calc_Coef _18'!AH564</f>
        <v>7687.7940345406287</v>
      </c>
      <c r="F566" s="64">
        <f>'[2]Calc_Coef _18'!AI564</f>
        <v>5.52</v>
      </c>
      <c r="G566" s="30"/>
      <c r="H566"/>
      <c r="I566"/>
    </row>
    <row r="567" spans="1:9" x14ac:dyDescent="0.25">
      <c r="A567" s="32">
        <f>'[2]Calc_Coef _18'!AE565</f>
        <v>7701101</v>
      </c>
      <c r="B567" s="32" t="str">
        <f>'[2]Calc_Coef _18'!C565</f>
        <v>200190</v>
      </c>
      <c r="C567" s="32" t="str">
        <f>'[2]Calc_Coef _18'!AF565</f>
        <v>LEGUME NAO ESPECIFICADO EM CONSERVA</v>
      </c>
      <c r="D567" s="63">
        <f>'[2]Calc_Coef _18'!AG565</f>
        <v>1600</v>
      </c>
      <c r="E567" s="63">
        <f>'[2]Calc_Coef _18'!AH565</f>
        <v>7687.7940345406287</v>
      </c>
      <c r="F567" s="64">
        <f>'[2]Calc_Coef _18'!AI565</f>
        <v>5.52</v>
      </c>
      <c r="G567" s="30"/>
      <c r="H567"/>
      <c r="I567"/>
    </row>
    <row r="568" spans="1:9" x14ac:dyDescent="0.25">
      <c r="A568" s="32">
        <f>'[2]Calc_Coef _18'!AE566</f>
        <v>7701404</v>
      </c>
      <c r="B568" s="32">
        <f>'[2]Calc_Coef _18'!C566</f>
        <v>210410</v>
      </c>
      <c r="C568" s="32" t="str">
        <f>'[2]Calc_Coef _18'!AF566</f>
        <v>CREME DE CEBOLA (SOPA DESIDRATADA)</v>
      </c>
      <c r="D568" s="63">
        <f>'[2]Calc_Coef _18'!AG566</f>
        <v>3000</v>
      </c>
      <c r="E568" s="63">
        <f>'[2]Calc_Coef _18'!AH566</f>
        <v>6114.9086447857417</v>
      </c>
      <c r="F568" s="64">
        <f>'[2]Calc_Coef _18'!AI566</f>
        <v>33.5</v>
      </c>
      <c r="G568" s="30"/>
      <c r="H568"/>
      <c r="I568"/>
    </row>
    <row r="569" spans="1:9" x14ac:dyDescent="0.25">
      <c r="A569" s="32">
        <f>'[2]Calc_Coef _18'!AE567</f>
        <v>7701501</v>
      </c>
      <c r="B569" s="32" t="str">
        <f>'[2]Calc_Coef _18'!C567</f>
        <v>200540</v>
      </c>
      <c r="C569" s="32" t="str">
        <f>'[2]Calc_Coef _18'!AF567</f>
        <v>MILHO VERDE COM ERVILHA EM CONSERVA</v>
      </c>
      <c r="D569" s="63">
        <f>'[2]Calc_Coef _18'!AG567</f>
        <v>1730.4937285223366</v>
      </c>
      <c r="E569" s="63">
        <f>'[2]Calc_Coef _18'!AH567</f>
        <v>2256.485722150212</v>
      </c>
      <c r="F569" s="64">
        <f>'[2]Calc_Coef _18'!AI567</f>
        <v>5</v>
      </c>
      <c r="G569" s="30"/>
      <c r="H569"/>
      <c r="I569"/>
    </row>
    <row r="570" spans="1:9" x14ac:dyDescent="0.25">
      <c r="A570" s="32">
        <f>'[2]Calc_Coef _18'!AE568</f>
        <v>7702001</v>
      </c>
      <c r="B570" s="32" t="str">
        <f>'[2]Calc_Coef _18'!C568</f>
        <v>160249</v>
      </c>
      <c r="C570" s="32" t="str">
        <f>'[2]Calc_Coef _18'!AF568</f>
        <v>FEIJAO BRANCO COM DOBRADINHA EM CONSERVA</v>
      </c>
      <c r="D570" s="63">
        <f>'[2]Calc_Coef _18'!AG568</f>
        <v>5300</v>
      </c>
      <c r="E570" s="63">
        <f>'[2]Calc_Coef _18'!AH568</f>
        <v>8744</v>
      </c>
      <c r="F570" s="64">
        <f>'[2]Calc_Coef _18'!AI568</f>
        <v>52</v>
      </c>
      <c r="G570" s="30"/>
      <c r="H570"/>
      <c r="I570"/>
    </row>
    <row r="571" spans="1:9" x14ac:dyDescent="0.25">
      <c r="A571" s="32">
        <f>'[2]Calc_Coef _18'!AE569</f>
        <v>7702302</v>
      </c>
      <c r="B571" s="32" t="str">
        <f>'[2]Calc_Coef _18'!C569</f>
        <v>160210</v>
      </c>
      <c r="C571" s="32" t="str">
        <f>'[2]Calc_Coef _18'!AF569</f>
        <v>PASTA DE CARNE EM CONSERVA</v>
      </c>
      <c r="D571" s="63">
        <f>'[2]Calc_Coef _18'!AG569</f>
        <v>5300</v>
      </c>
      <c r="E571" s="63">
        <f>'[2]Calc_Coef _18'!AH569</f>
        <v>8744</v>
      </c>
      <c r="F571" s="64">
        <f>'[2]Calc_Coef _18'!AI569</f>
        <v>52</v>
      </c>
      <c r="G571" s="30"/>
      <c r="H571"/>
      <c r="I571"/>
    </row>
    <row r="572" spans="1:9" x14ac:dyDescent="0.25">
      <c r="A572" s="32">
        <f>'[2]Calc_Coef _18'!AE570</f>
        <v>7702402</v>
      </c>
      <c r="B572" s="32" t="str">
        <f>'[2]Calc_Coef _18'!C570</f>
        <v>160210</v>
      </c>
      <c r="C572" s="32" t="str">
        <f>'[2]Calc_Coef _18'!AF570</f>
        <v>PASTA DE PRESUNTO EM CONSERVA</v>
      </c>
      <c r="D572" s="63">
        <f>'[2]Calc_Coef _18'!AG570</f>
        <v>5300</v>
      </c>
      <c r="E572" s="63">
        <f>'[2]Calc_Coef _18'!AH570</f>
        <v>8744</v>
      </c>
      <c r="F572" s="64">
        <f>'[2]Calc_Coef _18'!AI570</f>
        <v>52</v>
      </c>
      <c r="G572" s="30"/>
      <c r="H572"/>
      <c r="I572"/>
    </row>
    <row r="573" spans="1:9" x14ac:dyDescent="0.25">
      <c r="A573" s="32">
        <f>'[2]Calc_Coef _18'!AE571</f>
        <v>7702502</v>
      </c>
      <c r="B573" s="32" t="str">
        <f>'[2]Calc_Coef _18'!C571</f>
        <v>160210</v>
      </c>
      <c r="C573" s="32" t="str">
        <f>'[2]Calc_Coef _18'!AF571</f>
        <v>PASTA DE GALINHA EM CONSERVA</v>
      </c>
      <c r="D573" s="63">
        <f>'[2]Calc_Coef _18'!AG571</f>
        <v>5300</v>
      </c>
      <c r="E573" s="63">
        <f>'[2]Calc_Coef _18'!AH571</f>
        <v>8744</v>
      </c>
      <c r="F573" s="64">
        <f>'[2]Calc_Coef _18'!AI571</f>
        <v>52</v>
      </c>
      <c r="G573" s="30"/>
      <c r="H573"/>
      <c r="I573"/>
    </row>
    <row r="574" spans="1:9" x14ac:dyDescent="0.25">
      <c r="A574" s="32">
        <f>'[2]Calc_Coef _18'!AE572</f>
        <v>7702601</v>
      </c>
      <c r="B574" s="32" t="str">
        <f>'[2]Calc_Coef _18'!C572</f>
        <v>160250</v>
      </c>
      <c r="C574" s="32" t="str">
        <f>'[2]Calc_Coef _18'!AF572</f>
        <v>CARNE BOVINA EM CONSERVA</v>
      </c>
      <c r="D574" s="63">
        <f>'[2]Calc_Coef _18'!AG572</f>
        <v>14500</v>
      </c>
      <c r="E574" s="63">
        <f>'[2]Calc_Coef _18'!AH572</f>
        <v>8744</v>
      </c>
      <c r="F574" s="64">
        <f>'[2]Calc_Coef _18'!AI572</f>
        <v>52</v>
      </c>
      <c r="G574" s="30"/>
      <c r="H574"/>
      <c r="I574"/>
    </row>
    <row r="575" spans="1:9" x14ac:dyDescent="0.25">
      <c r="A575" s="32">
        <f>'[2]Calc_Coef _18'!AE573</f>
        <v>7702602</v>
      </c>
      <c r="B575" s="32" t="str">
        <f>'[2]Calc_Coef _18'!C573</f>
        <v>020130</v>
      </c>
      <c r="C575" s="32" t="str">
        <f>'[2]Calc_Coef _18'!AF573</f>
        <v>ALMONDEGA</v>
      </c>
      <c r="D575" s="63">
        <f>'[2]Calc_Coef _18'!AG573</f>
        <v>26937.633264372518</v>
      </c>
      <c r="E575" s="63">
        <f>'[2]Calc_Coef _18'!AH573</f>
        <v>18136.156896200948</v>
      </c>
      <c r="F575" s="64">
        <f>'[2]Calc_Coef _18'!AI573</f>
        <v>112.26701297421286</v>
      </c>
      <c r="G575" s="30"/>
      <c r="H575"/>
      <c r="I575"/>
    </row>
    <row r="576" spans="1:9" x14ac:dyDescent="0.25">
      <c r="A576" s="32">
        <f>'[2]Calc_Coef _18'!AE574</f>
        <v>7702603</v>
      </c>
      <c r="B576" s="32" t="str">
        <f>'[2]Calc_Coef _18'!C574</f>
        <v>160250</v>
      </c>
      <c r="C576" s="32" t="str">
        <f>'[2]Calc_Coef _18'!AF574</f>
        <v>KITUTE BOVINO</v>
      </c>
      <c r="D576" s="63">
        <f>'[2]Calc_Coef _18'!AG574</f>
        <v>14500</v>
      </c>
      <c r="E576" s="63">
        <f>'[2]Calc_Coef _18'!AH574</f>
        <v>8744</v>
      </c>
      <c r="F576" s="64">
        <f>'[2]Calc_Coef _18'!AI574</f>
        <v>52</v>
      </c>
      <c r="G576" s="30"/>
      <c r="H576"/>
      <c r="I576"/>
    </row>
    <row r="577" spans="1:9" x14ac:dyDescent="0.25">
      <c r="A577" s="32">
        <f>'[2]Calc_Coef _18'!AE575</f>
        <v>7702705</v>
      </c>
      <c r="B577" s="32" t="str">
        <f>'[2]Calc_Coef _18'!C575</f>
        <v>160249</v>
      </c>
      <c r="C577" s="32" t="str">
        <f>'[2]Calc_Coef _18'!AF575</f>
        <v>PRESUNTADA</v>
      </c>
      <c r="D577" s="63">
        <f>'[2]Calc_Coef _18'!AG575</f>
        <v>5300</v>
      </c>
      <c r="E577" s="63">
        <f>'[2]Calc_Coef _18'!AH575</f>
        <v>8744</v>
      </c>
      <c r="F577" s="64">
        <f>'[2]Calc_Coef _18'!AI575</f>
        <v>52</v>
      </c>
      <c r="G577" s="30"/>
      <c r="H577"/>
      <c r="I577"/>
    </row>
    <row r="578" spans="1:9" x14ac:dyDescent="0.25">
      <c r="A578" s="32">
        <f>'[2]Calc_Coef _18'!AE576</f>
        <v>7702707</v>
      </c>
      <c r="B578" s="32" t="str">
        <f>'[2]Calc_Coef _18'!C576</f>
        <v>160250</v>
      </c>
      <c r="C578" s="32" t="str">
        <f>'[2]Calc_Coef _18'!AF576</f>
        <v>FIAMBRE</v>
      </c>
      <c r="D578" s="63">
        <f>'[2]Calc_Coef _18'!AG576</f>
        <v>14500</v>
      </c>
      <c r="E578" s="63">
        <f>'[2]Calc_Coef _18'!AH576</f>
        <v>8744</v>
      </c>
      <c r="F578" s="64">
        <f>'[2]Calc_Coef _18'!AI576</f>
        <v>52</v>
      </c>
      <c r="G578" s="30"/>
      <c r="H578"/>
      <c r="I578"/>
    </row>
    <row r="579" spans="1:9" x14ac:dyDescent="0.25">
      <c r="A579" s="32">
        <f>'[2]Calc_Coef _18'!AE577</f>
        <v>7702801</v>
      </c>
      <c r="B579" s="32">
        <f>'[2]Calc_Coef _18'!C577</f>
        <v>160101</v>
      </c>
      <c r="C579" s="32" t="str">
        <f>'[2]Calc_Coef _18'!AF577</f>
        <v>SALSICHA EM CONSERVA</v>
      </c>
      <c r="D579" s="63">
        <f>'[2]Calc_Coef _18'!AG577</f>
        <v>3533.3333333333335</v>
      </c>
      <c r="E579" s="63">
        <f>'[2]Calc_Coef _18'!AH577</f>
        <v>12800</v>
      </c>
      <c r="F579" s="64">
        <f>'[2]Calc_Coef _18'!AI577</f>
        <v>52</v>
      </c>
      <c r="G579" s="30"/>
      <c r="H579"/>
      <c r="I579"/>
    </row>
    <row r="580" spans="1:9" x14ac:dyDescent="0.25">
      <c r="A580" s="32">
        <f>'[2]Calc_Coef _18'!AE578</f>
        <v>7703002</v>
      </c>
      <c r="B580" s="32" t="str">
        <f>'[2]Calc_Coef _18'!C578</f>
        <v>160413</v>
      </c>
      <c r="C580" s="32" t="str">
        <f>'[2]Calc_Coef _18'!AF578</f>
        <v>SARDINHA EM CONSERVA</v>
      </c>
      <c r="D580" s="63">
        <f>'[2]Calc_Coef _18'!AG578</f>
        <v>6545</v>
      </c>
      <c r="E580" s="63">
        <f>'[2]Calc_Coef _18'!AH578</f>
        <v>632</v>
      </c>
      <c r="F580" s="64">
        <f>'[2]Calc_Coef _18'!AI578</f>
        <v>52</v>
      </c>
      <c r="G580" s="30"/>
      <c r="H580"/>
      <c r="I580"/>
    </row>
    <row r="581" spans="1:9" x14ac:dyDescent="0.25">
      <c r="A581" s="32">
        <f>'[2]Calc_Coef _18'!AE579</f>
        <v>7703402</v>
      </c>
      <c r="B581" s="32" t="str">
        <f>'[2]Calc_Coef _18'!C579</f>
        <v>160414</v>
      </c>
      <c r="C581" s="32" t="str">
        <f>'[2]Calc_Coef _18'!AF579</f>
        <v>ATUM EM CONSERVA</v>
      </c>
      <c r="D581" s="63">
        <f>'[2]Calc_Coef _18'!AG579</f>
        <v>6545</v>
      </c>
      <c r="E581" s="63">
        <f>'[2]Calc_Coef _18'!AH579</f>
        <v>632</v>
      </c>
      <c r="F581" s="64">
        <f>'[2]Calc_Coef _18'!AI579</f>
        <v>52</v>
      </c>
      <c r="G581" s="30"/>
      <c r="H581"/>
      <c r="I581"/>
    </row>
    <row r="582" spans="1:9" x14ac:dyDescent="0.25">
      <c r="A582" s="32">
        <f>'[2]Calc_Coef _18'!AE580</f>
        <v>7703701</v>
      </c>
      <c r="B582" s="32" t="str">
        <f>'[2]Calc_Coef _18'!C580</f>
        <v>200110</v>
      </c>
      <c r="C582" s="32" t="str">
        <f>'[2]Calc_Coef _18'!AF580</f>
        <v>PEPINO EM CONSERVA</v>
      </c>
      <c r="D582" s="63">
        <f>'[2]Calc_Coef _18'!AG580</f>
        <v>1112.325</v>
      </c>
      <c r="E582" s="63">
        <f>'[2]Calc_Coef _18'!AH580</f>
        <v>7687.7940345406287</v>
      </c>
      <c r="F582" s="64">
        <f>'[2]Calc_Coef _18'!AI580</f>
        <v>5.52</v>
      </c>
      <c r="G582" s="30"/>
      <c r="H582"/>
      <c r="I582"/>
    </row>
    <row r="583" spans="1:9" x14ac:dyDescent="0.25">
      <c r="A583" s="32">
        <f>'[2]Calc_Coef _18'!AE581</f>
        <v>7703902</v>
      </c>
      <c r="B583" s="32" t="str">
        <f>'[2]Calc_Coef _18'!C581</f>
        <v>160420</v>
      </c>
      <c r="C583" s="32" t="str">
        <f>'[2]Calc_Coef _18'!AF581</f>
        <v>PASTA DE PEIXE EM CONSERVA</v>
      </c>
      <c r="D583" s="63">
        <f>'[2]Calc_Coef _18'!AG581</f>
        <v>6545</v>
      </c>
      <c r="E583" s="63">
        <f>'[2]Calc_Coef _18'!AH581</f>
        <v>632</v>
      </c>
      <c r="F583" s="64">
        <f>'[2]Calc_Coef _18'!AI581</f>
        <v>52</v>
      </c>
      <c r="G583" s="30"/>
      <c r="H583"/>
      <c r="I583"/>
    </row>
    <row r="584" spans="1:9" x14ac:dyDescent="0.25">
      <c r="A584" s="32">
        <f>'[2]Calc_Coef _18'!AE582</f>
        <v>7704001</v>
      </c>
      <c r="B584" s="32" t="str">
        <f>'[2]Calc_Coef _18'!C582</f>
        <v>200190</v>
      </c>
      <c r="C584" s="32" t="str">
        <f>'[2]Calc_Coef _18'!AF582</f>
        <v>PICLES</v>
      </c>
      <c r="D584" s="63">
        <f>'[2]Calc_Coef _18'!AG582</f>
        <v>1112.325</v>
      </c>
      <c r="E584" s="63">
        <f>'[2]Calc_Coef _18'!AH582</f>
        <v>7687.7940345406287</v>
      </c>
      <c r="F584" s="64">
        <f>'[2]Calc_Coef _18'!AI582</f>
        <v>5.52</v>
      </c>
      <c r="G584" s="30"/>
      <c r="H584"/>
      <c r="I584"/>
    </row>
    <row r="585" spans="1:9" x14ac:dyDescent="0.25">
      <c r="A585" s="32">
        <f>'[2]Calc_Coef _18'!AE583</f>
        <v>7705201</v>
      </c>
      <c r="B585" s="32" t="str">
        <f>'[2]Calc_Coef _18'!C583</f>
        <v>200190</v>
      </c>
      <c r="C585" s="32" t="str">
        <f>'[2]Calc_Coef _18'!AF583</f>
        <v>NABO EM CONSERVA</v>
      </c>
      <c r="D585" s="63">
        <f>'[2]Calc_Coef _18'!AG583</f>
        <v>1112.325</v>
      </c>
      <c r="E585" s="63">
        <f>'[2]Calc_Coef _18'!AH583</f>
        <v>7687.7940345406287</v>
      </c>
      <c r="F585" s="64">
        <f>'[2]Calc_Coef _18'!AI583</f>
        <v>5.52</v>
      </c>
      <c r="G585" s="30"/>
      <c r="H585"/>
      <c r="I585"/>
    </row>
    <row r="586" spans="1:9" x14ac:dyDescent="0.25">
      <c r="A586" s="32">
        <f>'[2]Calc_Coef _18'!AE584</f>
        <v>7705901</v>
      </c>
      <c r="B586" s="32">
        <f>'[2]Calc_Coef _18'!C584</f>
        <v>160420</v>
      </c>
      <c r="C586" s="32" t="str">
        <f>'[2]Calc_Coef _18'!AF584</f>
        <v>KANI KAMA</v>
      </c>
      <c r="D586" s="63">
        <f>'[2]Calc_Coef _18'!AG584</f>
        <v>6545</v>
      </c>
      <c r="E586" s="63">
        <f>'[2]Calc_Coef _18'!AH584</f>
        <v>632</v>
      </c>
      <c r="F586" s="64">
        <f>'[2]Calc_Coef _18'!AI584</f>
        <v>52</v>
      </c>
      <c r="G586" s="30"/>
      <c r="H586"/>
      <c r="I586"/>
    </row>
    <row r="587" spans="1:9" x14ac:dyDescent="0.25">
      <c r="A587" s="32">
        <f>'[2]Calc_Coef _18'!AE585</f>
        <v>7706001</v>
      </c>
      <c r="B587" s="32" t="str">
        <f>'[2]Calc_Coef _18'!C585</f>
        <v>160414</v>
      </c>
      <c r="C587" s="32" t="str">
        <f>'[2]Calc_Coef _18'!AF585</f>
        <v>SALMAO EM CONSERVA</v>
      </c>
      <c r="D587" s="63">
        <f>'[2]Calc_Coef _18'!AG585</f>
        <v>6545</v>
      </c>
      <c r="E587" s="63">
        <f>'[2]Calc_Coef _18'!AH585</f>
        <v>632</v>
      </c>
      <c r="F587" s="64">
        <f>'[2]Calc_Coef _18'!AI585</f>
        <v>52</v>
      </c>
      <c r="G587" s="30"/>
      <c r="H587"/>
      <c r="I587"/>
    </row>
    <row r="588" spans="1:9" x14ac:dyDescent="0.25">
      <c r="A588" s="32">
        <f>'[2]Calc_Coef _18'!AE586</f>
        <v>7706302</v>
      </c>
      <c r="B588" s="32" t="str">
        <f>'[2]Calc_Coef _18'!C586</f>
        <v>160414</v>
      </c>
      <c r="C588" s="32" t="str">
        <f>'[2]Calc_Coef _18'!AF586</f>
        <v>ATUM EM CONSERVA LIGHT</v>
      </c>
      <c r="D588" s="63">
        <f>'[2]Calc_Coef _18'!AG586</f>
        <v>6545</v>
      </c>
      <c r="E588" s="63">
        <f>'[2]Calc_Coef _18'!AH586</f>
        <v>632</v>
      </c>
      <c r="F588" s="64">
        <f>'[2]Calc_Coef _18'!AI586</f>
        <v>52</v>
      </c>
      <c r="G588" s="30"/>
      <c r="H588"/>
      <c r="I588"/>
    </row>
    <row r="589" spans="1:9" x14ac:dyDescent="0.25">
      <c r="A589" s="32">
        <f>'[2]Calc_Coef _18'!AE587</f>
        <v>7800103</v>
      </c>
      <c r="B589" s="32" t="str">
        <f>'[2]Calc_Coef _18'!C587</f>
        <v>020711</v>
      </c>
      <c r="C589" s="32" t="str">
        <f>'[2]Calc_Coef _18'!AF587</f>
        <v>FRANGO INTEIRO</v>
      </c>
      <c r="D589" s="63">
        <f>'[2]Calc_Coef _18'!AG587</f>
        <v>3320.9089509884666</v>
      </c>
      <c r="E589" s="63">
        <f>'[2]Calc_Coef _18'!AH587</f>
        <v>4474.4591510944665</v>
      </c>
      <c r="F589" s="64">
        <f>'[2]Calc_Coef _18'!AI587</f>
        <v>26.5</v>
      </c>
      <c r="G589" s="30"/>
      <c r="H589"/>
      <c r="I589"/>
    </row>
    <row r="590" spans="1:9" x14ac:dyDescent="0.25">
      <c r="A590" s="32">
        <f>'[2]Calc_Coef _18'!AE588</f>
        <v>7800301</v>
      </c>
      <c r="B590" s="32" t="str">
        <f>'[2]Calc_Coef _18'!C588</f>
        <v>020711</v>
      </c>
      <c r="C590" s="32" t="str">
        <f>'[2]Calc_Coef _18'!AF588</f>
        <v>PARTE DE GALINHA OU FRANGO NAO ESPECIFICADA</v>
      </c>
      <c r="D590" s="63">
        <f>'[2]Calc_Coef _18'!AG588</f>
        <v>3320.9089509884666</v>
      </c>
      <c r="E590" s="63">
        <f>'[2]Calc_Coef _18'!AH588</f>
        <v>4474.4591510944665</v>
      </c>
      <c r="F590" s="64">
        <f>'[2]Calc_Coef _18'!AI588</f>
        <v>26.5</v>
      </c>
      <c r="G590" s="30"/>
      <c r="H590"/>
      <c r="I590"/>
    </row>
    <row r="591" spans="1:9" x14ac:dyDescent="0.25">
      <c r="A591" s="32">
        <f>'[2]Calc_Coef _18'!AE589</f>
        <v>7800302</v>
      </c>
      <c r="B591" s="32" t="str">
        <f>'[2]Calc_Coef _18'!C589</f>
        <v>020711</v>
      </c>
      <c r="C591" s="32" t="str">
        <f>'[2]Calc_Coef _18'!AF589</f>
        <v>FRANGO EM PEDAÇOS</v>
      </c>
      <c r="D591" s="63">
        <f>'[2]Calc_Coef _18'!AG589</f>
        <v>3320.9089509884666</v>
      </c>
      <c r="E591" s="63">
        <f>'[2]Calc_Coef _18'!AH589</f>
        <v>4474.4591510944665</v>
      </c>
      <c r="F591" s="64">
        <f>'[2]Calc_Coef _18'!AI589</f>
        <v>26.5</v>
      </c>
      <c r="G591" s="30"/>
      <c r="H591"/>
      <c r="I591"/>
    </row>
    <row r="592" spans="1:9" x14ac:dyDescent="0.25">
      <c r="A592" s="32">
        <f>'[2]Calc_Coef _18'!AE590</f>
        <v>7800303</v>
      </c>
      <c r="B592" s="32" t="str">
        <f>'[2]Calc_Coef _18'!C590</f>
        <v>020711</v>
      </c>
      <c r="C592" s="32" t="str">
        <f>'[2]Calc_Coef _18'!AF590</f>
        <v>GALINHA EM PEDACOS</v>
      </c>
      <c r="D592" s="63">
        <f>'[2]Calc_Coef _18'!AG590</f>
        <v>3320.9089509884666</v>
      </c>
      <c r="E592" s="63">
        <f>'[2]Calc_Coef _18'!AH590</f>
        <v>4474.4591510944665</v>
      </c>
      <c r="F592" s="64">
        <f>'[2]Calc_Coef _18'!AI590</f>
        <v>26.5</v>
      </c>
      <c r="G592" s="30"/>
      <c r="H592"/>
      <c r="I592"/>
    </row>
    <row r="593" spans="1:9" x14ac:dyDescent="0.25">
      <c r="A593" s="32">
        <f>'[2]Calc_Coef _18'!AE591</f>
        <v>7800304</v>
      </c>
      <c r="B593" s="32" t="str">
        <f>'[2]Calc_Coef _18'!C591</f>
        <v>020711</v>
      </c>
      <c r="C593" s="32" t="str">
        <f>'[2]Calc_Coef _18'!AF591</f>
        <v>CARNE DE GALINHA</v>
      </c>
      <c r="D593" s="63">
        <f>'[2]Calc_Coef _18'!AG591</f>
        <v>3320.9089509884666</v>
      </c>
      <c r="E593" s="63">
        <f>'[2]Calc_Coef _18'!AH591</f>
        <v>4474.4591510944665</v>
      </c>
      <c r="F593" s="64">
        <f>'[2]Calc_Coef _18'!AI591</f>
        <v>26.5</v>
      </c>
      <c r="G593" s="30"/>
      <c r="H593"/>
      <c r="I593"/>
    </row>
    <row r="594" spans="1:9" x14ac:dyDescent="0.25">
      <c r="A594" s="32">
        <f>'[2]Calc_Coef _18'!AE592</f>
        <v>7800307</v>
      </c>
      <c r="B594" s="32" t="str">
        <f>'[2]Calc_Coef _18'!C592</f>
        <v>020711</v>
      </c>
      <c r="C594" s="32" t="str">
        <f>'[2]Calc_Coef _18'!AF592</f>
        <v>FRANGO DESFIADO</v>
      </c>
      <c r="D594" s="63">
        <f>'[2]Calc_Coef _18'!AG592</f>
        <v>3320.9089509884666</v>
      </c>
      <c r="E594" s="63">
        <f>'[2]Calc_Coef _18'!AH592</f>
        <v>4474.4591510944665</v>
      </c>
      <c r="F594" s="64">
        <f>'[2]Calc_Coef _18'!AI592</f>
        <v>26.5</v>
      </c>
      <c r="G594" s="30"/>
      <c r="H594"/>
      <c r="I594"/>
    </row>
    <row r="595" spans="1:9" x14ac:dyDescent="0.25">
      <c r="A595" s="32">
        <f>'[2]Calc_Coef _18'!AE593</f>
        <v>7800401</v>
      </c>
      <c r="B595" s="32" t="str">
        <f>'[2]Calc_Coef _18'!C593</f>
        <v>020711</v>
      </c>
      <c r="C595" s="32" t="str">
        <f>'[2]Calc_Coef _18'!AF593</f>
        <v>PEITO DE GALINHA OU FRANGO</v>
      </c>
      <c r="D595" s="63">
        <f>'[2]Calc_Coef _18'!AG593</f>
        <v>3320.9089509884666</v>
      </c>
      <c r="E595" s="63">
        <f>'[2]Calc_Coef _18'!AH593</f>
        <v>4474.4591510944665</v>
      </c>
      <c r="F595" s="64">
        <f>'[2]Calc_Coef _18'!AI593</f>
        <v>26.5</v>
      </c>
      <c r="G595" s="30"/>
      <c r="H595"/>
      <c r="I595"/>
    </row>
    <row r="596" spans="1:9" x14ac:dyDescent="0.25">
      <c r="A596" s="32">
        <f>'[2]Calc_Coef _18'!AE594</f>
        <v>7800402</v>
      </c>
      <c r="B596" s="32" t="str">
        <f>'[2]Calc_Coef _18'!C594</f>
        <v>020711</v>
      </c>
      <c r="C596" s="32" t="str">
        <f>'[2]Calc_Coef _18'!AF594</f>
        <v>FILE DE FRANGO</v>
      </c>
      <c r="D596" s="63">
        <f>'[2]Calc_Coef _18'!AG594</f>
        <v>3320.9089509884666</v>
      </c>
      <c r="E596" s="63">
        <f>'[2]Calc_Coef _18'!AH594</f>
        <v>4474.4591510944665</v>
      </c>
      <c r="F596" s="64">
        <f>'[2]Calc_Coef _18'!AI594</f>
        <v>26.5</v>
      </c>
      <c r="G596" s="30"/>
      <c r="H596"/>
      <c r="I596"/>
    </row>
    <row r="597" spans="1:9" x14ac:dyDescent="0.25">
      <c r="A597" s="32">
        <f>'[2]Calc_Coef _18'!AE595</f>
        <v>7800503</v>
      </c>
      <c r="B597" s="32" t="str">
        <f>'[2]Calc_Coef _18'!C595</f>
        <v>020711</v>
      </c>
      <c r="C597" s="32" t="str">
        <f>'[2]Calc_Coef _18'!AF595</f>
        <v>SOBRECOXA / COXA DE FRANGO / GALINHA</v>
      </c>
      <c r="D597" s="63">
        <f>'[2]Calc_Coef _18'!AG595</f>
        <v>3320.9089509884666</v>
      </c>
      <c r="E597" s="63">
        <f>'[2]Calc_Coef _18'!AH595</f>
        <v>4474.4591510944665</v>
      </c>
      <c r="F597" s="64">
        <f>'[2]Calc_Coef _18'!AI595</f>
        <v>26.5</v>
      </c>
      <c r="G597" s="30"/>
      <c r="H597"/>
      <c r="I597"/>
    </row>
    <row r="598" spans="1:9" x14ac:dyDescent="0.25">
      <c r="A598" s="32">
        <f>'[2]Calc_Coef _18'!AE596</f>
        <v>7800701</v>
      </c>
      <c r="B598" s="32" t="str">
        <f>'[2]Calc_Coef _18'!C596</f>
        <v>020711</v>
      </c>
      <c r="C598" s="32" t="str">
        <f>'[2]Calc_Coef _18'!AF596</f>
        <v>ASA DE GALINHA OU FRANGO</v>
      </c>
      <c r="D598" s="63">
        <f>'[2]Calc_Coef _18'!AG596</f>
        <v>3320.9089509884666</v>
      </c>
      <c r="E598" s="63">
        <f>'[2]Calc_Coef _18'!AH596</f>
        <v>4474.4591510944665</v>
      </c>
      <c r="F598" s="64">
        <f>'[2]Calc_Coef _18'!AI596</f>
        <v>26.5</v>
      </c>
      <c r="G598" s="30"/>
      <c r="H598"/>
      <c r="I598"/>
    </row>
    <row r="599" spans="1:9" x14ac:dyDescent="0.25">
      <c r="A599" s="32">
        <f>'[2]Calc_Coef _18'!AE597</f>
        <v>7800702</v>
      </c>
      <c r="B599" s="32" t="str">
        <f>'[2]Calc_Coef _18'!C597</f>
        <v>020711</v>
      </c>
      <c r="C599" s="32" t="str">
        <f>'[2]Calc_Coef _18'!AF597</f>
        <v>DRUMETE DE GALINHA OU FRANGO</v>
      </c>
      <c r="D599" s="63">
        <f>'[2]Calc_Coef _18'!AG597</f>
        <v>3320.9089509884666</v>
      </c>
      <c r="E599" s="63">
        <f>'[2]Calc_Coef _18'!AH597</f>
        <v>4474.4591510944665</v>
      </c>
      <c r="F599" s="64">
        <f>'[2]Calc_Coef _18'!AI597</f>
        <v>26.5</v>
      </c>
      <c r="G599" s="30"/>
      <c r="H599"/>
      <c r="I599"/>
    </row>
    <row r="600" spans="1:9" x14ac:dyDescent="0.25">
      <c r="A600" s="32">
        <f>'[2]Calc_Coef _18'!AE598</f>
        <v>7800801</v>
      </c>
      <c r="B600" s="32" t="str">
        <f>'[2]Calc_Coef _18'!C598</f>
        <v>020711</v>
      </c>
      <c r="C600" s="32" t="str">
        <f>'[2]Calc_Coef _18'!AF598</f>
        <v>PESCOCO DE GALINHA OU FRANGO</v>
      </c>
      <c r="D600" s="63">
        <f>'[2]Calc_Coef _18'!AG598</f>
        <v>3320.9089509884666</v>
      </c>
      <c r="E600" s="63">
        <f>'[2]Calc_Coef _18'!AH598</f>
        <v>4474.4591510944665</v>
      </c>
      <c r="F600" s="64">
        <f>'[2]Calc_Coef _18'!AI598</f>
        <v>26.5</v>
      </c>
      <c r="G600" s="30"/>
      <c r="H600"/>
      <c r="I600"/>
    </row>
    <row r="601" spans="1:9" x14ac:dyDescent="0.25">
      <c r="A601" s="32">
        <f>'[2]Calc_Coef _18'!AE599</f>
        <v>7800901</v>
      </c>
      <c r="B601" s="32" t="str">
        <f>'[2]Calc_Coef _18'!C599</f>
        <v>020711</v>
      </c>
      <c r="C601" s="32" t="str">
        <f>'[2]Calc_Coef _18'!AF599</f>
        <v>PE DE GALINHA OU FRANGO</v>
      </c>
      <c r="D601" s="63">
        <f>'[2]Calc_Coef _18'!AG599</f>
        <v>3320.9089509884666</v>
      </c>
      <c r="E601" s="63">
        <f>'[2]Calc_Coef _18'!AH599</f>
        <v>4474.4591510944665</v>
      </c>
      <c r="F601" s="64">
        <f>'[2]Calc_Coef _18'!AI599</f>
        <v>26.5</v>
      </c>
      <c r="G601" s="30"/>
      <c r="H601"/>
      <c r="I601"/>
    </row>
    <row r="602" spans="1:9" x14ac:dyDescent="0.25">
      <c r="A602" s="32">
        <f>'[2]Calc_Coef _18'!AE600</f>
        <v>7801001</v>
      </c>
      <c r="B602" s="32" t="str">
        <f>'[2]Calc_Coef _18'!C600</f>
        <v>020713</v>
      </c>
      <c r="C602" s="32" t="str">
        <f>'[2]Calc_Coef _18'!AF600</f>
        <v>MIUDO DE GALINHA OU FRANGO</v>
      </c>
      <c r="D602" s="63">
        <f>'[2]Calc_Coef _18'!AG600</f>
        <v>3320.9089509884666</v>
      </c>
      <c r="E602" s="63">
        <f>'[2]Calc_Coef _18'!AH600</f>
        <v>4474.4591510944665</v>
      </c>
      <c r="F602" s="64">
        <f>'[2]Calc_Coef _18'!AI600</f>
        <v>26.5</v>
      </c>
      <c r="G602" s="30"/>
      <c r="H602"/>
      <c r="I602"/>
    </row>
    <row r="603" spans="1:9" x14ac:dyDescent="0.25">
      <c r="A603" s="32">
        <f>'[2]Calc_Coef _18'!AE601</f>
        <v>7801101</v>
      </c>
      <c r="B603" s="32" t="str">
        <f>'[2]Calc_Coef _18'!C601</f>
        <v>020713</v>
      </c>
      <c r="C603" s="32" t="str">
        <f>'[2]Calc_Coef _18'!AF601</f>
        <v>MOELA DE GALINHA OU FRANGO</v>
      </c>
      <c r="D603" s="63">
        <f>'[2]Calc_Coef _18'!AG601</f>
        <v>3320.9089509884666</v>
      </c>
      <c r="E603" s="63">
        <f>'[2]Calc_Coef _18'!AH601</f>
        <v>4474.4591510944665</v>
      </c>
      <c r="F603" s="64">
        <f>'[2]Calc_Coef _18'!AI601</f>
        <v>26.5</v>
      </c>
      <c r="G603" s="30"/>
      <c r="H603"/>
      <c r="I603"/>
    </row>
    <row r="604" spans="1:9" x14ac:dyDescent="0.25">
      <c r="A604" s="32">
        <f>'[2]Calc_Coef _18'!AE602</f>
        <v>7801202</v>
      </c>
      <c r="B604" s="32" t="str">
        <f>'[2]Calc_Coef _18'!C602</f>
        <v>020713</v>
      </c>
      <c r="C604" s="32" t="str">
        <f>'[2]Calc_Coef _18'!AF602</f>
        <v>CORACAO DE FRANGO</v>
      </c>
      <c r="D604" s="63">
        <f>'[2]Calc_Coef _18'!AG602</f>
        <v>3320.9089509884666</v>
      </c>
      <c r="E604" s="63">
        <f>'[2]Calc_Coef _18'!AH602</f>
        <v>4474.4591510944665</v>
      </c>
      <c r="F604" s="64">
        <f>'[2]Calc_Coef _18'!AI602</f>
        <v>26.5</v>
      </c>
      <c r="G604" s="30"/>
      <c r="H604"/>
      <c r="I604"/>
    </row>
    <row r="605" spans="1:9" x14ac:dyDescent="0.25">
      <c r="A605" s="32">
        <f>'[2]Calc_Coef _18'!AE603</f>
        <v>7801301</v>
      </c>
      <c r="B605" s="32" t="str">
        <f>'[2]Calc_Coef _18'!C603</f>
        <v>020713</v>
      </c>
      <c r="C605" s="32" t="str">
        <f>'[2]Calc_Coef _18'!AF603</f>
        <v>FIGADO DE GALINHA OU FRANGO</v>
      </c>
      <c r="D605" s="63">
        <f>'[2]Calc_Coef _18'!AG603</f>
        <v>3320.9089509884666</v>
      </c>
      <c r="E605" s="63">
        <f>'[2]Calc_Coef _18'!AH603</f>
        <v>4474.4591510944665</v>
      </c>
      <c r="F605" s="64">
        <f>'[2]Calc_Coef _18'!AI603</f>
        <v>26.5</v>
      </c>
      <c r="G605" s="30"/>
      <c r="H605"/>
      <c r="I605"/>
    </row>
    <row r="606" spans="1:9" x14ac:dyDescent="0.25">
      <c r="A606" s="32">
        <f>'[2]Calc_Coef _18'!AE604</f>
        <v>7801702</v>
      </c>
      <c r="B606" s="32" t="str">
        <f>'[2]Calc_Coef _18'!C604</f>
        <v>020725</v>
      </c>
      <c r="C606" s="32" t="str">
        <f>'[2]Calc_Coef _18'!AF604</f>
        <v>PERU EM PEDACO NAO ESPECIFICADO</v>
      </c>
      <c r="D606" s="63">
        <f>'[2]Calc_Coef _18'!AG604</f>
        <v>3760</v>
      </c>
      <c r="E606" s="63">
        <f>'[2]Calc_Coef _18'!AH604</f>
        <v>4474.4591510944665</v>
      </c>
      <c r="F606" s="64">
        <f>'[2]Calc_Coef _18'!AI604</f>
        <v>26.5</v>
      </c>
      <c r="G606" s="30"/>
      <c r="H606"/>
      <c r="I606"/>
    </row>
    <row r="607" spans="1:9" x14ac:dyDescent="0.25">
      <c r="A607" s="32">
        <f>'[2]Calc_Coef _18'!AE605</f>
        <v>7801801</v>
      </c>
      <c r="B607" s="32" t="str">
        <f>'[2]Calc_Coef _18'!C605</f>
        <v>020725</v>
      </c>
      <c r="C607" s="32" t="str">
        <f>'[2]Calc_Coef _18'!AF605</f>
        <v>PEITO DE PERU</v>
      </c>
      <c r="D607" s="63">
        <f>'[2]Calc_Coef _18'!AG605</f>
        <v>3760</v>
      </c>
      <c r="E607" s="63">
        <f>'[2]Calc_Coef _18'!AH605</f>
        <v>4474.4591510944665</v>
      </c>
      <c r="F607" s="64">
        <f>'[2]Calc_Coef _18'!AI605</f>
        <v>26.5</v>
      </c>
      <c r="G607" s="30"/>
      <c r="H607"/>
      <c r="I607"/>
    </row>
    <row r="608" spans="1:9" x14ac:dyDescent="0.25">
      <c r="A608" s="32">
        <f>'[2]Calc_Coef _18'!AE606</f>
        <v>7801901</v>
      </c>
      <c r="B608" s="32" t="str">
        <f>'[2]Calc_Coef _18'!C606</f>
        <v>020725</v>
      </c>
      <c r="C608" s="32" t="str">
        <f>'[2]Calc_Coef _18'!AF606</f>
        <v>PERU, COXA</v>
      </c>
      <c r="D608" s="63">
        <f>'[2]Calc_Coef _18'!AG606</f>
        <v>3760</v>
      </c>
      <c r="E608" s="63">
        <f>'[2]Calc_Coef _18'!AH606</f>
        <v>4474.4591510944665</v>
      </c>
      <c r="F608" s="64">
        <f>'[2]Calc_Coef _18'!AI606</f>
        <v>26.5</v>
      </c>
      <c r="G608" s="30"/>
      <c r="H608"/>
      <c r="I608"/>
    </row>
    <row r="609" spans="1:9" x14ac:dyDescent="0.25">
      <c r="A609" s="32">
        <f>'[2]Calc_Coef _18'!AE607</f>
        <v>7801901</v>
      </c>
      <c r="B609" s="32" t="str">
        <f>'[2]Calc_Coef _18'!C607</f>
        <v>020725</v>
      </c>
      <c r="C609" s="32" t="str">
        <f>'[2]Calc_Coef _18'!AF607</f>
        <v>PERU, COXA</v>
      </c>
      <c r="D609" s="63">
        <f>'[2]Calc_Coef _18'!AG607</f>
        <v>3760</v>
      </c>
      <c r="E609" s="63">
        <f>'[2]Calc_Coef _18'!AH607</f>
        <v>4474.4591510944665</v>
      </c>
      <c r="F609" s="64">
        <f>'[2]Calc_Coef _18'!AI607</f>
        <v>26.5</v>
      </c>
      <c r="G609" s="30"/>
      <c r="H609"/>
      <c r="I609"/>
    </row>
    <row r="610" spans="1:9" x14ac:dyDescent="0.25">
      <c r="A610" s="32">
        <f>'[2]Calc_Coef _18'!AE608</f>
        <v>7801901</v>
      </c>
      <c r="B610" s="32" t="str">
        <f>'[2]Calc_Coef _18'!C608</f>
        <v>020725</v>
      </c>
      <c r="C610" s="32" t="str">
        <f>'[2]Calc_Coef _18'!AF608</f>
        <v>PERU, COXA</v>
      </c>
      <c r="D610" s="63">
        <f>'[2]Calc_Coef _18'!AG608</f>
        <v>3760</v>
      </c>
      <c r="E610" s="63">
        <f>'[2]Calc_Coef _18'!AH608</f>
        <v>4474.4591510944665</v>
      </c>
      <c r="F610" s="64">
        <f>'[2]Calc_Coef _18'!AI608</f>
        <v>26.5</v>
      </c>
      <c r="G610" s="30"/>
      <c r="H610"/>
      <c r="I610"/>
    </row>
    <row r="611" spans="1:9" x14ac:dyDescent="0.25">
      <c r="A611" s="32">
        <f>'[2]Calc_Coef _18'!AE609</f>
        <v>7802101</v>
      </c>
      <c r="B611" s="32" t="str">
        <f>'[2]Calc_Coef _18'!C609</f>
        <v>020725</v>
      </c>
      <c r="C611" s="32" t="str">
        <f>'[2]Calc_Coef _18'!AF609</f>
        <v>ASA DE PERU</v>
      </c>
      <c r="D611" s="63">
        <f>'[2]Calc_Coef _18'!AG609</f>
        <v>3760</v>
      </c>
      <c r="E611" s="63">
        <f>'[2]Calc_Coef _18'!AH609</f>
        <v>4474.4591510944665</v>
      </c>
      <c r="F611" s="64">
        <f>'[2]Calc_Coef _18'!AI609</f>
        <v>26.5</v>
      </c>
      <c r="G611" s="30"/>
      <c r="H611"/>
      <c r="I611"/>
    </row>
    <row r="612" spans="1:9" x14ac:dyDescent="0.25">
      <c r="A612" s="32">
        <f>'[2]Calc_Coef _18'!AE610</f>
        <v>7802701</v>
      </c>
      <c r="B612" s="32" t="str">
        <f>'[2]Calc_Coef _18'!C610</f>
        <v>020711</v>
      </c>
      <c r="C612" s="32" t="str">
        <f>'[2]Calc_Coef _18'!AF610</f>
        <v>CHESTER</v>
      </c>
      <c r="D612" s="63">
        <f>'[2]Calc_Coef _18'!AG610</f>
        <v>3320.9089509884666</v>
      </c>
      <c r="E612" s="63">
        <f>'[2]Calc_Coef _18'!AH610</f>
        <v>4474.4591510944665</v>
      </c>
      <c r="F612" s="64">
        <f>'[2]Calc_Coef _18'!AI610</f>
        <v>26.5</v>
      </c>
      <c r="G612" s="30"/>
      <c r="H612"/>
      <c r="I612"/>
    </row>
    <row r="613" spans="1:9" x14ac:dyDescent="0.25">
      <c r="A613" s="32">
        <f>'[2]Calc_Coef _18'!AE611</f>
        <v>7802702</v>
      </c>
      <c r="B613" s="32">
        <f>'[2]Calc_Coef _18'!C611</f>
        <v>160241</v>
      </c>
      <c r="C613" s="32" t="str">
        <f>'[2]Calc_Coef _18'!AF611</f>
        <v>TENDER</v>
      </c>
      <c r="D613" s="63">
        <f>'[2]Calc_Coef _18'!AG611</f>
        <v>5300</v>
      </c>
      <c r="E613" s="63">
        <f>'[2]Calc_Coef _18'!AH611</f>
        <v>8744</v>
      </c>
      <c r="F613" s="64">
        <f>'[2]Calc_Coef _18'!AI611</f>
        <v>52</v>
      </c>
      <c r="G613" s="30"/>
      <c r="H613"/>
      <c r="I613"/>
    </row>
    <row r="614" spans="1:9" x14ac:dyDescent="0.25">
      <c r="A614" s="32">
        <f>'[2]Calc_Coef _18'!AE612</f>
        <v>7802901</v>
      </c>
      <c r="B614" s="32">
        <f>'[2]Calc_Coef _18'!C612</f>
        <v>160232</v>
      </c>
      <c r="C614" s="32" t="str">
        <f>'[2]Calc_Coef _18'!AF612</f>
        <v>NUGGETS DE FRANGO</v>
      </c>
      <c r="D614" s="63">
        <f>'[2]Calc_Coef _18'!AG612</f>
        <v>4225</v>
      </c>
      <c r="E614" s="63">
        <f>'[2]Calc_Coef _18'!AH612</f>
        <v>8744</v>
      </c>
      <c r="F614" s="64">
        <f>'[2]Calc_Coef _18'!AI612</f>
        <v>52</v>
      </c>
      <c r="G614" s="30"/>
      <c r="H614"/>
      <c r="I614"/>
    </row>
    <row r="615" spans="1:9" x14ac:dyDescent="0.25">
      <c r="A615" s="32">
        <f>'[2]Calc_Coef _18'!AE613</f>
        <v>7802902</v>
      </c>
      <c r="B615" s="32">
        <f>'[2]Calc_Coef _18'!C613</f>
        <v>160232</v>
      </c>
      <c r="C615" s="32" t="str">
        <f>'[2]Calc_Coef _18'!AF613</f>
        <v>STEAK DE FRANGO</v>
      </c>
      <c r="D615" s="63">
        <f>'[2]Calc_Coef _18'!AG613</f>
        <v>4225</v>
      </c>
      <c r="E615" s="63">
        <f>'[2]Calc_Coef _18'!AH613</f>
        <v>8744</v>
      </c>
      <c r="F615" s="64">
        <f>'[2]Calc_Coef _18'!AI613</f>
        <v>52</v>
      </c>
      <c r="G615" s="30"/>
      <c r="H615"/>
      <c r="I615"/>
    </row>
    <row r="616" spans="1:9" x14ac:dyDescent="0.25">
      <c r="A616" s="32">
        <f>'[2]Calc_Coef _18'!AE614</f>
        <v>7802905</v>
      </c>
      <c r="B616" s="32">
        <f>'[2]Calc_Coef _18'!C614</f>
        <v>160232</v>
      </c>
      <c r="C616" s="32" t="str">
        <f>'[2]Calc_Coef _18'!AF614</f>
        <v>NUGGET RECHEADO</v>
      </c>
      <c r="D616" s="63">
        <f>'[2]Calc_Coef _18'!AG614</f>
        <v>4225</v>
      </c>
      <c r="E616" s="63">
        <f>'[2]Calc_Coef _18'!AH614</f>
        <v>8744</v>
      </c>
      <c r="F616" s="64">
        <f>'[2]Calc_Coef _18'!AI614</f>
        <v>52</v>
      </c>
      <c r="G616" s="30"/>
      <c r="H616"/>
      <c r="I616"/>
    </row>
    <row r="617" spans="1:9" x14ac:dyDescent="0.25">
      <c r="A617" s="32">
        <f>'[2]Calc_Coef _18'!AE615</f>
        <v>7803301</v>
      </c>
      <c r="B617" s="32" t="str">
        <f>'[2]Calc_Coef _18'!C615</f>
        <v>040721</v>
      </c>
      <c r="C617" s="32" t="str">
        <f>'[2]Calc_Coef _18'!AF615</f>
        <v>OVO DE GALINHA</v>
      </c>
      <c r="D617" s="63">
        <f>'[2]Calc_Coef _18'!AG615</f>
        <v>3362.8489755858177</v>
      </c>
      <c r="E617" s="63">
        <f>'[2]Calc_Coef _18'!AH615</f>
        <v>3072.4611524415941</v>
      </c>
      <c r="F617" s="64">
        <f>'[2]Calc_Coef _18'!AI615</f>
        <v>20.840096668140877</v>
      </c>
      <c r="G617" s="30"/>
      <c r="H617"/>
      <c r="I617"/>
    </row>
    <row r="618" spans="1:9" x14ac:dyDescent="0.25">
      <c r="A618" s="32">
        <f>'[2]Calc_Coef _18'!AE616</f>
        <v>7803501</v>
      </c>
      <c r="B618" s="32" t="str">
        <f>'[2]Calc_Coef _18'!C616</f>
        <v>040729</v>
      </c>
      <c r="C618" s="32" t="str">
        <f>'[2]Calc_Coef _18'!AF616</f>
        <v>OVO DE CODORNA</v>
      </c>
      <c r="D618" s="63">
        <f>'[2]Calc_Coef _18'!AG616</f>
        <v>3362.8489755858177</v>
      </c>
      <c r="E618" s="63">
        <f>'[2]Calc_Coef _18'!AH616</f>
        <v>3072.4611524415941</v>
      </c>
      <c r="F618" s="64">
        <f>'[2]Calc_Coef _18'!AI616</f>
        <v>20.840096668140877</v>
      </c>
      <c r="G618" s="30"/>
      <c r="H618"/>
      <c r="I618"/>
    </row>
    <row r="619" spans="1:9" x14ac:dyDescent="0.25">
      <c r="A619" s="32">
        <f>'[2]Calc_Coef _18'!AE617</f>
        <v>7803702</v>
      </c>
      <c r="B619" s="32" t="str">
        <f>'[2]Calc_Coef _18'!C617</f>
        <v>020760</v>
      </c>
      <c r="C619" s="32" t="str">
        <f>'[2]Calc_Coef _18'!AF617</f>
        <v>GALINHA DE ANGOLA ABATIDA, CONGELADA OU VIVA</v>
      </c>
      <c r="D619" s="63">
        <f>'[2]Calc_Coef _18'!AG617</f>
        <v>3335.5453192888513</v>
      </c>
      <c r="E619" s="63">
        <f>'[2]Calc_Coef _18'!AH617</f>
        <v>4474.4591510944665</v>
      </c>
      <c r="F619" s="64">
        <f>'[2]Calc_Coef _18'!AI617</f>
        <v>26.5</v>
      </c>
      <c r="G619" s="30"/>
      <c r="H619"/>
      <c r="I619"/>
    </row>
    <row r="620" spans="1:9" x14ac:dyDescent="0.25">
      <c r="A620" s="32">
        <f>'[2]Calc_Coef _18'!AE618</f>
        <v>7803907</v>
      </c>
      <c r="B620" s="32" t="str">
        <f>'[2]Calc_Coef _18'!C618</f>
        <v>020741</v>
      </c>
      <c r="C620" s="32" t="str">
        <f>'[2]Calc_Coef _18'!AF618</f>
        <v>PATO EM PEDACOS</v>
      </c>
      <c r="D620" s="63">
        <f>'[2]Calc_Coef _18'!AG618</f>
        <v>3335.5453192888513</v>
      </c>
      <c r="E620" s="63">
        <f>'[2]Calc_Coef _18'!AH618</f>
        <v>4474.4591510944665</v>
      </c>
      <c r="F620" s="64">
        <f>'[2]Calc_Coef _18'!AI618</f>
        <v>26.5</v>
      </c>
      <c r="G620" s="30"/>
      <c r="H620"/>
      <c r="I620"/>
    </row>
    <row r="621" spans="1:9" x14ac:dyDescent="0.25">
      <c r="A621" s="32">
        <f>'[2]Calc_Coef _18'!AE619</f>
        <v>7803908</v>
      </c>
      <c r="B621" s="32" t="str">
        <f>'[2]Calc_Coef _18'!C619</f>
        <v>020741</v>
      </c>
      <c r="C621" s="32" t="str">
        <f>'[2]Calc_Coef _18'!AF619</f>
        <v>PEITO DE PATO</v>
      </c>
      <c r="D621" s="63">
        <f>'[2]Calc_Coef _18'!AG619</f>
        <v>3335.5453192888513</v>
      </c>
      <c r="E621" s="63">
        <f>'[2]Calc_Coef _18'!AH619</f>
        <v>4474.4591510944665</v>
      </c>
      <c r="F621" s="64">
        <f>'[2]Calc_Coef _18'!AI619</f>
        <v>26.5</v>
      </c>
      <c r="G621" s="30"/>
      <c r="H621"/>
      <c r="I621"/>
    </row>
    <row r="622" spans="1:9" x14ac:dyDescent="0.25">
      <c r="A622" s="32">
        <f>'[2]Calc_Coef _18'!AE620</f>
        <v>7803913</v>
      </c>
      <c r="B622" s="32" t="str">
        <f>'[2]Calc_Coef _18'!C620</f>
        <v>020741</v>
      </c>
      <c r="C622" s="32" t="str">
        <f>'[2]Calc_Coef _18'!AF620</f>
        <v>CARNE DE PATO</v>
      </c>
      <c r="D622" s="63">
        <f>'[2]Calc_Coef _18'!AG620</f>
        <v>3335.5453192888513</v>
      </c>
      <c r="E622" s="63">
        <f>'[2]Calc_Coef _18'!AH620</f>
        <v>4474.4591510944665</v>
      </c>
      <c r="F622" s="64">
        <f>'[2]Calc_Coef _18'!AI620</f>
        <v>26.5</v>
      </c>
      <c r="G622" s="30"/>
      <c r="H622"/>
      <c r="I622"/>
    </row>
    <row r="623" spans="1:9" x14ac:dyDescent="0.25">
      <c r="A623" s="32">
        <f>'[2]Calc_Coef _18'!AE621</f>
        <v>7805401</v>
      </c>
      <c r="B623" s="32" t="str">
        <f>'[2]Calc_Coef _18'!C621</f>
        <v>020725</v>
      </c>
      <c r="C623" s="32" t="str">
        <f>'[2]Calc_Coef _18'!AF621</f>
        <v>PEITO DE PERU LIGHT</v>
      </c>
      <c r="D623" s="63">
        <f>'[2]Calc_Coef _18'!AG621</f>
        <v>3760</v>
      </c>
      <c r="E623" s="63">
        <f>'[2]Calc_Coef _18'!AH621</f>
        <v>4474.4591510944665</v>
      </c>
      <c r="F623" s="64">
        <f>'[2]Calc_Coef _18'!AI621</f>
        <v>26.5</v>
      </c>
      <c r="G623" s="30"/>
      <c r="H623"/>
      <c r="I623"/>
    </row>
    <row r="624" spans="1:9" x14ac:dyDescent="0.25">
      <c r="A624" s="32">
        <f>'[2]Calc_Coef _18'!AE622</f>
        <v>7806002</v>
      </c>
      <c r="B624" s="32" t="str">
        <f>'[2]Calc_Coef _18'!C622</f>
        <v>020745</v>
      </c>
      <c r="C624" s="32" t="str">
        <f>'[2]Calc_Coef _18'!AF622</f>
        <v>MARRECO, CARNE NAO ESPECIFICADO</v>
      </c>
      <c r="D624" s="63">
        <f>'[2]Calc_Coef _18'!AG622</f>
        <v>3335.5453192888513</v>
      </c>
      <c r="E624" s="63">
        <f>'[2]Calc_Coef _18'!AH622</f>
        <v>4474.4591510944665</v>
      </c>
      <c r="F624" s="64">
        <f>'[2]Calc_Coef _18'!AI622</f>
        <v>26.5</v>
      </c>
      <c r="G624" s="30"/>
      <c r="H624"/>
      <c r="I624"/>
    </row>
    <row r="625" spans="1:9" x14ac:dyDescent="0.25">
      <c r="A625" s="32">
        <f>'[2]Calc_Coef _18'!AE623</f>
        <v>7806201</v>
      </c>
      <c r="B625" s="32" t="str">
        <f>'[2]Calc_Coef _18'!C623</f>
        <v>020711</v>
      </c>
      <c r="C625" s="32" t="str">
        <f>'[2]Calc_Coef _18'!AF623</f>
        <v>CARNE MOIDA DE FRANGO</v>
      </c>
      <c r="D625" s="63">
        <f>'[2]Calc_Coef _18'!AG623</f>
        <v>3320.9089509884666</v>
      </c>
      <c r="E625" s="63">
        <f>'[2]Calc_Coef _18'!AH623</f>
        <v>4474.4591510944665</v>
      </c>
      <c r="F625" s="64">
        <f>'[2]Calc_Coef _18'!AI623</f>
        <v>26.5</v>
      </c>
      <c r="G625" s="30"/>
      <c r="H625"/>
      <c r="I625"/>
    </row>
    <row r="626" spans="1:9" x14ac:dyDescent="0.25">
      <c r="A626" s="32">
        <f>'[2]Calc_Coef _18'!AE624</f>
        <v>7807101</v>
      </c>
      <c r="B626" s="32" t="str">
        <f>'[2]Calc_Coef _18'!C624</f>
        <v>040721</v>
      </c>
      <c r="C626" s="32" t="str">
        <f>'[2]Calc_Coef _18'!AF624</f>
        <v>OVO CLARA</v>
      </c>
      <c r="D626" s="63">
        <f>'[2]Calc_Coef _18'!AG624</f>
        <v>3362.8489755858177</v>
      </c>
      <c r="E626" s="63">
        <f>'[2]Calc_Coef _18'!AH624</f>
        <v>3072.4611524415941</v>
      </c>
      <c r="F626" s="64">
        <f>'[2]Calc_Coef _18'!AI624</f>
        <v>20.840096668140877</v>
      </c>
      <c r="G626" s="30"/>
      <c r="H626"/>
      <c r="I626"/>
    </row>
    <row r="627" spans="1:9" x14ac:dyDescent="0.25">
      <c r="A627" s="32">
        <f>'[2]Calc_Coef _18'!AE625</f>
        <v>7807201</v>
      </c>
      <c r="B627" s="32" t="str">
        <f>'[2]Calc_Coef _18'!C625</f>
        <v>040721</v>
      </c>
      <c r="C627" s="32" t="str">
        <f>'[2]Calc_Coef _18'!AF625</f>
        <v>OVO GEMA</v>
      </c>
      <c r="D627" s="63">
        <f>'[2]Calc_Coef _18'!AG625</f>
        <v>3362.8489755858177</v>
      </c>
      <c r="E627" s="63">
        <f>'[2]Calc_Coef _18'!AH625</f>
        <v>3072.4611524415941</v>
      </c>
      <c r="F627" s="64">
        <f>'[2]Calc_Coef _18'!AI625</f>
        <v>20.840096668140877</v>
      </c>
      <c r="G627" s="30"/>
      <c r="H627"/>
      <c r="I627"/>
    </row>
    <row r="628" spans="1:9" x14ac:dyDescent="0.25">
      <c r="A628" s="32">
        <f>'[2]Calc_Coef _18'!AE626</f>
        <v>7807501</v>
      </c>
      <c r="B628" s="32" t="str">
        <f>'[2]Calc_Coef _18'!C626</f>
        <v>020711</v>
      </c>
      <c r="C628" s="32" t="str">
        <f>'[2]Calc_Coef _18'!AF626</f>
        <v>FRANGO A PASSARINHO</v>
      </c>
      <c r="D628" s="63">
        <f>'[2]Calc_Coef _18'!AG626</f>
        <v>3320.9089509884666</v>
      </c>
      <c r="E628" s="63">
        <f>'[2]Calc_Coef _18'!AH626</f>
        <v>4474.4591510944665</v>
      </c>
      <c r="F628" s="64">
        <f>'[2]Calc_Coef _18'!AI626</f>
        <v>26.5</v>
      </c>
      <c r="G628" s="30"/>
      <c r="H628"/>
      <c r="I628"/>
    </row>
    <row r="629" spans="1:9" x14ac:dyDescent="0.25">
      <c r="A629" s="32">
        <f>'[2]Calc_Coef _18'!AE627</f>
        <v>7807702</v>
      </c>
      <c r="B629" s="32" t="str">
        <f>'[2]Calc_Coef _18'!C627</f>
        <v>020754</v>
      </c>
      <c r="C629" s="32" t="str">
        <f>'[2]Calc_Coef _18'!AF627</f>
        <v>GANSO, CARNE NAO ESPECIFICADO</v>
      </c>
      <c r="D629" s="63">
        <f>'[2]Calc_Coef _18'!AG627</f>
        <v>3335.5453192888513</v>
      </c>
      <c r="E629" s="63">
        <f>'[2]Calc_Coef _18'!AH627</f>
        <v>4474.4591510944665</v>
      </c>
      <c r="F629" s="64">
        <f>'[2]Calc_Coef _18'!AI627</f>
        <v>26.5</v>
      </c>
      <c r="G629" s="30"/>
      <c r="H629"/>
      <c r="I629"/>
    </row>
    <row r="630" spans="1:9" x14ac:dyDescent="0.25">
      <c r="A630" s="32">
        <f>'[2]Calc_Coef _18'!AE628</f>
        <v>7900101</v>
      </c>
      <c r="B630" s="32" t="str">
        <f>'[2]Calc_Coef _18'!C628</f>
        <v>040130</v>
      </c>
      <c r="C630" s="32" t="str">
        <f>'[2]Calc_Coef _18'!AF628</f>
        <v>LEITE DE VACA INTEGRAL</v>
      </c>
      <c r="D630" s="63">
        <f>'[2]Calc_Coef _18'!AG628</f>
        <v>1265.4625009107467</v>
      </c>
      <c r="E630" s="63">
        <f>'[2]Calc_Coef _18'!AH628</f>
        <v>1346.6666666666667</v>
      </c>
      <c r="F630" s="64">
        <f>'[2]Calc_Coef _18'!AI628</f>
        <v>8.4665445665445667</v>
      </c>
      <c r="G630" s="30"/>
      <c r="H630"/>
      <c r="I630"/>
    </row>
    <row r="631" spans="1:9" x14ac:dyDescent="0.25">
      <c r="A631" s="32">
        <f>'[2]Calc_Coef _18'!AE629</f>
        <v>7900201</v>
      </c>
      <c r="B631" s="32" t="str">
        <f>'[2]Calc_Coef _18'!C629</f>
        <v>040130</v>
      </c>
      <c r="C631" s="32" t="str">
        <f>'[2]Calc_Coef _18'!AF629</f>
        <v>LEITE DE VACA FRESCO</v>
      </c>
      <c r="D631" s="63">
        <f>'[2]Calc_Coef _18'!AG629</f>
        <v>1265.4625009107467</v>
      </c>
      <c r="E631" s="63">
        <f>'[2]Calc_Coef _18'!AH629</f>
        <v>1346.6666666666667</v>
      </c>
      <c r="F631" s="64">
        <f>'[2]Calc_Coef _18'!AI629</f>
        <v>8.4665445665445667</v>
      </c>
      <c r="G631" s="30"/>
      <c r="H631"/>
      <c r="I631"/>
    </row>
    <row r="632" spans="1:9" x14ac:dyDescent="0.25">
      <c r="A632" s="32">
        <f>'[2]Calc_Coef _18'!AE630</f>
        <v>7900301</v>
      </c>
      <c r="B632" s="32" t="str">
        <f>'[2]Calc_Coef _18'!C630</f>
        <v>040111</v>
      </c>
      <c r="C632" s="32" t="str">
        <f>'[2]Calc_Coef _18'!AF630</f>
        <v>LEITE DE CABRA</v>
      </c>
      <c r="D632" s="63">
        <f>'[2]Calc_Coef _18'!AG630</f>
        <v>1322</v>
      </c>
      <c r="E632" s="63">
        <f>'[2]Calc_Coef _18'!AH630</f>
        <v>1203.6139137517953</v>
      </c>
      <c r="F632" s="64">
        <f>'[2]Calc_Coef _18'!AI630</f>
        <v>16.662867996201328</v>
      </c>
      <c r="G632" s="30"/>
      <c r="H632"/>
      <c r="I632"/>
    </row>
    <row r="633" spans="1:9" x14ac:dyDescent="0.25">
      <c r="A633" s="32">
        <f>'[2]Calc_Coef _18'!AE631</f>
        <v>7900601</v>
      </c>
      <c r="B633" s="32" t="str">
        <f>'[2]Calc_Coef _18'!C631</f>
        <v>040210</v>
      </c>
      <c r="C633" s="32" t="str">
        <f>'[2]Calc_Coef _18'!AF631</f>
        <v>LEITE EM PO INTEGRAL</v>
      </c>
      <c r="D633" s="63">
        <f>'[2]Calc_Coef _18'!AG631</f>
        <v>11000</v>
      </c>
      <c r="E633" s="63">
        <f>'[2]Calc_Coef _18'!AH631</f>
        <v>5596.804698945848</v>
      </c>
      <c r="F633" s="64">
        <f>'[2]Calc_Coef _18'!AI631</f>
        <v>27.09194232168722</v>
      </c>
      <c r="G633" s="30"/>
      <c r="H633"/>
      <c r="I633"/>
    </row>
    <row r="634" spans="1:9" x14ac:dyDescent="0.25">
      <c r="A634" s="32">
        <f>'[2]Calc_Coef _18'!AE632</f>
        <v>7900710</v>
      </c>
      <c r="B634" s="32" t="str">
        <f>'[2]Calc_Coef _18'!C632</f>
        <v>040221</v>
      </c>
      <c r="C634" s="32" t="str">
        <f>'[2]Calc_Coef _18'!AF632</f>
        <v>LEITE EM PO DESNATADO</v>
      </c>
      <c r="D634" s="63">
        <f>'[2]Calc_Coef _18'!AG632</f>
        <v>11000</v>
      </c>
      <c r="E634" s="63">
        <f>'[2]Calc_Coef _18'!AH632</f>
        <v>5596.804698945848</v>
      </c>
      <c r="F634" s="64">
        <f>'[2]Calc_Coef _18'!AI632</f>
        <v>27.09194232168722</v>
      </c>
      <c r="G634" s="30"/>
      <c r="H634"/>
      <c r="I634"/>
    </row>
    <row r="635" spans="1:9" x14ac:dyDescent="0.25">
      <c r="A635" s="32">
        <f>'[2]Calc_Coef _18'!AE633</f>
        <v>7900801</v>
      </c>
      <c r="B635" s="32" t="str">
        <f>'[2]Calc_Coef _18'!C633</f>
        <v>040210</v>
      </c>
      <c r="C635" s="32" t="str">
        <f>'[2]Calc_Coef _18'!AF633</f>
        <v>LEITE EM PO</v>
      </c>
      <c r="D635" s="63">
        <f>'[2]Calc_Coef _18'!AG633</f>
        <v>11000</v>
      </c>
      <c r="E635" s="63">
        <f>'[2]Calc_Coef _18'!AH633</f>
        <v>5596.804698945848</v>
      </c>
      <c r="F635" s="64">
        <f>'[2]Calc_Coef _18'!AI633</f>
        <v>27.09194232168722</v>
      </c>
      <c r="G635" s="30"/>
      <c r="H635"/>
      <c r="I635"/>
    </row>
    <row r="636" spans="1:9" x14ac:dyDescent="0.25">
      <c r="A636" s="32">
        <f>'[2]Calc_Coef _18'!AE634</f>
        <v>7900901</v>
      </c>
      <c r="B636" s="32">
        <f>'[2]Calc_Coef _18'!C634</f>
        <v>190190</v>
      </c>
      <c r="C636" s="32" t="str">
        <f>'[2]Calc_Coef _18'!AF634</f>
        <v>LEITE CONDENSADO</v>
      </c>
      <c r="D636" s="63">
        <f>'[2]Calc_Coef _18'!AG634</f>
        <v>3200</v>
      </c>
      <c r="E636" s="63">
        <f>'[2]Calc_Coef _18'!AH634</f>
        <v>1870.1099089032616</v>
      </c>
      <c r="F636" s="64">
        <f>'[2]Calc_Coef _18'!AI634</f>
        <v>5</v>
      </c>
      <c r="G636" s="30"/>
      <c r="H636"/>
      <c r="I636"/>
    </row>
    <row r="637" spans="1:9" x14ac:dyDescent="0.25">
      <c r="A637" s="32">
        <f>'[2]Calc_Coef _18'!AE635</f>
        <v>7900903</v>
      </c>
      <c r="B637" s="32">
        <f>'[2]Calc_Coef _18'!C635</f>
        <v>190190</v>
      </c>
      <c r="C637" s="32" t="str">
        <f>'[2]Calc_Coef _18'!AF635</f>
        <v>LEITE BEIJINHO</v>
      </c>
      <c r="D637" s="63">
        <f>'[2]Calc_Coef _18'!AG635</f>
        <v>3200</v>
      </c>
      <c r="E637" s="63">
        <f>'[2]Calc_Coef _18'!AH635</f>
        <v>1870.1099089032616</v>
      </c>
      <c r="F637" s="64">
        <f>'[2]Calc_Coef _18'!AI635</f>
        <v>5</v>
      </c>
      <c r="G637" s="30"/>
      <c r="H637"/>
      <c r="I637"/>
    </row>
    <row r="638" spans="1:9" x14ac:dyDescent="0.25">
      <c r="A638" s="32">
        <f>'[2]Calc_Coef _18'!AE636</f>
        <v>7901001</v>
      </c>
      <c r="B638" s="32" t="str">
        <f>'[2]Calc_Coef _18'!C636</f>
        <v>040150</v>
      </c>
      <c r="C638" s="32" t="str">
        <f>'[2]Calc_Coef _18'!AF636</f>
        <v>CREME DE LEITE</v>
      </c>
      <c r="D638" s="63">
        <f>'[2]Calc_Coef _18'!AG636</f>
        <v>6272.2906885759003</v>
      </c>
      <c r="E638" s="63">
        <f>'[2]Calc_Coef _18'!AH636</f>
        <v>4954.3609397891696</v>
      </c>
      <c r="F638" s="64">
        <f>'[2]Calc_Coef _18'!AI636</f>
        <v>45.35</v>
      </c>
      <c r="G638" s="30"/>
      <c r="H638"/>
      <c r="I638"/>
    </row>
    <row r="639" spans="1:9" x14ac:dyDescent="0.25">
      <c r="A639" s="32">
        <f>'[2]Calc_Coef _18'!AE637</f>
        <v>7901201</v>
      </c>
      <c r="B639" s="32" t="str">
        <f>'[2]Calc_Coef _18'!C637</f>
        <v>040311</v>
      </c>
      <c r="C639" s="32" t="str">
        <f>'[2]Calc_Coef _18'!AF637</f>
        <v>IOGURTE DE QUALQUER SABOR</v>
      </c>
      <c r="D639" s="63">
        <f>'[2]Calc_Coef _18'!AG637</f>
        <v>3433.3333333333335</v>
      </c>
      <c r="E639" s="63">
        <f>'[2]Calc_Coef _18'!AH637</f>
        <v>1501.8002936841156</v>
      </c>
      <c r="F639" s="64">
        <f>'[2]Calc_Coef _18'!AI637</f>
        <v>12.766666666666666</v>
      </c>
      <c r="G639" s="30"/>
      <c r="H639"/>
      <c r="I639"/>
    </row>
    <row r="640" spans="1:9" x14ac:dyDescent="0.25">
      <c r="A640" s="32">
        <f>'[2]Calc_Coef _18'!AE638</f>
        <v>7901203</v>
      </c>
      <c r="B640" s="32" t="str">
        <f>'[2]Calc_Coef _18'!C638</f>
        <v>040310</v>
      </c>
      <c r="C640" s="32" t="str">
        <f>'[2]Calc_Coef _18'!AF638</f>
        <v>IOGURTE DESNATADO</v>
      </c>
      <c r="D640" s="63">
        <f>'[2]Calc_Coef _18'!AG638</f>
        <v>1605.4269913377161</v>
      </c>
      <c r="E640" s="63">
        <f>'[2]Calc_Coef _18'!AH638</f>
        <v>1501.8002936841156</v>
      </c>
      <c r="F640" s="64">
        <f>'[2]Calc_Coef _18'!AI638</f>
        <v>12.766666666666666</v>
      </c>
      <c r="G640" s="30"/>
      <c r="H640"/>
      <c r="I640"/>
    </row>
    <row r="641" spans="1:9" x14ac:dyDescent="0.25">
      <c r="A641" s="32">
        <f>'[2]Calc_Coef _18'!AE639</f>
        <v>7901204</v>
      </c>
      <c r="B641" s="32" t="str">
        <f>'[2]Calc_Coef _18'!C639</f>
        <v>040310</v>
      </c>
      <c r="C641" s="32" t="str">
        <f>'[2]Calc_Coef _18'!AF639</f>
        <v>IOGURTE NATURAL</v>
      </c>
      <c r="D641" s="63">
        <f>'[2]Calc_Coef _18'!AG639</f>
        <v>1605.4269913377161</v>
      </c>
      <c r="E641" s="63">
        <f>'[2]Calc_Coef _18'!AH639</f>
        <v>1501.8002936841156</v>
      </c>
      <c r="F641" s="64">
        <f>'[2]Calc_Coef _18'!AI639</f>
        <v>12.766666666666666</v>
      </c>
      <c r="G641" s="30"/>
      <c r="H641"/>
      <c r="I641"/>
    </row>
    <row r="642" spans="1:9" x14ac:dyDescent="0.25">
      <c r="A642" s="32">
        <f>'[2]Calc_Coef _18'!AE640</f>
        <v>7901301</v>
      </c>
      <c r="B642" s="32">
        <f>'[2]Calc_Coef _18'!C640</f>
        <v>220290</v>
      </c>
      <c r="C642" s="32" t="str">
        <f>'[2]Calc_Coef _18'!AF640</f>
        <v>YAKULT DE QUALQUER SABOR</v>
      </c>
      <c r="D642" s="63">
        <f>'[2]Calc_Coef _18'!AG640</f>
        <v>794.44444444444446</v>
      </c>
      <c r="E642" s="63">
        <f>'[2]Calc_Coef _18'!AH640</f>
        <v>11543.725015272823</v>
      </c>
      <c r="F642" s="64">
        <f>'[2]Calc_Coef _18'!AI640</f>
        <v>57.5</v>
      </c>
      <c r="G642" s="30"/>
      <c r="H642"/>
      <c r="I642"/>
    </row>
    <row r="643" spans="1:9" x14ac:dyDescent="0.25">
      <c r="A643" s="32">
        <f>'[2]Calc_Coef _18'!AE641</f>
        <v>7901303</v>
      </c>
      <c r="B643" s="32">
        <f>'[2]Calc_Coef _18'!C641</f>
        <v>220290</v>
      </c>
      <c r="C643" s="32" t="str">
        <f>'[2]Calc_Coef _18'!AF641</f>
        <v>BEBIDA LACTEA</v>
      </c>
      <c r="D643" s="63">
        <f>'[2]Calc_Coef _18'!AG641</f>
        <v>794.44444444444446</v>
      </c>
      <c r="E643" s="63">
        <f>'[2]Calc_Coef _18'!AH641</f>
        <v>1399.201174736462</v>
      </c>
      <c r="F643" s="64">
        <f>'[2]Calc_Coef _18'!AI641</f>
        <v>57.5</v>
      </c>
      <c r="G643" s="30"/>
      <c r="H643"/>
      <c r="I643"/>
    </row>
    <row r="644" spans="1:9" x14ac:dyDescent="0.25">
      <c r="A644" s="32">
        <f>'[2]Calc_Coef _18'!AE642</f>
        <v>7901304</v>
      </c>
      <c r="B644" s="32">
        <f>'[2]Calc_Coef _18'!C642</f>
        <v>220290</v>
      </c>
      <c r="C644" s="32" t="str">
        <f>'[2]Calc_Coef _18'!AF642</f>
        <v>LEITE FERMENTADO</v>
      </c>
      <c r="D644" s="63">
        <f>'[2]Calc_Coef _18'!AG642</f>
        <v>794.44444444444446</v>
      </c>
      <c r="E644" s="63">
        <f>'[2]Calc_Coef _18'!AH642</f>
        <v>11543.725015272823</v>
      </c>
      <c r="F644" s="64">
        <f>'[2]Calc_Coef _18'!AI642</f>
        <v>57.5</v>
      </c>
      <c r="G644" s="30"/>
      <c r="H644"/>
      <c r="I644"/>
    </row>
    <row r="645" spans="1:9" x14ac:dyDescent="0.25">
      <c r="A645" s="32">
        <f>'[2]Calc_Coef _18'!AE643</f>
        <v>7901401</v>
      </c>
      <c r="B645" s="32" t="str">
        <f>'[2]Calc_Coef _18'!C643</f>
        <v>040390</v>
      </c>
      <c r="C645" s="32" t="str">
        <f>'[2]Calc_Coef _18'!AF643</f>
        <v>COALHADA</v>
      </c>
      <c r="D645" s="63">
        <f>'[2]Calc_Coef _18'!AG643</f>
        <v>2153.7988939364013</v>
      </c>
      <c r="E645" s="63">
        <f>'[2]Calc_Coef _18'!AH643</f>
        <v>1501.8002936841156</v>
      </c>
      <c r="F645" s="64">
        <f>'[2]Calc_Coef _18'!AI643</f>
        <v>12.766666666666666</v>
      </c>
      <c r="G645" s="30"/>
      <c r="H645"/>
      <c r="I645"/>
    </row>
    <row r="646" spans="1:9" x14ac:dyDescent="0.25">
      <c r="A646" s="32">
        <f>'[2]Calc_Coef _18'!AE644</f>
        <v>7901501</v>
      </c>
      <c r="B646" s="32" t="str">
        <f>'[2]Calc_Coef _18'!C644</f>
        <v>040510</v>
      </c>
      <c r="C646" s="32" t="str">
        <f>'[2]Calc_Coef _18'!AF644</f>
        <v>MANTEIGA COM OU SEM SAL</v>
      </c>
      <c r="D646" s="63">
        <f>'[2]Calc_Coef _18'!AG644</f>
        <v>9101.3333333333321</v>
      </c>
      <c r="E646" s="63">
        <f>'[2]Calc_Coef _18'!AH644</f>
        <v>4218.3167817482954</v>
      </c>
      <c r="F646" s="64">
        <f>'[2]Calc_Coef _18'!AI644</f>
        <v>115</v>
      </c>
      <c r="G646" s="30"/>
      <c r="H646"/>
      <c r="I646"/>
    </row>
    <row r="647" spans="1:9" x14ac:dyDescent="0.25">
      <c r="A647" s="32">
        <f>'[2]Calc_Coef _18'!AE645</f>
        <v>7901505</v>
      </c>
      <c r="B647" s="32" t="str">
        <f>'[2]Calc_Coef _18'!C645</f>
        <v>040510</v>
      </c>
      <c r="C647" s="32" t="str">
        <f>'[2]Calc_Coef _18'!AF645</f>
        <v>MANTEIGA DE GARRAFA</v>
      </c>
      <c r="D647" s="63">
        <f>'[2]Calc_Coef _18'!AG645</f>
        <v>9101.3333333333321</v>
      </c>
      <c r="E647" s="63">
        <f>'[2]Calc_Coef _18'!AH645</f>
        <v>4218.3167817482954</v>
      </c>
      <c r="F647" s="64">
        <f>'[2]Calc_Coef _18'!AI645</f>
        <v>115</v>
      </c>
      <c r="G647" s="30"/>
      <c r="H647"/>
      <c r="I647"/>
    </row>
    <row r="648" spans="1:9" x14ac:dyDescent="0.25">
      <c r="A648" s="32">
        <f>'[2]Calc_Coef _18'!AE646</f>
        <v>7901602</v>
      </c>
      <c r="B648" s="32">
        <f>'[2]Calc_Coef _18'!C646</f>
        <v>151710</v>
      </c>
      <c r="C648" s="32" t="str">
        <f>'[2]Calc_Coef _18'!AF646</f>
        <v>MARGARINA COM OU SEM SAL</v>
      </c>
      <c r="D648" s="63">
        <f>'[2]Calc_Coef _18'!AG646</f>
        <v>1570</v>
      </c>
      <c r="E648" s="63">
        <f>'[2]Calc_Coef _18'!AH646</f>
        <v>1324</v>
      </c>
      <c r="F648" s="64">
        <f>'[2]Calc_Coef _18'!AI646</f>
        <v>66</v>
      </c>
      <c r="G648" s="30"/>
      <c r="H648"/>
      <c r="I648"/>
    </row>
    <row r="649" spans="1:9" x14ac:dyDescent="0.25">
      <c r="A649" s="32">
        <f>'[2]Calc_Coef _18'!AE647</f>
        <v>7901701</v>
      </c>
      <c r="B649" s="32" t="str">
        <f>'[2]Calc_Coef _18'!C647</f>
        <v>040630</v>
      </c>
      <c r="C649" s="32" t="str">
        <f>'[2]Calc_Coef _18'!AF647</f>
        <v>QUEIJO PRATO</v>
      </c>
      <c r="D649" s="63">
        <f>'[2]Calc_Coef _18'!AG647</f>
        <v>8762.4166666666661</v>
      </c>
      <c r="E649" s="63">
        <f>'[2]Calc_Coef _18'!AH647</f>
        <v>5921.6022838398312</v>
      </c>
      <c r="F649" s="64">
        <f>'[2]Calc_Coef _18'!AI647</f>
        <v>41.388095238095239</v>
      </c>
      <c r="G649" s="30"/>
      <c r="H649"/>
      <c r="I649"/>
    </row>
    <row r="650" spans="1:9" x14ac:dyDescent="0.25">
      <c r="A650" s="32">
        <f>'[2]Calc_Coef _18'!AE648</f>
        <v>7901703</v>
      </c>
      <c r="B650" s="32" t="str">
        <f>'[2]Calc_Coef _18'!C648</f>
        <v>040630</v>
      </c>
      <c r="C650" s="32" t="str">
        <f>'[2]Calc_Coef _18'!AF648</f>
        <v>QUEIJO COLONIAL</v>
      </c>
      <c r="D650" s="63">
        <f>'[2]Calc_Coef _18'!AG648</f>
        <v>8762.4166666666661</v>
      </c>
      <c r="E650" s="63">
        <f>'[2]Calc_Coef _18'!AH648</f>
        <v>5921.6022838398312</v>
      </c>
      <c r="F650" s="64">
        <f>'[2]Calc_Coef _18'!AI648</f>
        <v>41.388095238095239</v>
      </c>
      <c r="G650" s="30"/>
      <c r="H650"/>
      <c r="I650"/>
    </row>
    <row r="651" spans="1:9" x14ac:dyDescent="0.25">
      <c r="A651" s="32">
        <f>'[2]Calc_Coef _18'!AE649</f>
        <v>7901705</v>
      </c>
      <c r="B651" s="32" t="str">
        <f>'[2]Calc_Coef _18'!C649</f>
        <v>040630</v>
      </c>
      <c r="C651" s="32" t="str">
        <f>'[2]Calc_Coef _18'!AF649</f>
        <v>QUEIJO DE COLONIA</v>
      </c>
      <c r="D651" s="63">
        <f>'[2]Calc_Coef _18'!AG649</f>
        <v>8762.4166666666661</v>
      </c>
      <c r="E651" s="63">
        <f>'[2]Calc_Coef _18'!AH649</f>
        <v>5921.6022838398312</v>
      </c>
      <c r="F651" s="64">
        <f>'[2]Calc_Coef _18'!AI649</f>
        <v>41.388095238095239</v>
      </c>
      <c r="G651" s="30"/>
      <c r="H651"/>
      <c r="I651"/>
    </row>
    <row r="652" spans="1:9" x14ac:dyDescent="0.25">
      <c r="A652" s="32">
        <f>'[2]Calc_Coef _18'!AE650</f>
        <v>7901801</v>
      </c>
      <c r="B652" s="32" t="str">
        <f>'[2]Calc_Coef _18'!C650</f>
        <v>040611</v>
      </c>
      <c r="C652" s="32" t="str">
        <f>'[2]Calc_Coef _18'!AF650</f>
        <v>QUEIJO MUZARELLA</v>
      </c>
      <c r="D652" s="63">
        <f>'[2]Calc_Coef _18'!AG650</f>
        <v>9225</v>
      </c>
      <c r="E652" s="63">
        <f>'[2]Calc_Coef _18'!AH650</f>
        <v>6958.2199156802535</v>
      </c>
      <c r="F652" s="64">
        <f>'[2]Calc_Coef _18'!AI650</f>
        <v>35.6</v>
      </c>
      <c r="G652" s="30"/>
      <c r="H652"/>
      <c r="I652"/>
    </row>
    <row r="653" spans="1:9" x14ac:dyDescent="0.25">
      <c r="A653" s="32">
        <f>'[2]Calc_Coef _18'!AE651</f>
        <v>7901803</v>
      </c>
      <c r="B653" s="32" t="str">
        <f>'[2]Calc_Coef _18'!C651</f>
        <v>040611</v>
      </c>
      <c r="C653" s="32" t="str">
        <f>'[2]Calc_Coef _18'!AF651</f>
        <v>MUSSARELA</v>
      </c>
      <c r="D653" s="63">
        <f>'[2]Calc_Coef _18'!AG651</f>
        <v>9225</v>
      </c>
      <c r="E653" s="63">
        <f>'[2]Calc_Coef _18'!AH651</f>
        <v>7117</v>
      </c>
      <c r="F653" s="64">
        <f>'[2]Calc_Coef _18'!AI651</f>
        <v>35.6</v>
      </c>
      <c r="G653" s="30"/>
      <c r="H653"/>
      <c r="I653"/>
    </row>
    <row r="654" spans="1:9" x14ac:dyDescent="0.25">
      <c r="A654" s="32">
        <f>'[2]Calc_Coef _18'!AE652</f>
        <v>7901807</v>
      </c>
      <c r="B654" s="32" t="str">
        <f>'[2]Calc_Coef _18'!C652</f>
        <v>040611</v>
      </c>
      <c r="C654" s="32" t="str">
        <f>'[2]Calc_Coef _18'!AF652</f>
        <v>MUSSARELA DE BUFALA</v>
      </c>
      <c r="D654" s="63">
        <f>'[2]Calc_Coef _18'!AG652</f>
        <v>9225</v>
      </c>
      <c r="E654" s="63">
        <f>'[2]Calc_Coef _18'!AH652</f>
        <v>6989.9759325442037</v>
      </c>
      <c r="F654" s="64">
        <f>'[2]Calc_Coef _18'!AI652</f>
        <v>35.6</v>
      </c>
      <c r="G654" s="30"/>
      <c r="H654"/>
      <c r="I654"/>
    </row>
    <row r="655" spans="1:9" x14ac:dyDescent="0.25">
      <c r="A655" s="32">
        <f>'[2]Calc_Coef _18'!AE653</f>
        <v>7901809</v>
      </c>
      <c r="B655" s="32" t="str">
        <f>'[2]Calc_Coef _18'!C653</f>
        <v>040611</v>
      </c>
      <c r="C655" s="32" t="str">
        <f>'[2]Calc_Coef _18'!AF653</f>
        <v>QUEIJO DE BUFALO</v>
      </c>
      <c r="D655" s="63">
        <f>'[2]Calc_Coef _18'!AG653</f>
        <v>9225</v>
      </c>
      <c r="E655" s="63">
        <f>'[2]Calc_Coef _18'!AH653</f>
        <v>6989.9759325442037</v>
      </c>
      <c r="F655" s="64">
        <f>'[2]Calc_Coef _18'!AI653</f>
        <v>35.6</v>
      </c>
      <c r="G655" s="30"/>
      <c r="H655"/>
      <c r="I655"/>
    </row>
    <row r="656" spans="1:9" x14ac:dyDescent="0.25">
      <c r="A656" s="32">
        <f>'[2]Calc_Coef _18'!AE654</f>
        <v>7901901</v>
      </c>
      <c r="B656" s="32" t="str">
        <f>'[2]Calc_Coef _18'!C654</f>
        <v>040630</v>
      </c>
      <c r="C656" s="32" t="str">
        <f>'[2]Calc_Coef _18'!AF654</f>
        <v>QUEIJO DE REINO</v>
      </c>
      <c r="D656" s="63">
        <f>'[2]Calc_Coef _18'!AG654</f>
        <v>8762.4166666666661</v>
      </c>
      <c r="E656" s="63">
        <f>'[2]Calc_Coef _18'!AH654</f>
        <v>5921.6022838398312</v>
      </c>
      <c r="F656" s="64">
        <f>'[2]Calc_Coef _18'!AI654</f>
        <v>41.388095238095239</v>
      </c>
      <c r="G656" s="30"/>
      <c r="H656"/>
      <c r="I656"/>
    </row>
    <row r="657" spans="1:9" x14ac:dyDescent="0.25">
      <c r="A657" s="32">
        <f>'[2]Calc_Coef _18'!AE655</f>
        <v>7902001</v>
      </c>
      <c r="B657" s="32" t="str">
        <f>'[2]Calc_Coef _18'!C655</f>
        <v>040610</v>
      </c>
      <c r="C657" s="32" t="str">
        <f>'[2]Calc_Coef _18'!AF655</f>
        <v>QUEIJO DE MINAS</v>
      </c>
      <c r="D657" s="63">
        <f>'[2]Calc_Coef _18'!AG655</f>
        <v>8350</v>
      </c>
      <c r="E657" s="63">
        <f>'[2]Calc_Coef _18'!AH655</f>
        <v>3748.5041875142397</v>
      </c>
      <c r="F657" s="64">
        <f>'[2]Calc_Coef _18'!AI655</f>
        <v>54.476190476190482</v>
      </c>
      <c r="G657" s="30"/>
      <c r="H657"/>
      <c r="I657"/>
    </row>
    <row r="658" spans="1:9" x14ac:dyDescent="0.25">
      <c r="A658" s="32">
        <f>'[2]Calc_Coef _18'!AE656</f>
        <v>7902003</v>
      </c>
      <c r="B658" s="32" t="str">
        <f>'[2]Calc_Coef _18'!C656</f>
        <v>040630</v>
      </c>
      <c r="C658" s="32" t="str">
        <f>'[2]Calc_Coef _18'!AF656</f>
        <v>QUEIJO DE MANTEIGA</v>
      </c>
      <c r="D658" s="63">
        <f>'[2]Calc_Coef _18'!AG656</f>
        <v>8762.4166666666661</v>
      </c>
      <c r="E658" s="63">
        <f>'[2]Calc_Coef _18'!AH656</f>
        <v>5921.6022838398312</v>
      </c>
      <c r="F658" s="64">
        <f>'[2]Calc_Coef _18'!AI656</f>
        <v>41.388095238095239</v>
      </c>
      <c r="G658" s="30"/>
      <c r="H658"/>
      <c r="I658"/>
    </row>
    <row r="659" spans="1:9" x14ac:dyDescent="0.25">
      <c r="A659" s="32">
        <f>'[2]Calc_Coef _18'!AE657</f>
        <v>7902004</v>
      </c>
      <c r="B659" s="32">
        <f>'[2]Calc_Coef _18'!C657</f>
        <v>200799</v>
      </c>
      <c r="C659" s="32" t="str">
        <f>'[2]Calc_Coef _18'!AF657</f>
        <v>QUECHIMIA</v>
      </c>
      <c r="D659" s="63">
        <f>'[2]Calc_Coef _18'!AG657</f>
        <v>2947.5</v>
      </c>
      <c r="E659" s="63">
        <f>'[2]Calc_Coef _18'!AH657</f>
        <v>1471.4151641407616</v>
      </c>
      <c r="F659" s="64">
        <f>'[2]Calc_Coef _18'!AI657</f>
        <v>5.52</v>
      </c>
      <c r="G659" s="30"/>
      <c r="H659"/>
      <c r="I659"/>
    </row>
    <row r="660" spans="1:9" x14ac:dyDescent="0.25">
      <c r="A660" s="32">
        <f>'[2]Calc_Coef _18'!AE658</f>
        <v>7902005</v>
      </c>
      <c r="B660" s="32" t="str">
        <f>'[2]Calc_Coef _18'!C658</f>
        <v>040630</v>
      </c>
      <c r="C660" s="32" t="str">
        <f>'[2]Calc_Coef _18'!AF658</f>
        <v>QUEIJO DE COALHO</v>
      </c>
      <c r="D660" s="63">
        <f>'[2]Calc_Coef _18'!AG658</f>
        <v>8762.4166666666661</v>
      </c>
      <c r="E660" s="63">
        <f>'[2]Calc_Coef _18'!AH658</f>
        <v>5921.6022838398312</v>
      </c>
      <c r="F660" s="64">
        <f>'[2]Calc_Coef _18'!AI658</f>
        <v>41.388095238095239</v>
      </c>
      <c r="G660" s="30"/>
      <c r="H660"/>
      <c r="I660"/>
    </row>
    <row r="661" spans="1:9" x14ac:dyDescent="0.25">
      <c r="A661" s="32">
        <f>'[2]Calc_Coef _18'!AE659</f>
        <v>7902008</v>
      </c>
      <c r="B661" s="32" t="str">
        <f>'[2]Calc_Coef _18'!C659</f>
        <v>040630</v>
      </c>
      <c r="C661" s="32" t="str">
        <f>'[2]Calc_Coef _18'!AF659</f>
        <v>QUEIJO CANASTRA</v>
      </c>
      <c r="D661" s="63">
        <f>'[2]Calc_Coef _18'!AG659</f>
        <v>8762.4166666666661</v>
      </c>
      <c r="E661" s="63">
        <f>'[2]Calc_Coef _18'!AH659</f>
        <v>5921.6022838398312</v>
      </c>
      <c r="F661" s="64">
        <f>'[2]Calc_Coef _18'!AI659</f>
        <v>41.388095238095239</v>
      </c>
      <c r="G661" s="30"/>
      <c r="H661"/>
      <c r="I661"/>
    </row>
    <row r="662" spans="1:9" x14ac:dyDescent="0.25">
      <c r="A662" s="32">
        <f>'[2]Calc_Coef _18'!AE660</f>
        <v>7902201</v>
      </c>
      <c r="B662" s="32" t="str">
        <f>'[2]Calc_Coef _18'!C660</f>
        <v>040612</v>
      </c>
      <c r="C662" s="32" t="str">
        <f>'[2]Calc_Coef _18'!AF660</f>
        <v>QUEIJO RICOTA</v>
      </c>
      <c r="D662" s="63">
        <f>'[2]Calc_Coef _18'!AG660</f>
        <v>4000</v>
      </c>
      <c r="E662" s="63">
        <f>'[2]Calc_Coef _18'!AH660</f>
        <v>2620</v>
      </c>
      <c r="F662" s="64">
        <f>'[2]Calc_Coef _18'!AI660</f>
        <v>13.7</v>
      </c>
      <c r="G662" s="30"/>
      <c r="H662"/>
      <c r="I662"/>
    </row>
    <row r="663" spans="1:9" x14ac:dyDescent="0.25">
      <c r="A663" s="32">
        <f>'[2]Calc_Coef _18'!AE661</f>
        <v>7902301</v>
      </c>
      <c r="B663" s="32">
        <f>'[2]Calc_Coef _18'!C661</f>
        <v>220290</v>
      </c>
      <c r="C663" s="32" t="str">
        <f>'[2]Calc_Coef _18'!AF661</f>
        <v>LEITE DE SOJA COM SABOR</v>
      </c>
      <c r="D663" s="63">
        <f>'[2]Calc_Coef _18'!AG661</f>
        <v>794.44444444444446</v>
      </c>
      <c r="E663" s="63">
        <f>'[2]Calc_Coef _18'!AH661</f>
        <v>11543.725015272823</v>
      </c>
      <c r="F663" s="64">
        <f>'[2]Calc_Coef _18'!AI661</f>
        <v>57.5</v>
      </c>
      <c r="G663" s="30"/>
      <c r="H663"/>
      <c r="I663"/>
    </row>
    <row r="664" spans="1:9" x14ac:dyDescent="0.25">
      <c r="A664" s="32">
        <f>'[2]Calc_Coef _18'!AE662</f>
        <v>7902303</v>
      </c>
      <c r="B664" s="32">
        <f>'[2]Calc_Coef _18'!C662</f>
        <v>220290</v>
      </c>
      <c r="C664" s="32" t="str">
        <f>'[2]Calc_Coef _18'!AF662</f>
        <v>ADES ORIGINAL</v>
      </c>
      <c r="D664" s="63">
        <f>'[2]Calc_Coef _18'!AG662</f>
        <v>940</v>
      </c>
      <c r="E664" s="63">
        <f>'[2]Calc_Coef _18'!AH662</f>
        <v>410.6402819602971</v>
      </c>
      <c r="F664" s="64">
        <f>'[2]Calc_Coef _18'!AI662</f>
        <v>57.5</v>
      </c>
      <c r="G664" s="30"/>
      <c r="H664"/>
      <c r="I664"/>
    </row>
    <row r="665" spans="1:9" x14ac:dyDescent="0.25">
      <c r="A665" s="32">
        <f>'[2]Calc_Coef _18'!AE663</f>
        <v>7902403</v>
      </c>
      <c r="B665" s="32" t="str">
        <f>'[2]Calc_Coef _18'!C663</f>
        <v>040620</v>
      </c>
      <c r="C665" s="32" t="str">
        <f>'[2]Calc_Coef _18'!AF663</f>
        <v>QUEIJO RALADO</v>
      </c>
      <c r="D665" s="63">
        <f>'[2]Calc_Coef _18'!AG663</f>
        <v>8762.4166666666661</v>
      </c>
      <c r="E665" s="63">
        <f>'[2]Calc_Coef _18'!AH663</f>
        <v>5965.8796627210149</v>
      </c>
      <c r="F665" s="64">
        <f>'[2]Calc_Coef _18'!AI663</f>
        <v>41.388095238095239</v>
      </c>
      <c r="G665" s="30"/>
      <c r="H665"/>
      <c r="I665"/>
    </row>
    <row r="666" spans="1:9" x14ac:dyDescent="0.25">
      <c r="A666" s="32">
        <f>'[2]Calc_Coef _18'!AE664</f>
        <v>7902501</v>
      </c>
      <c r="B666" s="32" t="str">
        <f>'[2]Calc_Coef _18'!C664</f>
        <v>040630</v>
      </c>
      <c r="C666" s="32" t="str">
        <f>'[2]Calc_Coef _18'!AF664</f>
        <v>QUEIJO PROVOLONE</v>
      </c>
      <c r="D666" s="63">
        <f>'[2]Calc_Coef _18'!AG664</f>
        <v>8762.4166666666661</v>
      </c>
      <c r="E666" s="63">
        <f>'[2]Calc_Coef _18'!AH664</f>
        <v>5921.6022838398312</v>
      </c>
      <c r="F666" s="64">
        <f>'[2]Calc_Coef _18'!AI664</f>
        <v>41.388095238095239</v>
      </c>
      <c r="G666" s="30"/>
      <c r="H666"/>
      <c r="I666"/>
    </row>
    <row r="667" spans="1:9" x14ac:dyDescent="0.25">
      <c r="A667" s="32">
        <f>'[2]Calc_Coef _18'!AE665</f>
        <v>7902801</v>
      </c>
      <c r="B667" s="32" t="str">
        <f>'[2]Calc_Coef _18'!C665</f>
        <v>040630</v>
      </c>
      <c r="C667" s="32" t="str">
        <f>'[2]Calc_Coef _18'!AF665</f>
        <v>QUEIJO POLENGUINHO</v>
      </c>
      <c r="D667" s="63">
        <f>'[2]Calc_Coef _18'!AG665</f>
        <v>8762.4166666666661</v>
      </c>
      <c r="E667" s="63">
        <f>'[2]Calc_Coef _18'!AH665</f>
        <v>5921.6022838398312</v>
      </c>
      <c r="F667" s="64">
        <f>'[2]Calc_Coef _18'!AI665</f>
        <v>41.388095238095239</v>
      </c>
      <c r="G667" s="30"/>
      <c r="H667"/>
      <c r="I667"/>
    </row>
    <row r="668" spans="1:9" x14ac:dyDescent="0.25">
      <c r="A668" s="32">
        <f>'[2]Calc_Coef _18'!AE666</f>
        <v>7902901</v>
      </c>
      <c r="B668" s="32" t="str">
        <f>'[2]Calc_Coef _18'!C666</f>
        <v>040612</v>
      </c>
      <c r="C668" s="32" t="str">
        <f>'[2]Calc_Coef _18'!AF666</f>
        <v>REQUEIJAO</v>
      </c>
      <c r="D668" s="63">
        <f>'[2]Calc_Coef _18'!AG666</f>
        <v>4000</v>
      </c>
      <c r="E668" s="63">
        <f>'[2]Calc_Coef _18'!AH666</f>
        <v>2620</v>
      </c>
      <c r="F668" s="64">
        <f>'[2]Calc_Coef _18'!AI666</f>
        <v>13.7</v>
      </c>
      <c r="G668" s="30"/>
      <c r="H668"/>
      <c r="I668"/>
    </row>
    <row r="669" spans="1:9" x14ac:dyDescent="0.25">
      <c r="A669" s="32">
        <f>'[2]Calc_Coef _18'!AE667</f>
        <v>7902902</v>
      </c>
      <c r="B669" s="32" t="str">
        <f>'[2]Calc_Coef _18'!C667</f>
        <v>040610</v>
      </c>
      <c r="C669" s="32" t="str">
        <f>'[2]Calc_Coef _18'!AF667</f>
        <v>QUEIJO CREMOSO</v>
      </c>
      <c r="D669" s="63">
        <f>'[2]Calc_Coef _18'!AG667</f>
        <v>8933.7156862745087</v>
      </c>
      <c r="E669" s="63">
        <f>'[2]Calc_Coef _18'!AH667</f>
        <v>4857.1919251176278</v>
      </c>
      <c r="F669" s="64">
        <f>'[2]Calc_Coef _18'!AI667</f>
        <v>54.476190476190482</v>
      </c>
      <c r="G669" s="30"/>
      <c r="H669"/>
      <c r="I669"/>
    </row>
    <row r="670" spans="1:9" x14ac:dyDescent="0.25">
      <c r="A670" s="32">
        <f>'[2]Calc_Coef _18'!AE668</f>
        <v>7903001</v>
      </c>
      <c r="B670" s="32" t="str">
        <f>'[2]Calc_Coef _18'!C668</f>
        <v>040610</v>
      </c>
      <c r="C670" s="32" t="str">
        <f>'[2]Calc_Coef _18'!AF668</f>
        <v>QUEIJO NAO ESPECIFICADO</v>
      </c>
      <c r="D670" s="63">
        <f>'[2]Calc_Coef _18'!AG668</f>
        <v>8970.1979166666679</v>
      </c>
      <c r="E670" s="63">
        <f>'[2]Calc_Coef _18'!AH668</f>
        <v>5965.8796627210149</v>
      </c>
      <c r="F670" s="64">
        <f>'[2]Calc_Coef _18'!AI668</f>
        <v>54.476190476190482</v>
      </c>
      <c r="G670" s="30"/>
      <c r="H670"/>
      <c r="I670"/>
    </row>
    <row r="671" spans="1:9" x14ac:dyDescent="0.25">
      <c r="A671" s="32">
        <f>'[2]Calc_Coef _18'!AE669</f>
        <v>7903101</v>
      </c>
      <c r="B671" s="32">
        <f>'[2]Calc_Coef _18'!C669</f>
        <v>220290</v>
      </c>
      <c r="C671" s="32" t="str">
        <f>'[2]Calc_Coef _18'!AF669</f>
        <v>LEITE COM SABOR</v>
      </c>
      <c r="D671" s="63">
        <f>'[2]Calc_Coef _18'!AG669</f>
        <v>550</v>
      </c>
      <c r="E671" s="63">
        <f>'[2]Calc_Coef _18'!AH669</f>
        <v>11543.725015272823</v>
      </c>
      <c r="F671" s="64">
        <f>'[2]Calc_Coef _18'!AI669</f>
        <v>57.5</v>
      </c>
      <c r="G671" s="30"/>
      <c r="H671"/>
      <c r="I671"/>
    </row>
    <row r="672" spans="1:9" x14ac:dyDescent="0.25">
      <c r="A672" s="32">
        <f>'[2]Calc_Coef _18'!AE670</f>
        <v>7903102</v>
      </c>
      <c r="B672" s="32">
        <f>'[2]Calc_Coef _18'!C670</f>
        <v>220290</v>
      </c>
      <c r="C672" s="32" t="str">
        <f>'[2]Calc_Coef _18'!AF670</f>
        <v>LEITE ACHOCOLATADO</v>
      </c>
      <c r="D672" s="63">
        <f>'[2]Calc_Coef _18'!AG670</f>
        <v>794.44444444444446</v>
      </c>
      <c r="E672" s="63">
        <f>'[2]Calc_Coef _18'!AH670</f>
        <v>11543.725015272823</v>
      </c>
      <c r="F672" s="64">
        <f>'[2]Calc_Coef _18'!AI670</f>
        <v>57.5</v>
      </c>
      <c r="G672" s="30"/>
      <c r="H672"/>
      <c r="I672"/>
    </row>
    <row r="673" spans="1:9" x14ac:dyDescent="0.25">
      <c r="A673" s="32">
        <f>'[2]Calc_Coef _18'!AE671</f>
        <v>7903109</v>
      </c>
      <c r="B673" s="32">
        <f>'[2]Calc_Coef _18'!C671</f>
        <v>220290</v>
      </c>
      <c r="C673" s="32" t="str">
        <f>'[2]Calc_Coef _18'!AF671</f>
        <v>LEITE AROMATIZADO</v>
      </c>
      <c r="D673" s="63">
        <f>'[2]Calc_Coef _18'!AG671</f>
        <v>794.44444444444446</v>
      </c>
      <c r="E673" s="63">
        <f>'[2]Calc_Coef _18'!AH671</f>
        <v>11543.725015272823</v>
      </c>
      <c r="F673" s="64">
        <f>'[2]Calc_Coef _18'!AI671</f>
        <v>57.5</v>
      </c>
      <c r="G673" s="30"/>
      <c r="H673"/>
      <c r="I673"/>
    </row>
    <row r="674" spans="1:9" x14ac:dyDescent="0.25">
      <c r="A674" s="32">
        <f>'[2]Calc_Coef _18'!AE672</f>
        <v>7903110</v>
      </c>
      <c r="B674" s="32">
        <f>'[2]Calc_Coef _18'!C672</f>
        <v>220290</v>
      </c>
      <c r="C674" s="32" t="str">
        <f>'[2]Calc_Coef _18'!AF672</f>
        <v>BEBIDA ACHOCOLATADA</v>
      </c>
      <c r="D674" s="63">
        <f>'[2]Calc_Coef _18'!AG672</f>
        <v>794.44444444444446</v>
      </c>
      <c r="E674" s="63">
        <f>'[2]Calc_Coef _18'!AH672</f>
        <v>11543.725015272823</v>
      </c>
      <c r="F674" s="64">
        <f>'[2]Calc_Coef _18'!AI672</f>
        <v>57.5</v>
      </c>
      <c r="G674" s="30"/>
      <c r="H674"/>
      <c r="I674"/>
    </row>
    <row r="675" spans="1:9" x14ac:dyDescent="0.25">
      <c r="A675" s="32">
        <f>'[2]Calc_Coef _18'!AE673</f>
        <v>7903201</v>
      </c>
      <c r="B675" s="32" t="str">
        <f>'[2]Calc_Coef _18'!C673</f>
        <v>040150</v>
      </c>
      <c r="C675" s="32" t="str">
        <f>'[2]Calc_Coef _18'!AF673</f>
        <v>NATA</v>
      </c>
      <c r="D675" s="63">
        <f>'[2]Calc_Coef _18'!AG673</f>
        <v>6272.2906885759003</v>
      </c>
      <c r="E675" s="63">
        <f>'[2]Calc_Coef _18'!AH673</f>
        <v>4954.3609397891696</v>
      </c>
      <c r="F675" s="64">
        <f>'[2]Calc_Coef _18'!AI673</f>
        <v>45.35</v>
      </c>
      <c r="G675" s="30"/>
      <c r="H675"/>
      <c r="I675"/>
    </row>
    <row r="676" spans="1:9" x14ac:dyDescent="0.25">
      <c r="A676" s="32">
        <f>'[2]Calc_Coef _18'!AE674</f>
        <v>7903301</v>
      </c>
      <c r="B676" s="32" t="str">
        <f>'[2]Calc_Coef _18'!C674</f>
        <v>040640</v>
      </c>
      <c r="C676" s="32" t="str">
        <f>'[2]Calc_Coef _18'!AF674</f>
        <v>QUEIJO GORGONZOLA</v>
      </c>
      <c r="D676" s="63">
        <f>'[2]Calc_Coef _18'!AG674</f>
        <v>8762.4166666666661</v>
      </c>
      <c r="E676" s="63">
        <f>'[2]Calc_Coef _18'!AH674</f>
        <v>5965.8796627210149</v>
      </c>
      <c r="F676" s="64">
        <f>'[2]Calc_Coef _18'!AI674</f>
        <v>41.388095238095239</v>
      </c>
      <c r="G676" s="30"/>
      <c r="H676"/>
      <c r="I676"/>
    </row>
    <row r="677" spans="1:9" x14ac:dyDescent="0.25">
      <c r="A677" s="32">
        <f>'[2]Calc_Coef _18'!AE675</f>
        <v>7903402</v>
      </c>
      <c r="B677" s="32">
        <f>'[2]Calc_Coef _18'!C675</f>
        <v>200510</v>
      </c>
      <c r="C677" s="32" t="str">
        <f>'[2]Calc_Coef _18'!AF675</f>
        <v>TOFU</v>
      </c>
      <c r="D677" s="63">
        <f>'[2]Calc_Coef _18'!AG675</f>
        <v>1560</v>
      </c>
      <c r="E677" s="63">
        <f>'[2]Calc_Coef _18'!AH675</f>
        <v>2585.0680651319931</v>
      </c>
      <c r="F677" s="64">
        <f>'[2]Calc_Coef _18'!AI675</f>
        <v>5</v>
      </c>
      <c r="G677" s="30"/>
      <c r="H677"/>
      <c r="I677"/>
    </row>
    <row r="678" spans="1:9" x14ac:dyDescent="0.25">
      <c r="A678" s="32">
        <f>'[2]Calc_Coef _18'!AE676</f>
        <v>7903501</v>
      </c>
      <c r="B678" s="32">
        <f>'[2]Calc_Coef _18'!C676</f>
        <v>220290</v>
      </c>
      <c r="C678" s="32" t="str">
        <f>'[2]Calc_Coef _18'!AF676</f>
        <v>LEITE DE SOJA EM PO</v>
      </c>
      <c r="D678" s="63">
        <f>'[2]Calc_Coef _18'!AG676</f>
        <v>893.33333333333337</v>
      </c>
      <c r="E678" s="63">
        <f>'[2]Calc_Coef _18'!AH676</f>
        <v>3854.9260620389368</v>
      </c>
      <c r="F678" s="64">
        <f>'[2]Calc_Coef _18'!AI676</f>
        <v>57.5</v>
      </c>
      <c r="G678" s="30"/>
      <c r="H678"/>
      <c r="I678"/>
    </row>
    <row r="679" spans="1:9" x14ac:dyDescent="0.25">
      <c r="A679" s="32">
        <f>'[2]Calc_Coef _18'!AE677</f>
        <v>7903601</v>
      </c>
      <c r="B679" s="32" t="str">
        <f>'[2]Calc_Coef _18'!C677</f>
        <v>040110</v>
      </c>
      <c r="C679" s="32" t="str">
        <f>'[2]Calc_Coef _18'!AF677</f>
        <v>LEITE DE VACA DESNATADO</v>
      </c>
      <c r="D679" s="63">
        <f>'[2]Calc_Coef _18'!AG677</f>
        <v>1106</v>
      </c>
      <c r="E679" s="63">
        <f>'[2]Calc_Coef _18'!AH677</f>
        <v>1203.6139137517953</v>
      </c>
      <c r="F679" s="64">
        <f>'[2]Calc_Coef _18'!AI677</f>
        <v>16.662867996201328</v>
      </c>
      <c r="G679" s="30"/>
      <c r="H679"/>
      <c r="I679"/>
    </row>
    <row r="680" spans="1:9" x14ac:dyDescent="0.25">
      <c r="A680" s="32">
        <f>'[2]Calc_Coef _18'!AE678</f>
        <v>7903702</v>
      </c>
      <c r="B680" s="32" t="str">
        <f>'[2]Calc_Coef _18'!C678</f>
        <v>040120</v>
      </c>
      <c r="C680" s="32" t="str">
        <f>'[2]Calc_Coef _18'!AF678</f>
        <v>LEITE DE VACA SEMIDESNATADO</v>
      </c>
      <c r="D680" s="63">
        <f>'[2]Calc_Coef _18'!AG678</f>
        <v>1408</v>
      </c>
      <c r="E680" s="63">
        <f>'[2]Calc_Coef _18'!AH678</f>
        <v>1243.734377543522</v>
      </c>
      <c r="F680" s="64">
        <f>'[2]Calc_Coef _18'!AI678</f>
        <v>16.662867996201328</v>
      </c>
      <c r="G680" s="30"/>
      <c r="H680"/>
      <c r="I680"/>
    </row>
    <row r="681" spans="1:9" x14ac:dyDescent="0.25">
      <c r="A681" s="32">
        <f>'[2]Calc_Coef _18'!AE679</f>
        <v>7903801</v>
      </c>
      <c r="B681" s="32" t="str">
        <f>'[2]Calc_Coef _18'!C679</f>
        <v>040120</v>
      </c>
      <c r="C681" s="32" t="str">
        <f>'[2]Calc_Coef _18'!AF679</f>
        <v>LEITE NAO ESPECIFICADO PASTEURIZADO</v>
      </c>
      <c r="D681" s="63">
        <f>'[2]Calc_Coef _18'!AG679</f>
        <v>1408</v>
      </c>
      <c r="E681" s="63">
        <f>'[2]Calc_Coef _18'!AH679</f>
        <v>1243.734377543522</v>
      </c>
      <c r="F681" s="64">
        <f>'[2]Calc_Coef _18'!AI679</f>
        <v>16.662867996201328</v>
      </c>
      <c r="G681" s="30"/>
      <c r="H681"/>
      <c r="I681"/>
    </row>
    <row r="682" spans="1:9" x14ac:dyDescent="0.25">
      <c r="A682" s="32">
        <f>'[2]Calc_Coef _18'!AE680</f>
        <v>7903901</v>
      </c>
      <c r="B682" s="32" t="str">
        <f>'[2]Calc_Coef _18'!C680</f>
        <v>040311</v>
      </c>
      <c r="C682" s="32" t="str">
        <f>'[2]Calc_Coef _18'!AF680</f>
        <v>IOGURTE DE QUALQUER SABOR LIGHT</v>
      </c>
      <c r="D682" s="63">
        <f>'[2]Calc_Coef _18'!AG680</f>
        <v>3433.3333333333335</v>
      </c>
      <c r="E682" s="63">
        <f>'[2]Calc_Coef _18'!AH680</f>
        <v>1501.8002936841156</v>
      </c>
      <c r="F682" s="64">
        <f>'[2]Calc_Coef _18'!AI680</f>
        <v>12.766666666666666</v>
      </c>
      <c r="G682" s="30"/>
      <c r="H682"/>
      <c r="I682"/>
    </row>
    <row r="683" spans="1:9" x14ac:dyDescent="0.25">
      <c r="A683" s="32">
        <f>'[2]Calc_Coef _18'!AE681</f>
        <v>7904001</v>
      </c>
      <c r="B683" s="32" t="str">
        <f>'[2]Calc_Coef _18'!C681</f>
        <v>040311</v>
      </c>
      <c r="C683" s="32" t="str">
        <f>'[2]Calc_Coef _18'!AF681</f>
        <v>IOGURTE DE QUALQUER SABOR DIET</v>
      </c>
      <c r="D683" s="63">
        <f>'[2]Calc_Coef _18'!AG681</f>
        <v>3433.3333333333335</v>
      </c>
      <c r="E683" s="63">
        <f>'[2]Calc_Coef _18'!AH681</f>
        <v>1501.8002936841156</v>
      </c>
      <c r="F683" s="64">
        <f>'[2]Calc_Coef _18'!AI681</f>
        <v>12.766666666666666</v>
      </c>
      <c r="G683" s="30"/>
      <c r="H683"/>
      <c r="I683"/>
    </row>
    <row r="684" spans="1:9" x14ac:dyDescent="0.25">
      <c r="A684" s="32">
        <f>'[2]Calc_Coef _18'!AE682</f>
        <v>7904201</v>
      </c>
      <c r="B684" s="32">
        <f>'[2]Calc_Coef _18'!C682</f>
        <v>151710</v>
      </c>
      <c r="C684" s="32" t="str">
        <f>'[2]Calc_Coef _18'!AF682</f>
        <v>MARGARINA LIGHT</v>
      </c>
      <c r="D684" s="63">
        <f>'[2]Calc_Coef _18'!AG682</f>
        <v>1570</v>
      </c>
      <c r="E684" s="63">
        <f>'[2]Calc_Coef _18'!AH682</f>
        <v>1324</v>
      </c>
      <c r="F684" s="64">
        <f>'[2]Calc_Coef _18'!AI682</f>
        <v>66</v>
      </c>
      <c r="G684" s="30"/>
      <c r="H684"/>
      <c r="I684"/>
    </row>
    <row r="685" spans="1:9" x14ac:dyDescent="0.25">
      <c r="A685" s="32">
        <f>'[2]Calc_Coef _18'!AE683</f>
        <v>7905103</v>
      </c>
      <c r="B685" s="32" t="str">
        <f>'[2]Calc_Coef _18'!C683</f>
        <v>040611</v>
      </c>
      <c r="C685" s="32" t="str">
        <f>'[2]Calc_Coef _18'!AF683</f>
        <v>MUSSARELA LIGHT</v>
      </c>
      <c r="D685" s="63">
        <f>'[2]Calc_Coef _18'!AG683</f>
        <v>9225</v>
      </c>
      <c r="E685" s="63">
        <f>'[2]Calc_Coef _18'!AH683</f>
        <v>6989.9759325442037</v>
      </c>
      <c r="F685" s="64">
        <f>'[2]Calc_Coef _18'!AI683</f>
        <v>35.6</v>
      </c>
      <c r="G685" s="30"/>
      <c r="H685"/>
      <c r="I685"/>
    </row>
    <row r="686" spans="1:9" x14ac:dyDescent="0.25">
      <c r="A686" s="32">
        <f>'[2]Calc_Coef _18'!AE684</f>
        <v>7905104</v>
      </c>
      <c r="B686" s="32" t="str">
        <f>'[2]Calc_Coef _18'!C684</f>
        <v>040611</v>
      </c>
      <c r="C686" s="32" t="str">
        <f>'[2]Calc_Coef _18'!AF684</f>
        <v>QUEIJO MUSSARELA LIGHT</v>
      </c>
      <c r="D686" s="63">
        <f>'[2]Calc_Coef _18'!AG684</f>
        <v>9225</v>
      </c>
      <c r="E686" s="63">
        <f>'[2]Calc_Coef _18'!AH684</f>
        <v>6989.9759325442037</v>
      </c>
      <c r="F686" s="64">
        <f>'[2]Calc_Coef _18'!AI684</f>
        <v>35.6</v>
      </c>
      <c r="G686" s="30"/>
      <c r="H686"/>
      <c r="I686"/>
    </row>
    <row r="687" spans="1:9" x14ac:dyDescent="0.25">
      <c r="A687" s="32">
        <f>'[2]Calc_Coef _18'!AE685</f>
        <v>7905601</v>
      </c>
      <c r="B687" s="32" t="str">
        <f>'[2]Calc_Coef _18'!C685</f>
        <v>040150</v>
      </c>
      <c r="C687" s="32" t="str">
        <f>'[2]Calc_Coef _18'!AF685</f>
        <v>CREME DE LEITE LIGHT</v>
      </c>
      <c r="D687" s="63">
        <f>'[2]Calc_Coef _18'!AG685</f>
        <v>6272.2906885759003</v>
      </c>
      <c r="E687" s="63">
        <f>'[2]Calc_Coef _18'!AH685</f>
        <v>4954.3609397891696</v>
      </c>
      <c r="F687" s="64">
        <f>'[2]Calc_Coef _18'!AI685</f>
        <v>45.35</v>
      </c>
      <c r="G687" s="30"/>
      <c r="H687"/>
      <c r="I687"/>
    </row>
    <row r="688" spans="1:9" x14ac:dyDescent="0.25">
      <c r="A688" s="32">
        <f>'[2]Calc_Coef _18'!AE686</f>
        <v>7905901</v>
      </c>
      <c r="B688" s="32" t="str">
        <f>'[2]Calc_Coef _18'!C686</f>
        <v>040630</v>
      </c>
      <c r="C688" s="32" t="str">
        <f>'[2]Calc_Coef _18'!AF686</f>
        <v>QUEIJO PRATO LIGHT</v>
      </c>
      <c r="D688" s="63">
        <f>'[2]Calc_Coef _18'!AG686</f>
        <v>8762.4166666666661</v>
      </c>
      <c r="E688" s="63">
        <f>'[2]Calc_Coef _18'!AH686</f>
        <v>5921.6022838398312</v>
      </c>
      <c r="F688" s="64">
        <f>'[2]Calc_Coef _18'!AI686</f>
        <v>41.388095238095239</v>
      </c>
      <c r="G688" s="30"/>
      <c r="H688"/>
      <c r="I688"/>
    </row>
    <row r="689" spans="1:9" x14ac:dyDescent="0.25">
      <c r="A689" s="32">
        <f>'[2]Calc_Coef _18'!AE687</f>
        <v>7906001</v>
      </c>
      <c r="B689" s="32" t="str">
        <f>'[2]Calc_Coef _18'!C687</f>
        <v>040610</v>
      </c>
      <c r="C689" s="32" t="str">
        <f>'[2]Calc_Coef _18'!AF687</f>
        <v>QUEIJO DE MINAS LIGHT</v>
      </c>
      <c r="D689" s="63">
        <f>'[2]Calc_Coef _18'!AG687</f>
        <v>8933.7156862745087</v>
      </c>
      <c r="E689" s="63">
        <f>'[2]Calc_Coef _18'!AH687</f>
        <v>4857.1919251176278</v>
      </c>
      <c r="F689" s="64">
        <f>'[2]Calc_Coef _18'!AI687</f>
        <v>54.476190476190482</v>
      </c>
      <c r="G689" s="30"/>
      <c r="H689"/>
      <c r="I689"/>
    </row>
    <row r="690" spans="1:9" x14ac:dyDescent="0.25">
      <c r="A690" s="32">
        <f>'[2]Calc_Coef _18'!AE688</f>
        <v>7906005</v>
      </c>
      <c r="B690" s="32" t="str">
        <f>'[2]Calc_Coef _18'!C688</f>
        <v>040630</v>
      </c>
      <c r="C690" s="32" t="str">
        <f>'[2]Calc_Coef _18'!AF688</f>
        <v>QUEIJO DE COALHO LIGHT</v>
      </c>
      <c r="D690" s="63">
        <f>'[2]Calc_Coef _18'!AG688</f>
        <v>8762.4166666666661</v>
      </c>
      <c r="E690" s="63">
        <f>'[2]Calc_Coef _18'!AH688</f>
        <v>5921.6022838398312</v>
      </c>
      <c r="F690" s="64">
        <f>'[2]Calc_Coef _18'!AI688</f>
        <v>41.388095238095239</v>
      </c>
      <c r="G690" s="30"/>
      <c r="H690"/>
      <c r="I690"/>
    </row>
    <row r="691" spans="1:9" x14ac:dyDescent="0.25">
      <c r="A691" s="32">
        <f>'[2]Calc_Coef _18'!AE689</f>
        <v>7906201</v>
      </c>
      <c r="B691" s="32" t="str">
        <f>'[2]Calc_Coef _18'!C689</f>
        <v>040612</v>
      </c>
      <c r="C691" s="32" t="str">
        <f>'[2]Calc_Coef _18'!AF689</f>
        <v>QUEIJO RICOTA LIGHT</v>
      </c>
      <c r="D691" s="63">
        <f>'[2]Calc_Coef _18'!AG689</f>
        <v>4000</v>
      </c>
      <c r="E691" s="63">
        <f>'[2]Calc_Coef _18'!AH689</f>
        <v>2620</v>
      </c>
      <c r="F691" s="64">
        <f>'[2]Calc_Coef _18'!AI689</f>
        <v>13.7</v>
      </c>
      <c r="G691" s="30"/>
      <c r="H691"/>
      <c r="I691"/>
    </row>
    <row r="692" spans="1:9" x14ac:dyDescent="0.25">
      <c r="A692" s="32">
        <f>'[2]Calc_Coef _18'!AE690</f>
        <v>7906401</v>
      </c>
      <c r="B692" s="32" t="str">
        <f>'[2]Calc_Coef _18'!C690</f>
        <v>040630</v>
      </c>
      <c r="C692" s="32" t="str">
        <f>'[2]Calc_Coef _18'!AF690</f>
        <v>QUEIJO POLENGUINHO LIGHT</v>
      </c>
      <c r="D692" s="63">
        <f>'[2]Calc_Coef _18'!AG690</f>
        <v>8762.4166666666661</v>
      </c>
      <c r="E692" s="63">
        <f>'[2]Calc_Coef _18'!AH690</f>
        <v>5921.6022838398312</v>
      </c>
      <c r="F692" s="64">
        <f>'[2]Calc_Coef _18'!AI690</f>
        <v>41.388095238095239</v>
      </c>
      <c r="G692" s="30"/>
      <c r="H692"/>
      <c r="I692"/>
    </row>
    <row r="693" spans="1:9" x14ac:dyDescent="0.25">
      <c r="A693" s="32">
        <f>'[2]Calc_Coef _18'!AE691</f>
        <v>7906501</v>
      </c>
      <c r="B693" s="32" t="str">
        <f>'[2]Calc_Coef _18'!C691</f>
        <v>040612</v>
      </c>
      <c r="C693" s="32" t="str">
        <f>'[2]Calc_Coef _18'!AF691</f>
        <v>REQUEIJAO LIGHT</v>
      </c>
      <c r="D693" s="63">
        <f>'[2]Calc_Coef _18'!AG691</f>
        <v>4000</v>
      </c>
      <c r="E693" s="63">
        <f>'[2]Calc_Coef _18'!AH691</f>
        <v>2620</v>
      </c>
      <c r="F693" s="64">
        <f>'[2]Calc_Coef _18'!AI691</f>
        <v>13.7</v>
      </c>
      <c r="G693" s="30"/>
      <c r="H693"/>
      <c r="I693"/>
    </row>
    <row r="694" spans="1:9" x14ac:dyDescent="0.25">
      <c r="A694" s="32">
        <f>'[2]Calc_Coef _18'!AE692</f>
        <v>7906601</v>
      </c>
      <c r="B694" s="32" t="str">
        <f>'[2]Calc_Coef _18'!C692</f>
        <v>040610</v>
      </c>
      <c r="C694" s="32" t="str">
        <f>'[2]Calc_Coef _18'!AF692</f>
        <v>QUEIJO NAO ESPECIFICADO LIGHT</v>
      </c>
      <c r="D694" s="63">
        <f>'[2]Calc_Coef _18'!AG692</f>
        <v>8933.7156862745087</v>
      </c>
      <c r="E694" s="63">
        <f>'[2]Calc_Coef _18'!AH692</f>
        <v>4857.1919251176278</v>
      </c>
      <c r="F694" s="64">
        <f>'[2]Calc_Coef _18'!AI692</f>
        <v>54.476190476190482</v>
      </c>
      <c r="G694" s="30"/>
      <c r="H694"/>
      <c r="I694"/>
    </row>
    <row r="695" spans="1:9" x14ac:dyDescent="0.25">
      <c r="A695" s="32">
        <f>'[2]Calc_Coef _18'!AE693</f>
        <v>7906702</v>
      </c>
      <c r="B695" s="32">
        <f>'[2]Calc_Coef _18'!C693</f>
        <v>220290</v>
      </c>
      <c r="C695" s="32" t="str">
        <f>'[2]Calc_Coef _18'!AF693</f>
        <v>LEITE ACHOCOLATADO LIGHT</v>
      </c>
      <c r="D695" s="63">
        <f>'[2]Calc_Coef _18'!AG693</f>
        <v>794.44444444444446</v>
      </c>
      <c r="E695" s="63">
        <f>'[2]Calc_Coef _18'!AH693</f>
        <v>11543.725015272823</v>
      </c>
      <c r="F695" s="64">
        <f>'[2]Calc_Coef _18'!AI693</f>
        <v>57.5</v>
      </c>
      <c r="G695" s="30"/>
      <c r="H695"/>
      <c r="I695"/>
    </row>
    <row r="696" spans="1:9" x14ac:dyDescent="0.25">
      <c r="A696" s="32">
        <f>'[2]Calc_Coef _18'!AE694</f>
        <v>7906710</v>
      </c>
      <c r="B696" s="32">
        <f>'[2]Calc_Coef _18'!C694</f>
        <v>220290</v>
      </c>
      <c r="C696" s="32" t="str">
        <f>'[2]Calc_Coef _18'!AF694</f>
        <v>BEBIDA ACHOCOLATADA LIGHT</v>
      </c>
      <c r="D696" s="63">
        <f>'[2]Calc_Coef _18'!AG694</f>
        <v>794.44444444444446</v>
      </c>
      <c r="E696" s="63">
        <f>'[2]Calc_Coef _18'!AH694</f>
        <v>11543.725015272823</v>
      </c>
      <c r="F696" s="64">
        <f>'[2]Calc_Coef _18'!AI694</f>
        <v>57.5</v>
      </c>
      <c r="G696" s="30"/>
      <c r="H696"/>
      <c r="I696"/>
    </row>
    <row r="697" spans="1:9" x14ac:dyDescent="0.25">
      <c r="A697" s="32">
        <f>'[2]Calc_Coef _18'!AE695</f>
        <v>7906801</v>
      </c>
      <c r="B697" s="32">
        <f>'[2]Calc_Coef _18'!C695</f>
        <v>220290</v>
      </c>
      <c r="C697" s="32" t="str">
        <f>'[2]Calc_Coef _18'!AF695</f>
        <v>LEITE COM SABOR DIET</v>
      </c>
      <c r="D697" s="63">
        <f>'[2]Calc_Coef _18'!AG695</f>
        <v>794.44444444444446</v>
      </c>
      <c r="E697" s="63">
        <f>'[2]Calc_Coef _18'!AH695</f>
        <v>11543.725015272823</v>
      </c>
      <c r="F697" s="64">
        <f>'[2]Calc_Coef _18'!AI695</f>
        <v>57.5</v>
      </c>
      <c r="G697" s="30"/>
      <c r="H697"/>
      <c r="I697"/>
    </row>
    <row r="698" spans="1:9" x14ac:dyDescent="0.25">
      <c r="A698" s="32">
        <f>'[2]Calc_Coef _18'!AE696</f>
        <v>7906802</v>
      </c>
      <c r="B698" s="32">
        <f>'[2]Calc_Coef _18'!C696</f>
        <v>220290</v>
      </c>
      <c r="C698" s="32" t="str">
        <f>'[2]Calc_Coef _18'!AF696</f>
        <v>LEITE ACHOCOLATADO DIET</v>
      </c>
      <c r="D698" s="63">
        <f>'[2]Calc_Coef _18'!AG696</f>
        <v>794.44444444444446</v>
      </c>
      <c r="E698" s="63">
        <f>'[2]Calc_Coef _18'!AH696</f>
        <v>11543.725015272823</v>
      </c>
      <c r="F698" s="64">
        <f>'[2]Calc_Coef _18'!AI696</f>
        <v>57.5</v>
      </c>
      <c r="G698" s="30"/>
      <c r="H698"/>
      <c r="I698"/>
    </row>
    <row r="699" spans="1:9" x14ac:dyDescent="0.25">
      <c r="A699" s="32">
        <f>'[2]Calc_Coef _18'!AE697</f>
        <v>7906901</v>
      </c>
      <c r="B699" s="32">
        <f>'[2]Calc_Coef _18'!C697</f>
        <v>220290</v>
      </c>
      <c r="C699" s="32" t="str">
        <f>'[2]Calc_Coef _18'!AF697</f>
        <v>LEITE DE SOJA EM PO LIGHT</v>
      </c>
      <c r="D699" s="63">
        <f>'[2]Calc_Coef _18'!AG697</f>
        <v>794.44444444444446</v>
      </c>
      <c r="E699" s="63">
        <f>'[2]Calc_Coef _18'!AH697</f>
        <v>11543.725015272823</v>
      </c>
      <c r="F699" s="64">
        <f>'[2]Calc_Coef _18'!AI697</f>
        <v>57.5</v>
      </c>
      <c r="G699" s="30"/>
      <c r="H699"/>
      <c r="I699"/>
    </row>
    <row r="700" spans="1:9" x14ac:dyDescent="0.25">
      <c r="A700" s="32">
        <f>'[2]Calc_Coef _18'!AE698</f>
        <v>7907101</v>
      </c>
      <c r="B700" s="32" t="str">
        <f>'[2]Calc_Coef _18'!C698</f>
        <v>040510</v>
      </c>
      <c r="C700" s="32" t="str">
        <f>'[2]Calc_Coef _18'!AF698</f>
        <v>MANTEIGA COM OU SEM SAL LIGHT</v>
      </c>
      <c r="D700" s="63">
        <f>'[2]Calc_Coef _18'!AG698</f>
        <v>9101.3333333333321</v>
      </c>
      <c r="E700" s="63">
        <f>'[2]Calc_Coef _18'!AH698</f>
        <v>4218.3167817482954</v>
      </c>
      <c r="F700" s="64">
        <f>'[2]Calc_Coef _18'!AI698</f>
        <v>115</v>
      </c>
      <c r="G700" s="30"/>
      <c r="H700"/>
      <c r="I700"/>
    </row>
    <row r="701" spans="1:9" x14ac:dyDescent="0.25">
      <c r="A701" s="32">
        <f>'[2]Calc_Coef _18'!AE699</f>
        <v>7980001</v>
      </c>
      <c r="B701" s="32" t="str">
        <f>'[2]Calc_Coef _18'!C699</f>
        <v>040110</v>
      </c>
      <c r="C701" s="32" t="str">
        <f>'[2]Calc_Coef _18'!AF699</f>
        <v>LEITE SEM LACTOSE</v>
      </c>
      <c r="D701" s="63">
        <f>'[2]Calc_Coef _18'!AG699</f>
        <v>1106</v>
      </c>
      <c r="E701" s="63">
        <f>'[2]Calc_Coef _18'!AH699</f>
        <v>1203.6139137517953</v>
      </c>
      <c r="F701" s="64">
        <f>'[2]Calc_Coef _18'!AI699</f>
        <v>16.662867996201328</v>
      </c>
      <c r="G701" s="30"/>
      <c r="H701"/>
      <c r="I701"/>
    </row>
    <row r="702" spans="1:9" x14ac:dyDescent="0.25">
      <c r="A702" s="32">
        <f>'[2]Calc_Coef _18'!AE700</f>
        <v>7980101</v>
      </c>
      <c r="B702" s="32" t="str">
        <f>'[2]Calc_Coef _18'!C700</f>
        <v>040390</v>
      </c>
      <c r="C702" s="32" t="str">
        <f>'[2]Calc_Coef _18'!AF700</f>
        <v>KEFIR</v>
      </c>
      <c r="D702" s="63">
        <f>'[2]Calc_Coef _18'!AG700</f>
        <v>2153.7988939364013</v>
      </c>
      <c r="E702" s="63">
        <f>'[2]Calc_Coef _18'!AH700</f>
        <v>1501.8002936841156</v>
      </c>
      <c r="F702" s="64">
        <f>'[2]Calc_Coef _18'!AI700</f>
        <v>12.766666666666666</v>
      </c>
      <c r="G702" s="30"/>
      <c r="H702"/>
      <c r="I702"/>
    </row>
    <row r="703" spans="1:9" x14ac:dyDescent="0.25">
      <c r="A703" s="32">
        <f>'[2]Calc_Coef _18'!AE701</f>
        <v>8000101</v>
      </c>
      <c r="B703" s="32">
        <f>'[2]Calc_Coef _18'!C701</f>
        <v>190120</v>
      </c>
      <c r="C703" s="32" t="str">
        <f>'[2]Calc_Coef _18'!AF701</f>
        <v>PAO, FRANCÃ‹S, NAO ESPECIFICADO</v>
      </c>
      <c r="D703" s="63">
        <f>'[2]Calc_Coef _18'!AG701</f>
        <v>547.0901639344263</v>
      </c>
      <c r="E703" s="63">
        <f>'[2]Calc_Coef _18'!AH701</f>
        <v>1870.1099089032616</v>
      </c>
      <c r="F703" s="64">
        <f>'[2]Calc_Coef _18'!AI701</f>
        <v>5</v>
      </c>
      <c r="G703" s="30"/>
      <c r="H703"/>
      <c r="I703"/>
    </row>
    <row r="704" spans="1:9" x14ac:dyDescent="0.25">
      <c r="A704" s="32">
        <f>'[2]Calc_Coef _18'!AE702</f>
        <v>8000102</v>
      </c>
      <c r="B704" s="32">
        <f>'[2]Calc_Coef _18'!C702</f>
        <v>190120</v>
      </c>
      <c r="C704" s="32" t="str">
        <f>'[2]Calc_Coef _18'!AF702</f>
        <v>PAO D'AGUA NAO ESPECIFICADO</v>
      </c>
      <c r="D704" s="63">
        <f>'[2]Calc_Coef _18'!AG702</f>
        <v>547.0901639344263</v>
      </c>
      <c r="E704" s="63">
        <f>'[2]Calc_Coef _18'!AH702</f>
        <v>1870.1099089032616</v>
      </c>
      <c r="F704" s="64">
        <f>'[2]Calc_Coef _18'!AI702</f>
        <v>5</v>
      </c>
      <c r="G704" s="30"/>
      <c r="H704"/>
      <c r="I704"/>
    </row>
    <row r="705" spans="1:9" x14ac:dyDescent="0.25">
      <c r="A705" s="32">
        <f>'[2]Calc_Coef _18'!AE703</f>
        <v>8000103</v>
      </c>
      <c r="B705" s="32" t="str">
        <f>'[2]Calc_Coef _18'!C703</f>
        <v>190590</v>
      </c>
      <c r="C705" s="32" t="str">
        <f>'[2]Calc_Coef _18'!AF703</f>
        <v>PAO DE HAMBURGUER</v>
      </c>
      <c r="D705" s="63">
        <f>'[2]Calc_Coef _18'!AG703</f>
        <v>1264.5163676621726</v>
      </c>
      <c r="E705" s="63">
        <f>'[2]Calc_Coef _18'!AH703</f>
        <v>1045.2</v>
      </c>
      <c r="F705" s="64">
        <f>'[2]Calc_Coef _18'!AI703</f>
        <v>6.7933333333333339</v>
      </c>
      <c r="G705" s="30"/>
      <c r="H705"/>
      <c r="I705"/>
    </row>
    <row r="706" spans="1:9" x14ac:dyDescent="0.25">
      <c r="A706" s="32">
        <f>'[2]Calc_Coef _18'!AE704</f>
        <v>8000105</v>
      </c>
      <c r="B706" s="32">
        <f>'[2]Calc_Coef _18'!C704</f>
        <v>190120</v>
      </c>
      <c r="C706" s="32" t="str">
        <f>'[2]Calc_Coef _18'!AF704</f>
        <v>PAO DE SAL</v>
      </c>
      <c r="D706" s="63">
        <f>'[2]Calc_Coef _18'!AG704</f>
        <v>547.0901639344263</v>
      </c>
      <c r="E706" s="63">
        <f>'[2]Calc_Coef _18'!AH704</f>
        <v>1870.1099089032616</v>
      </c>
      <c r="F706" s="64">
        <f>'[2]Calc_Coef _18'!AI704</f>
        <v>5</v>
      </c>
      <c r="G706" s="30"/>
      <c r="H706"/>
      <c r="I706"/>
    </row>
    <row r="707" spans="1:9" x14ac:dyDescent="0.25">
      <c r="A707" s="32">
        <f>'[2]Calc_Coef _18'!AE705</f>
        <v>8000106</v>
      </c>
      <c r="B707" s="32">
        <f>'[2]Calc_Coef _18'!C705</f>
        <v>190120</v>
      </c>
      <c r="C707" s="32" t="str">
        <f>'[2]Calc_Coef _18'!AF705</f>
        <v>PAO DE TRIGO</v>
      </c>
      <c r="D707" s="63">
        <f>'[2]Calc_Coef _18'!AG705</f>
        <v>547.0901639344263</v>
      </c>
      <c r="E707" s="63">
        <f>'[2]Calc_Coef _18'!AH705</f>
        <v>1870.1099089032616</v>
      </c>
      <c r="F707" s="64">
        <f>'[2]Calc_Coef _18'!AI705</f>
        <v>5</v>
      </c>
      <c r="G707" s="30"/>
      <c r="H707"/>
      <c r="I707"/>
    </row>
    <row r="708" spans="1:9" x14ac:dyDescent="0.25">
      <c r="A708" s="32">
        <f>'[2]Calc_Coef _18'!AE706</f>
        <v>8000107</v>
      </c>
      <c r="B708" s="32">
        <f>'[2]Calc_Coef _18'!C706</f>
        <v>190120</v>
      </c>
      <c r="C708" s="32" t="str">
        <f>'[2]Calc_Coef _18'!AF706</f>
        <v>PAO CACETINHO, NAO ESPECIFICADO</v>
      </c>
      <c r="D708" s="63">
        <f>'[2]Calc_Coef _18'!AG706</f>
        <v>547.0901639344263</v>
      </c>
      <c r="E708" s="63">
        <f>'[2]Calc_Coef _18'!AH706</f>
        <v>1870.1099089032616</v>
      </c>
      <c r="F708" s="64">
        <f>'[2]Calc_Coef _18'!AI706</f>
        <v>5</v>
      </c>
      <c r="G708" s="30"/>
      <c r="H708"/>
      <c r="I708"/>
    </row>
    <row r="709" spans="1:9" x14ac:dyDescent="0.25">
      <c r="A709" s="32">
        <f>'[2]Calc_Coef _18'!AE707</f>
        <v>8000109</v>
      </c>
      <c r="B709" s="32">
        <f>'[2]Calc_Coef _18'!C707</f>
        <v>190120</v>
      </c>
      <c r="C709" s="32" t="str">
        <f>'[2]Calc_Coef _18'!AF707</f>
        <v>PAO CARECA</v>
      </c>
      <c r="D709" s="63">
        <f>'[2]Calc_Coef _18'!AG707</f>
        <v>547.0901639344263</v>
      </c>
      <c r="E709" s="63">
        <f>'[2]Calc_Coef _18'!AH707</f>
        <v>1870.1099089032616</v>
      </c>
      <c r="F709" s="64">
        <f>'[2]Calc_Coef _18'!AI707</f>
        <v>5</v>
      </c>
      <c r="G709" s="30"/>
      <c r="H709"/>
      <c r="I709"/>
    </row>
    <row r="710" spans="1:9" x14ac:dyDescent="0.25">
      <c r="A710" s="32">
        <f>'[2]Calc_Coef _18'!AE708</f>
        <v>8000145</v>
      </c>
      <c r="B710" s="32">
        <f>'[2]Calc_Coef _18'!C708</f>
        <v>190120</v>
      </c>
      <c r="C710" s="32" t="str">
        <f>'[2]Calc_Coef _18'!AF708</f>
        <v>PAO CIABATA</v>
      </c>
      <c r="D710" s="63">
        <f>'[2]Calc_Coef _18'!AG708</f>
        <v>547.0901639344263</v>
      </c>
      <c r="E710" s="63">
        <f>'[2]Calc_Coef _18'!AH708</f>
        <v>1870.1099089032616</v>
      </c>
      <c r="F710" s="64">
        <f>'[2]Calc_Coef _18'!AI708</f>
        <v>5</v>
      </c>
      <c r="G710" s="30"/>
      <c r="H710"/>
      <c r="I710"/>
    </row>
    <row r="711" spans="1:9" x14ac:dyDescent="0.25">
      <c r="A711" s="32">
        <f>'[2]Calc_Coef _18'!AE709</f>
        <v>8000157</v>
      </c>
      <c r="B711" s="32">
        <f>'[2]Calc_Coef _18'!C709</f>
        <v>190120</v>
      </c>
      <c r="C711" s="32" t="str">
        <f>'[2]Calc_Coef _18'!AF709</f>
        <v>PAO, BRANCO NAO ESPECIFICADO</v>
      </c>
      <c r="D711" s="63">
        <f>'[2]Calc_Coef _18'!AG709</f>
        <v>547.0901639344263</v>
      </c>
      <c r="E711" s="63">
        <f>'[2]Calc_Coef _18'!AH709</f>
        <v>1870.1099089032616</v>
      </c>
      <c r="F711" s="64">
        <f>'[2]Calc_Coef _18'!AI709</f>
        <v>5</v>
      </c>
      <c r="G711" s="30"/>
      <c r="H711"/>
      <c r="I711"/>
    </row>
    <row r="712" spans="1:9" x14ac:dyDescent="0.25">
      <c r="A712" s="32">
        <f>'[2]Calc_Coef _18'!AE710</f>
        <v>8000158</v>
      </c>
      <c r="B712" s="32">
        <f>'[2]Calc_Coef _18'!C710</f>
        <v>190120</v>
      </c>
      <c r="C712" s="32" t="str">
        <f>'[2]Calc_Coef _18'!AF710</f>
        <v>PAOZINHO</v>
      </c>
      <c r="D712" s="63">
        <f>'[2]Calc_Coef _18'!AG710</f>
        <v>547.0901639344263</v>
      </c>
      <c r="E712" s="63">
        <f>'[2]Calc_Coef _18'!AH710</f>
        <v>1870.1099089032616</v>
      </c>
      <c r="F712" s="64">
        <f>'[2]Calc_Coef _18'!AI710</f>
        <v>5</v>
      </c>
      <c r="G712" s="30"/>
      <c r="H712"/>
      <c r="I712"/>
    </row>
    <row r="713" spans="1:9" x14ac:dyDescent="0.25">
      <c r="A713" s="32">
        <f>'[2]Calc_Coef _18'!AE711</f>
        <v>8000201</v>
      </c>
      <c r="B713" s="32" t="str">
        <f>'[2]Calc_Coef _18'!C711</f>
        <v>190590</v>
      </c>
      <c r="C713" s="32" t="str">
        <f>'[2]Calc_Coef _18'!AF711</f>
        <v>PAO DOCE</v>
      </c>
      <c r="D713" s="63">
        <f>'[2]Calc_Coef _18'!AG711</f>
        <v>1264.5163676621726</v>
      </c>
      <c r="E713" s="63">
        <f>'[2]Calc_Coef _18'!AH711</f>
        <v>1045.2</v>
      </c>
      <c r="F713" s="64">
        <f>'[2]Calc_Coef _18'!AI711</f>
        <v>6.7933333333333339</v>
      </c>
      <c r="G713" s="30"/>
      <c r="H713"/>
      <c r="I713"/>
    </row>
    <row r="714" spans="1:9" x14ac:dyDescent="0.25">
      <c r="A714" s="32">
        <f>'[2]Calc_Coef _18'!AE712</f>
        <v>8000203</v>
      </c>
      <c r="B714" s="32">
        <f>'[2]Calc_Coef _18'!C712</f>
        <v>190520</v>
      </c>
      <c r="C714" s="32" t="str">
        <f>'[2]Calc_Coef _18'!AF712</f>
        <v>CHINEQUE</v>
      </c>
      <c r="D714" s="63">
        <f>'[2]Calc_Coef _18'!AG712</f>
        <v>2315.1666666666665</v>
      </c>
      <c r="E714" s="63">
        <f>'[2]Calc_Coef _18'!AH712</f>
        <v>1956.5333333333333</v>
      </c>
      <c r="F714" s="64">
        <f>'[2]Calc_Coef _18'!AI712</f>
        <v>12.832539682539684</v>
      </c>
      <c r="G714" s="30"/>
      <c r="H714"/>
      <c r="I714"/>
    </row>
    <row r="715" spans="1:9" x14ac:dyDescent="0.25">
      <c r="A715" s="32">
        <f>'[2]Calc_Coef _18'!AE713</f>
        <v>8000208</v>
      </c>
      <c r="B715" s="32" t="str">
        <f>'[2]Calc_Coef _18'!C713</f>
        <v>190590</v>
      </c>
      <c r="C715" s="32" t="str">
        <f>'[2]Calc_Coef _18'!AF713</f>
        <v>PAO DOCE, COM RECHEIO</v>
      </c>
      <c r="D715" s="63">
        <f>'[2]Calc_Coef _18'!AG713</f>
        <v>1264.5163676621726</v>
      </c>
      <c r="E715" s="63">
        <f>'[2]Calc_Coef _18'!AH713</f>
        <v>1045.2</v>
      </c>
      <c r="F715" s="64">
        <f>'[2]Calc_Coef _18'!AI713</f>
        <v>6.7933333333333339</v>
      </c>
      <c r="G715" s="30"/>
      <c r="H715"/>
      <c r="I715"/>
    </row>
    <row r="716" spans="1:9" x14ac:dyDescent="0.25">
      <c r="A716" s="32">
        <f>'[2]Calc_Coef _18'!AE714</f>
        <v>8000213</v>
      </c>
      <c r="B716" s="32" t="str">
        <f>'[2]Calc_Coef _18'!C714</f>
        <v>190590</v>
      </c>
      <c r="C716" s="32" t="str">
        <f>'[2]Calc_Coef _18'!AF714</f>
        <v>PAO DE LEITE</v>
      </c>
      <c r="D716" s="63">
        <f>'[2]Calc_Coef _18'!AG714</f>
        <v>1264.5163676621726</v>
      </c>
      <c r="E716" s="63">
        <f>'[2]Calc_Coef _18'!AH714</f>
        <v>1045.2</v>
      </c>
      <c r="F716" s="64">
        <f>'[2]Calc_Coef _18'!AI714</f>
        <v>6.7933333333333339</v>
      </c>
      <c r="G716" s="30"/>
      <c r="H716"/>
      <c r="I716"/>
    </row>
    <row r="717" spans="1:9" x14ac:dyDescent="0.25">
      <c r="A717" s="32">
        <f>'[2]Calc_Coef _18'!AE715</f>
        <v>8000223</v>
      </c>
      <c r="B717" s="32" t="str">
        <f>'[2]Calc_Coef _18'!C715</f>
        <v>190590</v>
      </c>
      <c r="C717" s="32" t="str">
        <f>'[2]Calc_Coef _18'!AF715</f>
        <v>PAO DE COCO</v>
      </c>
      <c r="D717" s="63">
        <f>'[2]Calc_Coef _18'!AG715</f>
        <v>1264.5163676621726</v>
      </c>
      <c r="E717" s="63">
        <f>'[2]Calc_Coef _18'!AH715</f>
        <v>1045.2</v>
      </c>
      <c r="F717" s="64">
        <f>'[2]Calc_Coef _18'!AI715</f>
        <v>6.7933333333333339</v>
      </c>
      <c r="G717" s="30"/>
      <c r="H717"/>
      <c r="I717"/>
    </row>
    <row r="718" spans="1:9" x14ac:dyDescent="0.25">
      <c r="A718" s="32">
        <f>'[2]Calc_Coef _18'!AE716</f>
        <v>8000229</v>
      </c>
      <c r="B718" s="32">
        <f>'[2]Calc_Coef _18'!C716</f>
        <v>190520</v>
      </c>
      <c r="C718" s="32" t="str">
        <f>'[2]Calc_Coef _18'!AF716</f>
        <v>PAO DE MEL</v>
      </c>
      <c r="D718" s="63">
        <f>'[2]Calc_Coef _18'!AG716</f>
        <v>2315.1666666666665</v>
      </c>
      <c r="E718" s="63">
        <f>'[2]Calc_Coef _18'!AH716</f>
        <v>1956.5333333333333</v>
      </c>
      <c r="F718" s="64">
        <f>'[2]Calc_Coef _18'!AI716</f>
        <v>12.832539682539684</v>
      </c>
      <c r="G718" s="30"/>
      <c r="H718"/>
      <c r="I718"/>
    </row>
    <row r="719" spans="1:9" x14ac:dyDescent="0.25">
      <c r="A719" s="32">
        <f>'[2]Calc_Coef _18'!AE717</f>
        <v>8000234</v>
      </c>
      <c r="B719" s="32">
        <f>'[2]Calc_Coef _18'!C717</f>
        <v>190520</v>
      </c>
      <c r="C719" s="32" t="str">
        <f>'[2]Calc_Coef _18'!AF717</f>
        <v>PANETONE</v>
      </c>
      <c r="D719" s="63">
        <f>'[2]Calc_Coef _18'!AG717</f>
        <v>2315.1666666666665</v>
      </c>
      <c r="E719" s="63">
        <f>'[2]Calc_Coef _18'!AH717</f>
        <v>1956.5333333333333</v>
      </c>
      <c r="F719" s="64">
        <f>'[2]Calc_Coef _18'!AI717</f>
        <v>12.832539682539684</v>
      </c>
      <c r="G719" s="30"/>
      <c r="H719"/>
      <c r="I719"/>
    </row>
    <row r="720" spans="1:9" x14ac:dyDescent="0.25">
      <c r="A720" s="32">
        <f>'[2]Calc_Coef _18'!AE718</f>
        <v>8000237</v>
      </c>
      <c r="B720" s="32" t="str">
        <f>'[2]Calc_Coef _18'!C718</f>
        <v>190590</v>
      </c>
      <c r="C720" s="32" t="str">
        <f>'[2]Calc_Coef _18'!AF718</f>
        <v>BISNAGUINHA</v>
      </c>
      <c r="D720" s="63">
        <f>'[2]Calc_Coef _18'!AG718</f>
        <v>930</v>
      </c>
      <c r="E720" s="63">
        <f>'[2]Calc_Coef _18'!AH718</f>
        <v>1045.2</v>
      </c>
      <c r="F720" s="64">
        <f>'[2]Calc_Coef _18'!AI718</f>
        <v>6.7933333333333339</v>
      </c>
      <c r="G720" s="30"/>
      <c r="H720"/>
      <c r="I720"/>
    </row>
    <row r="721" spans="1:9" x14ac:dyDescent="0.25">
      <c r="A721" s="32">
        <f>'[2]Calc_Coef _18'!AE719</f>
        <v>8000240</v>
      </c>
      <c r="B721" s="32" t="str">
        <f>'[2]Calc_Coef _18'!C719</f>
        <v>190590</v>
      </c>
      <c r="C721" s="32" t="str">
        <f>'[2]Calc_Coef _18'!AF719</f>
        <v>CROISSANT</v>
      </c>
      <c r="D721" s="63">
        <f>'[2]Calc_Coef _18'!AG719</f>
        <v>1264.5163676621726</v>
      </c>
      <c r="E721" s="63">
        <f>'[2]Calc_Coef _18'!AH719</f>
        <v>1045.2</v>
      </c>
      <c r="F721" s="64">
        <f>'[2]Calc_Coef _18'!AI719</f>
        <v>6.7933333333333339</v>
      </c>
      <c r="G721" s="30"/>
      <c r="H721"/>
      <c r="I721"/>
    </row>
    <row r="722" spans="1:9" x14ac:dyDescent="0.25">
      <c r="A722" s="32">
        <f>'[2]Calc_Coef _18'!AE720</f>
        <v>8000245</v>
      </c>
      <c r="B722" s="32" t="str">
        <f>'[2]Calc_Coef _18'!C720</f>
        <v>190590</v>
      </c>
      <c r="C722" s="32" t="str">
        <f>'[2]Calc_Coef _18'!AF720</f>
        <v>PAO AUSTRALIANO</v>
      </c>
      <c r="D722" s="63">
        <f>'[2]Calc_Coef _18'!AG720</f>
        <v>1264.5163676621726</v>
      </c>
      <c r="E722" s="63">
        <f>'[2]Calc_Coef _18'!AH720</f>
        <v>1045.2</v>
      </c>
      <c r="F722" s="64">
        <f>'[2]Calc_Coef _18'!AI720</f>
        <v>6.7933333333333339</v>
      </c>
      <c r="G722" s="30"/>
      <c r="H722"/>
      <c r="I722"/>
    </row>
    <row r="723" spans="1:9" x14ac:dyDescent="0.25">
      <c r="A723" s="32">
        <f>'[2]Calc_Coef _18'!AE721</f>
        <v>8000249</v>
      </c>
      <c r="B723" s="32" t="str">
        <f>'[2]Calc_Coef _18'!C721</f>
        <v>190590</v>
      </c>
      <c r="C723" s="32" t="str">
        <f>'[2]Calc_Coef _18'!AF721</f>
        <v>PAO DOCE, SEM RECHEIO</v>
      </c>
      <c r="D723" s="63">
        <f>'[2]Calc_Coef _18'!AG721</f>
        <v>1264.5163676621726</v>
      </c>
      <c r="E723" s="63">
        <f>'[2]Calc_Coef _18'!AH721</f>
        <v>1045.2</v>
      </c>
      <c r="F723" s="64">
        <f>'[2]Calc_Coef _18'!AI721</f>
        <v>6.7933333333333339</v>
      </c>
      <c r="G723" s="30"/>
      <c r="H723"/>
      <c r="I723"/>
    </row>
    <row r="724" spans="1:9" x14ac:dyDescent="0.25">
      <c r="A724" s="32">
        <f>'[2]Calc_Coef _18'!AE722</f>
        <v>8000501</v>
      </c>
      <c r="B724" s="32" t="str">
        <f>'[2]Calc_Coef _18'!C722</f>
        <v>190590</v>
      </c>
      <c r="C724" s="32" t="str">
        <f>'[2]Calc_Coef _18'!AF722</f>
        <v>PAO DE FORMA INDUSTRIALIZADO DE QUALQUER MARCA</v>
      </c>
      <c r="D724" s="63">
        <f>'[2]Calc_Coef _18'!AG722</f>
        <v>1076.4258060418408</v>
      </c>
      <c r="E724" s="63">
        <f>'[2]Calc_Coef _18'!AH722</f>
        <v>876</v>
      </c>
      <c r="F724" s="64">
        <f>'[2]Calc_Coef _18'!AI722</f>
        <v>5.4636363636363647</v>
      </c>
      <c r="G724" s="30"/>
      <c r="H724"/>
      <c r="I724"/>
    </row>
    <row r="725" spans="1:9" x14ac:dyDescent="0.25">
      <c r="A725" s="32">
        <f>'[2]Calc_Coef _18'!AE723</f>
        <v>8000801</v>
      </c>
      <c r="B725" s="32">
        <f>'[2]Calc_Coef _18'!C723</f>
        <v>190120</v>
      </c>
      <c r="C725" s="32" t="str">
        <f>'[2]Calc_Coef _18'!AF723</f>
        <v>PAO DE QUEIJO</v>
      </c>
      <c r="D725" s="63">
        <f>'[2]Calc_Coef _18'!AG723</f>
        <v>547.0901639344263</v>
      </c>
      <c r="E725" s="63">
        <f>'[2]Calc_Coef _18'!AH723</f>
        <v>1870.1099089032616</v>
      </c>
      <c r="F725" s="64">
        <f>'[2]Calc_Coef _18'!AI723</f>
        <v>5</v>
      </c>
      <c r="G725" s="30"/>
      <c r="H725"/>
      <c r="I725"/>
    </row>
    <row r="726" spans="1:9" x14ac:dyDescent="0.25">
      <c r="A726" s="32">
        <f>'[2]Calc_Coef _18'!AE724</f>
        <v>8001101</v>
      </c>
      <c r="B726" s="32" t="str">
        <f>'[2]Calc_Coef _18'!C724</f>
        <v>190590</v>
      </c>
      <c r="C726" s="32" t="str">
        <f>'[2]Calc_Coef _18'!AF724</f>
        <v>PAO DE MILHO</v>
      </c>
      <c r="D726" s="63">
        <f>'[2]Calc_Coef _18'!AG724</f>
        <v>1264.5163676621726</v>
      </c>
      <c r="E726" s="63">
        <f>'[2]Calc_Coef _18'!AH724</f>
        <v>1045.2</v>
      </c>
      <c r="F726" s="64">
        <f>'[2]Calc_Coef _18'!AI724</f>
        <v>6.7933333333333339</v>
      </c>
      <c r="G726" s="30"/>
      <c r="H726"/>
      <c r="I726"/>
    </row>
    <row r="727" spans="1:9" x14ac:dyDescent="0.25">
      <c r="A727" s="32">
        <f>'[2]Calc_Coef _18'!AE725</f>
        <v>8001301</v>
      </c>
      <c r="B727" s="32" t="str">
        <f>'[2]Calc_Coef _18'!C725</f>
        <v>190590</v>
      </c>
      <c r="C727" s="32" t="str">
        <f>'[2]Calc_Coef _18'!AF725</f>
        <v>PAO DE CENTEIO</v>
      </c>
      <c r="D727" s="63">
        <f>'[2]Calc_Coef _18'!AG725</f>
        <v>1264.5163676621726</v>
      </c>
      <c r="E727" s="63">
        <f>'[2]Calc_Coef _18'!AH725</f>
        <v>1045.2</v>
      </c>
      <c r="F727" s="64">
        <f>'[2]Calc_Coef _18'!AI725</f>
        <v>6.7933333333333339</v>
      </c>
      <c r="G727" s="30"/>
      <c r="H727"/>
      <c r="I727"/>
    </row>
    <row r="728" spans="1:9" x14ac:dyDescent="0.25">
      <c r="A728" s="32">
        <f>'[2]Calc_Coef _18'!AE726</f>
        <v>8001302</v>
      </c>
      <c r="B728" s="32" t="str">
        <f>'[2]Calc_Coef _18'!C726</f>
        <v>190590</v>
      </c>
      <c r="C728" s="32" t="str">
        <f>'[2]Calc_Coef _18'!AF726</f>
        <v>PAO PRETO NAO ESPECIFICADO</v>
      </c>
      <c r="D728" s="63">
        <f>'[2]Calc_Coef _18'!AG726</f>
        <v>1264.5163676621726</v>
      </c>
      <c r="E728" s="63">
        <f>'[2]Calc_Coef _18'!AH726</f>
        <v>1045.2</v>
      </c>
      <c r="F728" s="64">
        <f>'[2]Calc_Coef _18'!AI726</f>
        <v>6.7933333333333339</v>
      </c>
      <c r="G728" s="30"/>
      <c r="H728"/>
      <c r="I728"/>
    </row>
    <row r="729" spans="1:9" x14ac:dyDescent="0.25">
      <c r="A729" s="32">
        <f>'[2]Calc_Coef _18'!AE727</f>
        <v>8001401</v>
      </c>
      <c r="B729" s="32" t="str">
        <f>'[2]Calc_Coef _18'!C727</f>
        <v>190590</v>
      </c>
      <c r="C729" s="32" t="str">
        <f>'[2]Calc_Coef _18'!AF727</f>
        <v>PAO INTEGRAL</v>
      </c>
      <c r="D729" s="63">
        <f>'[2]Calc_Coef _18'!AG727</f>
        <v>1264.5163676621726</v>
      </c>
      <c r="E729" s="63">
        <f>'[2]Calc_Coef _18'!AH727</f>
        <v>1045.2</v>
      </c>
      <c r="F729" s="64">
        <f>'[2]Calc_Coef _18'!AI727</f>
        <v>6.7933333333333339</v>
      </c>
      <c r="G729" s="30"/>
      <c r="H729"/>
      <c r="I729"/>
    </row>
    <row r="730" spans="1:9" x14ac:dyDescent="0.25">
      <c r="A730" s="32">
        <f>'[2]Calc_Coef _18'!AE728</f>
        <v>8001407</v>
      </c>
      <c r="B730" s="32" t="str">
        <f>'[2]Calc_Coef _18'!C728</f>
        <v>190590</v>
      </c>
      <c r="C730" s="32" t="str">
        <f>'[2]Calc_Coef _18'!AF728</f>
        <v>PAO ARABE INTEGRAL</v>
      </c>
      <c r="D730" s="63">
        <f>'[2]Calc_Coef _18'!AG728</f>
        <v>1264.5163676621726</v>
      </c>
      <c r="E730" s="63">
        <f>'[2]Calc_Coef _18'!AH728</f>
        <v>1045.2</v>
      </c>
      <c r="F730" s="64">
        <f>'[2]Calc_Coef _18'!AI728</f>
        <v>6.7933333333333339</v>
      </c>
      <c r="G730" s="30"/>
      <c r="H730"/>
      <c r="I730"/>
    </row>
    <row r="731" spans="1:9" x14ac:dyDescent="0.25">
      <c r="A731" s="32">
        <f>'[2]Calc_Coef _18'!AE729</f>
        <v>8001408</v>
      </c>
      <c r="B731" s="32" t="str">
        <f>'[2]Calc_Coef _18'!C729</f>
        <v>190590</v>
      </c>
      <c r="C731" s="32" t="str">
        <f>'[2]Calc_Coef _18'!AF729</f>
        <v>PAO CACETINHO INTEGRAL</v>
      </c>
      <c r="D731" s="63">
        <f>'[2]Calc_Coef _18'!AG729</f>
        <v>1264.5163676621726</v>
      </c>
      <c r="E731" s="63">
        <f>'[2]Calc_Coef _18'!AH729</f>
        <v>1045.2</v>
      </c>
      <c r="F731" s="64">
        <f>'[2]Calc_Coef _18'!AI729</f>
        <v>6.7933333333333339</v>
      </c>
      <c r="G731" s="30"/>
      <c r="H731"/>
      <c r="I731"/>
    </row>
    <row r="732" spans="1:9" x14ac:dyDescent="0.25">
      <c r="A732" s="32">
        <f>'[2]Calc_Coef _18'!AE730</f>
        <v>8001409</v>
      </c>
      <c r="B732" s="32" t="str">
        <f>'[2]Calc_Coef _18'!C730</f>
        <v>190590</v>
      </c>
      <c r="C732" s="32" t="str">
        <f>'[2]Calc_Coef _18'!AF730</f>
        <v>PAO CARECA INTEGRAL</v>
      </c>
      <c r="D732" s="63">
        <f>'[2]Calc_Coef _18'!AG730</f>
        <v>1264.5163676621726</v>
      </c>
      <c r="E732" s="63">
        <f>'[2]Calc_Coef _18'!AH730</f>
        <v>1045.2</v>
      </c>
      <c r="F732" s="64">
        <f>'[2]Calc_Coef _18'!AI730</f>
        <v>6.7933333333333339</v>
      </c>
      <c r="G732" s="30"/>
      <c r="H732"/>
      <c r="I732"/>
    </row>
    <row r="733" spans="1:9" x14ac:dyDescent="0.25">
      <c r="A733" s="32">
        <f>'[2]Calc_Coef _18'!AE731</f>
        <v>8001410</v>
      </c>
      <c r="B733" s="32" t="str">
        <f>'[2]Calc_Coef _18'!C731</f>
        <v>190590</v>
      </c>
      <c r="C733" s="32" t="str">
        <f>'[2]Calc_Coef _18'!AF731</f>
        <v>PAO CENTEIO INTEGRAL</v>
      </c>
      <c r="D733" s="63">
        <f>'[2]Calc_Coef _18'!AG731</f>
        <v>1264.5163676621726</v>
      </c>
      <c r="E733" s="63">
        <f>'[2]Calc_Coef _18'!AH731</f>
        <v>1045.2</v>
      </c>
      <c r="F733" s="64">
        <f>'[2]Calc_Coef _18'!AI731</f>
        <v>6.7933333333333339</v>
      </c>
      <c r="G733" s="30"/>
      <c r="H733"/>
      <c r="I733"/>
    </row>
    <row r="734" spans="1:9" x14ac:dyDescent="0.25">
      <c r="A734" s="32">
        <f>'[2]Calc_Coef _18'!AE732</f>
        <v>8001411</v>
      </c>
      <c r="B734" s="32" t="str">
        <f>'[2]Calc_Coef _18'!C732</f>
        <v>190590</v>
      </c>
      <c r="C734" s="32" t="str">
        <f>'[2]Calc_Coef _18'!AF732</f>
        <v>PAO DE SAL INTEGRAL</v>
      </c>
      <c r="D734" s="63">
        <f>'[2]Calc_Coef _18'!AG732</f>
        <v>1264.5163676621726</v>
      </c>
      <c r="E734" s="63">
        <f>'[2]Calc_Coef _18'!AH732</f>
        <v>1045.2</v>
      </c>
      <c r="F734" s="64">
        <f>'[2]Calc_Coef _18'!AI732</f>
        <v>6.7933333333333339</v>
      </c>
      <c r="G734" s="30"/>
      <c r="H734"/>
      <c r="I734"/>
    </row>
    <row r="735" spans="1:9" x14ac:dyDescent="0.25">
      <c r="A735" s="32">
        <f>'[2]Calc_Coef _18'!AE733</f>
        <v>8001412</v>
      </c>
      <c r="B735" s="32" t="str">
        <f>'[2]Calc_Coef _18'!C733</f>
        <v>190590</v>
      </c>
      <c r="C735" s="32" t="str">
        <f>'[2]Calc_Coef _18'!AF733</f>
        <v>PAO DE TRIGO INTEGRAL</v>
      </c>
      <c r="D735" s="63">
        <f>'[2]Calc_Coef _18'!AG733</f>
        <v>1264.5163676621726</v>
      </c>
      <c r="E735" s="63">
        <f>'[2]Calc_Coef _18'!AH733</f>
        <v>1045.2</v>
      </c>
      <c r="F735" s="64">
        <f>'[2]Calc_Coef _18'!AI733</f>
        <v>6.7933333333333339</v>
      </c>
      <c r="G735" s="30"/>
      <c r="H735"/>
      <c r="I735"/>
    </row>
    <row r="736" spans="1:9" x14ac:dyDescent="0.25">
      <c r="A736" s="32">
        <f>'[2]Calc_Coef _18'!AE734</f>
        <v>8001413</v>
      </c>
      <c r="B736" s="32">
        <f>'[2]Calc_Coef _18'!C734</f>
        <v>190120</v>
      </c>
      <c r="C736" s="32" t="str">
        <f>'[2]Calc_Coef _18'!AF734</f>
        <v>PAO FRANCÃ‹S INTEGRAL</v>
      </c>
      <c r="D736" s="63">
        <f>'[2]Calc_Coef _18'!AG734</f>
        <v>547.0901639344263</v>
      </c>
      <c r="E736" s="63">
        <f>'[2]Calc_Coef _18'!AH734</f>
        <v>1870.1099089032616</v>
      </c>
      <c r="F736" s="64">
        <f>'[2]Calc_Coef _18'!AI734</f>
        <v>5</v>
      </c>
      <c r="G736" s="30"/>
      <c r="H736"/>
      <c r="I736"/>
    </row>
    <row r="737" spans="1:9" x14ac:dyDescent="0.25">
      <c r="A737" s="32">
        <f>'[2]Calc_Coef _18'!AE735</f>
        <v>8001414</v>
      </c>
      <c r="B737" s="32">
        <f>'[2]Calc_Coef _18'!C735</f>
        <v>190120</v>
      </c>
      <c r="C737" s="32" t="str">
        <f>'[2]Calc_Coef _18'!AF735</f>
        <v>PAOZINHO INTEGRAL</v>
      </c>
      <c r="D737" s="63">
        <f>'[2]Calc_Coef _18'!AG735</f>
        <v>547.0901639344263</v>
      </c>
      <c r="E737" s="63">
        <f>'[2]Calc_Coef _18'!AH735</f>
        <v>1870.1099089032616</v>
      </c>
      <c r="F737" s="64">
        <f>'[2]Calc_Coef _18'!AI735</f>
        <v>5</v>
      </c>
      <c r="G737" s="30"/>
      <c r="H737"/>
      <c r="I737"/>
    </row>
    <row r="738" spans="1:9" x14ac:dyDescent="0.25">
      <c r="A738" s="32">
        <f>'[2]Calc_Coef _18'!AE736</f>
        <v>8001501</v>
      </c>
      <c r="B738" s="32" t="str">
        <f>'[2]Calc_Coef _18'!C736</f>
        <v>190590</v>
      </c>
      <c r="C738" s="32" t="str">
        <f>'[2]Calc_Coef _18'!AF736</f>
        <v>PAO NAO ESPECIFICADO</v>
      </c>
      <c r="D738" s="63">
        <f>'[2]Calc_Coef _18'!AG736</f>
        <v>1264.5163676621726</v>
      </c>
      <c r="E738" s="63">
        <f>'[2]Calc_Coef _18'!AH736</f>
        <v>1045.2</v>
      </c>
      <c r="F738" s="64">
        <f>'[2]Calc_Coef _18'!AI736</f>
        <v>6.7933333333333339</v>
      </c>
      <c r="G738" s="30"/>
      <c r="H738"/>
      <c r="I738"/>
    </row>
    <row r="739" spans="1:9" x14ac:dyDescent="0.25">
      <c r="A739" s="32">
        <f>'[2]Calc_Coef _18'!AE737</f>
        <v>8001901</v>
      </c>
      <c r="B739" s="32">
        <f>'[2]Calc_Coef _18'!C737</f>
        <v>190540</v>
      </c>
      <c r="C739" s="32" t="str">
        <f>'[2]Calc_Coef _18'!AF737</f>
        <v>TORRADA DE QUALQUER PAO</v>
      </c>
      <c r="D739" s="63">
        <f>'[2]Calc_Coef _18'!AG737</f>
        <v>1544.5</v>
      </c>
      <c r="E739" s="63">
        <f>'[2]Calc_Coef _18'!AH737</f>
        <v>1324.25</v>
      </c>
      <c r="F739" s="64">
        <f>'[2]Calc_Coef _18'!AI737</f>
        <v>9.8166666666666647</v>
      </c>
      <c r="G739" s="30"/>
      <c r="H739"/>
      <c r="I739"/>
    </row>
    <row r="740" spans="1:9" x14ac:dyDescent="0.25">
      <c r="A740" s="32">
        <f>'[2]Calc_Coef _18'!AE738</f>
        <v>8002001</v>
      </c>
      <c r="B740" s="32">
        <f>'[2]Calc_Coef _18'!C738</f>
        <v>190520</v>
      </c>
      <c r="C740" s="32" t="str">
        <f>'[2]Calc_Coef _18'!AF738</f>
        <v>ROSCA DOCE</v>
      </c>
      <c r="D740" s="63">
        <f>'[2]Calc_Coef _18'!AG738</f>
        <v>2315.1666666666665</v>
      </c>
      <c r="E740" s="63">
        <f>'[2]Calc_Coef _18'!AH738</f>
        <v>1956.5333333333333</v>
      </c>
      <c r="F740" s="64">
        <f>'[2]Calc_Coef _18'!AI738</f>
        <v>12.832539682539684</v>
      </c>
      <c r="G740" s="30"/>
      <c r="H740"/>
      <c r="I740"/>
    </row>
    <row r="741" spans="1:9" x14ac:dyDescent="0.25">
      <c r="A741" s="32">
        <f>'[2]Calc_Coef _18'!AE739</f>
        <v>8002002</v>
      </c>
      <c r="B741" s="32" t="str">
        <f>'[2]Calc_Coef _18'!C739</f>
        <v>190530</v>
      </c>
      <c r="C741" s="32" t="str">
        <f>'[2]Calc_Coef _18'!AF739</f>
        <v>ROSQUINHA DOCE</v>
      </c>
      <c r="D741" s="63">
        <f>'[2]Calc_Coef _18'!AG739</f>
        <v>1942.3333333333333</v>
      </c>
      <c r="E741" s="63">
        <f>'[2]Calc_Coef _18'!AH739</f>
        <v>2729.6666666666665</v>
      </c>
      <c r="F741" s="64">
        <f>'[2]Calc_Coef _18'!AI739</f>
        <v>11.1</v>
      </c>
      <c r="G741" s="30"/>
      <c r="H741"/>
      <c r="I741"/>
    </row>
    <row r="742" spans="1:9" x14ac:dyDescent="0.25">
      <c r="A742" s="32">
        <f>'[2]Calc_Coef _18'!AE740</f>
        <v>8002101</v>
      </c>
      <c r="B742" s="32" t="str">
        <f>'[2]Calc_Coef _18'!C740</f>
        <v>190530</v>
      </c>
      <c r="C742" s="32" t="str">
        <f>'[2]Calc_Coef _18'!AF740</f>
        <v>ROSCA SALGADA</v>
      </c>
      <c r="D742" s="63">
        <f>'[2]Calc_Coef _18'!AG740</f>
        <v>1642.0833333333333</v>
      </c>
      <c r="E742" s="63">
        <f>'[2]Calc_Coef _18'!AH740</f>
        <v>2233.0833333333335</v>
      </c>
      <c r="F742" s="64">
        <f>'[2]Calc_Coef _18'!AI740</f>
        <v>11.427272727272724</v>
      </c>
      <c r="G742" s="30"/>
      <c r="H742"/>
      <c r="I742"/>
    </row>
    <row r="743" spans="1:9" x14ac:dyDescent="0.25">
      <c r="A743" s="32">
        <f>'[2]Calc_Coef _18'!AE741</f>
        <v>8002106</v>
      </c>
      <c r="B743" s="32" t="str">
        <f>'[2]Calc_Coef _18'!C741</f>
        <v>190590</v>
      </c>
      <c r="C743" s="32" t="str">
        <f>'[2]Calc_Coef _18'!AF741</f>
        <v>ROSQUINHA SALGADA</v>
      </c>
      <c r="D743" s="63">
        <f>'[2]Calc_Coef _18'!AG741</f>
        <v>1264.5163676621726</v>
      </c>
      <c r="E743" s="63">
        <f>'[2]Calc_Coef _18'!AH741</f>
        <v>1045.2</v>
      </c>
      <c r="F743" s="64">
        <f>'[2]Calc_Coef _18'!AI741</f>
        <v>6.7933333333333339</v>
      </c>
      <c r="G743" s="30"/>
      <c r="H743"/>
      <c r="I743"/>
    </row>
    <row r="744" spans="1:9" x14ac:dyDescent="0.25">
      <c r="A744" s="32">
        <f>'[2]Calc_Coef _18'!AE742</f>
        <v>8002201</v>
      </c>
      <c r="B744" s="32" t="str">
        <f>'[2]Calc_Coef _18'!C742</f>
        <v>190590</v>
      </c>
      <c r="C744" s="32" t="str">
        <f>'[2]Calc_Coef _18'!AF742</f>
        <v>BISCOITO SALGADO</v>
      </c>
      <c r="D744" s="63">
        <f>'[2]Calc_Coef _18'!AG742</f>
        <v>1551.75</v>
      </c>
      <c r="E744" s="63">
        <f>'[2]Calc_Coef _18'!AH742</f>
        <v>1510.5</v>
      </c>
      <c r="F744" s="64">
        <f>'[2]Calc_Coef _18'!AI742</f>
        <v>10.45</v>
      </c>
      <c r="G744" s="30"/>
      <c r="H744"/>
      <c r="I744"/>
    </row>
    <row r="745" spans="1:9" x14ac:dyDescent="0.25">
      <c r="A745" s="32">
        <f>'[2]Calc_Coef _18'!AE743</f>
        <v>8002205</v>
      </c>
      <c r="B745" s="32">
        <f>'[2]Calc_Coef _18'!C743</f>
        <v>200520</v>
      </c>
      <c r="C745" s="32" t="str">
        <f>'[2]Calc_Coef _18'!AF743</f>
        <v>PRESUNTINHO BISCOITO</v>
      </c>
      <c r="D745" s="63">
        <f>'[2]Calc_Coef _18'!AG743</f>
        <v>2200</v>
      </c>
      <c r="E745" s="63">
        <f>'[2]Calc_Coef _18'!AH743</f>
        <v>2256.485722150212</v>
      </c>
      <c r="F745" s="64">
        <f>'[2]Calc_Coef _18'!AI743</f>
        <v>5</v>
      </c>
      <c r="G745" s="30"/>
      <c r="H745"/>
      <c r="I745"/>
    </row>
    <row r="746" spans="1:9" x14ac:dyDescent="0.25">
      <c r="A746" s="32">
        <f>'[2]Calc_Coef _18'!AE744</f>
        <v>8002212</v>
      </c>
      <c r="B746" s="32" t="str">
        <f>'[2]Calc_Coef _18'!C744</f>
        <v>190530</v>
      </c>
      <c r="C746" s="32" t="str">
        <f>'[2]Calc_Coef _18'!AF744</f>
        <v>BISCOITO DE POLVILHO</v>
      </c>
      <c r="D746" s="63">
        <f>'[2]Calc_Coef _18'!AG744</f>
        <v>1642.0833333333333</v>
      </c>
      <c r="E746" s="63">
        <f>'[2]Calc_Coef _18'!AH744</f>
        <v>2233.0833333333335</v>
      </c>
      <c r="F746" s="64">
        <f>'[2]Calc_Coef _18'!AI744</f>
        <v>11.427272727272724</v>
      </c>
      <c r="G746" s="30"/>
      <c r="H746"/>
      <c r="I746"/>
    </row>
    <row r="747" spans="1:9" x14ac:dyDescent="0.25">
      <c r="A747" s="32">
        <f>'[2]Calc_Coef _18'!AE745</f>
        <v>8002217</v>
      </c>
      <c r="B747" s="32" t="str">
        <f>'[2]Calc_Coef _18'!C745</f>
        <v>190590</v>
      </c>
      <c r="C747" s="32" t="str">
        <f>'[2]Calc_Coef _18'!AF745</f>
        <v>GRESSINI / GRISSINI (PALITO DE PAO)</v>
      </c>
      <c r="D747" s="63">
        <f>'[2]Calc_Coef _18'!AG745</f>
        <v>1264.5163676621726</v>
      </c>
      <c r="E747" s="63">
        <f>'[2]Calc_Coef _18'!AH745</f>
        <v>1045.2</v>
      </c>
      <c r="F747" s="64">
        <f>'[2]Calc_Coef _18'!AI745</f>
        <v>6.7933333333333339</v>
      </c>
      <c r="G747" s="30"/>
      <c r="H747"/>
      <c r="I747"/>
    </row>
    <row r="748" spans="1:9" x14ac:dyDescent="0.25">
      <c r="A748" s="32">
        <f>'[2]Calc_Coef _18'!AE746</f>
        <v>8002225</v>
      </c>
      <c r="B748" s="32">
        <f>'[2]Calc_Coef _18'!C746</f>
        <v>190530</v>
      </c>
      <c r="C748" s="32" t="str">
        <f>'[2]Calc_Coef _18'!AF746</f>
        <v>BOLACHA SALGADA</v>
      </c>
      <c r="D748" s="63">
        <f>'[2]Calc_Coef _18'!AG746</f>
        <v>1448.5</v>
      </c>
      <c r="E748" s="63">
        <f>'[2]Calc_Coef _18'!AH746</f>
        <v>975</v>
      </c>
      <c r="F748" s="64">
        <f>'[2]Calc_Coef _18'!AI746</f>
        <v>9.6499999999999986</v>
      </c>
      <c r="G748" s="30"/>
      <c r="H748"/>
      <c r="I748"/>
    </row>
    <row r="749" spans="1:9" x14ac:dyDescent="0.25">
      <c r="A749" s="32">
        <f>'[2]Calc_Coef _18'!AE747</f>
        <v>8002227</v>
      </c>
      <c r="B749" s="32">
        <f>'[2]Calc_Coef _18'!C747</f>
        <v>190410</v>
      </c>
      <c r="C749" s="32" t="str">
        <f>'[2]Calc_Coef _18'!AF747</f>
        <v>CHIPS (SALGADINHOS)</v>
      </c>
      <c r="D749" s="63">
        <f>'[2]Calc_Coef _18'!AG747</f>
        <v>3900</v>
      </c>
      <c r="E749" s="63">
        <f>'[2]Calc_Coef _18'!AH747</f>
        <v>1772</v>
      </c>
      <c r="F749" s="64">
        <f>'[2]Calc_Coef _18'!AI747</f>
        <v>10.334717607973422</v>
      </c>
      <c r="G749" s="30"/>
      <c r="H749"/>
      <c r="I749"/>
    </row>
    <row r="750" spans="1:9" x14ac:dyDescent="0.25">
      <c r="A750" s="32">
        <f>'[2]Calc_Coef _18'!AE748</f>
        <v>8002230</v>
      </c>
      <c r="B750" s="32">
        <f>'[2]Calc_Coef _18'!C748</f>
        <v>200520</v>
      </c>
      <c r="C750" s="32" t="str">
        <f>'[2]Calc_Coef _18'!AF748</f>
        <v>BACONZITOS</v>
      </c>
      <c r="D750" s="63">
        <f>'[2]Calc_Coef _18'!AG748</f>
        <v>2200</v>
      </c>
      <c r="E750" s="63">
        <f>'[2]Calc_Coef _18'!AH748</f>
        <v>2256.485722150212</v>
      </c>
      <c r="F750" s="64">
        <f>'[2]Calc_Coef _18'!AI748</f>
        <v>5</v>
      </c>
      <c r="G750" s="30"/>
      <c r="H750"/>
      <c r="I750"/>
    </row>
    <row r="751" spans="1:9" x14ac:dyDescent="0.25">
      <c r="A751" s="32">
        <f>'[2]Calc_Coef _18'!AE749</f>
        <v>8002236</v>
      </c>
      <c r="B751" s="32">
        <f>'[2]Calc_Coef _18'!C749</f>
        <v>190530</v>
      </c>
      <c r="C751" s="32" t="str">
        <f>'[2]Calc_Coef _18'!AF749</f>
        <v>BISCOITO SALGADO INTEGRAL</v>
      </c>
      <c r="D751" s="63">
        <f>'[2]Calc_Coef _18'!AG749</f>
        <v>1001.125</v>
      </c>
      <c r="E751" s="63">
        <f>'[2]Calc_Coef _18'!AH749</f>
        <v>624.25</v>
      </c>
      <c r="F751" s="64">
        <f>'[2]Calc_Coef _18'!AI749</f>
        <v>8.5375000000000014</v>
      </c>
      <c r="G751" s="30"/>
      <c r="H751"/>
      <c r="I751"/>
    </row>
    <row r="752" spans="1:9" x14ac:dyDescent="0.25">
      <c r="A752" s="32">
        <f>'[2]Calc_Coef _18'!AE750</f>
        <v>8002246</v>
      </c>
      <c r="B752" s="32">
        <f>'[2]Calc_Coef _18'!C750</f>
        <v>190410</v>
      </c>
      <c r="C752" s="32" t="str">
        <f>'[2]Calc_Coef _18'!AF750</f>
        <v>SALGADINHO DE MILHO (TIPO DORITOS, FANDAGOS, CHEETOS)</v>
      </c>
      <c r="D752" s="63">
        <f>'[2]Calc_Coef _18'!AG750</f>
        <v>3900</v>
      </c>
      <c r="E752" s="63">
        <f>'[2]Calc_Coef _18'!AH750</f>
        <v>1772</v>
      </c>
      <c r="F752" s="64">
        <f>'[2]Calc_Coef _18'!AI750</f>
        <v>10.334717607973422</v>
      </c>
      <c r="G752" s="30"/>
      <c r="H752"/>
      <c r="I752"/>
    </row>
    <row r="753" spans="1:9" x14ac:dyDescent="0.25">
      <c r="A753" s="32">
        <f>'[2]Calc_Coef _18'!AE751</f>
        <v>8002252</v>
      </c>
      <c r="B753" s="32">
        <f>'[2]Calc_Coef _18'!C751</f>
        <v>190540</v>
      </c>
      <c r="C753" s="32" t="str">
        <f>'[2]Calc_Coef _18'!AF751</f>
        <v>TORRADA CENTEIO</v>
      </c>
      <c r="D753" s="63">
        <f>'[2]Calc_Coef _18'!AG751</f>
        <v>1544.5</v>
      </c>
      <c r="E753" s="63">
        <f>'[2]Calc_Coef _18'!AH751</f>
        <v>1324.25</v>
      </c>
      <c r="F753" s="64">
        <f>'[2]Calc_Coef _18'!AI751</f>
        <v>9.8166666666666647</v>
      </c>
      <c r="G753" s="30"/>
      <c r="H753"/>
      <c r="I753"/>
    </row>
    <row r="754" spans="1:9" x14ac:dyDescent="0.25">
      <c r="A754" s="32">
        <f>'[2]Calc_Coef _18'!AE752</f>
        <v>8002253</v>
      </c>
      <c r="B754" s="32">
        <f>'[2]Calc_Coef _18'!C752</f>
        <v>190540</v>
      </c>
      <c r="C754" s="32" t="str">
        <f>'[2]Calc_Coef _18'!AF752</f>
        <v>TORRADA DOCE</v>
      </c>
      <c r="D754" s="63">
        <f>'[2]Calc_Coef _18'!AG752</f>
        <v>1544.5</v>
      </c>
      <c r="E754" s="63">
        <f>'[2]Calc_Coef _18'!AH752</f>
        <v>1324.25</v>
      </c>
      <c r="F754" s="64">
        <f>'[2]Calc_Coef _18'!AI752</f>
        <v>9.8166666666666647</v>
      </c>
      <c r="G754" s="30"/>
      <c r="H754"/>
      <c r="I754"/>
    </row>
    <row r="755" spans="1:9" x14ac:dyDescent="0.25">
      <c r="A755" s="32">
        <f>'[2]Calc_Coef _18'!AE753</f>
        <v>8002254</v>
      </c>
      <c r="B755" s="32">
        <f>'[2]Calc_Coef _18'!C753</f>
        <v>190540</v>
      </c>
      <c r="C755" s="32" t="str">
        <f>'[2]Calc_Coef _18'!AF753</f>
        <v>TORRADA INTEGRAL</v>
      </c>
      <c r="D755" s="63">
        <f>'[2]Calc_Coef _18'!AG753</f>
        <v>1544.5</v>
      </c>
      <c r="E755" s="63">
        <f>'[2]Calc_Coef _18'!AH753</f>
        <v>1324.25</v>
      </c>
      <c r="F755" s="64">
        <f>'[2]Calc_Coef _18'!AI753</f>
        <v>9.8166666666666647</v>
      </c>
      <c r="G755" s="30"/>
      <c r="H755"/>
      <c r="I755"/>
    </row>
    <row r="756" spans="1:9" x14ac:dyDescent="0.25">
      <c r="A756" s="32">
        <f>'[2]Calc_Coef _18'!AE754</f>
        <v>8002255</v>
      </c>
      <c r="B756" s="32">
        <f>'[2]Calc_Coef _18'!C754</f>
        <v>190410</v>
      </c>
      <c r="C756" s="32" t="str">
        <f>'[2]Calc_Coef _18'!AF754</f>
        <v>SALGADINHO BATATA CHIPS (TIPO RUFFLES)</v>
      </c>
      <c r="D756" s="63">
        <f>'[2]Calc_Coef _18'!AG754</f>
        <v>3900</v>
      </c>
      <c r="E756" s="63">
        <f>'[2]Calc_Coef _18'!AH754</f>
        <v>1772</v>
      </c>
      <c r="F756" s="64">
        <f>'[2]Calc_Coef _18'!AI754</f>
        <v>10.334717607973422</v>
      </c>
      <c r="G756" s="30"/>
      <c r="H756"/>
      <c r="I756"/>
    </row>
    <row r="757" spans="1:9" x14ac:dyDescent="0.25">
      <c r="A757" s="32">
        <f>'[2]Calc_Coef _18'!AE755</f>
        <v>8002256</v>
      </c>
      <c r="B757" s="32">
        <f>'[2]Calc_Coef _18'!C755</f>
        <v>190410</v>
      </c>
      <c r="C757" s="32" t="str">
        <f>'[2]Calc_Coef _18'!AF755</f>
        <v>SALGADINHO TIPO TORCIDA</v>
      </c>
      <c r="D757" s="63">
        <f>'[2]Calc_Coef _18'!AG755</f>
        <v>3900</v>
      </c>
      <c r="E757" s="63">
        <f>'[2]Calc_Coef _18'!AH755</f>
        <v>1772</v>
      </c>
      <c r="F757" s="64">
        <f>'[2]Calc_Coef _18'!AI755</f>
        <v>10.334717607973422</v>
      </c>
      <c r="G757" s="30"/>
      <c r="H757"/>
      <c r="I757"/>
    </row>
    <row r="758" spans="1:9" x14ac:dyDescent="0.25">
      <c r="A758" s="32">
        <f>'[2]Calc_Coef _18'!AE756</f>
        <v>8002301</v>
      </c>
      <c r="B758" s="32" t="str">
        <f>'[2]Calc_Coef _18'!C756</f>
        <v>190530</v>
      </c>
      <c r="C758" s="32" t="str">
        <f>'[2]Calc_Coef _18'!AF756</f>
        <v>BISCOITO DOCE</v>
      </c>
      <c r="D758" s="63">
        <f>'[2]Calc_Coef _18'!AG756</f>
        <v>1690.75</v>
      </c>
      <c r="E758" s="63">
        <f>'[2]Calc_Coef _18'!AH756</f>
        <v>3051</v>
      </c>
      <c r="F758" s="64">
        <f>'[2]Calc_Coef _18'!AI756</f>
        <v>12.850000000000001</v>
      </c>
      <c r="G758" s="30"/>
      <c r="H758"/>
      <c r="I758"/>
    </row>
    <row r="759" spans="1:9" x14ac:dyDescent="0.25">
      <c r="A759" s="32">
        <f>'[2]Calc_Coef _18'!AE757</f>
        <v>8002302</v>
      </c>
      <c r="B759" s="32" t="str">
        <f>'[2]Calc_Coef _18'!C757</f>
        <v>190530</v>
      </c>
      <c r="C759" s="32" t="str">
        <f>'[2]Calc_Coef _18'!AF757</f>
        <v>CAVACO CHINES</v>
      </c>
      <c r="D759" s="63">
        <f>'[2]Calc_Coef _18'!AG757</f>
        <v>1642.0833333333333</v>
      </c>
      <c r="E759" s="63">
        <f>'[2]Calc_Coef _18'!AH757</f>
        <v>2233.0833333333335</v>
      </c>
      <c r="F759" s="64">
        <f>'[2]Calc_Coef _18'!AI757</f>
        <v>11.427272727272724</v>
      </c>
      <c r="G759" s="30"/>
      <c r="H759"/>
      <c r="I759"/>
    </row>
    <row r="760" spans="1:9" x14ac:dyDescent="0.25">
      <c r="A760" s="32">
        <f>'[2]Calc_Coef _18'!AE758</f>
        <v>8002305</v>
      </c>
      <c r="B760" s="32" t="str">
        <f>'[2]Calc_Coef _18'!C758</f>
        <v>190530</v>
      </c>
      <c r="C760" s="32" t="str">
        <f>'[2]Calc_Coef _18'!AF758</f>
        <v>SEQUILHO</v>
      </c>
      <c r="D760" s="63">
        <f>'[2]Calc_Coef _18'!AG758</f>
        <v>1642.0833333333333</v>
      </c>
      <c r="E760" s="63">
        <f>'[2]Calc_Coef _18'!AH758</f>
        <v>2233.0833333333335</v>
      </c>
      <c r="F760" s="64">
        <f>'[2]Calc_Coef _18'!AI758</f>
        <v>11.427272727272724</v>
      </c>
      <c r="G760" s="30"/>
      <c r="H760"/>
      <c r="I760"/>
    </row>
    <row r="761" spans="1:9" x14ac:dyDescent="0.25">
      <c r="A761" s="32">
        <f>'[2]Calc_Coef _18'!AE759</f>
        <v>8002306</v>
      </c>
      <c r="B761" s="32" t="str">
        <f>'[2]Calc_Coef _18'!C759</f>
        <v>190530</v>
      </c>
      <c r="C761" s="32" t="str">
        <f>'[2]Calc_Coef _18'!AF759</f>
        <v>TARECO</v>
      </c>
      <c r="D761" s="63">
        <f>'[2]Calc_Coef _18'!AG759</f>
        <v>1642.0833333333333</v>
      </c>
      <c r="E761" s="63">
        <f>'[2]Calc_Coef _18'!AH759</f>
        <v>2233.0833333333335</v>
      </c>
      <c r="F761" s="64">
        <f>'[2]Calc_Coef _18'!AI759</f>
        <v>11.427272727272724</v>
      </c>
      <c r="G761" s="30"/>
      <c r="H761"/>
      <c r="I761"/>
    </row>
    <row r="762" spans="1:9" x14ac:dyDescent="0.25">
      <c r="A762" s="32">
        <f>'[2]Calc_Coef _18'!AE760</f>
        <v>8002309</v>
      </c>
      <c r="B762" s="32">
        <f>'[2]Calc_Coef _18'!C760</f>
        <v>190530</v>
      </c>
      <c r="C762" s="32" t="str">
        <f>'[2]Calc_Coef _18'!AF760</f>
        <v>SOLDA</v>
      </c>
      <c r="D762" s="63">
        <f>'[2]Calc_Coef _18'!AG760</f>
        <v>1196</v>
      </c>
      <c r="E762" s="63">
        <f>'[2]Calc_Coef _18'!AH760</f>
        <v>694.4</v>
      </c>
      <c r="F762" s="64">
        <f>'[2]Calc_Coef _18'!AI760</f>
        <v>9.5499999999999989</v>
      </c>
      <c r="G762" s="30"/>
      <c r="H762"/>
      <c r="I762"/>
    </row>
    <row r="763" spans="1:9" x14ac:dyDescent="0.25">
      <c r="A763" s="32">
        <f>'[2]Calc_Coef _18'!AE761</f>
        <v>8002315</v>
      </c>
      <c r="B763" s="32" t="str">
        <f>'[2]Calc_Coef _18'!C761</f>
        <v>190530</v>
      </c>
      <c r="C763" s="32" t="str">
        <f>'[2]Calc_Coef _18'!AF761</f>
        <v>BREVIDADE</v>
      </c>
      <c r="D763" s="63">
        <f>'[2]Calc_Coef _18'!AG761</f>
        <v>1642.0833333333333</v>
      </c>
      <c r="E763" s="63">
        <f>'[2]Calc_Coef _18'!AH761</f>
        <v>2233.0833333333335</v>
      </c>
      <c r="F763" s="64">
        <f>'[2]Calc_Coef _18'!AI761</f>
        <v>11.427272727272724</v>
      </c>
      <c r="G763" s="30"/>
      <c r="H763"/>
      <c r="I763"/>
    </row>
    <row r="764" spans="1:9" x14ac:dyDescent="0.25">
      <c r="A764" s="32">
        <f>'[2]Calc_Coef _18'!AE762</f>
        <v>8002334</v>
      </c>
      <c r="B764" s="32" t="str">
        <f>'[2]Calc_Coef _18'!C762</f>
        <v>190530</v>
      </c>
      <c r="C764" s="32" t="str">
        <f>'[2]Calc_Coef _18'!AF762</f>
        <v>BOLACHA DOCE</v>
      </c>
      <c r="D764" s="63">
        <f>'[2]Calc_Coef _18'!AG762</f>
        <v>1465.2142857142858</v>
      </c>
      <c r="E764" s="63">
        <f>'[2]Calc_Coef _18'!AH762</f>
        <v>1682.3571428571429</v>
      </c>
      <c r="F764" s="64">
        <f>'[2]Calc_Coef _18'!AI762</f>
        <v>10.283333333333333</v>
      </c>
      <c r="G764" s="30"/>
      <c r="H764"/>
      <c r="I764"/>
    </row>
    <row r="765" spans="1:9" x14ac:dyDescent="0.25">
      <c r="A765" s="32">
        <f>'[2]Calc_Coef _18'!AE763</f>
        <v>8002335</v>
      </c>
      <c r="B765" s="32" t="str">
        <f>'[2]Calc_Coef _18'!C763</f>
        <v>190530</v>
      </c>
      <c r="C765" s="32" t="str">
        <f>'[2]Calc_Coef _18'!AF763</f>
        <v>MARIA MALUCA (BOLACHA DOCE)</v>
      </c>
      <c r="D765" s="63">
        <f>'[2]Calc_Coef _18'!AG763</f>
        <v>1642.0833333333333</v>
      </c>
      <c r="E765" s="63">
        <f>'[2]Calc_Coef _18'!AH763</f>
        <v>2233.0833333333335</v>
      </c>
      <c r="F765" s="64">
        <f>'[2]Calc_Coef _18'!AI763</f>
        <v>11.427272727272724</v>
      </c>
      <c r="G765" s="30"/>
      <c r="H765"/>
      <c r="I765"/>
    </row>
    <row r="766" spans="1:9" x14ac:dyDescent="0.25">
      <c r="A766" s="32">
        <f>'[2]Calc_Coef _18'!AE764</f>
        <v>8002502</v>
      </c>
      <c r="B766" s="32">
        <f>'[2]Calc_Coef _18'!C764</f>
        <v>190520</v>
      </c>
      <c r="C766" s="32" t="str">
        <f>'[2]Calc_Coef _18'!AF764</f>
        <v>ROCAMBOLE</v>
      </c>
      <c r="D766" s="63">
        <f>'[2]Calc_Coef _18'!AG764</f>
        <v>2059.6666666666665</v>
      </c>
      <c r="E766" s="63">
        <f>'[2]Calc_Coef _18'!AH764</f>
        <v>2032.6666666666667</v>
      </c>
      <c r="F766" s="64">
        <f>'[2]Calc_Coef _18'!AI764</f>
        <v>13.64642857142857</v>
      </c>
      <c r="G766" s="30"/>
      <c r="H766"/>
      <c r="I766"/>
    </row>
    <row r="767" spans="1:9" x14ac:dyDescent="0.25">
      <c r="A767" s="32">
        <f>'[2]Calc_Coef _18'!AE765</f>
        <v>8002508</v>
      </c>
      <c r="B767" s="32">
        <f>'[2]Calc_Coef _18'!C765</f>
        <v>190520</v>
      </c>
      <c r="C767" s="32" t="str">
        <f>'[2]Calc_Coef _18'!AF765</f>
        <v>ROCAMBOLE DOCE</v>
      </c>
      <c r="D767" s="63">
        <f>'[2]Calc_Coef _18'!AG765</f>
        <v>2315.1666666666665</v>
      </c>
      <c r="E767" s="63">
        <f>'[2]Calc_Coef _18'!AH765</f>
        <v>1956.5333333333333</v>
      </c>
      <c r="F767" s="64">
        <f>'[2]Calc_Coef _18'!AI765</f>
        <v>12.832539682539684</v>
      </c>
      <c r="G767" s="30"/>
      <c r="H767"/>
      <c r="I767"/>
    </row>
    <row r="768" spans="1:9" x14ac:dyDescent="0.25">
      <c r="A768" s="32">
        <f>'[2]Calc_Coef _18'!AE766</f>
        <v>8002605</v>
      </c>
      <c r="B768" s="32">
        <f>'[2]Calc_Coef _18'!C766</f>
        <v>190520</v>
      </c>
      <c r="C768" s="32" t="str">
        <f>'[2]Calc_Coef _18'!AF766</f>
        <v>ANGUSOR DE MILHO</v>
      </c>
      <c r="D768" s="63">
        <f>'[2]Calc_Coef _18'!AG766</f>
        <v>2315.1666666666665</v>
      </c>
      <c r="E768" s="63">
        <f>'[2]Calc_Coef _18'!AH766</f>
        <v>1956.5333333333333</v>
      </c>
      <c r="F768" s="64">
        <f>'[2]Calc_Coef _18'!AI766</f>
        <v>12.832539682539684</v>
      </c>
      <c r="G768" s="30"/>
      <c r="H768"/>
      <c r="I768"/>
    </row>
    <row r="769" spans="1:9" x14ac:dyDescent="0.25">
      <c r="A769" s="32">
        <f>'[2]Calc_Coef _18'!AE767</f>
        <v>8002609</v>
      </c>
      <c r="B769" s="32">
        <f>'[2]Calc_Coef _18'!C767</f>
        <v>190520</v>
      </c>
      <c r="C769" s="32" t="str">
        <f>'[2]Calc_Coef _18'!AF767</f>
        <v>GRUSTOLI (BOLINHO DOCE)</v>
      </c>
      <c r="D769" s="63">
        <f>'[2]Calc_Coef _18'!AG767</f>
        <v>2315.1666666666665</v>
      </c>
      <c r="E769" s="63">
        <f>'[2]Calc_Coef _18'!AH767</f>
        <v>1956.5333333333333</v>
      </c>
      <c r="F769" s="64">
        <f>'[2]Calc_Coef _18'!AI767</f>
        <v>12.832539682539684</v>
      </c>
      <c r="G769" s="30"/>
      <c r="H769"/>
      <c r="I769"/>
    </row>
    <row r="770" spans="1:9" x14ac:dyDescent="0.25">
      <c r="A770" s="32">
        <f>'[2]Calc_Coef _18'!AE768</f>
        <v>8003501</v>
      </c>
      <c r="B770" s="32">
        <f>'[2]Calc_Coef _18'!C768</f>
        <v>190520</v>
      </c>
      <c r="C770" s="32" t="str">
        <f>'[2]Calc_Coef _18'!AF768</f>
        <v>TORTAS DOCES DE QUALQUER SABOR</v>
      </c>
      <c r="D770" s="63">
        <f>'[2]Calc_Coef _18'!AG768</f>
        <v>3000</v>
      </c>
      <c r="E770" s="63">
        <f>'[2]Calc_Coef _18'!AH768</f>
        <v>1956.5333333333333</v>
      </c>
      <c r="F770" s="64">
        <f>'[2]Calc_Coef _18'!AI768</f>
        <v>12.832539682539684</v>
      </c>
      <c r="G770" s="30"/>
      <c r="H770"/>
      <c r="I770"/>
    </row>
    <row r="771" spans="1:9" x14ac:dyDescent="0.25">
      <c r="A771" s="32">
        <f>'[2]Calc_Coef _18'!AE769</f>
        <v>8003701</v>
      </c>
      <c r="B771" s="32">
        <f>'[2]Calc_Coef _18'!C769</f>
        <v>190520</v>
      </c>
      <c r="C771" s="32" t="str">
        <f>'[2]Calc_Coef _18'!AF769</f>
        <v>SONHO</v>
      </c>
      <c r="D771" s="63">
        <f>'[2]Calc_Coef _18'!AG769</f>
        <v>2315.1666666666665</v>
      </c>
      <c r="E771" s="63">
        <f>'[2]Calc_Coef _18'!AH769</f>
        <v>1956.5333333333333</v>
      </c>
      <c r="F771" s="64">
        <f>'[2]Calc_Coef _18'!AI769</f>
        <v>12.832539682539684</v>
      </c>
      <c r="G771" s="30"/>
      <c r="H771"/>
      <c r="I771"/>
    </row>
    <row r="772" spans="1:9" x14ac:dyDescent="0.25">
      <c r="A772" s="32">
        <f>'[2]Calc_Coef _18'!AE770</f>
        <v>8003702</v>
      </c>
      <c r="B772" s="32" t="str">
        <f>'[2]Calc_Coef _18'!C770</f>
        <v>190590</v>
      </c>
      <c r="C772" s="32" t="str">
        <f>'[2]Calc_Coef _18'!AF770</f>
        <v>FILHOS (BOLINHO DE FARINHA DE TRIGO E OVOS)</v>
      </c>
      <c r="D772" s="63">
        <f>'[2]Calc_Coef _18'!AG770</f>
        <v>1264.5163676621726</v>
      </c>
      <c r="E772" s="63">
        <f>'[2]Calc_Coef _18'!AH770</f>
        <v>1045.2</v>
      </c>
      <c r="F772" s="64">
        <f>'[2]Calc_Coef _18'!AI770</f>
        <v>6.7933333333333339</v>
      </c>
      <c r="G772" s="30"/>
      <c r="H772"/>
      <c r="I772"/>
    </row>
    <row r="773" spans="1:9" x14ac:dyDescent="0.25">
      <c r="A773" s="32">
        <f>'[2]Calc_Coef _18'!AE771</f>
        <v>8003902</v>
      </c>
      <c r="B773" s="32">
        <f>'[2]Calc_Coef _18'!C771</f>
        <v>190520</v>
      </c>
      <c r="C773" s="32" t="str">
        <f>'[2]Calc_Coef _18'!AF771</f>
        <v>BRIOCHE</v>
      </c>
      <c r="D773" s="63">
        <f>'[2]Calc_Coef _18'!AG771</f>
        <v>1643.6666666666667</v>
      </c>
      <c r="E773" s="63">
        <f>'[2]Calc_Coef _18'!AH771</f>
        <v>1917.3333333333333</v>
      </c>
      <c r="F773" s="64">
        <f>'[2]Calc_Coef _18'!AI771</f>
        <v>10.1</v>
      </c>
      <c r="G773" s="30"/>
      <c r="H773"/>
      <c r="I773"/>
    </row>
    <row r="774" spans="1:9" x14ac:dyDescent="0.25">
      <c r="A774" s="32">
        <f>'[2]Calc_Coef _18'!AE772</f>
        <v>8004403</v>
      </c>
      <c r="B774" s="32" t="str">
        <f>'[2]Calc_Coef _18'!C772</f>
        <v>190590</v>
      </c>
      <c r="C774" s="32" t="str">
        <f>'[2]Calc_Coef _18'!AF772</f>
        <v>PAO DE ALHO</v>
      </c>
      <c r="D774" s="63">
        <f>'[2]Calc_Coef _18'!AG772</f>
        <v>1264.5163676621726</v>
      </c>
      <c r="E774" s="63">
        <f>'[2]Calc_Coef _18'!AH772</f>
        <v>1045.2</v>
      </c>
      <c r="F774" s="64">
        <f>'[2]Calc_Coef _18'!AI772</f>
        <v>6.7933333333333339</v>
      </c>
      <c r="G774" s="30"/>
      <c r="H774"/>
      <c r="I774"/>
    </row>
    <row r="775" spans="1:9" x14ac:dyDescent="0.25">
      <c r="A775" s="32">
        <f>'[2]Calc_Coef _18'!AE773</f>
        <v>8004701</v>
      </c>
      <c r="B775" s="32">
        <f>'[2]Calc_Coef _18'!C773</f>
        <v>190520</v>
      </c>
      <c r="C775" s="32" t="str">
        <f>'[2]Calc_Coef _18'!AF773</f>
        <v>BROA</v>
      </c>
      <c r="D775" s="63">
        <f>'[2]Calc_Coef _18'!AG773</f>
        <v>2315.1666666666665</v>
      </c>
      <c r="E775" s="63">
        <f>'[2]Calc_Coef _18'!AH773</f>
        <v>1956.5333333333333</v>
      </c>
      <c r="F775" s="64">
        <f>'[2]Calc_Coef _18'!AI773</f>
        <v>12.832539682539684</v>
      </c>
      <c r="G775" s="30"/>
      <c r="H775"/>
      <c r="I775"/>
    </row>
    <row r="776" spans="1:9" x14ac:dyDescent="0.25">
      <c r="A776" s="32">
        <f>'[2]Calc_Coef _18'!AE774</f>
        <v>8004801</v>
      </c>
      <c r="B776" s="32" t="str">
        <f>'[2]Calc_Coef _18'!C774</f>
        <v>190530</v>
      </c>
      <c r="C776" s="32" t="str">
        <f>'[2]Calc_Coef _18'!AF774</f>
        <v>BISCOITO RECHEADO</v>
      </c>
      <c r="D776" s="63">
        <f>'[2]Calc_Coef _18'!AG774</f>
        <v>1817</v>
      </c>
      <c r="E776" s="63">
        <f>'[2]Calc_Coef _18'!AH774</f>
        <v>1720</v>
      </c>
      <c r="F776" s="64">
        <f>'[2]Calc_Coef _18'!AI774</f>
        <v>10.7</v>
      </c>
      <c r="G776" s="30"/>
      <c r="H776"/>
      <c r="I776"/>
    </row>
    <row r="777" spans="1:9" x14ac:dyDescent="0.25">
      <c r="A777" s="32">
        <f>'[2]Calc_Coef _18'!AE775</f>
        <v>8004807</v>
      </c>
      <c r="B777" s="32" t="str">
        <f>'[2]Calc_Coef _18'!C775</f>
        <v>190530</v>
      </c>
      <c r="C777" s="32" t="str">
        <f>'[2]Calc_Coef _18'!AF775</f>
        <v>WAFFER (BISCOITO)</v>
      </c>
      <c r="D777" s="63">
        <f>'[2]Calc_Coef _18'!AG775</f>
        <v>1642.0833333333333</v>
      </c>
      <c r="E777" s="63">
        <f>'[2]Calc_Coef _18'!AH775</f>
        <v>2233.0833333333335</v>
      </c>
      <c r="F777" s="64">
        <f>'[2]Calc_Coef _18'!AI775</f>
        <v>11.427272727272724</v>
      </c>
      <c r="G777" s="30"/>
      <c r="H777"/>
      <c r="I777"/>
    </row>
    <row r="778" spans="1:9" x14ac:dyDescent="0.25">
      <c r="A778" s="32">
        <f>'[2]Calc_Coef _18'!AE776</f>
        <v>8004809</v>
      </c>
      <c r="B778" s="32" t="str">
        <f>'[2]Calc_Coef _18'!C776</f>
        <v>190530</v>
      </c>
      <c r="C778" s="32" t="str">
        <f>'[2]Calc_Coef _18'!AF776</f>
        <v>ALFAJORES (BISCOITO)</v>
      </c>
      <c r="D778" s="63">
        <f>'[2]Calc_Coef _18'!AG776</f>
        <v>1642.0833333333333</v>
      </c>
      <c r="E778" s="63">
        <f>'[2]Calc_Coef _18'!AH776</f>
        <v>2233.0833333333335</v>
      </c>
      <c r="F778" s="64">
        <f>'[2]Calc_Coef _18'!AI776</f>
        <v>11.427272727272724</v>
      </c>
      <c r="G778" s="30"/>
      <c r="H778"/>
      <c r="I778"/>
    </row>
    <row r="779" spans="1:9" x14ac:dyDescent="0.25">
      <c r="A779" s="32">
        <f>'[2]Calc_Coef _18'!AE777</f>
        <v>8004810</v>
      </c>
      <c r="B779" s="32" t="str">
        <f>'[2]Calc_Coef _18'!C777</f>
        <v>190530</v>
      </c>
      <c r="C779" s="32" t="str">
        <f>'[2]Calc_Coef _18'!AF777</f>
        <v>BOLACHA RECHEADA</v>
      </c>
      <c r="D779" s="63">
        <f>'[2]Calc_Coef _18'!AG777</f>
        <v>1547</v>
      </c>
      <c r="E779" s="63">
        <f>'[2]Calc_Coef _18'!AH777</f>
        <v>2462</v>
      </c>
      <c r="F779" s="64">
        <f>'[2]Calc_Coef _18'!AI777</f>
        <v>11.5</v>
      </c>
      <c r="G779" s="30"/>
      <c r="H779"/>
      <c r="I779"/>
    </row>
    <row r="780" spans="1:9" x14ac:dyDescent="0.25">
      <c r="A780" s="32">
        <f>'[2]Calc_Coef _18'!AE778</f>
        <v>8004813</v>
      </c>
      <c r="B780" s="32">
        <f>'[2]Calc_Coef _18'!C778</f>
        <v>190520</v>
      </c>
      <c r="C780" s="32" t="str">
        <f>'[2]Calc_Coef _18'!AF778</f>
        <v>ROSCA RECHEADA</v>
      </c>
      <c r="D780" s="63">
        <f>'[2]Calc_Coef _18'!AG778</f>
        <v>2379.3333333333335</v>
      </c>
      <c r="E780" s="63">
        <f>'[2]Calc_Coef _18'!AH778</f>
        <v>1896.6666666666667</v>
      </c>
      <c r="F780" s="64">
        <f>'[2]Calc_Coef _18'!AI778</f>
        <v>13.066666666666665</v>
      </c>
      <c r="G780" s="30"/>
      <c r="H780"/>
      <c r="I780"/>
    </row>
    <row r="781" spans="1:9" x14ac:dyDescent="0.25">
      <c r="A781" s="32">
        <f>'[2]Calc_Coef _18'!AE779</f>
        <v>8004814</v>
      </c>
      <c r="B781" s="32" t="str">
        <f>'[2]Calc_Coef _18'!C779</f>
        <v>190530</v>
      </c>
      <c r="C781" s="32" t="str">
        <f>'[2]Calc_Coef _18'!AF779</f>
        <v>ROSQUINHA RECHEADA DE QUALQUER SABOR</v>
      </c>
      <c r="D781" s="63">
        <f>'[2]Calc_Coef _18'!AG779</f>
        <v>1642.0833333333333</v>
      </c>
      <c r="E781" s="63">
        <f>'[2]Calc_Coef _18'!AH779</f>
        <v>2233.0833333333335</v>
      </c>
      <c r="F781" s="64">
        <f>'[2]Calc_Coef _18'!AI779</f>
        <v>11.427272727272724</v>
      </c>
      <c r="G781" s="30"/>
      <c r="H781"/>
      <c r="I781"/>
    </row>
    <row r="782" spans="1:9" x14ac:dyDescent="0.25">
      <c r="A782" s="32">
        <f>'[2]Calc_Coef _18'!AE780</f>
        <v>8005201</v>
      </c>
      <c r="B782" s="32">
        <f>'[2]Calc_Coef _18'!C780</f>
        <v>190530</v>
      </c>
      <c r="C782" s="32" t="str">
        <f>'[2]Calc_Coef _18'!AF780</f>
        <v>BISCOITO NÃO ESPECIFICADO</v>
      </c>
      <c r="D782" s="63">
        <f>'[2]Calc_Coef _18'!AG780</f>
        <v>2250</v>
      </c>
      <c r="E782" s="63">
        <f>'[2]Calc_Coef _18'!AH780</f>
        <v>694.4</v>
      </c>
      <c r="F782" s="64">
        <f>'[2]Calc_Coef _18'!AI780</f>
        <v>13.5</v>
      </c>
      <c r="G782" s="30"/>
      <c r="H782"/>
      <c r="I782"/>
    </row>
    <row r="783" spans="1:9" x14ac:dyDescent="0.25">
      <c r="A783" s="32">
        <f>'[2]Calc_Coef _18'!AE781</f>
        <v>8006401</v>
      </c>
      <c r="B783" s="32" t="str">
        <f>'[2]Calc_Coef _18'!C781</f>
        <v>190590</v>
      </c>
      <c r="C783" s="32" t="str">
        <f>'[2]Calc_Coef _18'!AF781</f>
        <v>PAO ARABE NAO ESPECIFICADO</v>
      </c>
      <c r="D783" s="63">
        <f>'[2]Calc_Coef _18'!AG781</f>
        <v>1264.5163676621726</v>
      </c>
      <c r="E783" s="63">
        <f>'[2]Calc_Coef _18'!AH781</f>
        <v>1045.2</v>
      </c>
      <c r="F783" s="64">
        <f>'[2]Calc_Coef _18'!AI781</f>
        <v>6.7933333333333339</v>
      </c>
      <c r="G783" s="30"/>
      <c r="H783"/>
      <c r="I783"/>
    </row>
    <row r="784" spans="1:9" x14ac:dyDescent="0.25">
      <c r="A784" s="32">
        <f>'[2]Calc_Coef _18'!AE782</f>
        <v>8006501</v>
      </c>
      <c r="B784" s="32" t="str">
        <f>'[2]Calc_Coef _18'!C782</f>
        <v>190590</v>
      </c>
      <c r="C784" s="32" t="str">
        <f>'[2]Calc_Coef _18'!AF782</f>
        <v>PAO DIET (DE FORMA INDUSTRIALIZADO)</v>
      </c>
      <c r="D784" s="63">
        <f>'[2]Calc_Coef _18'!AG782</f>
        <v>1264.5163676621726</v>
      </c>
      <c r="E784" s="63">
        <f>'[2]Calc_Coef _18'!AH782</f>
        <v>1045.2</v>
      </c>
      <c r="F784" s="64">
        <f>'[2]Calc_Coef _18'!AI782</f>
        <v>6.7933333333333339</v>
      </c>
      <c r="G784" s="30"/>
      <c r="H784"/>
      <c r="I784"/>
    </row>
    <row r="785" spans="1:9" x14ac:dyDescent="0.25">
      <c r="A785" s="32">
        <f>'[2]Calc_Coef _18'!AE783</f>
        <v>8006601</v>
      </c>
      <c r="B785" s="32" t="str">
        <f>'[2]Calc_Coef _18'!C783</f>
        <v>190590</v>
      </c>
      <c r="C785" s="32" t="str">
        <f>'[2]Calc_Coef _18'!AF783</f>
        <v>PAO LIGHT (DE FORMA INDUSTRIALIZADO)</v>
      </c>
      <c r="D785" s="63">
        <f>'[2]Calc_Coef _18'!AG783</f>
        <v>1264.5163676621726</v>
      </c>
      <c r="E785" s="63">
        <f>'[2]Calc_Coef _18'!AH783</f>
        <v>1045.2</v>
      </c>
      <c r="F785" s="64">
        <f>'[2]Calc_Coef _18'!AI783</f>
        <v>6.7933333333333339</v>
      </c>
      <c r="G785" s="30"/>
      <c r="H785"/>
      <c r="I785"/>
    </row>
    <row r="786" spans="1:9" x14ac:dyDescent="0.25">
      <c r="A786" s="32">
        <f>'[2]Calc_Coef _18'!AE784</f>
        <v>8006701</v>
      </c>
      <c r="B786" s="32" t="str">
        <f>'[2]Calc_Coef _18'!C784</f>
        <v>190590</v>
      </c>
      <c r="C786" s="32" t="str">
        <f>'[2]Calc_Coef _18'!AF784</f>
        <v>PAO DE QUEIJO LIGHT</v>
      </c>
      <c r="D786" s="63">
        <f>'[2]Calc_Coef _18'!AG784</f>
        <v>1264.5163676621726</v>
      </c>
      <c r="E786" s="63">
        <f>'[2]Calc_Coef _18'!AH784</f>
        <v>1045.2</v>
      </c>
      <c r="F786" s="64">
        <f>'[2]Calc_Coef _18'!AI784</f>
        <v>6.7933333333333339</v>
      </c>
      <c r="G786" s="30"/>
      <c r="H786"/>
      <c r="I786"/>
    </row>
    <row r="787" spans="1:9" x14ac:dyDescent="0.25">
      <c r="A787" s="32">
        <f>'[2]Calc_Coef _18'!AE785</f>
        <v>8006801</v>
      </c>
      <c r="B787" s="32" t="str">
        <f>'[2]Calc_Coef _18'!C785</f>
        <v>190590</v>
      </c>
      <c r="C787" s="32" t="str">
        <f>'[2]Calc_Coef _18'!AF785</f>
        <v>PAO INTEGRAL LIGHT</v>
      </c>
      <c r="D787" s="63">
        <f>'[2]Calc_Coef _18'!AG785</f>
        <v>1264.5163676621726</v>
      </c>
      <c r="E787" s="63">
        <f>'[2]Calc_Coef _18'!AH785</f>
        <v>1045.2</v>
      </c>
      <c r="F787" s="64">
        <f>'[2]Calc_Coef _18'!AI785</f>
        <v>6.7933333333333339</v>
      </c>
      <c r="G787" s="30"/>
      <c r="H787"/>
      <c r="I787"/>
    </row>
    <row r="788" spans="1:9" x14ac:dyDescent="0.25">
      <c r="A788" s="32">
        <f>'[2]Calc_Coef _18'!AE786</f>
        <v>8007101</v>
      </c>
      <c r="B788" s="32" t="str">
        <f>'[2]Calc_Coef _18'!C786</f>
        <v>190590</v>
      </c>
      <c r="C788" s="32" t="str">
        <f>'[2]Calc_Coef _18'!AF786</f>
        <v>TORTAS DOCES DE QUALQUER SABOR DIET</v>
      </c>
      <c r="D788" s="63">
        <f>'[2]Calc_Coef _18'!AG786</f>
        <v>1264.5163676621726</v>
      </c>
      <c r="E788" s="63">
        <f>'[2]Calc_Coef _18'!AH786</f>
        <v>1045.2</v>
      </c>
      <c r="F788" s="64">
        <f>'[2]Calc_Coef _18'!AI786</f>
        <v>6.7933333333333339</v>
      </c>
      <c r="G788" s="30"/>
      <c r="H788"/>
      <c r="I788"/>
    </row>
    <row r="789" spans="1:9" x14ac:dyDescent="0.25">
      <c r="A789" s="32">
        <f>'[2]Calc_Coef _18'!AE787</f>
        <v>8007501</v>
      </c>
      <c r="B789" s="32">
        <f>'[2]Calc_Coef _18'!C787</f>
        <v>190520</v>
      </c>
      <c r="C789" s="32" t="str">
        <f>'[2]Calc_Coef _18'!AF787</f>
        <v>BOLO DE CHOCOLATE LIGHT</v>
      </c>
      <c r="D789" s="63">
        <f>'[2]Calc_Coef _18'!AG787</f>
        <v>2315.1666666666665</v>
      </c>
      <c r="E789" s="63">
        <f>'[2]Calc_Coef _18'!AH787</f>
        <v>1956.5333333333333</v>
      </c>
      <c r="F789" s="64">
        <f>'[2]Calc_Coef _18'!AI787</f>
        <v>12.832539682539684</v>
      </c>
      <c r="G789" s="30"/>
      <c r="H789"/>
      <c r="I789"/>
    </row>
    <row r="790" spans="1:9" x14ac:dyDescent="0.25">
      <c r="A790" s="32">
        <f>'[2]Calc_Coef _18'!AE788</f>
        <v>8007701</v>
      </c>
      <c r="B790" s="32">
        <f>'[2]Calc_Coef _18'!C788</f>
        <v>190520</v>
      </c>
      <c r="C790" s="32" t="str">
        <f>'[2]Calc_Coef _18'!AF788</f>
        <v>BOLO DE LARANJA LIGHT</v>
      </c>
      <c r="D790" s="63">
        <f>'[2]Calc_Coef _18'!AG788</f>
        <v>2559</v>
      </c>
      <c r="E790" s="63">
        <f>'[2]Calc_Coef _18'!AH788</f>
        <v>2039.3333333333333</v>
      </c>
      <c r="F790" s="64">
        <f>'[2]Calc_Coef _18'!AI788</f>
        <v>15.233333333333333</v>
      </c>
      <c r="G790" s="30"/>
      <c r="H790"/>
      <c r="I790"/>
    </row>
    <row r="791" spans="1:9" x14ac:dyDescent="0.25">
      <c r="A791" s="32">
        <f>'[2]Calc_Coef _18'!AE789</f>
        <v>8008201</v>
      </c>
      <c r="B791" s="32">
        <f>'[2]Calc_Coef _18'!C789</f>
        <v>190520</v>
      </c>
      <c r="C791" s="32" t="str">
        <f>'[2]Calc_Coef _18'!AF789</f>
        <v>BOLO DE CENOURA DIET</v>
      </c>
      <c r="D791" s="63">
        <f>'[2]Calc_Coef _18'!AG789</f>
        <v>2315.1666666666665</v>
      </c>
      <c r="E791" s="63">
        <f>'[2]Calc_Coef _18'!AH789</f>
        <v>1956.5333333333333</v>
      </c>
      <c r="F791" s="64">
        <f>'[2]Calc_Coef _18'!AI789</f>
        <v>12.832539682539684</v>
      </c>
      <c r="G791" s="30"/>
      <c r="H791"/>
      <c r="I791"/>
    </row>
    <row r="792" spans="1:9" x14ac:dyDescent="0.25">
      <c r="A792" s="32">
        <f>'[2]Calc_Coef _18'!AE790</f>
        <v>8008301</v>
      </c>
      <c r="B792" s="32" t="str">
        <f>'[2]Calc_Coef _18'!C790</f>
        <v>190530</v>
      </c>
      <c r="C792" s="32" t="str">
        <f>'[2]Calc_Coef _18'!AF790</f>
        <v>BISCOITO RECHEADO LIGHT</v>
      </c>
      <c r="D792" s="63">
        <f>'[2]Calc_Coef _18'!AG790</f>
        <v>1642.0833333333333</v>
      </c>
      <c r="E792" s="63">
        <f>'[2]Calc_Coef _18'!AH790</f>
        <v>2233.0833333333335</v>
      </c>
      <c r="F792" s="64">
        <f>'[2]Calc_Coef _18'!AI790</f>
        <v>11.427272727272724</v>
      </c>
      <c r="G792" s="30"/>
      <c r="H792"/>
      <c r="I792"/>
    </row>
    <row r="793" spans="1:9" x14ac:dyDescent="0.25">
      <c r="A793" s="32">
        <f>'[2]Calc_Coef _18'!AE791</f>
        <v>8008305</v>
      </c>
      <c r="B793" s="32" t="str">
        <f>'[2]Calc_Coef _18'!C791</f>
        <v>190530</v>
      </c>
      <c r="C793" s="32" t="str">
        <f>'[2]Calc_Coef _18'!AF791</f>
        <v>BISCOITO WAFFER LIGHT</v>
      </c>
      <c r="D793" s="63">
        <f>'[2]Calc_Coef _18'!AG791</f>
        <v>1642.0833333333333</v>
      </c>
      <c r="E793" s="63">
        <f>'[2]Calc_Coef _18'!AH791</f>
        <v>2233.0833333333335</v>
      </c>
      <c r="F793" s="64">
        <f>'[2]Calc_Coef _18'!AI791</f>
        <v>11.427272727272724</v>
      </c>
      <c r="G793" s="30"/>
      <c r="H793"/>
      <c r="I793"/>
    </row>
    <row r="794" spans="1:9" x14ac:dyDescent="0.25">
      <c r="A794" s="32">
        <f>'[2]Calc_Coef _18'!AE792</f>
        <v>8008310</v>
      </c>
      <c r="B794" s="32" t="str">
        <f>'[2]Calc_Coef _18'!C792</f>
        <v>190530</v>
      </c>
      <c r="C794" s="32" t="str">
        <f>'[2]Calc_Coef _18'!AF792</f>
        <v>BOLACHA RECHEADA LIGHT</v>
      </c>
      <c r="D794" s="63">
        <f>'[2]Calc_Coef _18'!AG792</f>
        <v>2943</v>
      </c>
      <c r="E794" s="63">
        <f>'[2]Calc_Coef _18'!AH792</f>
        <v>5466</v>
      </c>
      <c r="F794" s="64">
        <f>'[2]Calc_Coef _18'!AI792</f>
        <v>21.1</v>
      </c>
      <c r="G794" s="30"/>
      <c r="H794"/>
      <c r="I794"/>
    </row>
    <row r="795" spans="1:9" x14ac:dyDescent="0.25">
      <c r="A795" s="32">
        <f>'[2]Calc_Coef _18'!AE793</f>
        <v>8008401</v>
      </c>
      <c r="B795" s="32" t="str">
        <f>'[2]Calc_Coef _18'!C793</f>
        <v>190530</v>
      </c>
      <c r="C795" s="32" t="str">
        <f>'[2]Calc_Coef _18'!AF793</f>
        <v>BISCOITO RECHEADO DIET</v>
      </c>
      <c r="D795" s="63">
        <f>'[2]Calc_Coef _18'!AG793</f>
        <v>1642.0833333333333</v>
      </c>
      <c r="E795" s="63">
        <f>'[2]Calc_Coef _18'!AH793</f>
        <v>2233.0833333333335</v>
      </c>
      <c r="F795" s="64">
        <f>'[2]Calc_Coef _18'!AI793</f>
        <v>11.427272727272724</v>
      </c>
      <c r="G795" s="30"/>
      <c r="H795"/>
      <c r="I795"/>
    </row>
    <row r="796" spans="1:9" x14ac:dyDescent="0.25">
      <c r="A796" s="32">
        <f>'[2]Calc_Coef _18'!AE794</f>
        <v>8008408</v>
      </c>
      <c r="B796" s="32" t="str">
        <f>'[2]Calc_Coef _18'!C794</f>
        <v>190530</v>
      </c>
      <c r="C796" s="32" t="str">
        <f>'[2]Calc_Coef _18'!AF794</f>
        <v>ROSQUINHA RECHEADA DE QUALQUER SABOR DIET</v>
      </c>
      <c r="D796" s="63">
        <f>'[2]Calc_Coef _18'!AG794</f>
        <v>1642.0833333333333</v>
      </c>
      <c r="E796" s="63">
        <f>'[2]Calc_Coef _18'!AH794</f>
        <v>2233.0833333333335</v>
      </c>
      <c r="F796" s="64">
        <f>'[2]Calc_Coef _18'!AI794</f>
        <v>11.427272727272724</v>
      </c>
      <c r="G796" s="30"/>
      <c r="H796"/>
      <c r="I796"/>
    </row>
    <row r="797" spans="1:9" x14ac:dyDescent="0.25">
      <c r="A797" s="32">
        <f>'[2]Calc_Coef _18'!AE795</f>
        <v>8008410</v>
      </c>
      <c r="B797" s="32" t="str">
        <f>'[2]Calc_Coef _18'!C795</f>
        <v>190530</v>
      </c>
      <c r="C797" s="32" t="str">
        <f>'[2]Calc_Coef _18'!AF795</f>
        <v>BOLACHA RECHEADA DIET</v>
      </c>
      <c r="D797" s="63">
        <f>'[2]Calc_Coef _18'!AG795</f>
        <v>1642.0833333333333</v>
      </c>
      <c r="E797" s="63">
        <f>'[2]Calc_Coef _18'!AH795</f>
        <v>2233.0833333333335</v>
      </c>
      <c r="F797" s="64">
        <f>'[2]Calc_Coef _18'!AI795</f>
        <v>11.427272727272724</v>
      </c>
      <c r="G797" s="30"/>
      <c r="H797"/>
      <c r="I797"/>
    </row>
    <row r="798" spans="1:9" x14ac:dyDescent="0.25">
      <c r="A798" s="32">
        <f>'[2]Calc_Coef _18'!AE796</f>
        <v>8010034</v>
      </c>
      <c r="B798" s="32">
        <f>'[2]Calc_Coef _18'!C796</f>
        <v>190520</v>
      </c>
      <c r="C798" s="32" t="str">
        <f>'[2]Calc_Coef _18'!AF796</f>
        <v>PANETONE DIET</v>
      </c>
      <c r="D798" s="63">
        <f>'[2]Calc_Coef _18'!AG796</f>
        <v>2315.1666666666665</v>
      </c>
      <c r="E798" s="63">
        <f>'[2]Calc_Coef _18'!AH796</f>
        <v>1956.5333333333333</v>
      </c>
      <c r="F798" s="64">
        <f>'[2]Calc_Coef _18'!AI796</f>
        <v>12.832539682539684</v>
      </c>
      <c r="G798" s="30"/>
      <c r="H798"/>
      <c r="I798"/>
    </row>
    <row r="799" spans="1:9" x14ac:dyDescent="0.25">
      <c r="A799" s="32">
        <f>'[2]Calc_Coef _18'!AE797</f>
        <v>8010101</v>
      </c>
      <c r="B799" s="32">
        <f>'[2]Calc_Coef _18'!C797</f>
        <v>190530</v>
      </c>
      <c r="C799" s="32" t="str">
        <f>'[2]Calc_Coef _18'!AF797</f>
        <v>BISCOITO SALGADO LIGHT</v>
      </c>
      <c r="D799" s="63">
        <f>'[2]Calc_Coef _18'!AG797</f>
        <v>1196</v>
      </c>
      <c r="E799" s="63">
        <f>'[2]Calc_Coef _18'!AH797</f>
        <v>694.4</v>
      </c>
      <c r="F799" s="64">
        <f>'[2]Calc_Coef _18'!AI797</f>
        <v>9.5499999999999989</v>
      </c>
      <c r="G799" s="30"/>
      <c r="H799"/>
      <c r="I799"/>
    </row>
    <row r="800" spans="1:9" x14ac:dyDescent="0.25">
      <c r="A800" s="32">
        <f>'[2]Calc_Coef _18'!AE798</f>
        <v>8010125</v>
      </c>
      <c r="B800" s="32" t="str">
        <f>'[2]Calc_Coef _18'!C798</f>
        <v>190590</v>
      </c>
      <c r="C800" s="32" t="str">
        <f>'[2]Calc_Coef _18'!AF798</f>
        <v>BOLACHA SALGADA LIGHT</v>
      </c>
      <c r="D800" s="63">
        <f>'[2]Calc_Coef _18'!AG798</f>
        <v>1264.5163676621726</v>
      </c>
      <c r="E800" s="63">
        <f>'[2]Calc_Coef _18'!AH798</f>
        <v>1045.2</v>
      </c>
      <c r="F800" s="64">
        <f>'[2]Calc_Coef _18'!AI798</f>
        <v>6.7933333333333339</v>
      </c>
      <c r="G800" s="30"/>
      <c r="H800"/>
      <c r="I800"/>
    </row>
    <row r="801" spans="1:9" x14ac:dyDescent="0.25">
      <c r="A801" s="32">
        <f>'[2]Calc_Coef _18'!AE799</f>
        <v>8010127</v>
      </c>
      <c r="B801" s="32">
        <f>'[2]Calc_Coef _18'!C799</f>
        <v>190410</v>
      </c>
      <c r="C801" s="32" t="str">
        <f>'[2]Calc_Coef _18'!AF799</f>
        <v>CHIPS (SALGADINHOS) LIGHT</v>
      </c>
      <c r="D801" s="63">
        <f>'[2]Calc_Coef _18'!AG799</f>
        <v>3900</v>
      </c>
      <c r="E801" s="63">
        <f>'[2]Calc_Coef _18'!AH799</f>
        <v>1772</v>
      </c>
      <c r="F801" s="64">
        <f>'[2]Calc_Coef _18'!AI799</f>
        <v>10.334717607973422</v>
      </c>
      <c r="G801" s="30"/>
      <c r="H801"/>
      <c r="I801"/>
    </row>
    <row r="802" spans="1:9" x14ac:dyDescent="0.25">
      <c r="A802" s="32">
        <f>'[2]Calc_Coef _18'!AE800</f>
        <v>8010401</v>
      </c>
      <c r="B802" s="32" t="str">
        <f>'[2]Calc_Coef _18'!C800</f>
        <v>190530</v>
      </c>
      <c r="C802" s="32" t="str">
        <f>'[2]Calc_Coef _18'!AF800</f>
        <v>BISCOITO DOCE LIGHT</v>
      </c>
      <c r="D802" s="63">
        <f>'[2]Calc_Coef _18'!AG800</f>
        <v>1642.0833333333333</v>
      </c>
      <c r="E802" s="63">
        <f>'[2]Calc_Coef _18'!AH800</f>
        <v>2233.0833333333335</v>
      </c>
      <c r="F802" s="64">
        <f>'[2]Calc_Coef _18'!AI800</f>
        <v>11.427272727272724</v>
      </c>
      <c r="G802" s="30"/>
      <c r="H802"/>
      <c r="I802"/>
    </row>
    <row r="803" spans="1:9" x14ac:dyDescent="0.25">
      <c r="A803" s="32">
        <f>'[2]Calc_Coef _18'!AE801</f>
        <v>8010434</v>
      </c>
      <c r="B803" s="32" t="str">
        <f>'[2]Calc_Coef _18'!C801</f>
        <v>190530</v>
      </c>
      <c r="C803" s="32" t="str">
        <f>'[2]Calc_Coef _18'!AF801</f>
        <v>BOLACHA DOCE LIGHT</v>
      </c>
      <c r="D803" s="63">
        <f>'[2]Calc_Coef _18'!AG801</f>
        <v>1642.0833333333333</v>
      </c>
      <c r="E803" s="63">
        <f>'[2]Calc_Coef _18'!AH801</f>
        <v>2233.0833333333335</v>
      </c>
      <c r="F803" s="64">
        <f>'[2]Calc_Coef _18'!AI801</f>
        <v>11.427272727272724</v>
      </c>
      <c r="G803" s="30"/>
      <c r="H803"/>
      <c r="I803"/>
    </row>
    <row r="804" spans="1:9" x14ac:dyDescent="0.25">
      <c r="A804" s="32">
        <f>'[2]Calc_Coef _18'!AE802</f>
        <v>8010501</v>
      </c>
      <c r="B804" s="32" t="str">
        <f>'[2]Calc_Coef _18'!C802</f>
        <v>190530</v>
      </c>
      <c r="C804" s="32" t="str">
        <f>'[2]Calc_Coef _18'!AF802</f>
        <v>BISCOITO DOCE DIET</v>
      </c>
      <c r="D804" s="63">
        <f>'[2]Calc_Coef _18'!AG802</f>
        <v>1642.0833333333333</v>
      </c>
      <c r="E804" s="63">
        <f>'[2]Calc_Coef _18'!AH802</f>
        <v>2233.0833333333335</v>
      </c>
      <c r="F804" s="64">
        <f>'[2]Calc_Coef _18'!AI802</f>
        <v>11.427272727272724</v>
      </c>
      <c r="G804" s="30"/>
      <c r="H804"/>
      <c r="I804"/>
    </row>
    <row r="805" spans="1:9" x14ac:dyDescent="0.25">
      <c r="A805" s="32">
        <f>'[2]Calc_Coef _18'!AE803</f>
        <v>8010534</v>
      </c>
      <c r="B805" s="32" t="str">
        <f>'[2]Calc_Coef _18'!C803</f>
        <v>190530</v>
      </c>
      <c r="C805" s="32" t="str">
        <f>'[2]Calc_Coef _18'!AF803</f>
        <v>BOLACHA DOCE DIET</v>
      </c>
      <c r="D805" s="63">
        <f>'[2]Calc_Coef _18'!AG803</f>
        <v>1642.0833333333333</v>
      </c>
      <c r="E805" s="63">
        <f>'[2]Calc_Coef _18'!AH803</f>
        <v>2233.0833333333335</v>
      </c>
      <c r="F805" s="64">
        <f>'[2]Calc_Coef _18'!AI803</f>
        <v>11.427272727272724</v>
      </c>
      <c r="G805" s="30"/>
      <c r="H805"/>
      <c r="I805"/>
    </row>
    <row r="806" spans="1:9" x14ac:dyDescent="0.25">
      <c r="A806" s="32">
        <f>'[2]Calc_Coef _18'!AE804</f>
        <v>8011601</v>
      </c>
      <c r="B806" s="32" t="str">
        <f>'[2]Calc_Coef _18'!C804</f>
        <v>190590</v>
      </c>
      <c r="C806" s="32" t="str">
        <f>'[2]Calc_Coef _18'!AF804</f>
        <v>PAO PARA WRAP NAO ESPECIFICADO</v>
      </c>
      <c r="D806" s="63">
        <f>'[2]Calc_Coef _18'!AG804</f>
        <v>1264.5163676621726</v>
      </c>
      <c r="E806" s="63">
        <f>'[2]Calc_Coef _18'!AH804</f>
        <v>1045.2</v>
      </c>
      <c r="F806" s="64">
        <f>'[2]Calc_Coef _18'!AI804</f>
        <v>6.7933333333333339</v>
      </c>
      <c r="G806" s="30"/>
      <c r="H806"/>
      <c r="I806"/>
    </row>
    <row r="807" spans="1:9" x14ac:dyDescent="0.25">
      <c r="A807" s="32">
        <f>'[2]Calc_Coef _18'!AE805</f>
        <v>8011602</v>
      </c>
      <c r="B807" s="32" t="str">
        <f>'[2]Calc_Coef _18'!C805</f>
        <v>190590</v>
      </c>
      <c r="C807" s="32" t="str">
        <f>'[2]Calc_Coef _18'!AF805</f>
        <v>PAO SEM GLUTEN NAO ESPECIFICADO</v>
      </c>
      <c r="D807" s="63">
        <f>'[2]Calc_Coef _18'!AG805</f>
        <v>1264.5163676621726</v>
      </c>
      <c r="E807" s="63">
        <f>'[2]Calc_Coef _18'!AH805</f>
        <v>1045.2</v>
      </c>
      <c r="F807" s="64">
        <f>'[2]Calc_Coef _18'!AI805</f>
        <v>6.7933333333333339</v>
      </c>
      <c r="G807" s="30"/>
      <c r="H807"/>
      <c r="I807"/>
    </row>
    <row r="808" spans="1:9" x14ac:dyDescent="0.25">
      <c r="A808" s="32">
        <f>'[2]Calc_Coef _18'!AE806</f>
        <v>8011701</v>
      </c>
      <c r="B808" s="32" t="str">
        <f>'[2]Calc_Coef _18'!C806</f>
        <v>190590</v>
      </c>
      <c r="C808" s="32" t="str">
        <f>'[2]Calc_Coef _18'!AF806</f>
        <v>PAO DE BATATA</v>
      </c>
      <c r="D808" s="63">
        <f>'[2]Calc_Coef _18'!AG806</f>
        <v>1264.5163676621726</v>
      </c>
      <c r="E808" s="63">
        <f>'[2]Calc_Coef _18'!AH806</f>
        <v>1045.2</v>
      </c>
      <c r="F808" s="64">
        <f>'[2]Calc_Coef _18'!AI806</f>
        <v>6.7933333333333339</v>
      </c>
      <c r="G808" s="30"/>
      <c r="H808"/>
      <c r="I808"/>
    </row>
    <row r="809" spans="1:9" x14ac:dyDescent="0.25">
      <c r="A809" s="32">
        <f>'[2]Calc_Coef _18'!AE807</f>
        <v>8011801</v>
      </c>
      <c r="B809" s="32" t="str">
        <f>'[2]Calc_Coef _18'!C807</f>
        <v>190590</v>
      </c>
      <c r="C809" s="32" t="str">
        <f>'[2]Calc_Coef _18'!AF807</f>
        <v>PAO DE BATATA, RECHEADO</v>
      </c>
      <c r="D809" s="63">
        <f>'[2]Calc_Coef _18'!AG807</f>
        <v>1264.5163676621726</v>
      </c>
      <c r="E809" s="63">
        <f>'[2]Calc_Coef _18'!AH807</f>
        <v>1045.2</v>
      </c>
      <c r="F809" s="64">
        <f>'[2]Calc_Coef _18'!AI807</f>
        <v>6.7933333333333339</v>
      </c>
      <c r="G809" s="30"/>
      <c r="H809"/>
      <c r="I809"/>
    </row>
    <row r="810" spans="1:9" x14ac:dyDescent="0.25">
      <c r="A810" s="32">
        <f>'[2]Calc_Coef _18'!AE808</f>
        <v>8011901</v>
      </c>
      <c r="B810" s="32">
        <f>'[2]Calc_Coef _18'!C808</f>
        <v>190410</v>
      </c>
      <c r="C810" s="32" t="str">
        <f>'[2]Calc_Coef _18'!AF808</f>
        <v>SALGADINHO DE ARROZ (TIPO CAMIL)</v>
      </c>
      <c r="D810" s="63">
        <f>'[2]Calc_Coef _18'!AG808</f>
        <v>3900</v>
      </c>
      <c r="E810" s="63">
        <f>'[2]Calc_Coef _18'!AH808</f>
        <v>1772</v>
      </c>
      <c r="F810" s="64">
        <f>'[2]Calc_Coef _18'!AI808</f>
        <v>10.334717607973422</v>
      </c>
      <c r="G810" s="30"/>
      <c r="H810"/>
      <c r="I810"/>
    </row>
    <row r="811" spans="1:9" x14ac:dyDescent="0.25">
      <c r="A811" s="32">
        <f>'[2]Calc_Coef _18'!AE809</f>
        <v>8080001</v>
      </c>
      <c r="B811" s="32">
        <f>'[2]Calc_Coef _18'!C809</f>
        <v>190120</v>
      </c>
      <c r="C811" s="32" t="str">
        <f>'[2]Calc_Coef _18'!AF809</f>
        <v>PAO CASEIRO</v>
      </c>
      <c r="D811" s="63">
        <f>'[2]Calc_Coef _18'!AG809</f>
        <v>547.0901639344263</v>
      </c>
      <c r="E811" s="63">
        <f>'[2]Calc_Coef _18'!AH809</f>
        <v>1870.1099089032616</v>
      </c>
      <c r="F811" s="64">
        <f>'[2]Calc_Coef _18'!AI809</f>
        <v>5</v>
      </c>
      <c r="G811" s="30"/>
      <c r="H811"/>
      <c r="I811"/>
    </row>
    <row r="812" spans="1:9" x14ac:dyDescent="0.25">
      <c r="A812" s="32">
        <f>'[2]Calc_Coef _18'!AE810</f>
        <v>8100101</v>
      </c>
      <c r="B812" s="32" t="str">
        <f>'[2]Calc_Coef _18'!C810</f>
        <v>021020</v>
      </c>
      <c r="C812" s="32" t="str">
        <f>'[2]Calc_Coef _18'!AF810</f>
        <v>CARNE SECA</v>
      </c>
      <c r="D812" s="63">
        <f>'[2]Calc_Coef _18'!AG810</f>
        <v>26938</v>
      </c>
      <c r="E812" s="63">
        <f>'[2]Calc_Coef _18'!AH810</f>
        <v>25255.047398825889</v>
      </c>
      <c r="F812" s="64">
        <f>'[2]Calc_Coef _18'!AI810</f>
        <v>19</v>
      </c>
      <c r="G812" s="30"/>
      <c r="H812"/>
      <c r="I812"/>
    </row>
    <row r="813" spans="1:9" x14ac:dyDescent="0.25">
      <c r="A813" s="32">
        <f>'[2]Calc_Coef _18'!AE811</f>
        <v>8100102</v>
      </c>
      <c r="B813" s="32" t="str">
        <f>'[2]Calc_Coef _18'!C811</f>
        <v>021020</v>
      </c>
      <c r="C813" s="32" t="str">
        <f>'[2]Calc_Coef _18'!AF811</f>
        <v>CARNE DE CHARQUE</v>
      </c>
      <c r="D813" s="63">
        <f>'[2]Calc_Coef _18'!AG811</f>
        <v>26938</v>
      </c>
      <c r="E813" s="63">
        <f>'[2]Calc_Coef _18'!AH811</f>
        <v>25255.047398825889</v>
      </c>
      <c r="F813" s="64">
        <f>'[2]Calc_Coef _18'!AI811</f>
        <v>19</v>
      </c>
      <c r="G813" s="30"/>
      <c r="H813"/>
      <c r="I813"/>
    </row>
    <row r="814" spans="1:9" x14ac:dyDescent="0.25">
      <c r="A814" s="32">
        <f>'[2]Calc_Coef _18'!AE812</f>
        <v>8100103</v>
      </c>
      <c r="B814" s="32" t="str">
        <f>'[2]Calc_Coef _18'!C812</f>
        <v>021020</v>
      </c>
      <c r="C814" s="32" t="str">
        <f>'[2]Calc_Coef _18'!AF812</f>
        <v>JABA</v>
      </c>
      <c r="D814" s="63">
        <f>'[2]Calc_Coef _18'!AG812</f>
        <v>26938</v>
      </c>
      <c r="E814" s="63">
        <f>'[2]Calc_Coef _18'!AH812</f>
        <v>25255.047398825889</v>
      </c>
      <c r="F814" s="64">
        <f>'[2]Calc_Coef _18'!AI812</f>
        <v>19</v>
      </c>
      <c r="G814" s="30"/>
      <c r="H814"/>
      <c r="I814"/>
    </row>
    <row r="815" spans="1:9" x14ac:dyDescent="0.25">
      <c r="A815" s="32">
        <f>'[2]Calc_Coef _18'!AE813</f>
        <v>8100201</v>
      </c>
      <c r="B815" s="32" t="str">
        <f>'[2]Calc_Coef _18'!C813</f>
        <v>021020</v>
      </c>
      <c r="C815" s="32" t="str">
        <f>'[2]Calc_Coef _18'!AF813</f>
        <v>CARNE DE SOL</v>
      </c>
      <c r="D815" s="63">
        <f>'[2]Calc_Coef _18'!AG813</f>
        <v>26938</v>
      </c>
      <c r="E815" s="63">
        <f>'[2]Calc_Coef _18'!AH813</f>
        <v>25255.047398825889</v>
      </c>
      <c r="F815" s="64">
        <f>'[2]Calc_Coef _18'!AI813</f>
        <v>19</v>
      </c>
      <c r="G815" s="30"/>
      <c r="H815"/>
      <c r="I815"/>
    </row>
    <row r="816" spans="1:9" x14ac:dyDescent="0.25">
      <c r="A816" s="32">
        <f>'[2]Calc_Coef _18'!AE814</f>
        <v>8100202</v>
      </c>
      <c r="B816" s="32" t="str">
        <f>'[2]Calc_Coef _18'!C814</f>
        <v>021020</v>
      </c>
      <c r="C816" s="32" t="str">
        <f>'[2]Calc_Coef _18'!AF814</f>
        <v>CARNE DO SERTAO</v>
      </c>
      <c r="D816" s="63">
        <f>'[2]Calc_Coef _18'!AG814</f>
        <v>26938</v>
      </c>
      <c r="E816" s="63">
        <f>'[2]Calc_Coef _18'!AH814</f>
        <v>25255.047398825889</v>
      </c>
      <c r="F816" s="64">
        <f>'[2]Calc_Coef _18'!AI814</f>
        <v>19</v>
      </c>
      <c r="G816" s="30"/>
      <c r="H816"/>
      <c r="I816"/>
    </row>
    <row r="817" spans="1:9" x14ac:dyDescent="0.25">
      <c r="A817" s="32">
        <f>'[2]Calc_Coef _18'!AE815</f>
        <v>8100502</v>
      </c>
      <c r="B817" s="32" t="str">
        <f>'[2]Calc_Coef _18'!C815</f>
        <v>160250</v>
      </c>
      <c r="C817" s="32" t="str">
        <f>'[2]Calc_Coef _18'!AF815</f>
        <v>HAMBURGUER DE CARNE BOVINA</v>
      </c>
      <c r="D817" s="63">
        <f>'[2]Calc_Coef _18'!AG815</f>
        <v>14500</v>
      </c>
      <c r="E817" s="63">
        <f>'[2]Calc_Coef _18'!AH815</f>
        <v>8744</v>
      </c>
      <c r="F817" s="64">
        <f>'[2]Calc_Coef _18'!AI815</f>
        <v>52</v>
      </c>
      <c r="G817" s="30"/>
      <c r="H817"/>
      <c r="I817"/>
    </row>
    <row r="818" spans="1:9" x14ac:dyDescent="0.25">
      <c r="A818" s="32">
        <f>'[2]Calc_Coef _18'!AE816</f>
        <v>8100802</v>
      </c>
      <c r="B818" s="32" t="str">
        <f>'[2]Calc_Coef _18'!C816</f>
        <v>021019</v>
      </c>
      <c r="C818" s="32" t="str">
        <f>'[2]Calc_Coef _18'!AF816</f>
        <v>COPA DE PORCO DEFUMADA</v>
      </c>
      <c r="D818" s="63">
        <f>'[2]Calc_Coef _18'!AG816</f>
        <v>7875</v>
      </c>
      <c r="E818" s="63">
        <f>'[2]Calc_Coef _18'!AH816</f>
        <v>7240.067882558219</v>
      </c>
      <c r="F818" s="64">
        <f>'[2]Calc_Coef _18'!AI816</f>
        <v>19</v>
      </c>
      <c r="G818" s="30"/>
      <c r="H818"/>
      <c r="I818"/>
    </row>
    <row r="819" spans="1:9" x14ac:dyDescent="0.25">
      <c r="A819" s="32">
        <f>'[2]Calc_Coef _18'!AE817</f>
        <v>8101005</v>
      </c>
      <c r="B819" s="32" t="str">
        <f>'[2]Calc_Coef _18'!C817</f>
        <v>021012</v>
      </c>
      <c r="C819" s="32" t="str">
        <f>'[2]Calc_Coef _18'!AF817</f>
        <v>BACON</v>
      </c>
      <c r="D819" s="63">
        <f>'[2]Calc_Coef _18'!AG817</f>
        <v>10200</v>
      </c>
      <c r="E819" s="63">
        <f>'[2]Calc_Coef _18'!AH817</f>
        <v>7359.5180236216484</v>
      </c>
      <c r="F819" s="64">
        <f>'[2]Calc_Coef _18'!AI817</f>
        <v>19</v>
      </c>
      <c r="G819" s="30"/>
      <c r="H819"/>
      <c r="I819"/>
    </row>
    <row r="820" spans="1:9" x14ac:dyDescent="0.25">
      <c r="A820" s="32">
        <f>'[2]Calc_Coef _18'!AE818</f>
        <v>8101101</v>
      </c>
      <c r="B820" s="32">
        <f>'[2]Calc_Coef _18'!C818</f>
        <v>160232</v>
      </c>
      <c r="C820" s="32" t="str">
        <f>'[2]Calc_Coef _18'!AF818</f>
        <v>HAMBURGUER DE FRANGO</v>
      </c>
      <c r="D820" s="63">
        <f>'[2]Calc_Coef _18'!AG818</f>
        <v>4225</v>
      </c>
      <c r="E820" s="63">
        <f>'[2]Calc_Coef _18'!AH818</f>
        <v>8744</v>
      </c>
      <c r="F820" s="64">
        <f>'[2]Calc_Coef _18'!AI818</f>
        <v>52</v>
      </c>
      <c r="G820" s="30"/>
      <c r="H820"/>
      <c r="I820"/>
    </row>
    <row r="821" spans="1:9" x14ac:dyDescent="0.25">
      <c r="A821" s="32">
        <f>'[2]Calc_Coef _18'!AE819</f>
        <v>8102101</v>
      </c>
      <c r="B821" s="32">
        <f>'[2]Calc_Coef _18'!C819</f>
        <v>160101</v>
      </c>
      <c r="C821" s="32" t="str">
        <f>'[2]Calc_Coef _18'!AF819</f>
        <v>SALSICHA NO VAREJO</v>
      </c>
      <c r="D821" s="63">
        <f>'[2]Calc_Coef _18'!AG819</f>
        <v>3533.3333333333335</v>
      </c>
      <c r="E821" s="63">
        <f>'[2]Calc_Coef _18'!AH819</f>
        <v>12800</v>
      </c>
      <c r="F821" s="64">
        <f>'[2]Calc_Coef _18'!AI819</f>
        <v>52</v>
      </c>
      <c r="G821" s="30"/>
      <c r="H821"/>
      <c r="I821"/>
    </row>
    <row r="822" spans="1:9" x14ac:dyDescent="0.25">
      <c r="A822" s="32">
        <f>'[2]Calc_Coef _18'!AE820</f>
        <v>8102103</v>
      </c>
      <c r="B822" s="32">
        <f>'[2]Calc_Coef _18'!C820</f>
        <v>160101</v>
      </c>
      <c r="C822" s="32" t="str">
        <f>'[2]Calc_Coef _18'!AF820</f>
        <v>SALSICHAO</v>
      </c>
      <c r="D822" s="63">
        <f>'[2]Calc_Coef _18'!AG820</f>
        <v>3533.3333333333335</v>
      </c>
      <c r="E822" s="63">
        <f>'[2]Calc_Coef _18'!AH820</f>
        <v>12800</v>
      </c>
      <c r="F822" s="64">
        <f>'[2]Calc_Coef _18'!AI820</f>
        <v>52</v>
      </c>
      <c r="G822" s="30"/>
      <c r="H822"/>
      <c r="I822"/>
    </row>
    <row r="823" spans="1:9" x14ac:dyDescent="0.25">
      <c r="A823" s="32">
        <f>'[2]Calc_Coef _18'!AE821</f>
        <v>8102204</v>
      </c>
      <c r="B823" s="32" t="str">
        <f>'[2]Calc_Coef _18'!C821</f>
        <v>160100</v>
      </c>
      <c r="C823" s="32" t="str">
        <f>'[2]Calc_Coef _18'!AF821</f>
        <v>LINGUICA (SUÍNA, BOVINA, MISTA, ETC)</v>
      </c>
      <c r="D823" s="63">
        <f>'[2]Calc_Coef _18'!AG821</f>
        <v>17800</v>
      </c>
      <c r="E823" s="63">
        <f>'[2]Calc_Coef _18'!AH821</f>
        <v>15600</v>
      </c>
      <c r="F823" s="64">
        <f>'[2]Calc_Coef _18'!AI821</f>
        <v>52</v>
      </c>
      <c r="G823" s="30"/>
      <c r="H823"/>
      <c r="I823"/>
    </row>
    <row r="824" spans="1:9" x14ac:dyDescent="0.25">
      <c r="A824" s="32">
        <f>'[2]Calc_Coef _18'!AE822</f>
        <v>8102205</v>
      </c>
      <c r="B824" s="32" t="str">
        <f>'[2]Calc_Coef _18'!C822</f>
        <v>160100</v>
      </c>
      <c r="C824" s="32" t="str">
        <f>'[2]Calc_Coef _18'!AF822</f>
        <v>LINGUICA CALABRESA</v>
      </c>
      <c r="D824" s="63">
        <f>'[2]Calc_Coef _18'!AG822</f>
        <v>17800</v>
      </c>
      <c r="E824" s="63">
        <f>'[2]Calc_Coef _18'!AH822</f>
        <v>15600</v>
      </c>
      <c r="F824" s="64">
        <f>'[2]Calc_Coef _18'!AI822</f>
        <v>52</v>
      </c>
      <c r="G824" s="30"/>
      <c r="H824"/>
      <c r="I824"/>
    </row>
    <row r="825" spans="1:9" x14ac:dyDescent="0.25">
      <c r="A825" s="32">
        <f>'[2]Calc_Coef _18'!AE823</f>
        <v>8102207</v>
      </c>
      <c r="B825" s="32">
        <f>'[2]Calc_Coef _18'!C823</f>
        <v>160232</v>
      </c>
      <c r="C825" s="32" t="str">
        <f>'[2]Calc_Coef _18'!AF823</f>
        <v>LINGUICA DE FRANGO</v>
      </c>
      <c r="D825" s="63">
        <f>'[2]Calc_Coef _18'!AG823</f>
        <v>4225</v>
      </c>
      <c r="E825" s="63">
        <f>'[2]Calc_Coef _18'!AH823</f>
        <v>8744</v>
      </c>
      <c r="F825" s="64">
        <f>'[2]Calc_Coef _18'!AI823</f>
        <v>52</v>
      </c>
      <c r="G825" s="30"/>
      <c r="H825"/>
      <c r="I825"/>
    </row>
    <row r="826" spans="1:9" x14ac:dyDescent="0.25">
      <c r="A826" s="32">
        <f>'[2]Calc_Coef _18'!AE824</f>
        <v>8102401</v>
      </c>
      <c r="B826" s="32">
        <f>'[2]Calc_Coef _18'!C824</f>
        <v>160102</v>
      </c>
      <c r="C826" s="32" t="str">
        <f>'[2]Calc_Coef _18'!AF824</f>
        <v>CHOURICO</v>
      </c>
      <c r="D826" s="63">
        <f>'[2]Calc_Coef _18'!AG824</f>
        <v>11300</v>
      </c>
      <c r="E826" s="63">
        <f>'[2]Calc_Coef _18'!AH824</f>
        <v>10000</v>
      </c>
      <c r="F826" s="64">
        <f>'[2]Calc_Coef _18'!AI824</f>
        <v>52</v>
      </c>
      <c r="G826" s="30"/>
      <c r="H826"/>
      <c r="I826"/>
    </row>
    <row r="827" spans="1:9" x14ac:dyDescent="0.25">
      <c r="A827" s="32">
        <f>'[2]Calc_Coef _18'!AE825</f>
        <v>8102402</v>
      </c>
      <c r="B827" s="32">
        <f>'[2]Calc_Coef _18'!C825</f>
        <v>160102</v>
      </c>
      <c r="C827" s="32" t="str">
        <f>'[2]Calc_Coef _18'!AF825</f>
        <v>MORCELA</v>
      </c>
      <c r="D827" s="63">
        <f>'[2]Calc_Coef _18'!AG825</f>
        <v>11300</v>
      </c>
      <c r="E827" s="63">
        <f>'[2]Calc_Coef _18'!AH825</f>
        <v>10000</v>
      </c>
      <c r="F827" s="64">
        <f>'[2]Calc_Coef _18'!AI825</f>
        <v>52</v>
      </c>
      <c r="G827" s="30"/>
      <c r="H827"/>
      <c r="I827"/>
    </row>
    <row r="828" spans="1:9" x14ac:dyDescent="0.25">
      <c r="A828" s="32">
        <f>'[2]Calc_Coef _18'!AE826</f>
        <v>8102403</v>
      </c>
      <c r="B828" s="32">
        <f>'[2]Calc_Coef _18'!C826</f>
        <v>160102</v>
      </c>
      <c r="C828" s="32" t="str">
        <f>'[2]Calc_Coef _18'!AF826</f>
        <v>MORCILHA</v>
      </c>
      <c r="D828" s="63">
        <f>'[2]Calc_Coef _18'!AG826</f>
        <v>11300</v>
      </c>
      <c r="E828" s="63">
        <f>'[2]Calc_Coef _18'!AH826</f>
        <v>10000</v>
      </c>
      <c r="F828" s="64">
        <f>'[2]Calc_Coef _18'!AI826</f>
        <v>52</v>
      </c>
      <c r="G828" s="30"/>
      <c r="H828"/>
      <c r="I828"/>
    </row>
    <row r="829" spans="1:9" x14ac:dyDescent="0.25">
      <c r="A829" s="32">
        <f>'[2]Calc_Coef _18'!AE827</f>
        <v>8102601</v>
      </c>
      <c r="B829" s="32">
        <f>'[2]Calc_Coef _18'!C827</f>
        <v>160102</v>
      </c>
      <c r="C829" s="32" t="str">
        <f>'[2]Calc_Coef _18'!AF827</f>
        <v>MORTADELA</v>
      </c>
      <c r="D829" s="63">
        <f>'[2]Calc_Coef _18'!AG827</f>
        <v>11300</v>
      </c>
      <c r="E829" s="63">
        <f>'[2]Calc_Coef _18'!AH827</f>
        <v>10000</v>
      </c>
      <c r="F829" s="64">
        <f>'[2]Calc_Coef _18'!AI827</f>
        <v>52</v>
      </c>
      <c r="G829" s="30"/>
      <c r="H829"/>
      <c r="I829"/>
    </row>
    <row r="830" spans="1:9" x14ac:dyDescent="0.25">
      <c r="A830" s="32">
        <f>'[2]Calc_Coef _18'!AE828</f>
        <v>8102701</v>
      </c>
      <c r="B830" s="32">
        <f>'[2]Calc_Coef _18'!C828</f>
        <v>160102</v>
      </c>
      <c r="C830" s="32" t="str">
        <f>'[2]Calc_Coef _18'!AF828</f>
        <v>SALAME</v>
      </c>
      <c r="D830" s="63">
        <f>'[2]Calc_Coef _18'!AG828</f>
        <v>11300</v>
      </c>
      <c r="E830" s="63">
        <f>'[2]Calc_Coef _18'!AH828</f>
        <v>10000</v>
      </c>
      <c r="F830" s="64">
        <f>'[2]Calc_Coef _18'!AI828</f>
        <v>52</v>
      </c>
      <c r="G830" s="30"/>
      <c r="H830"/>
      <c r="I830"/>
    </row>
    <row r="831" spans="1:9" x14ac:dyDescent="0.25">
      <c r="A831" s="32">
        <f>'[2]Calc_Coef _18'!AE829</f>
        <v>8102702</v>
      </c>
      <c r="B831" s="32">
        <f>'[2]Calc_Coef _18'!C829</f>
        <v>160102</v>
      </c>
      <c r="C831" s="32" t="str">
        <f>'[2]Calc_Coef _18'!AF829</f>
        <v>SALAMINHO</v>
      </c>
      <c r="D831" s="63">
        <f>'[2]Calc_Coef _18'!AG829</f>
        <v>11300</v>
      </c>
      <c r="E831" s="63">
        <f>'[2]Calc_Coef _18'!AH829</f>
        <v>10000</v>
      </c>
      <c r="F831" s="64">
        <f>'[2]Calc_Coef _18'!AI829</f>
        <v>52</v>
      </c>
      <c r="G831" s="30"/>
      <c r="H831"/>
      <c r="I831"/>
    </row>
    <row r="832" spans="1:9" x14ac:dyDescent="0.25">
      <c r="A832" s="32">
        <f>'[2]Calc_Coef _18'!AE830</f>
        <v>8102801</v>
      </c>
      <c r="B832" s="32" t="str">
        <f>'[2]Calc_Coef _18'!C830</f>
        <v>160231</v>
      </c>
      <c r="C832" s="32" t="str">
        <f>'[2]Calc_Coef _18'!AF830</f>
        <v>BLANQUET DE PERU</v>
      </c>
      <c r="D832" s="63">
        <f>'[2]Calc_Coef _18'!AG830</f>
        <v>4225</v>
      </c>
      <c r="E832" s="63">
        <f>'[2]Calc_Coef _18'!AH830</f>
        <v>8744</v>
      </c>
      <c r="F832" s="64">
        <f>'[2]Calc_Coef _18'!AI830</f>
        <v>52</v>
      </c>
      <c r="G832" s="30"/>
      <c r="H832"/>
      <c r="I832"/>
    </row>
    <row r="833" spans="1:9" x14ac:dyDescent="0.25">
      <c r="A833" s="32">
        <f>'[2]Calc_Coef _18'!AE831</f>
        <v>8102901</v>
      </c>
      <c r="B833" s="32" t="str">
        <f>'[2]Calc_Coef _18'!C831</f>
        <v>021019</v>
      </c>
      <c r="C833" s="32" t="str">
        <f>'[2]Calc_Coef _18'!AF831</f>
        <v>PRESUNTO</v>
      </c>
      <c r="D833" s="63">
        <f>'[2]Calc_Coef _18'!AG831</f>
        <v>7875</v>
      </c>
      <c r="E833" s="63">
        <f>'[2]Calc_Coef _18'!AH831</f>
        <v>7240.067882558219</v>
      </c>
      <c r="F833" s="64">
        <f>'[2]Calc_Coef _18'!AI831</f>
        <v>19</v>
      </c>
      <c r="G833" s="30"/>
      <c r="H833"/>
      <c r="I833"/>
    </row>
    <row r="834" spans="1:9" x14ac:dyDescent="0.25">
      <c r="A834" s="32">
        <f>'[2]Calc_Coef _18'!AE832</f>
        <v>8102905</v>
      </c>
      <c r="B834" s="32" t="str">
        <f>'[2]Calc_Coef _18'!C832</f>
        <v>021019</v>
      </c>
      <c r="C834" s="32" t="str">
        <f>'[2]Calc_Coef _18'!AF832</f>
        <v>PRESUNTO PARMA</v>
      </c>
      <c r="D834" s="63">
        <f>'[2]Calc_Coef _18'!AG832</f>
        <v>7875</v>
      </c>
      <c r="E834" s="63">
        <f>'[2]Calc_Coef _18'!AH832</f>
        <v>7240.067882558219</v>
      </c>
      <c r="F834" s="64">
        <f>'[2]Calc_Coef _18'!AI832</f>
        <v>19</v>
      </c>
      <c r="G834" s="30"/>
      <c r="H834"/>
      <c r="I834"/>
    </row>
    <row r="835" spans="1:9" x14ac:dyDescent="0.25">
      <c r="A835" s="32">
        <f>'[2]Calc_Coef _18'!AE833</f>
        <v>8103101</v>
      </c>
      <c r="B835" s="32" t="str">
        <f>'[2]Calc_Coef _18'!C833</f>
        <v>160250</v>
      </c>
      <c r="C835" s="32" t="str">
        <f>'[2]Calc_Coef _18'!AF833</f>
        <v>HAMBURGUER NAO ESPECIFICADO</v>
      </c>
      <c r="D835" s="63">
        <f>'[2]Calc_Coef _18'!AG833</f>
        <v>14500</v>
      </c>
      <c r="E835" s="63">
        <f>'[2]Calc_Coef _18'!AH833</f>
        <v>8744</v>
      </c>
      <c r="F835" s="64">
        <f>'[2]Calc_Coef _18'!AI833</f>
        <v>52</v>
      </c>
      <c r="G835" s="30"/>
      <c r="H835"/>
      <c r="I835"/>
    </row>
    <row r="836" spans="1:9" x14ac:dyDescent="0.25">
      <c r="A836" s="32">
        <f>'[2]Calc_Coef _18'!AE834</f>
        <v>8103601</v>
      </c>
      <c r="B836" s="32" t="str">
        <f>'[2]Calc_Coef _18'!C834</f>
        <v>160249</v>
      </c>
      <c r="C836" s="32" t="str">
        <f>'[2]Calc_Coef _18'!AF834</f>
        <v>APRESUNTADO</v>
      </c>
      <c r="D836" s="63">
        <f>'[2]Calc_Coef _18'!AG834</f>
        <v>5300</v>
      </c>
      <c r="E836" s="63">
        <f>'[2]Calc_Coef _18'!AH834</f>
        <v>8744</v>
      </c>
      <c r="F836" s="64">
        <f>'[2]Calc_Coef _18'!AI834</f>
        <v>52</v>
      </c>
      <c r="G836" s="30"/>
      <c r="H836"/>
      <c r="I836"/>
    </row>
    <row r="837" spans="1:9" x14ac:dyDescent="0.25">
      <c r="A837" s="32">
        <f>'[2]Calc_Coef _18'!AE835</f>
        <v>8103901</v>
      </c>
      <c r="B837" s="32" t="str">
        <f>'[2]Calc_Coef _18'!C835</f>
        <v>021019</v>
      </c>
      <c r="C837" s="32" t="str">
        <f>'[2]Calc_Coef _18'!AF835</f>
        <v>PURURUCA DE PORCO</v>
      </c>
      <c r="D837" s="63">
        <f>'[2]Calc_Coef _18'!AG835</f>
        <v>7875</v>
      </c>
      <c r="E837" s="63">
        <f>'[2]Calc_Coef _18'!AH835</f>
        <v>7240.067882558219</v>
      </c>
      <c r="F837" s="64">
        <f>'[2]Calc_Coef _18'!AI835</f>
        <v>19</v>
      </c>
      <c r="G837" s="30"/>
      <c r="H837"/>
      <c r="I837"/>
    </row>
    <row r="838" spans="1:9" x14ac:dyDescent="0.25">
      <c r="A838" s="32">
        <f>'[2]Calc_Coef _18'!AE836</f>
        <v>8103902</v>
      </c>
      <c r="B838" s="32" t="str">
        <f>'[2]Calc_Coef _18'!C836</f>
        <v>021019</v>
      </c>
      <c r="C838" s="32" t="str">
        <f>'[2]Calc_Coef _18'!AF836</f>
        <v>PELE DE PORCO PREPARADA (PURURUCA)</v>
      </c>
      <c r="D838" s="63">
        <f>'[2]Calc_Coef _18'!AG836</f>
        <v>7875</v>
      </c>
      <c r="E838" s="63">
        <f>'[2]Calc_Coef _18'!AH836</f>
        <v>7240.067882558219</v>
      </c>
      <c r="F838" s="64">
        <f>'[2]Calc_Coef _18'!AI836</f>
        <v>19</v>
      </c>
      <c r="G838" s="30"/>
      <c r="H838"/>
      <c r="I838"/>
    </row>
    <row r="839" spans="1:9" x14ac:dyDescent="0.25">
      <c r="A839" s="32">
        <f>'[2]Calc_Coef _18'!AE837</f>
        <v>8104001</v>
      </c>
      <c r="B839" s="32" t="str">
        <f>'[2]Calc_Coef _18'!C837</f>
        <v>160220</v>
      </c>
      <c r="C839" s="32" t="str">
        <f>'[2]Calc_Coef _18'!AF837</f>
        <v>PATE (FÍGADO, CALABRESA, FRANGO, PRESUNTO, ETC)</v>
      </c>
      <c r="D839" s="63">
        <f>'[2]Calc_Coef _18'!AG837</f>
        <v>5300</v>
      </c>
      <c r="E839" s="63">
        <f>'[2]Calc_Coef _18'!AH837</f>
        <v>8744</v>
      </c>
      <c r="F839" s="64">
        <f>'[2]Calc_Coef _18'!AI837</f>
        <v>52</v>
      </c>
      <c r="G839" s="30"/>
      <c r="H839"/>
      <c r="I839"/>
    </row>
    <row r="840" spans="1:9" x14ac:dyDescent="0.25">
      <c r="A840" s="32">
        <f>'[2]Calc_Coef _18'!AE838</f>
        <v>8104601</v>
      </c>
      <c r="B840" s="32" t="str">
        <f>'[2]Calc_Coef _18'!C838</f>
        <v>021020</v>
      </c>
      <c r="C840" s="32" t="str">
        <f>'[2]Calc_Coef _18'!AF838</f>
        <v>CARNE SALGADA NAO ESPECIFICADA</v>
      </c>
      <c r="D840" s="63">
        <f>'[2]Calc_Coef _18'!AG838</f>
        <v>26938</v>
      </c>
      <c r="E840" s="63">
        <f>'[2]Calc_Coef _18'!AH838</f>
        <v>25255.047398825889</v>
      </c>
      <c r="F840" s="64">
        <f>'[2]Calc_Coef _18'!AI838</f>
        <v>19</v>
      </c>
      <c r="G840" s="30"/>
      <c r="H840"/>
      <c r="I840"/>
    </row>
    <row r="841" spans="1:9" x14ac:dyDescent="0.25">
      <c r="A841" s="32">
        <f>'[2]Calc_Coef _18'!AE839</f>
        <v>8104904</v>
      </c>
      <c r="B841" s="32" t="str">
        <f>'[2]Calc_Coef _18'!C839</f>
        <v>160230</v>
      </c>
      <c r="C841" s="32" t="str">
        <f>'[2]Calc_Coef _18'!AF839</f>
        <v>MINI CHICKEN EMPANADO</v>
      </c>
      <c r="D841" s="63">
        <f>'[2]Calc_Coef _18'!AG839</f>
        <v>4225</v>
      </c>
      <c r="E841" s="63">
        <f>'[2]Calc_Coef _18'!AH839</f>
        <v>8744</v>
      </c>
      <c r="F841" s="64">
        <f>'[2]Calc_Coef _18'!AI839</f>
        <v>52</v>
      </c>
      <c r="G841" s="30"/>
      <c r="H841"/>
      <c r="I841"/>
    </row>
    <row r="842" spans="1:9" x14ac:dyDescent="0.25">
      <c r="A842" s="32">
        <f>'[2]Calc_Coef _18'!AE840</f>
        <v>8105001</v>
      </c>
      <c r="B842" s="32">
        <f>'[2]Calc_Coef _18'!C840</f>
        <v>160102</v>
      </c>
      <c r="C842" s="32" t="str">
        <f>'[2]Calc_Coef _18'!AF840</f>
        <v>MORTADELA LIGHT</v>
      </c>
      <c r="D842" s="63">
        <f>'[2]Calc_Coef _18'!AG840</f>
        <v>11300</v>
      </c>
      <c r="E842" s="63">
        <f>'[2]Calc_Coef _18'!AH840</f>
        <v>10000</v>
      </c>
      <c r="F842" s="64">
        <f>'[2]Calc_Coef _18'!AI840</f>
        <v>52</v>
      </c>
      <c r="G842" s="30"/>
      <c r="H842"/>
      <c r="I842"/>
    </row>
    <row r="843" spans="1:9" x14ac:dyDescent="0.25">
      <c r="A843" s="32">
        <f>'[2]Calc_Coef _18'!AE841</f>
        <v>8200101</v>
      </c>
      <c r="B843" s="32" t="str">
        <f>'[2]Calc_Coef _18'!C841</f>
        <v>220210 </v>
      </c>
      <c r="C843" s="32" t="str">
        <f>'[2]Calc_Coef _18'!AF841</f>
        <v>REFRIGERANTE DE COLA TRADICIONAL</v>
      </c>
      <c r="D843" s="63">
        <f>'[2]Calc_Coef _18'!AG841</f>
        <v>687.5</v>
      </c>
      <c r="E843" s="63">
        <f>'[2]Calc_Coef _18'!AH841</f>
        <v>450</v>
      </c>
      <c r="F843" s="64">
        <f>'[2]Calc_Coef _18'!AI841</f>
        <v>2</v>
      </c>
      <c r="G843" s="30"/>
      <c r="H843"/>
      <c r="I843"/>
    </row>
    <row r="844" spans="1:9" x14ac:dyDescent="0.25">
      <c r="A844" s="32">
        <f>'[2]Calc_Coef _18'!AE842</f>
        <v>8200102</v>
      </c>
      <c r="B844" s="32" t="str">
        <f>'[2]Calc_Coef _18'!C842</f>
        <v>220210 </v>
      </c>
      <c r="C844" s="32" t="str">
        <f>'[2]Calc_Coef _18'!AF842</f>
        <v>COCA COLA TRADICIONAL</v>
      </c>
      <c r="D844" s="63">
        <f>'[2]Calc_Coef _18'!AG842</f>
        <v>375</v>
      </c>
      <c r="E844" s="63">
        <f>'[2]Calc_Coef _18'!AH842</f>
        <v>450</v>
      </c>
      <c r="F844" s="64">
        <f>'[2]Calc_Coef _18'!AI842</f>
        <v>2</v>
      </c>
      <c r="G844" s="30"/>
      <c r="H844"/>
      <c r="I844"/>
    </row>
    <row r="845" spans="1:9" x14ac:dyDescent="0.25">
      <c r="A845" s="32">
        <f>'[2]Calc_Coef _18'!AE843</f>
        <v>8200202</v>
      </c>
      <c r="B845" s="32" t="str">
        <f>'[2]Calc_Coef _18'!C843</f>
        <v>220210 </v>
      </c>
      <c r="C845" s="32" t="str">
        <f>'[2]Calc_Coef _18'!AF843</f>
        <v>FANTA LARANJA TRADICIONAL</v>
      </c>
      <c r="D845" s="63">
        <f>'[2]Calc_Coef _18'!AG843</f>
        <v>451</v>
      </c>
      <c r="E845" s="63">
        <f>'[2]Calc_Coef _18'!AH843</f>
        <v>450</v>
      </c>
      <c r="F845" s="64">
        <f>'[2]Calc_Coef _18'!AI843</f>
        <v>2</v>
      </c>
      <c r="G845" s="30"/>
      <c r="H845"/>
      <c r="I845"/>
    </row>
    <row r="846" spans="1:9" x14ac:dyDescent="0.25">
      <c r="A846" s="32">
        <f>'[2]Calc_Coef _18'!AE844</f>
        <v>8200208</v>
      </c>
      <c r="B846" s="32" t="str">
        <f>'[2]Calc_Coef _18'!C844</f>
        <v>220210 </v>
      </c>
      <c r="C846" s="32" t="str">
        <f>'[2]Calc_Coef _18'!AF844</f>
        <v>SUKITA TRADICIONAL</v>
      </c>
      <c r="D846" s="63">
        <f>'[2]Calc_Coef _18'!AG844</f>
        <v>451</v>
      </c>
      <c r="E846" s="63">
        <f>'[2]Calc_Coef _18'!AH844</f>
        <v>450</v>
      </c>
      <c r="F846" s="64">
        <f>'[2]Calc_Coef _18'!AI844</f>
        <v>2</v>
      </c>
      <c r="G846" s="30"/>
      <c r="H846"/>
      <c r="I846"/>
    </row>
    <row r="847" spans="1:9" x14ac:dyDescent="0.25">
      <c r="A847" s="32">
        <f>'[2]Calc_Coef _18'!AE845</f>
        <v>8200211</v>
      </c>
      <c r="B847" s="32" t="str">
        <f>'[2]Calc_Coef _18'!C845</f>
        <v>220210 </v>
      </c>
      <c r="C847" s="32" t="str">
        <f>'[2]Calc_Coef _18'!AF845</f>
        <v>REFRIGERANTE DE LARANJA TRADICIONAL</v>
      </c>
      <c r="D847" s="63">
        <f>'[2]Calc_Coef _18'!AG845</f>
        <v>451</v>
      </c>
      <c r="E847" s="63">
        <f>'[2]Calc_Coef _18'!AH845</f>
        <v>450</v>
      </c>
      <c r="F847" s="64">
        <f>'[2]Calc_Coef _18'!AI845</f>
        <v>2</v>
      </c>
      <c r="G847" s="30"/>
      <c r="H847"/>
      <c r="I847"/>
    </row>
    <row r="848" spans="1:9" x14ac:dyDescent="0.25">
      <c r="A848" s="32">
        <f>'[2]Calc_Coef _18'!AE846</f>
        <v>8200301</v>
      </c>
      <c r="B848" s="32" t="str">
        <f>'[2]Calc_Coef _18'!C846</f>
        <v>220210 </v>
      </c>
      <c r="C848" s="32" t="str">
        <f>'[2]Calc_Coef _18'!AF846</f>
        <v>REFRIGERANTE DE GUARANA TRADICIONAL</v>
      </c>
      <c r="D848" s="63">
        <f>'[2]Calc_Coef _18'!AG846</f>
        <v>451</v>
      </c>
      <c r="E848" s="63">
        <f>'[2]Calc_Coef _18'!AH846</f>
        <v>450</v>
      </c>
      <c r="F848" s="64">
        <f>'[2]Calc_Coef _18'!AI846</f>
        <v>2</v>
      </c>
      <c r="G848" s="30"/>
      <c r="H848"/>
      <c r="I848"/>
    </row>
    <row r="849" spans="1:9" x14ac:dyDescent="0.25">
      <c r="A849" s="32">
        <f>'[2]Calc_Coef _18'!AE847</f>
        <v>8200302</v>
      </c>
      <c r="B849" s="32" t="str">
        <f>'[2]Calc_Coef _18'!C847</f>
        <v>220210 </v>
      </c>
      <c r="C849" s="32" t="str">
        <f>'[2]Calc_Coef _18'!AF847</f>
        <v>GUARANA TRADICIONAL</v>
      </c>
      <c r="D849" s="63">
        <f>'[2]Calc_Coef _18'!AG847</f>
        <v>451</v>
      </c>
      <c r="E849" s="63">
        <f>'[2]Calc_Coef _18'!AH847</f>
        <v>450</v>
      </c>
      <c r="F849" s="64">
        <f>'[2]Calc_Coef _18'!AI847</f>
        <v>2</v>
      </c>
      <c r="G849" s="30"/>
      <c r="H849"/>
      <c r="I849"/>
    </row>
    <row r="850" spans="1:9" x14ac:dyDescent="0.25">
      <c r="A850" s="32">
        <f>'[2]Calc_Coef _18'!AE848</f>
        <v>8200308</v>
      </c>
      <c r="B850" s="32" t="str">
        <f>'[2]Calc_Coef _18'!C848</f>
        <v>220210 </v>
      </c>
      <c r="C850" s="32" t="str">
        <f>'[2]Calc_Coef _18'!AF848</f>
        <v>REFRESCO DE GUARANA NATURAL</v>
      </c>
      <c r="D850" s="63">
        <f>'[2]Calc_Coef _18'!AG848</f>
        <v>451</v>
      </c>
      <c r="E850" s="63">
        <f>'[2]Calc_Coef _18'!AH848</f>
        <v>450</v>
      </c>
      <c r="F850" s="64">
        <f>'[2]Calc_Coef _18'!AI848</f>
        <v>2</v>
      </c>
      <c r="G850" s="30"/>
      <c r="H850"/>
      <c r="I850"/>
    </row>
    <row r="851" spans="1:9" x14ac:dyDescent="0.25">
      <c r="A851" s="32">
        <f>'[2]Calc_Coef _18'!AE849</f>
        <v>8200407</v>
      </c>
      <c r="B851" s="32" t="str">
        <f>'[2]Calc_Coef _18'!C849</f>
        <v>220210 </v>
      </c>
      <c r="C851" s="32" t="str">
        <f>'[2]Calc_Coef _18'!AF849</f>
        <v>SPRIT REFRIGERANTE TRADICIONAL</v>
      </c>
      <c r="D851" s="63">
        <f>'[2]Calc_Coef _18'!AG849</f>
        <v>327</v>
      </c>
      <c r="E851" s="63">
        <f>'[2]Calc_Coef _18'!AH849</f>
        <v>450</v>
      </c>
      <c r="F851" s="64">
        <f>'[2]Calc_Coef _18'!AI849</f>
        <v>2</v>
      </c>
      <c r="G851" s="30"/>
      <c r="H851"/>
      <c r="I851"/>
    </row>
    <row r="852" spans="1:9" x14ac:dyDescent="0.25">
      <c r="A852" s="32">
        <f>'[2]Calc_Coef _18'!AE850</f>
        <v>8200411</v>
      </c>
      <c r="B852" s="32" t="str">
        <f>'[2]Calc_Coef _18'!C850</f>
        <v>220210 </v>
      </c>
      <c r="C852" s="32" t="str">
        <f>'[2]Calc_Coef _18'!AF850</f>
        <v>REFRIGERANTE, LIMAO, TRADICIONAL</v>
      </c>
      <c r="D852" s="63">
        <f>'[2]Calc_Coef _18'!AG850</f>
        <v>451</v>
      </c>
      <c r="E852" s="63">
        <f>'[2]Calc_Coef _18'!AH850</f>
        <v>450</v>
      </c>
      <c r="F852" s="64">
        <f>'[2]Calc_Coef _18'!AI850</f>
        <v>2</v>
      </c>
      <c r="G852" s="30"/>
      <c r="H852"/>
      <c r="I852"/>
    </row>
    <row r="853" spans="1:9" x14ac:dyDescent="0.25">
      <c r="A853" s="32">
        <f>'[2]Calc_Coef _18'!AE851</f>
        <v>8200505</v>
      </c>
      <c r="B853" s="32" t="str">
        <f>'[2]Calc_Coef _18'!C851</f>
        <v>220210 </v>
      </c>
      <c r="C853" s="32" t="str">
        <f>'[2]Calc_Coef _18'!AF851</f>
        <v>FANTA UVA TRADICIONAL</v>
      </c>
      <c r="D853" s="63">
        <f>'[2]Calc_Coef _18'!AG851</f>
        <v>451</v>
      </c>
      <c r="E853" s="63">
        <f>'[2]Calc_Coef _18'!AH851</f>
        <v>450</v>
      </c>
      <c r="F853" s="64">
        <f>'[2]Calc_Coef _18'!AI851</f>
        <v>2</v>
      </c>
      <c r="G853" s="30"/>
      <c r="H853"/>
      <c r="I853"/>
    </row>
    <row r="854" spans="1:9" x14ac:dyDescent="0.25">
      <c r="A854" s="32">
        <f>'[2]Calc_Coef _18'!AE852</f>
        <v>8200507</v>
      </c>
      <c r="B854" s="32" t="str">
        <f>'[2]Calc_Coef _18'!C852</f>
        <v>220210 </v>
      </c>
      <c r="C854" s="32" t="str">
        <f>'[2]Calc_Coef _18'!AF852</f>
        <v>REFRIGERANTE, UVA, TRADICIONAL</v>
      </c>
      <c r="D854" s="63">
        <f>'[2]Calc_Coef _18'!AG852</f>
        <v>451</v>
      </c>
      <c r="E854" s="63">
        <f>'[2]Calc_Coef _18'!AH852</f>
        <v>450</v>
      </c>
      <c r="F854" s="64">
        <f>'[2]Calc_Coef _18'!AI852</f>
        <v>2</v>
      </c>
      <c r="G854" s="30"/>
      <c r="H854"/>
      <c r="I854"/>
    </row>
    <row r="855" spans="1:9" x14ac:dyDescent="0.25">
      <c r="A855" s="32">
        <f>'[2]Calc_Coef _18'!AE853</f>
        <v>8200701</v>
      </c>
      <c r="B855" s="32" t="str">
        <f>'[2]Calc_Coef _18'!C853</f>
        <v>220210 </v>
      </c>
      <c r="C855" s="32" t="str">
        <f>'[2]Calc_Coef _18'!AF853</f>
        <v>REFRIGERANTE DE COLA LIGHT</v>
      </c>
      <c r="D855" s="63">
        <f>'[2]Calc_Coef _18'!AG853</f>
        <v>274</v>
      </c>
      <c r="E855" s="63">
        <f>'[2]Calc_Coef _18'!AH853</f>
        <v>450</v>
      </c>
      <c r="F855" s="64">
        <f>'[2]Calc_Coef _18'!AI853</f>
        <v>2</v>
      </c>
      <c r="G855" s="30"/>
      <c r="H855"/>
      <c r="I855"/>
    </row>
    <row r="856" spans="1:9" x14ac:dyDescent="0.25">
      <c r="A856" s="32">
        <f>'[2]Calc_Coef _18'!AE854</f>
        <v>8200702</v>
      </c>
      <c r="B856" s="32" t="str">
        <f>'[2]Calc_Coef _18'!C854</f>
        <v>220210 </v>
      </c>
      <c r="C856" s="32" t="str">
        <f>'[2]Calc_Coef _18'!AF854</f>
        <v>COCA COLA LIGHT</v>
      </c>
      <c r="D856" s="63">
        <f>'[2]Calc_Coef _18'!AG854</f>
        <v>274</v>
      </c>
      <c r="E856" s="63">
        <f>'[2]Calc_Coef _18'!AH854</f>
        <v>450</v>
      </c>
      <c r="F856" s="64">
        <f>'[2]Calc_Coef _18'!AI854</f>
        <v>2</v>
      </c>
      <c r="G856" s="30"/>
      <c r="H856"/>
      <c r="I856"/>
    </row>
    <row r="857" spans="1:9" x14ac:dyDescent="0.25">
      <c r="A857" s="32">
        <f>'[2]Calc_Coef _18'!AE855</f>
        <v>8200801</v>
      </c>
      <c r="B857" s="32" t="str">
        <f>'[2]Calc_Coef _18'!C855</f>
        <v>220210 </v>
      </c>
      <c r="C857" s="32" t="str">
        <f>'[2]Calc_Coef _18'!AF855</f>
        <v>REFRIGERANTE DE COLA DIET</v>
      </c>
      <c r="D857" s="63">
        <f>'[2]Calc_Coef _18'!AG855</f>
        <v>274</v>
      </c>
      <c r="E857" s="63">
        <f>'[2]Calc_Coef _18'!AH855</f>
        <v>450</v>
      </c>
      <c r="F857" s="64">
        <f>'[2]Calc_Coef _18'!AI855</f>
        <v>2</v>
      </c>
      <c r="G857" s="30"/>
      <c r="H857"/>
      <c r="I857"/>
    </row>
    <row r="858" spans="1:9" x14ac:dyDescent="0.25">
      <c r="A858" s="32">
        <f>'[2]Calc_Coef _18'!AE856</f>
        <v>8201004</v>
      </c>
      <c r="B858" s="32">
        <f>'[2]Calc_Coef _18'!C856</f>
        <v>220110</v>
      </c>
      <c r="C858" s="32" t="str">
        <f>'[2]Calc_Coef _18'!AF856</f>
        <v>AGUA, MINERAL NAO ESPECIFICADO</v>
      </c>
      <c r="D858" s="63">
        <f>'[2]Calc_Coef _18'!AG856</f>
        <v>204.33333333333334</v>
      </c>
      <c r="E858" s="63">
        <f>'[2]Calc_Coef _18'!AH856</f>
        <v>12</v>
      </c>
      <c r="F858" s="64">
        <f>'[2]Calc_Coef _18'!AI856</f>
        <v>21.25</v>
      </c>
      <c r="G858" s="30"/>
      <c r="H858"/>
      <c r="I858"/>
    </row>
    <row r="859" spans="1:9" x14ac:dyDescent="0.25">
      <c r="A859" s="32">
        <f>'[2]Calc_Coef _18'!AE857</f>
        <v>8201005</v>
      </c>
      <c r="B859" s="32">
        <f>'[2]Calc_Coef _18'!C857</f>
        <v>220110</v>
      </c>
      <c r="C859" s="32" t="str">
        <f>'[2]Calc_Coef _18'!AF857</f>
        <v>AGUA, MINERAL, NAO GASEIFICADA</v>
      </c>
      <c r="D859" s="63">
        <f>'[2]Calc_Coef _18'!AG857</f>
        <v>206.5</v>
      </c>
      <c r="E859" s="63">
        <f>'[2]Calc_Coef _18'!AH857</f>
        <v>12</v>
      </c>
      <c r="F859" s="64">
        <f>'[2]Calc_Coef _18'!AI857</f>
        <v>21.25</v>
      </c>
      <c r="G859" s="30"/>
      <c r="H859"/>
      <c r="I859"/>
    </row>
    <row r="860" spans="1:9" x14ac:dyDescent="0.25">
      <c r="A860" s="32">
        <f>'[2]Calc_Coef _18'!AE858</f>
        <v>8201007</v>
      </c>
      <c r="B860" s="32">
        <f>'[2]Calc_Coef _18'!C858</f>
        <v>220110</v>
      </c>
      <c r="C860" s="32" t="str">
        <f>'[2]Calc_Coef _18'!AF858</f>
        <v>AGUA, MINERAL GASEIFICADA</v>
      </c>
      <c r="D860" s="63">
        <f>'[2]Calc_Coef _18'!AG858</f>
        <v>200</v>
      </c>
      <c r="E860" s="63">
        <f>'[2]Calc_Coef _18'!AH858</f>
        <v>12</v>
      </c>
      <c r="F860" s="64">
        <f>'[2]Calc_Coef _18'!AI858</f>
        <v>21.25</v>
      </c>
      <c r="G860" s="30"/>
      <c r="H860"/>
      <c r="I860"/>
    </row>
    <row r="861" spans="1:9" x14ac:dyDescent="0.25">
      <c r="A861" s="32">
        <f>'[2]Calc_Coef _18'!AE859</f>
        <v>8201015</v>
      </c>
      <c r="B861" s="32" t="str">
        <f>'[2]Calc_Coef _18'!C859</f>
        <v>220210 </v>
      </c>
      <c r="C861" s="32" t="str">
        <f>'[2]Calc_Coef _18'!AF859</f>
        <v>AGUA, MINERAL GASEIFICADA, COM SUMO DE FRUTA</v>
      </c>
      <c r="D861" s="63">
        <f>'[2]Calc_Coef _18'!AG859</f>
        <v>451</v>
      </c>
      <c r="E861" s="63">
        <f>'[2]Calc_Coef _18'!AH859</f>
        <v>450</v>
      </c>
      <c r="F861" s="64">
        <f>'[2]Calc_Coef _18'!AI859</f>
        <v>2</v>
      </c>
      <c r="G861" s="30"/>
      <c r="H861"/>
      <c r="I861"/>
    </row>
    <row r="862" spans="1:9" x14ac:dyDescent="0.25">
      <c r="A862" s="32">
        <f>'[2]Calc_Coef _18'!AE860</f>
        <v>8201017</v>
      </c>
      <c r="B862" s="32" t="str">
        <f>'[2]Calc_Coef _18'!C860</f>
        <v>220210 </v>
      </c>
      <c r="C862" s="32" t="str">
        <f>'[2]Calc_Coef _18'!AF860</f>
        <v>BEBIDA REFRIGERANTE, TIPO H2OHÂ®</v>
      </c>
      <c r="D862" s="63">
        <f>'[2]Calc_Coef _18'!AG860</f>
        <v>451</v>
      </c>
      <c r="E862" s="63">
        <f>'[2]Calc_Coef _18'!AH860</f>
        <v>450</v>
      </c>
      <c r="F862" s="64">
        <f>'[2]Calc_Coef _18'!AI860</f>
        <v>2</v>
      </c>
      <c r="G862" s="30"/>
      <c r="H862"/>
      <c r="I862"/>
    </row>
    <row r="863" spans="1:9" x14ac:dyDescent="0.25">
      <c r="A863" s="32">
        <f>'[2]Calc_Coef _18'!AE861</f>
        <v>8201104</v>
      </c>
      <c r="B863" s="32" t="str">
        <f>'[2]Calc_Coef _18'!C861</f>
        <v>090210</v>
      </c>
      <c r="C863" s="32" t="str">
        <f>'[2]Calc_Coef _18'!AF861</f>
        <v>MATE TRADICIONAL</v>
      </c>
      <c r="D863" s="63">
        <f>'[2]Calc_Coef _18'!AG861</f>
        <v>330</v>
      </c>
      <c r="E863" s="63">
        <f>'[2]Calc_Coef _18'!AH861</f>
        <v>7404.1882297760048</v>
      </c>
      <c r="F863" s="64">
        <f>'[2]Calc_Coef _18'!AI861</f>
        <v>47</v>
      </c>
      <c r="G863" s="30"/>
      <c r="H863"/>
      <c r="I863"/>
    </row>
    <row r="864" spans="1:9" x14ac:dyDescent="0.25">
      <c r="A864" s="32">
        <f>'[2]Calc_Coef _18'!AE862</f>
        <v>8201511</v>
      </c>
      <c r="B864" s="32" t="str">
        <f>'[2]Calc_Coef _18'!C862</f>
        <v>220210 </v>
      </c>
      <c r="C864" s="32" t="str">
        <f>'[2]Calc_Coef _18'!AF862</f>
        <v>REFRIGERANTE DE LARANJA DIET</v>
      </c>
      <c r="D864" s="63">
        <f>'[2]Calc_Coef _18'!AG862</f>
        <v>451</v>
      </c>
      <c r="E864" s="63">
        <f>'[2]Calc_Coef _18'!AH862</f>
        <v>450</v>
      </c>
      <c r="F864" s="64">
        <f>'[2]Calc_Coef _18'!AI862</f>
        <v>2</v>
      </c>
      <c r="G864" s="30"/>
      <c r="H864"/>
      <c r="I864"/>
    </row>
    <row r="865" spans="1:9" x14ac:dyDescent="0.25">
      <c r="A865" s="32">
        <f>'[2]Calc_Coef _18'!AE863</f>
        <v>8201601</v>
      </c>
      <c r="B865" s="32" t="str">
        <f>'[2]Calc_Coef _18'!C863</f>
        <v>220210 </v>
      </c>
      <c r="C865" s="32" t="str">
        <f>'[2]Calc_Coef _18'!AF863</f>
        <v>REFRIGERANTE DE GUARANA LIGHT</v>
      </c>
      <c r="D865" s="63">
        <f>'[2]Calc_Coef _18'!AG863</f>
        <v>451</v>
      </c>
      <c r="E865" s="63">
        <f>'[2]Calc_Coef _18'!AH863</f>
        <v>450</v>
      </c>
      <c r="F865" s="64">
        <f>'[2]Calc_Coef _18'!AI863</f>
        <v>2</v>
      </c>
      <c r="G865" s="30"/>
      <c r="H865"/>
      <c r="I865"/>
    </row>
    <row r="866" spans="1:9" x14ac:dyDescent="0.25">
      <c r="A866" s="32">
        <f>'[2]Calc_Coef _18'!AE864</f>
        <v>8201602</v>
      </c>
      <c r="B866" s="32" t="str">
        <f>'[2]Calc_Coef _18'!C864</f>
        <v>220210 </v>
      </c>
      <c r="C866" s="32" t="str">
        <f>'[2]Calc_Coef _18'!AF864</f>
        <v>GUARANA LIGHT</v>
      </c>
      <c r="D866" s="63">
        <f>'[2]Calc_Coef _18'!AG864</f>
        <v>451</v>
      </c>
      <c r="E866" s="63">
        <f>'[2]Calc_Coef _18'!AH864</f>
        <v>450</v>
      </c>
      <c r="F866" s="64">
        <f>'[2]Calc_Coef _18'!AI864</f>
        <v>2</v>
      </c>
      <c r="G866" s="30"/>
      <c r="H866"/>
      <c r="I866"/>
    </row>
    <row r="867" spans="1:9" x14ac:dyDescent="0.25">
      <c r="A867" s="32">
        <f>'[2]Calc_Coef _18'!AE865</f>
        <v>8201802</v>
      </c>
      <c r="B867" s="32" t="str">
        <f>'[2]Calc_Coef _18'!C865</f>
        <v>220210 </v>
      </c>
      <c r="C867" s="32" t="str">
        <f>'[2]Calc_Coef _18'!AF865</f>
        <v>TUBAINA TRADICIONAL</v>
      </c>
      <c r="D867" s="63">
        <f>'[2]Calc_Coef _18'!AG865</f>
        <v>451</v>
      </c>
      <c r="E867" s="63">
        <f>'[2]Calc_Coef _18'!AH865</f>
        <v>450</v>
      </c>
      <c r="F867" s="64">
        <f>'[2]Calc_Coef _18'!AI865</f>
        <v>2</v>
      </c>
      <c r="G867" s="30"/>
      <c r="H867"/>
      <c r="I867"/>
    </row>
    <row r="868" spans="1:9" x14ac:dyDescent="0.25">
      <c r="A868" s="32">
        <f>'[2]Calc_Coef _18'!AE866</f>
        <v>8202001</v>
      </c>
      <c r="B868" s="32" t="str">
        <f>'[2]Calc_Coef _18'!C866</f>
        <v>200990</v>
      </c>
      <c r="C868" s="32" t="str">
        <f>'[2]Calc_Coef _18'!AF866</f>
        <v>CALDO DE CANA</v>
      </c>
      <c r="D868" s="63">
        <f>'[2]Calc_Coef _18'!AG866</f>
        <v>728.29107237189646</v>
      </c>
      <c r="E868" s="63">
        <f>'[2]Calc_Coef _18'!AH866</f>
        <v>860.47430459166037</v>
      </c>
      <c r="F868" s="64">
        <f>'[2]Calc_Coef _18'!AI866</f>
        <v>11</v>
      </c>
      <c r="G868" s="30"/>
      <c r="H868"/>
      <c r="I868"/>
    </row>
    <row r="869" spans="1:9" x14ac:dyDescent="0.25">
      <c r="A869" s="32">
        <f>'[2]Calc_Coef _18'!AE867</f>
        <v>8202002</v>
      </c>
      <c r="B869" s="32" t="str">
        <f>'[2]Calc_Coef _18'!C867</f>
        <v>200990</v>
      </c>
      <c r="C869" s="32" t="str">
        <f>'[2]Calc_Coef _18'!AF867</f>
        <v>GARAPA</v>
      </c>
      <c r="D869" s="63">
        <f>'[2]Calc_Coef _18'!AG867</f>
        <v>728.29107237189646</v>
      </c>
      <c r="E869" s="63">
        <f>'[2]Calc_Coef _18'!AH867</f>
        <v>860.47430459166037</v>
      </c>
      <c r="F869" s="64">
        <f>'[2]Calc_Coef _18'!AI867</f>
        <v>11</v>
      </c>
      <c r="G869" s="30"/>
      <c r="H869"/>
      <c r="I869"/>
    </row>
    <row r="870" spans="1:9" x14ac:dyDescent="0.25">
      <c r="A870" s="32">
        <f>'[2]Calc_Coef _18'!AE868</f>
        <v>8202101</v>
      </c>
      <c r="B870" s="32">
        <f>'[2]Calc_Coef _18'!C868</f>
        <v>200989</v>
      </c>
      <c r="C870" s="32" t="str">
        <f>'[2]Calc_Coef _18'!AF868</f>
        <v>AGUA DE COCO</v>
      </c>
      <c r="D870" s="63">
        <f>'[2]Calc_Coef _18'!AG868</f>
        <v>728.29107237189646</v>
      </c>
      <c r="E870" s="63">
        <f>'[2]Calc_Coef _18'!AH868</f>
        <v>2071.6080837668223</v>
      </c>
      <c r="F870" s="64">
        <f>'[2]Calc_Coef _18'!AI868</f>
        <v>11</v>
      </c>
      <c r="G870" s="30"/>
      <c r="H870"/>
      <c r="I870"/>
    </row>
    <row r="871" spans="1:9" x14ac:dyDescent="0.25">
      <c r="A871" s="32">
        <f>'[2]Calc_Coef _18'!AE869</f>
        <v>8202402</v>
      </c>
      <c r="B871" s="32" t="str">
        <f>'[2]Calc_Coef _18'!C869</f>
        <v>220290</v>
      </c>
      <c r="C871" s="32" t="str">
        <f>'[2]Calc_Coef _18'!AF869</f>
        <v>Q-SUCO</v>
      </c>
      <c r="D871" s="63">
        <f>'[2]Calc_Coef _18'!AG869</f>
        <v>477.7</v>
      </c>
      <c r="E871" s="63">
        <f>'[2]Calc_Coef _18'!AH869</f>
        <v>11543.725015272823</v>
      </c>
      <c r="F871" s="64">
        <f>'[2]Calc_Coef _18'!AI869</f>
        <v>57.5</v>
      </c>
      <c r="G871" s="30"/>
      <c r="H871"/>
      <c r="I871"/>
    </row>
    <row r="872" spans="1:9" x14ac:dyDescent="0.25">
      <c r="A872" s="32">
        <f>'[2]Calc_Coef _18'!AE870</f>
        <v>8202403</v>
      </c>
      <c r="B872" s="32" t="str">
        <f>'[2]Calc_Coef _18'!C870</f>
        <v>220290</v>
      </c>
      <c r="C872" s="32" t="str">
        <f>'[2]Calc_Coef _18'!AF870</f>
        <v>Q-REFRESKO</v>
      </c>
      <c r="D872" s="63">
        <f>'[2]Calc_Coef _18'!AG870</f>
        <v>477.7</v>
      </c>
      <c r="E872" s="63">
        <f>'[2]Calc_Coef _18'!AH870</f>
        <v>11543.725015272823</v>
      </c>
      <c r="F872" s="64">
        <f>'[2]Calc_Coef _18'!AI870</f>
        <v>57.5</v>
      </c>
      <c r="G872" s="30"/>
      <c r="H872"/>
      <c r="I872"/>
    </row>
    <row r="873" spans="1:9" x14ac:dyDescent="0.25">
      <c r="A873" s="32">
        <f>'[2]Calc_Coef _18'!AE871</f>
        <v>8202602</v>
      </c>
      <c r="B873" s="32">
        <f>'[2]Calc_Coef _18'!C871</f>
        <v>210111</v>
      </c>
      <c r="C873" s="32" t="str">
        <f>'[2]Calc_Coef _18'!AF871</f>
        <v>NESCAFE</v>
      </c>
      <c r="D873" s="63">
        <f>'[2]Calc_Coef _18'!AG871</f>
        <v>935</v>
      </c>
      <c r="E873" s="63">
        <f>'[2]Calc_Coef _18'!AH871</f>
        <v>6114.9086447857417</v>
      </c>
      <c r="F873" s="64">
        <f>'[2]Calc_Coef _18'!AI871</f>
        <v>33.5</v>
      </c>
      <c r="G873" s="30"/>
      <c r="H873"/>
      <c r="I873"/>
    </row>
    <row r="874" spans="1:9" x14ac:dyDescent="0.25">
      <c r="A874" s="32">
        <f>'[2]Calc_Coef _18'!AE872</f>
        <v>8202701</v>
      </c>
      <c r="B874" s="32" t="str">
        <f>'[2]Calc_Coef _18'!C872</f>
        <v>090210</v>
      </c>
      <c r="C874" s="32" t="str">
        <f>'[2]Calc_Coef _18'!AF872</f>
        <v>CHA PRETO</v>
      </c>
      <c r="D874" s="63">
        <f>'[2]Calc_Coef _18'!AG872</f>
        <v>330</v>
      </c>
      <c r="E874" s="63">
        <f>'[2]Calc_Coef _18'!AH872</f>
        <v>7404.1882297760048</v>
      </c>
      <c r="F874" s="64">
        <f>'[2]Calc_Coef _18'!AI872</f>
        <v>47</v>
      </c>
      <c r="G874" s="30"/>
      <c r="H874"/>
      <c r="I874"/>
    </row>
    <row r="875" spans="1:9" x14ac:dyDescent="0.25">
      <c r="A875" s="32">
        <f>'[2]Calc_Coef _18'!AE873</f>
        <v>8202801</v>
      </c>
      <c r="B875" s="32" t="str">
        <f>'[2]Calc_Coef _18'!C873</f>
        <v>090210</v>
      </c>
      <c r="C875" s="32" t="str">
        <f>'[2]Calc_Coef _18'!AF873</f>
        <v>CHA MATE</v>
      </c>
      <c r="D875" s="63">
        <f>'[2]Calc_Coef _18'!AG873</f>
        <v>330</v>
      </c>
      <c r="E875" s="63">
        <f>'[2]Calc_Coef _18'!AH873</f>
        <v>7404.1882297760048</v>
      </c>
      <c r="F875" s="64">
        <f>'[2]Calc_Coef _18'!AI873</f>
        <v>47</v>
      </c>
      <c r="G875" s="30"/>
      <c r="H875"/>
      <c r="I875"/>
    </row>
    <row r="876" spans="1:9" x14ac:dyDescent="0.25">
      <c r="A876" s="32">
        <f>'[2]Calc_Coef _18'!AE874</f>
        <v>8202803</v>
      </c>
      <c r="B876" s="32" t="str">
        <f>'[2]Calc_Coef _18'!C874</f>
        <v>090210</v>
      </c>
      <c r="C876" s="32" t="str">
        <f>'[2]Calc_Coef _18'!AF874</f>
        <v>ERVA MATE</v>
      </c>
      <c r="D876" s="63">
        <f>'[2]Calc_Coef _18'!AG874</f>
        <v>330</v>
      </c>
      <c r="E876" s="63">
        <f>'[2]Calc_Coef _18'!AH874</f>
        <v>7404.1882297760048</v>
      </c>
      <c r="F876" s="64">
        <f>'[2]Calc_Coef _18'!AI874</f>
        <v>47</v>
      </c>
      <c r="G876" s="30"/>
      <c r="H876"/>
      <c r="I876"/>
    </row>
    <row r="877" spans="1:9" x14ac:dyDescent="0.25">
      <c r="A877" s="32">
        <f>'[2]Calc_Coef _18'!AE875</f>
        <v>8202804</v>
      </c>
      <c r="B877" s="32" t="str">
        <f>'[2]Calc_Coef _18'!C875</f>
        <v>090210</v>
      </c>
      <c r="C877" s="32" t="str">
        <f>'[2]Calc_Coef _18'!AF875</f>
        <v>CHIMARRAO</v>
      </c>
      <c r="D877" s="63">
        <f>'[2]Calc_Coef _18'!AG875</f>
        <v>330</v>
      </c>
      <c r="E877" s="63">
        <f>'[2]Calc_Coef _18'!AH875</f>
        <v>7404.1882297760048</v>
      </c>
      <c r="F877" s="64">
        <f>'[2]Calc_Coef _18'!AI875</f>
        <v>47</v>
      </c>
      <c r="G877" s="30"/>
      <c r="H877"/>
      <c r="I877"/>
    </row>
    <row r="878" spans="1:9" x14ac:dyDescent="0.25">
      <c r="A878" s="32">
        <f>'[2]Calc_Coef _18'!AE876</f>
        <v>8202805</v>
      </c>
      <c r="B878" s="32" t="str">
        <f>'[2]Calc_Coef _18'!C876</f>
        <v>090210</v>
      </c>
      <c r="C878" s="32" t="str">
        <f>'[2]Calc_Coef _18'!AF876</f>
        <v>TERERE</v>
      </c>
      <c r="D878" s="63">
        <f>'[2]Calc_Coef _18'!AG876</f>
        <v>330</v>
      </c>
      <c r="E878" s="63">
        <f>'[2]Calc_Coef _18'!AH876</f>
        <v>7404.1882297760048</v>
      </c>
      <c r="F878" s="64">
        <f>'[2]Calc_Coef _18'!AI876</f>
        <v>47</v>
      </c>
      <c r="G878" s="30"/>
      <c r="H878"/>
      <c r="I878"/>
    </row>
    <row r="879" spans="1:9" x14ac:dyDescent="0.25">
      <c r="A879" s="32">
        <f>'[2]Calc_Coef _18'!AE877</f>
        <v>8203501</v>
      </c>
      <c r="B879" s="32" t="str">
        <f>'[2]Calc_Coef _18'!C877</f>
        <v>220210 </v>
      </c>
      <c r="C879" s="32" t="str">
        <f>'[2]Calc_Coef _18'!AF877</f>
        <v>REFRIGERANTE NAO ESPECIFICADO</v>
      </c>
      <c r="D879" s="63">
        <f>'[2]Calc_Coef _18'!AG877</f>
        <v>900</v>
      </c>
      <c r="E879" s="63">
        <f>'[2]Calc_Coef _18'!AH877</f>
        <v>450</v>
      </c>
      <c r="F879" s="64">
        <f>'[2]Calc_Coef _18'!AI877</f>
        <v>2</v>
      </c>
      <c r="G879" s="30"/>
      <c r="H879"/>
      <c r="I879"/>
    </row>
    <row r="880" spans="1:9" x14ac:dyDescent="0.25">
      <c r="A880" s="32">
        <f>'[2]Calc_Coef _18'!AE878</f>
        <v>8203603</v>
      </c>
      <c r="B880" s="32" t="str">
        <f>'[2]Calc_Coef _18'!C878</f>
        <v>100390</v>
      </c>
      <c r="C880" s="32" t="str">
        <f>'[2]Calc_Coef _18'!AF878</f>
        <v>CEVADA EM PO</v>
      </c>
      <c r="D880" s="63">
        <f>'[2]Calc_Coef _18'!AG878</f>
        <v>462.33333333333331</v>
      </c>
      <c r="E880" s="63">
        <f>'[2]Calc_Coef _18'!AH878</f>
        <v>1214.0249684209161</v>
      </c>
      <c r="F880" s="64">
        <f>'[2]Calc_Coef _18'!AI878</f>
        <v>8.8000000000000007</v>
      </c>
      <c r="G880" s="30"/>
      <c r="H880"/>
      <c r="I880"/>
    </row>
    <row r="881" spans="1:9" x14ac:dyDescent="0.25">
      <c r="A881" s="32">
        <f>'[2]Calc_Coef _18'!AE879</f>
        <v>8204503</v>
      </c>
      <c r="B881" s="32">
        <f>'[2]Calc_Coef _18'!C879</f>
        <v>220290</v>
      </c>
      <c r="C881" s="32" t="str">
        <f>'[2]Calc_Coef _18'!AF879</f>
        <v>CHOCOMILK</v>
      </c>
      <c r="D881" s="63">
        <f>'[2]Calc_Coef _18'!AG879</f>
        <v>794.44444444444446</v>
      </c>
      <c r="E881" s="63">
        <f>'[2]Calc_Coef _18'!AH879</f>
        <v>11543.725015272823</v>
      </c>
      <c r="F881" s="64">
        <f>'[2]Calc_Coef _18'!AI879</f>
        <v>57.5</v>
      </c>
      <c r="G881" s="30"/>
      <c r="H881"/>
      <c r="I881"/>
    </row>
    <row r="882" spans="1:9" x14ac:dyDescent="0.25">
      <c r="A882" s="32">
        <f>'[2]Calc_Coef _18'!AE880</f>
        <v>8204902</v>
      </c>
      <c r="B882" s="32" t="str">
        <f>'[2]Calc_Coef _18'!C880</f>
        <v>220210 </v>
      </c>
      <c r="C882" s="32" t="str">
        <f>'[2]Calc_Coef _18'!AF880</f>
        <v>AGUA TONICA TRADICIONAL</v>
      </c>
      <c r="D882" s="63">
        <f>'[2]Calc_Coef _18'!AG880</f>
        <v>451</v>
      </c>
      <c r="E882" s="63">
        <f>'[2]Calc_Coef _18'!AH880</f>
        <v>450</v>
      </c>
      <c r="F882" s="64">
        <f>'[2]Calc_Coef _18'!AI880</f>
        <v>2</v>
      </c>
      <c r="G882" s="30"/>
      <c r="H882"/>
      <c r="I882"/>
    </row>
    <row r="883" spans="1:9" x14ac:dyDescent="0.25">
      <c r="A883" s="32">
        <f>'[2]Calc_Coef _18'!AE881</f>
        <v>8205201</v>
      </c>
      <c r="B883" s="32" t="str">
        <f>'[2]Calc_Coef _18'!C881</f>
        <v>090210</v>
      </c>
      <c r="C883" s="32" t="str">
        <f>'[2]Calc_Coef _18'!AF881</f>
        <v>CHA DIET (PRETO, CAMOMILA, ERVA CIDREIRA, CAPIM LIMAO, ETC)</v>
      </c>
      <c r="D883" s="63">
        <f>'[2]Calc_Coef _18'!AG881</f>
        <v>330</v>
      </c>
      <c r="E883" s="63">
        <f>'[2]Calc_Coef _18'!AH881</f>
        <v>7404.1882297760048</v>
      </c>
      <c r="F883" s="64">
        <f>'[2]Calc_Coef _18'!AI881</f>
        <v>47</v>
      </c>
      <c r="G883" s="30"/>
      <c r="H883"/>
      <c r="I883"/>
    </row>
    <row r="884" spans="1:9" x14ac:dyDescent="0.25">
      <c r="A884" s="32">
        <f>'[2]Calc_Coef _18'!AE882</f>
        <v>8205801</v>
      </c>
      <c r="B884" s="32" t="str">
        <f>'[2]Calc_Coef _18'!C882</f>
        <v>220290</v>
      </c>
      <c r="C884" s="32" t="str">
        <f>'[2]Calc_Coef _18'!AF882</f>
        <v>ENERGETICO</v>
      </c>
      <c r="D884" s="63">
        <f>'[2]Calc_Coef _18'!AG882</f>
        <v>477.7</v>
      </c>
      <c r="E884" s="63">
        <f>'[2]Calc_Coef _18'!AH882</f>
        <v>11543.725015272823</v>
      </c>
      <c r="F884" s="64">
        <f>'[2]Calc_Coef _18'!AI882</f>
        <v>57.5</v>
      </c>
      <c r="G884" s="30"/>
      <c r="H884"/>
      <c r="I884"/>
    </row>
    <row r="885" spans="1:9" x14ac:dyDescent="0.25">
      <c r="A885" s="32">
        <f>'[2]Calc_Coef _18'!AE883</f>
        <v>8205803</v>
      </c>
      <c r="B885" s="32" t="str">
        <f>'[2]Calc_Coef _18'!C883</f>
        <v>220290</v>
      </c>
      <c r="C885" s="32" t="str">
        <f>'[2]Calc_Coef _18'!AF883</f>
        <v>GATORADE</v>
      </c>
      <c r="D885" s="63">
        <f>'[2]Calc_Coef _18'!AG883</f>
        <v>477.7</v>
      </c>
      <c r="E885" s="63">
        <f>'[2]Calc_Coef _18'!AH883</f>
        <v>11543.725015272823</v>
      </c>
      <c r="F885" s="64">
        <f>'[2]Calc_Coef _18'!AI883</f>
        <v>57.5</v>
      </c>
      <c r="G885" s="30"/>
      <c r="H885"/>
      <c r="I885"/>
    </row>
    <row r="886" spans="1:9" x14ac:dyDescent="0.25">
      <c r="A886" s="32">
        <f>'[2]Calc_Coef _18'!AE884</f>
        <v>8205805</v>
      </c>
      <c r="B886" s="32" t="str">
        <f>'[2]Calc_Coef _18'!C884</f>
        <v>220290</v>
      </c>
      <c r="C886" s="32" t="str">
        <f>'[2]Calc_Coef _18'!AF884</f>
        <v>BEBIDA ISOTONICA</v>
      </c>
      <c r="D886" s="63">
        <f>'[2]Calc_Coef _18'!AG884</f>
        <v>477.7</v>
      </c>
      <c r="E886" s="63">
        <f>'[2]Calc_Coef _18'!AH884</f>
        <v>11543.725015272823</v>
      </c>
      <c r="F886" s="64">
        <f>'[2]Calc_Coef _18'!AI884</f>
        <v>57.5</v>
      </c>
      <c r="G886" s="30"/>
      <c r="H886"/>
      <c r="I886"/>
    </row>
    <row r="887" spans="1:9" x14ac:dyDescent="0.25">
      <c r="A887" s="32">
        <f>'[2]Calc_Coef _18'!AE885</f>
        <v>8205901</v>
      </c>
      <c r="B887" s="32" t="str">
        <f>'[2]Calc_Coef _18'!C885</f>
        <v>220290</v>
      </c>
      <c r="C887" s="32" t="str">
        <f>'[2]Calc_Coef _18'!AF885</f>
        <v>BEBIDA ENERGETICA</v>
      </c>
      <c r="D887" s="63">
        <f>'[2]Calc_Coef _18'!AG885</f>
        <v>477.7</v>
      </c>
      <c r="E887" s="63">
        <f>'[2]Calc_Coef _18'!AH885</f>
        <v>11543.725015272823</v>
      </c>
      <c r="F887" s="64">
        <f>'[2]Calc_Coef _18'!AI885</f>
        <v>57.5</v>
      </c>
      <c r="G887" s="30"/>
      <c r="H887"/>
      <c r="I887"/>
    </row>
    <row r="888" spans="1:9" x14ac:dyDescent="0.25">
      <c r="A888" s="32">
        <f>'[2]Calc_Coef _18'!AE886</f>
        <v>8206301</v>
      </c>
      <c r="B888" s="32" t="str">
        <f>'[2]Calc_Coef _18'!C886</f>
        <v>090210</v>
      </c>
      <c r="C888" s="32" t="str">
        <f>'[2]Calc_Coef _18'!AF886</f>
        <v>CHA (PRETO, CAMOMILA, ERVA CIDREIRA, CAPIM LIMAO, ETC)</v>
      </c>
      <c r="D888" s="63">
        <f>'[2]Calc_Coef _18'!AG886</f>
        <v>330</v>
      </c>
      <c r="E888" s="63">
        <f>'[2]Calc_Coef _18'!AH886</f>
        <v>7404.1882297760048</v>
      </c>
      <c r="F888" s="64">
        <f>'[2]Calc_Coef _18'!AI886</f>
        <v>47</v>
      </c>
      <c r="G888" s="30"/>
      <c r="H888"/>
      <c r="I888"/>
    </row>
    <row r="889" spans="1:9" x14ac:dyDescent="0.25">
      <c r="A889" s="32">
        <f>'[2]Calc_Coef _18'!AE887</f>
        <v>8207401</v>
      </c>
      <c r="B889" s="32" t="str">
        <f>'[2]Calc_Coef _18'!C887</f>
        <v>220210 </v>
      </c>
      <c r="C889" s="32" t="str">
        <f>'[2]Calc_Coef _18'!AF887</f>
        <v>REFRIGERANTE DE GUARANA DIET</v>
      </c>
      <c r="D889" s="63">
        <f>'[2]Calc_Coef _18'!AG887</f>
        <v>451</v>
      </c>
      <c r="E889" s="63">
        <f>'[2]Calc_Coef _18'!AH887</f>
        <v>450</v>
      </c>
      <c r="F889" s="64">
        <f>'[2]Calc_Coef _18'!AI887</f>
        <v>2</v>
      </c>
      <c r="G889" s="30"/>
      <c r="H889"/>
      <c r="I889"/>
    </row>
    <row r="890" spans="1:9" x14ac:dyDescent="0.25">
      <c r="A890" s="32">
        <f>'[2]Calc_Coef _18'!AE888</f>
        <v>8207402</v>
      </c>
      <c r="B890" s="32" t="str">
        <f>'[2]Calc_Coef _18'!C888</f>
        <v>220210 </v>
      </c>
      <c r="C890" s="32" t="str">
        <f>'[2]Calc_Coef _18'!AF888</f>
        <v>GUARANA DIET</v>
      </c>
      <c r="D890" s="63">
        <f>'[2]Calc_Coef _18'!AG888</f>
        <v>451</v>
      </c>
      <c r="E890" s="63">
        <f>'[2]Calc_Coef _18'!AH888</f>
        <v>450</v>
      </c>
      <c r="F890" s="64">
        <f>'[2]Calc_Coef _18'!AI888</f>
        <v>2</v>
      </c>
      <c r="G890" s="30"/>
      <c r="H890"/>
      <c r="I890"/>
    </row>
    <row r="891" spans="1:9" x14ac:dyDescent="0.25">
      <c r="A891" s="32">
        <f>'[2]Calc_Coef _18'!AE889</f>
        <v>8207501</v>
      </c>
      <c r="B891" s="32" t="str">
        <f>'[2]Calc_Coef _18'!C889</f>
        <v>220210 </v>
      </c>
      <c r="C891" s="32" t="str">
        <f>'[2]Calc_Coef _18'!AF889</f>
        <v>REFRIGERANTE, LIMAO, LIGHT</v>
      </c>
      <c r="D891" s="63">
        <f>'[2]Calc_Coef _18'!AG889</f>
        <v>451</v>
      </c>
      <c r="E891" s="63">
        <f>'[2]Calc_Coef _18'!AH889</f>
        <v>450</v>
      </c>
      <c r="F891" s="64">
        <f>'[2]Calc_Coef _18'!AI889</f>
        <v>2</v>
      </c>
      <c r="G891" s="30"/>
      <c r="H891"/>
      <c r="I891"/>
    </row>
    <row r="892" spans="1:9" x14ac:dyDescent="0.25">
      <c r="A892" s="32">
        <f>'[2]Calc_Coef _18'!AE890</f>
        <v>8207601</v>
      </c>
      <c r="B892" s="32" t="str">
        <f>'[2]Calc_Coef _18'!C890</f>
        <v>220210 </v>
      </c>
      <c r="C892" s="32" t="str">
        <f>'[2]Calc_Coef _18'!AF890</f>
        <v>REFRIGERANTE DE LIMAO DIET</v>
      </c>
      <c r="D892" s="63">
        <f>'[2]Calc_Coef _18'!AG890</f>
        <v>260</v>
      </c>
      <c r="E892" s="63">
        <f>'[2]Calc_Coef _18'!AH890</f>
        <v>450</v>
      </c>
      <c r="F892" s="64">
        <f>'[2]Calc_Coef _18'!AI890</f>
        <v>2</v>
      </c>
      <c r="G892" s="30"/>
      <c r="H892"/>
      <c r="I892"/>
    </row>
    <row r="893" spans="1:9" x14ac:dyDescent="0.25">
      <c r="A893" s="32">
        <f>'[2]Calc_Coef _18'!AE891</f>
        <v>8207701</v>
      </c>
      <c r="B893" s="32" t="str">
        <f>'[2]Calc_Coef _18'!C891</f>
        <v>220210 </v>
      </c>
      <c r="C893" s="32" t="str">
        <f>'[2]Calc_Coef _18'!AF891</f>
        <v>REFRIGERANTE, UVA, DIET / LIGHT</v>
      </c>
      <c r="D893" s="63">
        <f>'[2]Calc_Coef _18'!AG891</f>
        <v>451</v>
      </c>
      <c r="E893" s="63">
        <f>'[2]Calc_Coef _18'!AH891</f>
        <v>450</v>
      </c>
      <c r="F893" s="64">
        <f>'[2]Calc_Coef _18'!AI891</f>
        <v>2</v>
      </c>
      <c r="G893" s="30"/>
      <c r="H893"/>
      <c r="I893"/>
    </row>
    <row r="894" spans="1:9" x14ac:dyDescent="0.25">
      <c r="A894" s="32">
        <f>'[2]Calc_Coef _18'!AE892</f>
        <v>8209002</v>
      </c>
      <c r="B894" s="32" t="str">
        <f>'[2]Calc_Coef _18'!C892</f>
        <v>220210 </v>
      </c>
      <c r="C894" s="32" t="str">
        <f>'[2]Calc_Coef _18'!AF892</f>
        <v>AGUA TONICA LIGHT</v>
      </c>
      <c r="D894" s="63">
        <f>'[2]Calc_Coef _18'!AG892</f>
        <v>451</v>
      </c>
      <c r="E894" s="63">
        <f>'[2]Calc_Coef _18'!AH892</f>
        <v>450</v>
      </c>
      <c r="F894" s="64">
        <f>'[2]Calc_Coef _18'!AI892</f>
        <v>2</v>
      </c>
      <c r="G894" s="30"/>
      <c r="H894"/>
      <c r="I894"/>
    </row>
    <row r="895" spans="1:9" x14ac:dyDescent="0.25">
      <c r="A895" s="32">
        <f>'[2]Calc_Coef _18'!AE893</f>
        <v>8211002</v>
      </c>
      <c r="B895" s="32" t="str">
        <f>'[2]Calc_Coef _18'!C893</f>
        <v>220290</v>
      </c>
      <c r="C895" s="32" t="str">
        <f>'[2]Calc_Coef _18'!AF893</f>
        <v>Q-SUCO LIGHT</v>
      </c>
      <c r="D895" s="63">
        <f>'[2]Calc_Coef _18'!AG893</f>
        <v>477.7</v>
      </c>
      <c r="E895" s="63">
        <f>'[2]Calc_Coef _18'!AH893</f>
        <v>11543.725015272823</v>
      </c>
      <c r="F895" s="64">
        <f>'[2]Calc_Coef _18'!AI893</f>
        <v>57.5</v>
      </c>
      <c r="G895" s="30"/>
      <c r="H895"/>
      <c r="I895"/>
    </row>
    <row r="896" spans="1:9" x14ac:dyDescent="0.25">
      <c r="A896" s="32">
        <f>'[2]Calc_Coef _18'!AE894</f>
        <v>8211102</v>
      </c>
      <c r="B896" s="32" t="str">
        <f>'[2]Calc_Coef _18'!C894</f>
        <v>220290</v>
      </c>
      <c r="C896" s="32" t="str">
        <f>'[2]Calc_Coef _18'!AF894</f>
        <v>Q-SUCO DIET</v>
      </c>
      <c r="D896" s="63">
        <f>'[2]Calc_Coef _18'!AG894</f>
        <v>477.7</v>
      </c>
      <c r="E896" s="63">
        <f>'[2]Calc_Coef _18'!AH894</f>
        <v>11543.725015272823</v>
      </c>
      <c r="F896" s="64">
        <f>'[2]Calc_Coef _18'!AI894</f>
        <v>57.5</v>
      </c>
      <c r="G896" s="30"/>
      <c r="H896"/>
      <c r="I896"/>
    </row>
    <row r="897" spans="1:9" x14ac:dyDescent="0.25">
      <c r="A897" s="32">
        <f>'[2]Calc_Coef _18'!AE895</f>
        <v>8212802</v>
      </c>
      <c r="B897" s="32" t="str">
        <f>'[2]Calc_Coef _18'!C895</f>
        <v>220290</v>
      </c>
      <c r="C897" s="32" t="str">
        <f>'[2]Calc_Coef _18'!AF895</f>
        <v>MATE DIET</v>
      </c>
      <c r="D897" s="63">
        <f>'[2]Calc_Coef _18'!AG895</f>
        <v>477.7</v>
      </c>
      <c r="E897" s="63">
        <f>'[2]Calc_Coef _18'!AH895</f>
        <v>11543.725015272823</v>
      </c>
      <c r="F897" s="64">
        <f>'[2]Calc_Coef _18'!AI895</f>
        <v>57.5</v>
      </c>
      <c r="G897" s="30"/>
      <c r="H897"/>
      <c r="I897"/>
    </row>
    <row r="898" spans="1:9" x14ac:dyDescent="0.25">
      <c r="A898" s="32">
        <f>'[2]Calc_Coef _18'!AE896</f>
        <v>8212902</v>
      </c>
      <c r="B898" s="32" t="str">
        <f>'[2]Calc_Coef _18'!C896</f>
        <v>220210 </v>
      </c>
      <c r="C898" s="32" t="str">
        <f>'[2]Calc_Coef _18'!AF896</f>
        <v>AGUA TONICA DIET</v>
      </c>
      <c r="D898" s="63">
        <f>'[2]Calc_Coef _18'!AG896</f>
        <v>451</v>
      </c>
      <c r="E898" s="63">
        <f>'[2]Calc_Coef _18'!AH896</f>
        <v>450</v>
      </c>
      <c r="F898" s="64">
        <f>'[2]Calc_Coef _18'!AI896</f>
        <v>2</v>
      </c>
      <c r="G898" s="30"/>
      <c r="H898"/>
      <c r="I898"/>
    </row>
    <row r="899" spans="1:9" x14ac:dyDescent="0.25">
      <c r="A899" s="32">
        <f>'[2]Calc_Coef _18'!AE897</f>
        <v>8213301</v>
      </c>
      <c r="B899" s="32" t="str">
        <f>'[2]Calc_Coef _18'!C897</f>
        <v>090210</v>
      </c>
      <c r="C899" s="32" t="str">
        <f>'[2]Calc_Coef _18'!AF897</f>
        <v>CHA VERDE, CHA BRANCO, CHA VERMELHO</v>
      </c>
      <c r="D899" s="63">
        <f>'[2]Calc_Coef _18'!AG897</f>
        <v>330</v>
      </c>
      <c r="E899" s="63">
        <f>'[2]Calc_Coef _18'!AH897</f>
        <v>7404.1882297760048</v>
      </c>
      <c r="F899" s="64">
        <f>'[2]Calc_Coef _18'!AI897</f>
        <v>47</v>
      </c>
      <c r="G899" s="30"/>
      <c r="H899"/>
      <c r="I899"/>
    </row>
    <row r="900" spans="1:9" x14ac:dyDescent="0.25">
      <c r="A900" s="32">
        <f>'[2]Calc_Coef _18'!AE898</f>
        <v>8215701</v>
      </c>
      <c r="B900" s="32" t="str">
        <f>'[2]Calc_Coef _18'!C898</f>
        <v>090210</v>
      </c>
      <c r="C900" s="32" t="str">
        <f>'[2]Calc_Coef _18'!AF898</f>
        <v>CHA PRETO DESCAFEINADO</v>
      </c>
      <c r="D900" s="63">
        <f>'[2]Calc_Coef _18'!AG898</f>
        <v>330</v>
      </c>
      <c r="E900" s="63">
        <f>'[2]Calc_Coef _18'!AH898</f>
        <v>7404.1882297760048</v>
      </c>
      <c r="F900" s="64">
        <f>'[2]Calc_Coef _18'!AI898</f>
        <v>47</v>
      </c>
      <c r="G900" s="30"/>
      <c r="H900"/>
      <c r="I900"/>
    </row>
    <row r="901" spans="1:9" x14ac:dyDescent="0.25">
      <c r="A901" s="32">
        <f>'[2]Calc_Coef _18'!AE899</f>
        <v>8215801</v>
      </c>
      <c r="B901" s="32" t="str">
        <f>'[2]Calc_Coef _18'!C899</f>
        <v>090210</v>
      </c>
      <c r="C901" s="32" t="str">
        <f>'[2]Calc_Coef _18'!AF899</f>
        <v>CHA VERDE, BRANCO OU VERMELHO DIET OU LIGHT</v>
      </c>
      <c r="D901" s="63">
        <f>'[2]Calc_Coef _18'!AG899</f>
        <v>330</v>
      </c>
      <c r="E901" s="63">
        <f>'[2]Calc_Coef _18'!AH899</f>
        <v>7404.1882297760048</v>
      </c>
      <c r="F901" s="64">
        <f>'[2]Calc_Coef _18'!AI899</f>
        <v>47</v>
      </c>
      <c r="G901" s="30"/>
      <c r="H901"/>
      <c r="I901"/>
    </row>
    <row r="902" spans="1:9" x14ac:dyDescent="0.25">
      <c r="A902" s="32">
        <f>'[2]Calc_Coef _18'!AE900</f>
        <v>8215901</v>
      </c>
      <c r="B902" s="32" t="str">
        <f>'[2]Calc_Coef _18'!C900</f>
        <v>090210</v>
      </c>
      <c r="C902" s="32" t="str">
        <f>'[2]Calc_Coef _18'!AF900</f>
        <v>CHA, ERVAS NAO ESPECIFICADO</v>
      </c>
      <c r="D902" s="63">
        <f>'[2]Calc_Coef _18'!AG900</f>
        <v>330</v>
      </c>
      <c r="E902" s="63">
        <f>'[2]Calc_Coef _18'!AH900</f>
        <v>7404.1882297760048</v>
      </c>
      <c r="F902" s="64">
        <f>'[2]Calc_Coef _18'!AI900</f>
        <v>47</v>
      </c>
      <c r="G902" s="30"/>
      <c r="H902"/>
      <c r="I902"/>
    </row>
    <row r="903" spans="1:9" x14ac:dyDescent="0.25">
      <c r="A903" s="32">
        <f>'[2]Calc_Coef _18'!AE901</f>
        <v>8216301</v>
      </c>
      <c r="B903" s="32" t="str">
        <f>'[2]Calc_Coef _18'!C901</f>
        <v>000000</v>
      </c>
      <c r="C903" s="32" t="str">
        <f>'[2]Calc_Coef _18'!AF901</f>
        <v>AGUA, REDE PUBLICA</v>
      </c>
      <c r="D903" s="63">
        <f>'[2]Calc_Coef _18'!AG901</f>
        <v>0</v>
      </c>
      <c r="E903" s="63">
        <f>'[2]Calc_Coef _18'!AH901</f>
        <v>0</v>
      </c>
      <c r="F903" s="64">
        <f>'[2]Calc_Coef _18'!AI901</f>
        <v>0</v>
      </c>
      <c r="G903" s="30"/>
      <c r="H903"/>
      <c r="I903"/>
    </row>
    <row r="904" spans="1:9" x14ac:dyDescent="0.25">
      <c r="A904" s="32">
        <f>'[2]Calc_Coef _18'!AE902</f>
        <v>8216501</v>
      </c>
      <c r="B904" s="32">
        <f>'[2]Calc_Coef _18'!C902</f>
        <v>220100</v>
      </c>
      <c r="C904" s="32" t="str">
        <f>'[2]Calc_Coef _18'!AF902</f>
        <v>ICE TEA TRADICIONAL</v>
      </c>
      <c r="D904" s="63">
        <f>'[2]Calc_Coef _18'!AG902</f>
        <v>204.33333333333334</v>
      </c>
      <c r="E904" s="63">
        <f>'[2]Calc_Coef _18'!AH902</f>
        <v>12</v>
      </c>
      <c r="F904" s="64">
        <f>'[2]Calc_Coef _18'!AI902</f>
        <v>21.25</v>
      </c>
      <c r="G904" s="30"/>
      <c r="H904"/>
      <c r="I904"/>
    </row>
    <row r="905" spans="1:9" x14ac:dyDescent="0.25">
      <c r="A905" s="32">
        <f>'[2]Calc_Coef _18'!AE903</f>
        <v>8216701</v>
      </c>
      <c r="B905" s="32" t="str">
        <f>'[2]Calc_Coef _18'!C903</f>
        <v>100390</v>
      </c>
      <c r="C905" s="32" t="str">
        <f>'[2]Calc_Coef _18'!AF903</f>
        <v>SUBSTITUTO DE CAFE NAO ESPECIFICADO</v>
      </c>
      <c r="D905" s="63">
        <f>'[2]Calc_Coef _18'!AG903</f>
        <v>462.33333333333331</v>
      </c>
      <c r="E905" s="63">
        <f>'[2]Calc_Coef _18'!AH903</f>
        <v>1214.0249684209161</v>
      </c>
      <c r="F905" s="64">
        <f>'[2]Calc_Coef _18'!AI903</f>
        <v>8.8000000000000007</v>
      </c>
      <c r="G905" s="30"/>
      <c r="H905"/>
      <c r="I905"/>
    </row>
    <row r="906" spans="1:9" x14ac:dyDescent="0.25">
      <c r="A906" s="32">
        <f>'[2]Calc_Coef _18'!AE904</f>
        <v>8217001</v>
      </c>
      <c r="B906" s="32" t="str">
        <f>'[2]Calc_Coef _18'!C904</f>
        <v>200960</v>
      </c>
      <c r="C906" s="32" t="str">
        <f>'[2]Calc_Coef _18'!AF904</f>
        <v>SUCO NATURAL DE FRUTA</v>
      </c>
      <c r="D906" s="63">
        <f>'[2]Calc_Coef _18'!AG904</f>
        <v>650</v>
      </c>
      <c r="E906" s="63">
        <f>'[2]Calc_Coef _18'!AH904</f>
        <v>524.99825594233926</v>
      </c>
      <c r="F906" s="64">
        <f>'[2]Calc_Coef _18'!AI904</f>
        <v>11</v>
      </c>
      <c r="G906" s="30"/>
      <c r="H906"/>
      <c r="I906"/>
    </row>
    <row r="907" spans="1:9" x14ac:dyDescent="0.25">
      <c r="A907" s="32">
        <f>'[2]Calc_Coef _18'!AE905</f>
        <v>8217401</v>
      </c>
      <c r="B907" s="32">
        <f>'[2]Calc_Coef _18'!C905</f>
        <v>220100</v>
      </c>
      <c r="C907" s="32" t="str">
        <f>'[2]Calc_Coef _18'!AF905</f>
        <v>TAMPICO</v>
      </c>
      <c r="D907" s="63">
        <f>'[2]Calc_Coef _18'!AG905</f>
        <v>204.33333333333334</v>
      </c>
      <c r="E907" s="63">
        <f>'[2]Calc_Coef _18'!AH905</f>
        <v>12</v>
      </c>
      <c r="F907" s="64">
        <f>'[2]Calc_Coef _18'!AI905</f>
        <v>21.25</v>
      </c>
      <c r="G907" s="30"/>
      <c r="H907"/>
      <c r="I907"/>
    </row>
    <row r="908" spans="1:9" x14ac:dyDescent="0.25">
      <c r="A908" s="32">
        <f>'[2]Calc_Coef _18'!AE906</f>
        <v>8280001</v>
      </c>
      <c r="B908" s="32">
        <f>'[2]Calc_Coef _18'!C906</f>
        <v>220110</v>
      </c>
      <c r="C908" s="32" t="str">
        <f>'[2]Calc_Coef _18'!AF906</f>
        <v>AGUA COM LIMAO OU OUTRAS FRUTAS/ HORTALICAS</v>
      </c>
      <c r="D908" s="63">
        <f>'[2]Calc_Coef _18'!AG906</f>
        <v>204.33333333333334</v>
      </c>
      <c r="E908" s="63">
        <f>'[2]Calc_Coef _18'!AH906</f>
        <v>12</v>
      </c>
      <c r="F908" s="64">
        <f>'[2]Calc_Coef _18'!AI906</f>
        <v>21.25</v>
      </c>
      <c r="G908" s="30"/>
      <c r="H908"/>
      <c r="I908"/>
    </row>
    <row r="909" spans="1:9" x14ac:dyDescent="0.25">
      <c r="A909" s="32">
        <f>'[2]Calc_Coef _18'!AE907</f>
        <v>8280101</v>
      </c>
      <c r="B909" s="32" t="str">
        <f>'[2]Calc_Coef _18'!C907</f>
        <v>200960</v>
      </c>
      <c r="C909" s="32" t="str">
        <f>'[2]Calc_Coef _18'!AF907</f>
        <v>SUCO INDUSTRIALIZADO</v>
      </c>
      <c r="D909" s="63">
        <f>'[2]Calc_Coef _18'!AG907</f>
        <v>650</v>
      </c>
      <c r="E909" s="63">
        <f>'[2]Calc_Coef _18'!AH907</f>
        <v>524.99825594233926</v>
      </c>
      <c r="F909" s="64">
        <f>'[2]Calc_Coef _18'!AI907</f>
        <v>11</v>
      </c>
      <c r="G909" s="30"/>
      <c r="H909"/>
      <c r="I909"/>
    </row>
    <row r="910" spans="1:9" x14ac:dyDescent="0.25">
      <c r="A910" s="32">
        <f>'[2]Calc_Coef _18'!AE908</f>
        <v>8280401</v>
      </c>
      <c r="B910" s="32" t="str">
        <f>'[2]Calc_Coef _18'!C908</f>
        <v>200960</v>
      </c>
      <c r="C910" s="32" t="str">
        <f>'[2]Calc_Coef _18'!AF908</f>
        <v>SUCO DE TAMARINDO</v>
      </c>
      <c r="D910" s="63">
        <f>'[2]Calc_Coef _18'!AG908</f>
        <v>650</v>
      </c>
      <c r="E910" s="63">
        <f>'[2]Calc_Coef _18'!AH908</f>
        <v>524.99825594233926</v>
      </c>
      <c r="F910" s="64">
        <f>'[2]Calc_Coef _18'!AI908</f>
        <v>11</v>
      </c>
      <c r="G910" s="30"/>
      <c r="H910"/>
      <c r="I910"/>
    </row>
    <row r="911" spans="1:9" x14ac:dyDescent="0.25">
      <c r="A911" s="32">
        <f>'[2]Calc_Coef _18'!AE909</f>
        <v>8280501</v>
      </c>
      <c r="B911" s="32" t="str">
        <f>'[2]Calc_Coef _18'!C909</f>
        <v>200960</v>
      </c>
      <c r="C911" s="32" t="str">
        <f>'[2]Calc_Coef _18'!AF909</f>
        <v>SUCO DE UVA</v>
      </c>
      <c r="D911" s="63">
        <f>'[2]Calc_Coef _18'!AG909</f>
        <v>650</v>
      </c>
      <c r="E911" s="63">
        <f>'[2]Calc_Coef _18'!AH909</f>
        <v>524.99825594233926</v>
      </c>
      <c r="F911" s="64">
        <f>'[2]Calc_Coef _18'!AI909</f>
        <v>11</v>
      </c>
      <c r="G911" s="30"/>
      <c r="H911"/>
      <c r="I911"/>
    </row>
    <row r="912" spans="1:9" x14ac:dyDescent="0.25">
      <c r="A912" s="32">
        <f>'[2]Calc_Coef _18'!AE910</f>
        <v>8300101</v>
      </c>
      <c r="B912" s="32" t="str">
        <f>'[2]Calc_Coef _18'!C910</f>
        <v>220300</v>
      </c>
      <c r="C912" s="32" t="str">
        <f>'[2]Calc_Coef _18'!AF910</f>
        <v>CERVEJA (COM OU SEM ALCOOL)</v>
      </c>
      <c r="D912" s="63">
        <f>'[2]Calc_Coef _18'!AG910</f>
        <v>1245</v>
      </c>
      <c r="E912" s="63">
        <f>'[2]Calc_Coef _18'!AH910</f>
        <v>452.50899863661198</v>
      </c>
      <c r="F912" s="64">
        <f>'[2]Calc_Coef _18'!AI910</f>
        <v>4.5</v>
      </c>
      <c r="G912" s="30"/>
      <c r="H912"/>
      <c r="I912"/>
    </row>
    <row r="913" spans="1:9" x14ac:dyDescent="0.25">
      <c r="A913" s="32">
        <f>'[2]Calc_Coef _18'!AE911</f>
        <v>8300201</v>
      </c>
      <c r="B913" s="32" t="str">
        <f>'[2]Calc_Coef _18'!C911</f>
        <v>220300</v>
      </c>
      <c r="C913" s="32" t="str">
        <f>'[2]Calc_Coef _18'!AF911</f>
        <v>CHOPP</v>
      </c>
      <c r="D913" s="63">
        <f>'[2]Calc_Coef _18'!AG911</f>
        <v>1245</v>
      </c>
      <c r="E913" s="63">
        <f>'[2]Calc_Coef _18'!AH911</f>
        <v>452.50899863661198</v>
      </c>
      <c r="F913" s="64">
        <f>'[2]Calc_Coef _18'!AI911</f>
        <v>4.5</v>
      </c>
      <c r="G913" s="30"/>
      <c r="H913"/>
      <c r="I913"/>
    </row>
    <row r="914" spans="1:9" x14ac:dyDescent="0.25">
      <c r="A914" s="32">
        <f>'[2]Calc_Coef _18'!AE912</f>
        <v>8300301</v>
      </c>
      <c r="B914" s="32" t="str">
        <f>'[2]Calc_Coef _18'!C912</f>
        <v>220840</v>
      </c>
      <c r="C914" s="32" t="str">
        <f>'[2]Calc_Coef _18'!AF912</f>
        <v>AGUARDENTE</v>
      </c>
      <c r="D914" s="63">
        <f>'[2]Calc_Coef _18'!AG912</f>
        <v>5295</v>
      </c>
      <c r="E914" s="63">
        <f>'[2]Calc_Coef _18'!AH912</f>
        <v>503.31988193593691</v>
      </c>
      <c r="F914" s="64">
        <f>'[2]Calc_Coef _18'!AI912</f>
        <v>41</v>
      </c>
      <c r="G914" s="30"/>
      <c r="H914"/>
      <c r="I914"/>
    </row>
    <row r="915" spans="1:9" x14ac:dyDescent="0.25">
      <c r="A915" s="32">
        <f>'[2]Calc_Coef _18'!AE913</f>
        <v>8300302</v>
      </c>
      <c r="B915" s="32" t="str">
        <f>'[2]Calc_Coef _18'!C913</f>
        <v>220840</v>
      </c>
      <c r="C915" s="32" t="str">
        <f>'[2]Calc_Coef _18'!AF913</f>
        <v>CACHACA</v>
      </c>
      <c r="D915" s="63">
        <f>'[2]Calc_Coef _18'!AG913</f>
        <v>5295</v>
      </c>
      <c r="E915" s="63">
        <f>'[2]Calc_Coef _18'!AH913</f>
        <v>503.31988193593691</v>
      </c>
      <c r="F915" s="64">
        <f>'[2]Calc_Coef _18'!AI913</f>
        <v>41</v>
      </c>
      <c r="G915" s="30"/>
      <c r="H915"/>
      <c r="I915"/>
    </row>
    <row r="916" spans="1:9" x14ac:dyDescent="0.25">
      <c r="A916" s="32">
        <f>'[2]Calc_Coef _18'!AE914</f>
        <v>8300701</v>
      </c>
      <c r="B916" s="32" t="str">
        <f>'[2]Calc_Coef _18'!C914</f>
        <v>220840</v>
      </c>
      <c r="C916" s="32" t="str">
        <f>'[2]Calc_Coef _18'!AF914</f>
        <v>RUM</v>
      </c>
      <c r="D916" s="63">
        <f>'[2]Calc_Coef _18'!AG914</f>
        <v>5295</v>
      </c>
      <c r="E916" s="63">
        <f>'[2]Calc_Coef _18'!AH914</f>
        <v>503.31988193593691</v>
      </c>
      <c r="F916" s="64">
        <f>'[2]Calc_Coef _18'!AI914</f>
        <v>41</v>
      </c>
      <c r="G916" s="30"/>
      <c r="H916"/>
      <c r="I916"/>
    </row>
    <row r="917" spans="1:9" x14ac:dyDescent="0.25">
      <c r="A917" s="32">
        <f>'[2]Calc_Coef _18'!AE915</f>
        <v>8300801</v>
      </c>
      <c r="B917" s="32" t="str">
        <f>'[2]Calc_Coef _18'!C915</f>
        <v>220840</v>
      </c>
      <c r="C917" s="32" t="str">
        <f>'[2]Calc_Coef _18'!AF915</f>
        <v>VODKA</v>
      </c>
      <c r="D917" s="63">
        <f>'[2]Calc_Coef _18'!AG915</f>
        <v>5295</v>
      </c>
      <c r="E917" s="63">
        <f>'[2]Calc_Coef _18'!AH915</f>
        <v>503.31988193593691</v>
      </c>
      <c r="F917" s="64">
        <f>'[2]Calc_Coef _18'!AI915</f>
        <v>41</v>
      </c>
      <c r="G917" s="30"/>
      <c r="H917"/>
      <c r="I917"/>
    </row>
    <row r="918" spans="1:9" x14ac:dyDescent="0.25">
      <c r="A918" s="32">
        <f>'[2]Calc_Coef _18'!AE916</f>
        <v>8301001</v>
      </c>
      <c r="B918" s="32">
        <f>'[2]Calc_Coef _18'!C916</f>
        <v>220830</v>
      </c>
      <c r="C918" s="32" t="str">
        <f>'[2]Calc_Coef _18'!AF916</f>
        <v>UISQUE</v>
      </c>
      <c r="D918" s="63">
        <f>'[2]Calc_Coef _18'!AG916</f>
        <v>3000</v>
      </c>
      <c r="E918" s="63">
        <f>'[2]Calc_Coef _18'!AH916</f>
        <v>503.31988193593691</v>
      </c>
      <c r="F918" s="64">
        <f>'[2]Calc_Coef _18'!AI916</f>
        <v>41</v>
      </c>
      <c r="G918" s="30"/>
      <c r="H918"/>
      <c r="I918"/>
    </row>
    <row r="919" spans="1:9" x14ac:dyDescent="0.25">
      <c r="A919" s="32">
        <f>'[2]Calc_Coef _18'!AE917</f>
        <v>8301002</v>
      </c>
      <c r="B919" s="32">
        <f>'[2]Calc_Coef _18'!C917</f>
        <v>220830</v>
      </c>
      <c r="C919" s="32" t="str">
        <f>'[2]Calc_Coef _18'!AF917</f>
        <v>WHISKY</v>
      </c>
      <c r="D919" s="63">
        <f>'[2]Calc_Coef _18'!AG917</f>
        <v>3000</v>
      </c>
      <c r="E919" s="63">
        <f>'[2]Calc_Coef _18'!AH917</f>
        <v>503.31988193593691</v>
      </c>
      <c r="F919" s="64">
        <f>'[2]Calc_Coef _18'!AI917</f>
        <v>41</v>
      </c>
      <c r="G919" s="30"/>
      <c r="H919"/>
      <c r="I919"/>
    </row>
    <row r="920" spans="1:9" x14ac:dyDescent="0.25">
      <c r="A920" s="32">
        <f>'[2]Calc_Coef _18'!AE918</f>
        <v>8301201</v>
      </c>
      <c r="B920" s="32" t="str">
        <f>'[2]Calc_Coef _18'!C918</f>
        <v>220410</v>
      </c>
      <c r="C920" s="32" t="str">
        <f>'[2]Calc_Coef _18'!AF918</f>
        <v>CHAMPANHE</v>
      </c>
      <c r="D920" s="63">
        <f>'[2]Calc_Coef _18'!AG918</f>
        <v>2200</v>
      </c>
      <c r="E920" s="63">
        <f>'[2]Calc_Coef _18'!AH918</f>
        <v>503.31988193593691</v>
      </c>
      <c r="F920" s="64">
        <f>'[2]Calc_Coef _18'!AI918</f>
        <v>16</v>
      </c>
      <c r="G920" s="30"/>
      <c r="H920"/>
      <c r="I920"/>
    </row>
    <row r="921" spans="1:9" x14ac:dyDescent="0.25">
      <c r="A921" s="32">
        <f>'[2]Calc_Coef _18'!AE919</f>
        <v>8301202</v>
      </c>
      <c r="B921" s="32" t="str">
        <f>'[2]Calc_Coef _18'!C919</f>
        <v>220600</v>
      </c>
      <c r="C921" s="32" t="str">
        <f>'[2]Calc_Coef _18'!AF919</f>
        <v>SIDRA CHAMPANHE</v>
      </c>
      <c r="D921" s="63">
        <f>'[2]Calc_Coef _18'!AG919</f>
        <v>1400</v>
      </c>
      <c r="E921" s="63">
        <f>'[2]Calc_Coef _18'!AH919</f>
        <v>503.31988193593691</v>
      </c>
      <c r="F921" s="64">
        <f>'[2]Calc_Coef _18'!AI919</f>
        <v>21.25</v>
      </c>
      <c r="G921" s="30"/>
      <c r="H921"/>
      <c r="I921"/>
    </row>
    <row r="922" spans="1:9" x14ac:dyDescent="0.25">
      <c r="A922" s="32">
        <f>'[2]Calc_Coef _18'!AE920</f>
        <v>8301203</v>
      </c>
      <c r="B922" s="32" t="str">
        <f>'[2]Calc_Coef _18'!C920</f>
        <v>220600</v>
      </c>
      <c r="C922" s="32" t="str">
        <f>'[2]Calc_Coef _18'!AF920</f>
        <v>ESPUMANTE</v>
      </c>
      <c r="D922" s="63">
        <f>'[2]Calc_Coef _18'!AG920</f>
        <v>1400</v>
      </c>
      <c r="E922" s="63">
        <f>'[2]Calc_Coef _18'!AH920</f>
        <v>503.31988193593691</v>
      </c>
      <c r="F922" s="64">
        <f>'[2]Calc_Coef _18'!AI920</f>
        <v>21.25</v>
      </c>
      <c r="G922" s="30"/>
      <c r="H922"/>
      <c r="I922"/>
    </row>
    <row r="923" spans="1:9" x14ac:dyDescent="0.25">
      <c r="A923" s="32">
        <f>'[2]Calc_Coef _18'!AE921</f>
        <v>8301301</v>
      </c>
      <c r="B923" s="32" t="str">
        <f>'[2]Calc_Coef _18'!C921</f>
        <v>220600</v>
      </c>
      <c r="C923" s="32" t="str">
        <f>'[2]Calc_Coef _18'!AF921</f>
        <v>VERMUTE</v>
      </c>
      <c r="D923" s="63">
        <f>'[2]Calc_Coef _18'!AG921</f>
        <v>1400</v>
      </c>
      <c r="E923" s="63">
        <f>'[2]Calc_Coef _18'!AH921</f>
        <v>503.31988193593691</v>
      </c>
      <c r="F923" s="64">
        <f>'[2]Calc_Coef _18'!AI921</f>
        <v>21.25</v>
      </c>
      <c r="G923" s="30"/>
      <c r="H923"/>
      <c r="I923"/>
    </row>
    <row r="924" spans="1:9" x14ac:dyDescent="0.25">
      <c r="A924" s="32">
        <f>'[2]Calc_Coef _18'!AE922</f>
        <v>8301501</v>
      </c>
      <c r="B924" s="32">
        <f>'[2]Calc_Coef _18'!C922</f>
        <v>220600</v>
      </c>
      <c r="C924" s="32" t="str">
        <f>'[2]Calc_Coef _18'!AF922</f>
        <v>MARTINI</v>
      </c>
      <c r="D924" s="63">
        <f>'[2]Calc_Coef _18'!AG922</f>
        <v>1400</v>
      </c>
      <c r="E924" s="63">
        <f>'[2]Calc_Coef _18'!AH922</f>
        <v>503.31988193593691</v>
      </c>
      <c r="F924" s="64">
        <f>'[2]Calc_Coef _18'!AI922</f>
        <v>21.25</v>
      </c>
      <c r="G924" s="30"/>
      <c r="H924"/>
      <c r="I924"/>
    </row>
    <row r="925" spans="1:9" x14ac:dyDescent="0.25">
      <c r="A925" s="32">
        <f>'[2]Calc_Coef _18'!AE923</f>
        <v>8301601</v>
      </c>
      <c r="B925" s="32" t="str">
        <f>'[2]Calc_Coef _18'!C923</f>
        <v>220820</v>
      </c>
      <c r="C925" s="32" t="str">
        <f>'[2]Calc_Coef _18'!AF923</f>
        <v>CONHAQUE</v>
      </c>
      <c r="D925" s="63">
        <f>'[2]Calc_Coef _18'!AG923</f>
        <v>7590</v>
      </c>
      <c r="E925" s="63">
        <f>'[2]Calc_Coef _18'!AH923</f>
        <v>503.31988193593691</v>
      </c>
      <c r="F925" s="64">
        <f>'[2]Calc_Coef _18'!AI923</f>
        <v>41</v>
      </c>
      <c r="G925" s="30"/>
      <c r="H925"/>
      <c r="I925"/>
    </row>
    <row r="926" spans="1:9" x14ac:dyDescent="0.25">
      <c r="A926" s="32">
        <f>'[2]Calc_Coef _18'!AE924</f>
        <v>8301701</v>
      </c>
      <c r="B926" s="32" t="str">
        <f>'[2]Calc_Coef _18'!C924</f>
        <v>220840</v>
      </c>
      <c r="C926" s="32" t="str">
        <f>'[2]Calc_Coef _18'!AF924</f>
        <v>DRINK DREHER</v>
      </c>
      <c r="D926" s="63">
        <f>'[2]Calc_Coef _18'!AG924</f>
        <v>5295</v>
      </c>
      <c r="E926" s="63">
        <f>'[2]Calc_Coef _18'!AH924</f>
        <v>503.31988193593691</v>
      </c>
      <c r="F926" s="64">
        <f>'[2]Calc_Coef _18'!AI924</f>
        <v>41</v>
      </c>
      <c r="G926" s="30"/>
      <c r="H926"/>
      <c r="I926"/>
    </row>
    <row r="927" spans="1:9" x14ac:dyDescent="0.25">
      <c r="A927" s="32">
        <f>'[2]Calc_Coef _18'!AE925</f>
        <v>8301901</v>
      </c>
      <c r="B927" s="32" t="str">
        <f>'[2]Calc_Coef _18'!C925</f>
        <v>220840</v>
      </c>
      <c r="C927" s="32" t="str">
        <f>'[2]Calc_Coef _18'!AF925</f>
        <v>LICOR DE QUALQUER SABOR</v>
      </c>
      <c r="D927" s="63">
        <f>'[2]Calc_Coef _18'!AG925</f>
        <v>5295</v>
      </c>
      <c r="E927" s="63">
        <f>'[2]Calc_Coef _18'!AH925</f>
        <v>503.31988193593691</v>
      </c>
      <c r="F927" s="64">
        <f>'[2]Calc_Coef _18'!AI925</f>
        <v>41</v>
      </c>
      <c r="G927" s="30"/>
      <c r="H927"/>
      <c r="I927"/>
    </row>
    <row r="928" spans="1:9" x14ac:dyDescent="0.25">
      <c r="A928" s="32">
        <f>'[2]Calc_Coef _18'!AE926</f>
        <v>8302415</v>
      </c>
      <c r="B928" s="32">
        <f>'[2]Calc_Coef _18'!C926</f>
        <v>220429</v>
      </c>
      <c r="C928" s="32" t="str">
        <f>'[2]Calc_Coef _18'!AF926</f>
        <v>VINHO</v>
      </c>
      <c r="D928" s="63">
        <f>'[2]Calc_Coef _18'!AG926</f>
        <v>2200</v>
      </c>
      <c r="E928" s="63">
        <f>'[2]Calc_Coef _18'!AH926</f>
        <v>409.67897366878577</v>
      </c>
      <c r="F928" s="64">
        <f>'[2]Calc_Coef _18'!AI926</f>
        <v>16</v>
      </c>
      <c r="G928" s="30"/>
      <c r="H928"/>
      <c r="I928"/>
    </row>
    <row r="929" spans="1:9" x14ac:dyDescent="0.25">
      <c r="A929" s="32">
        <f>'[2]Calc_Coef _18'!AE927</f>
        <v>8302416</v>
      </c>
      <c r="B929" s="32" t="str">
        <f>'[2]Calc_Coef _18'!C927</f>
        <v>220840</v>
      </c>
      <c r="C929" s="32" t="str">
        <f>'[2]Calc_Coef _18'!AF927</f>
        <v>CATUABA</v>
      </c>
      <c r="D929" s="63">
        <f>'[2]Calc_Coef _18'!AG927</f>
        <v>5295</v>
      </c>
      <c r="E929" s="63">
        <f>'[2]Calc_Coef _18'!AH927</f>
        <v>503.31988193593691</v>
      </c>
      <c r="F929" s="64">
        <f>'[2]Calc_Coef _18'!AI927</f>
        <v>41</v>
      </c>
      <c r="G929" s="30"/>
      <c r="H929"/>
      <c r="I929"/>
    </row>
    <row r="930" spans="1:9" x14ac:dyDescent="0.25">
      <c r="A930" s="32">
        <f>'[2]Calc_Coef _18'!AE928</f>
        <v>8303301</v>
      </c>
      <c r="B930" s="32" t="str">
        <f>'[2]Calc_Coef _18'!C928</f>
        <v>220300</v>
      </c>
      <c r="C930" s="32" t="str">
        <f>'[2]Calc_Coef _18'!AF928</f>
        <v>CERVEJA SEM ALCOOL</v>
      </c>
      <c r="D930" s="63">
        <f>'[2]Calc_Coef _18'!AG928</f>
        <v>1245</v>
      </c>
      <c r="E930" s="63">
        <f>'[2]Calc_Coef _18'!AH928</f>
        <v>452.50899863661198</v>
      </c>
      <c r="F930" s="64">
        <f>'[2]Calc_Coef _18'!AI928</f>
        <v>4.5</v>
      </c>
      <c r="G930" s="30"/>
      <c r="H930"/>
      <c r="I930"/>
    </row>
    <row r="931" spans="1:9" x14ac:dyDescent="0.25">
      <c r="A931" s="32">
        <f>'[2]Calc_Coef _18'!AE929</f>
        <v>8303501</v>
      </c>
      <c r="B931" s="32" t="str">
        <f>'[2]Calc_Coef _18'!C929</f>
        <v>220510</v>
      </c>
      <c r="C931" s="32" t="str">
        <f>'[2]Calc_Coef _18'!AF929</f>
        <v>BEBIDA ALCOOLICA</v>
      </c>
      <c r="D931" s="63">
        <f>'[2]Calc_Coef _18'!AG929</f>
        <v>3000</v>
      </c>
      <c r="E931" s="63">
        <f>'[2]Calc_Coef _18'!AH929</f>
        <v>4354.5270731281807</v>
      </c>
      <c r="F931" s="64">
        <f>'[2]Calc_Coef _18'!AI929</f>
        <v>21.25</v>
      </c>
      <c r="G931" s="30"/>
      <c r="H931"/>
      <c r="I931"/>
    </row>
    <row r="932" spans="1:9" x14ac:dyDescent="0.25">
      <c r="A932" s="32">
        <f>'[2]Calc_Coef _18'!AE930</f>
        <v>8305001</v>
      </c>
      <c r="B932" s="32" t="str">
        <f>'[2]Calc_Coef _18'!C930</f>
        <v>220840</v>
      </c>
      <c r="C932" s="32" t="str">
        <f>'[2]Calc_Coef _18'!AF930</f>
        <v>COQUETEL DE FRUTAS SEM ALCOOL</v>
      </c>
      <c r="D932" s="63">
        <f>'[2]Calc_Coef _18'!AG930</f>
        <v>5295</v>
      </c>
      <c r="E932" s="63">
        <f>'[2]Calc_Coef _18'!AH930</f>
        <v>503.31988193593691</v>
      </c>
      <c r="F932" s="64">
        <f>'[2]Calc_Coef _18'!AI930</f>
        <v>41</v>
      </c>
      <c r="G932" s="30"/>
      <c r="H932"/>
      <c r="I932"/>
    </row>
    <row r="933" spans="1:9" x14ac:dyDescent="0.25">
      <c r="A933" s="32">
        <f>'[2]Calc_Coef _18'!AE931</f>
        <v>8305201</v>
      </c>
      <c r="B933" s="32" t="str">
        <f>'[2]Calc_Coef _18'!C931</f>
        <v>220840</v>
      </c>
      <c r="C933" s="32" t="str">
        <f>'[2]Calc_Coef _18'!AF931</f>
        <v>DRINK - MISTURA DE BEBIDAS</v>
      </c>
      <c r="D933" s="63">
        <f>'[2]Calc_Coef _18'!AG931</f>
        <v>5295</v>
      </c>
      <c r="E933" s="63">
        <f>'[2]Calc_Coef _18'!AH931</f>
        <v>503.31988193593691</v>
      </c>
      <c r="F933" s="64">
        <f>'[2]Calc_Coef _18'!AI931</f>
        <v>41</v>
      </c>
      <c r="G933" s="30"/>
      <c r="H933"/>
      <c r="I933"/>
    </row>
    <row r="934" spans="1:9" x14ac:dyDescent="0.25">
      <c r="A934" s="32">
        <f>'[2]Calc_Coef _18'!AE932</f>
        <v>8305501</v>
      </c>
      <c r="B934" s="32" t="str">
        <f>'[2]Calc_Coef _18'!C932</f>
        <v>220840</v>
      </c>
      <c r="C934" s="32" t="str">
        <f>'[2]Calc_Coef _18'!AF932</f>
        <v>SAKE / SAQUE</v>
      </c>
      <c r="D934" s="63">
        <f>'[2]Calc_Coef _18'!AG932</f>
        <v>5295</v>
      </c>
      <c r="E934" s="63">
        <f>'[2]Calc_Coef _18'!AH932</f>
        <v>503.31988193593691</v>
      </c>
      <c r="F934" s="64">
        <f>'[2]Calc_Coef _18'!AI932</f>
        <v>41</v>
      </c>
      <c r="G934" s="30"/>
      <c r="H934"/>
      <c r="I934"/>
    </row>
    <row r="935" spans="1:9" x14ac:dyDescent="0.25">
      <c r="A935" s="32">
        <f>'[2]Calc_Coef _18'!AE933</f>
        <v>8305901</v>
      </c>
      <c r="B935" s="32">
        <f>'[2]Calc_Coef _18'!C933</f>
        <v>220429</v>
      </c>
      <c r="C935" s="32" t="str">
        <f>'[2]Calc_Coef _18'!AF933</f>
        <v>VINHO, SEM ALCOOL</v>
      </c>
      <c r="D935" s="63">
        <f>'[2]Calc_Coef _18'!AG933</f>
        <v>2200</v>
      </c>
      <c r="E935" s="63">
        <f>'[2]Calc_Coef _18'!AH933</f>
        <v>409.67897366878577</v>
      </c>
      <c r="F935" s="64">
        <f>'[2]Calc_Coef _18'!AI933</f>
        <v>16</v>
      </c>
      <c r="G935" s="30"/>
      <c r="H935"/>
      <c r="I935"/>
    </row>
    <row r="936" spans="1:9" x14ac:dyDescent="0.25">
      <c r="A936" s="32">
        <f>'[2]Calc_Coef _18'!AE934</f>
        <v>8400101</v>
      </c>
      <c r="B936" s="32" t="str">
        <f>'[2]Calc_Coef _18'!C934</f>
        <v>150990</v>
      </c>
      <c r="C936" s="32" t="str">
        <f>'[2]Calc_Coef _18'!AF934</f>
        <v>AZEITE DE OLIVA</v>
      </c>
      <c r="D936" s="63">
        <f>'[2]Calc_Coef _18'!AG934</f>
        <v>2941.4969082125604</v>
      </c>
      <c r="E936" s="63">
        <f>'[2]Calc_Coef _18'!AH934</f>
        <v>7360</v>
      </c>
      <c r="F936" s="64">
        <f>'[2]Calc_Coef _18'!AI934</f>
        <v>75.416666666666671</v>
      </c>
      <c r="G936" s="30"/>
      <c r="H936"/>
      <c r="I936"/>
    </row>
    <row r="937" spans="1:9" x14ac:dyDescent="0.25">
      <c r="A937" s="32">
        <f>'[2]Calc_Coef _18'!AE935</f>
        <v>8400301</v>
      </c>
      <c r="B937" s="32" t="str">
        <f>'[2]Calc_Coef _18'!C935</f>
        <v>150790</v>
      </c>
      <c r="C937" s="32" t="str">
        <f>'[2]Calc_Coef _18'!AF935</f>
        <v>OLEO DE SOJA</v>
      </c>
      <c r="D937" s="63">
        <f>'[2]Calc_Coef _18'!AG935</f>
        <v>1692</v>
      </c>
      <c r="E937" s="63">
        <f>'[2]Calc_Coef _18'!AH935</f>
        <v>4293.0304906780584</v>
      </c>
      <c r="F937" s="64">
        <f>'[2]Calc_Coef _18'!AI935</f>
        <v>38</v>
      </c>
      <c r="G937" s="30"/>
      <c r="H937"/>
      <c r="I937"/>
    </row>
    <row r="938" spans="1:9" x14ac:dyDescent="0.25">
      <c r="A938" s="32">
        <f>'[2]Calc_Coef _18'!AE936</f>
        <v>8400401</v>
      </c>
      <c r="B938" s="32" t="str">
        <f>'[2]Calc_Coef _18'!C936</f>
        <v>150790</v>
      </c>
      <c r="C938" s="32" t="str">
        <f>'[2]Calc_Coef _18'!AF936</f>
        <v>OLEO, MILHO</v>
      </c>
      <c r="D938" s="63">
        <f>'[2]Calc_Coef _18'!AG936</f>
        <v>1692</v>
      </c>
      <c r="E938" s="63">
        <f>'[2]Calc_Coef _18'!AH936</f>
        <v>4293.0304906780584</v>
      </c>
      <c r="F938" s="64">
        <f>'[2]Calc_Coef _18'!AI936</f>
        <v>38</v>
      </c>
      <c r="G938" s="30"/>
      <c r="H938"/>
      <c r="I938"/>
    </row>
    <row r="939" spans="1:9" x14ac:dyDescent="0.25">
      <c r="A939" s="32">
        <f>'[2]Calc_Coef _18'!AE937</f>
        <v>8401801</v>
      </c>
      <c r="B939" s="32">
        <f>'[2]Calc_Coef _18'!C937</f>
        <v>150110</v>
      </c>
      <c r="C939" s="32" t="str">
        <f>'[2]Calc_Coef _18'!AF937</f>
        <v>BANHA SUINA</v>
      </c>
      <c r="D939" s="63">
        <f>'[2]Calc_Coef _18'!AG937</f>
        <v>2571.0720128824478</v>
      </c>
      <c r="E939" s="63">
        <f>'[2]Calc_Coef _18'!AH937</f>
        <v>4399.5</v>
      </c>
      <c r="F939" s="64">
        <f>'[2]Calc_Coef _18'!AI937</f>
        <v>56.708333333333336</v>
      </c>
      <c r="G939" s="30"/>
      <c r="H939"/>
      <c r="I939"/>
    </row>
    <row r="940" spans="1:9" x14ac:dyDescent="0.25">
      <c r="A940" s="32">
        <f>'[2]Calc_Coef _18'!AE938</f>
        <v>8403201</v>
      </c>
      <c r="B940" s="32">
        <f>'[2]Calc_Coef _18'!C938</f>
        <v>150790</v>
      </c>
      <c r="C940" s="32" t="str">
        <f>'[2]Calc_Coef _18'!AF938</f>
        <v>OLEO NÃO ESPECIFICADO</v>
      </c>
      <c r="D940" s="63">
        <f>'[2]Calc_Coef _18'!AG938</f>
        <v>1869.7142857142858</v>
      </c>
      <c r="E940" s="63">
        <f>'[2]Calc_Coef _18'!AH938</f>
        <v>7821.9024214444908</v>
      </c>
      <c r="F940" s="64">
        <f>'[2]Calc_Coef _18'!AI938</f>
        <v>38</v>
      </c>
      <c r="G940" s="30"/>
      <c r="H940"/>
      <c r="I940"/>
    </row>
    <row r="941" spans="1:9" x14ac:dyDescent="0.25">
      <c r="A941" s="32">
        <f>'[2]Calc_Coef _18'!AE939</f>
        <v>8403501</v>
      </c>
      <c r="B941" s="32" t="str">
        <f>'[2]Calc_Coef _18'!C939</f>
        <v>151190</v>
      </c>
      <c r="C941" s="32" t="str">
        <f>'[2]Calc_Coef _18'!AF939</f>
        <v>OLEO DE DENDE</v>
      </c>
      <c r="D941" s="63">
        <f>'[2]Calc_Coef _18'!AG939</f>
        <v>2525</v>
      </c>
      <c r="E941" s="63">
        <f>'[2]Calc_Coef _18'!AH939</f>
        <v>5523.487692325024</v>
      </c>
      <c r="F941" s="64">
        <f>'[2]Calc_Coef _18'!AI939</f>
        <v>66</v>
      </c>
      <c r="G941" s="30"/>
      <c r="H941"/>
      <c r="I941"/>
    </row>
    <row r="942" spans="1:9" x14ac:dyDescent="0.25">
      <c r="A942" s="32">
        <f>'[2]Calc_Coef _18'!AE940</f>
        <v>8403601</v>
      </c>
      <c r="B942" s="32" t="str">
        <f>'[2]Calc_Coef _18'!C940</f>
        <v>150790</v>
      </c>
      <c r="C942" s="32" t="str">
        <f>'[2]Calc_Coef _18'!AF940</f>
        <v>OLEO, COCO</v>
      </c>
      <c r="D942" s="63">
        <f>'[2]Calc_Coef _18'!AG940</f>
        <v>1692</v>
      </c>
      <c r="E942" s="63">
        <f>'[2]Calc_Coef _18'!AH940</f>
        <v>4293.0304906780584</v>
      </c>
      <c r="F942" s="64">
        <f>'[2]Calc_Coef _18'!AI940</f>
        <v>38</v>
      </c>
      <c r="G942" s="30"/>
      <c r="H942"/>
      <c r="I942"/>
    </row>
    <row r="943" spans="1:9" x14ac:dyDescent="0.25">
      <c r="A943" s="32">
        <f>'[2]Calc_Coef _18'!AE941</f>
        <v>8500201</v>
      </c>
      <c r="B943" s="32">
        <f>'[2]Calc_Coef _18'!C941</f>
        <v>190410</v>
      </c>
      <c r="C943" s="32" t="str">
        <f>'[2]Calc_Coef _18'!AF941</f>
        <v>SALGADINHO</v>
      </c>
      <c r="D943" s="63">
        <f>'[2]Calc_Coef _18'!AG941</f>
        <v>3900</v>
      </c>
      <c r="E943" s="63">
        <f>'[2]Calc_Coef _18'!AH941</f>
        <v>1772</v>
      </c>
      <c r="F943" s="64">
        <f>'[2]Calc_Coef _18'!AI941</f>
        <v>10.334717607973422</v>
      </c>
      <c r="G943" s="30"/>
      <c r="H943"/>
      <c r="I943"/>
    </row>
    <row r="944" spans="1:9" x14ac:dyDescent="0.25">
      <c r="A944" s="32">
        <f>'[2]Calc_Coef _18'!AE942</f>
        <v>8500202</v>
      </c>
      <c r="B944" s="32" t="str">
        <f>'[2]Calc_Coef _18'!C942</f>
        <v>190220</v>
      </c>
      <c r="C944" s="32" t="str">
        <f>'[2]Calc_Coef _18'!AF942</f>
        <v>PASTEL (QUEIJO, CARNE, PALMITO, ETC)</v>
      </c>
      <c r="D944" s="63">
        <f>'[2]Calc_Coef _18'!AG942</f>
        <v>3600</v>
      </c>
      <c r="E944" s="63">
        <f>'[2]Calc_Coef _18'!AH942</f>
        <v>1730.2020304029807</v>
      </c>
      <c r="F944" s="64">
        <f>'[2]Calc_Coef _18'!AI942</f>
        <v>10.5</v>
      </c>
      <c r="G944" s="30"/>
      <c r="H944"/>
      <c r="I944"/>
    </row>
    <row r="945" spans="1:9" x14ac:dyDescent="0.25">
      <c r="A945" s="32">
        <f>'[2]Calc_Coef _18'!AE943</f>
        <v>8500203</v>
      </c>
      <c r="B945" s="32" t="str">
        <f>'[2]Calc_Coef _18'!C943</f>
        <v>190220</v>
      </c>
      <c r="C945" s="32" t="str">
        <f>'[2]Calc_Coef _18'!AF943</f>
        <v>CROQUETE</v>
      </c>
      <c r="D945" s="63">
        <f>'[2]Calc_Coef _18'!AG943</f>
        <v>3600</v>
      </c>
      <c r="E945" s="63">
        <f>'[2]Calc_Coef _18'!AH943</f>
        <v>1730.2020304029807</v>
      </c>
      <c r="F945" s="64">
        <f>'[2]Calc_Coef _18'!AI943</f>
        <v>10.5</v>
      </c>
      <c r="G945" s="30"/>
      <c r="H945"/>
      <c r="I945"/>
    </row>
    <row r="946" spans="1:9" x14ac:dyDescent="0.25">
      <c r="A946" s="32">
        <f>'[2]Calc_Coef _18'!AE944</f>
        <v>8500205</v>
      </c>
      <c r="B946" s="32" t="str">
        <f>'[2]Calc_Coef _18'!C944</f>
        <v>190220</v>
      </c>
      <c r="C946" s="32" t="str">
        <f>'[2]Calc_Coef _18'!AF944</f>
        <v>COXINHA</v>
      </c>
      <c r="D946" s="63">
        <f>'[2]Calc_Coef _18'!AG944</f>
        <v>3600</v>
      </c>
      <c r="E946" s="63">
        <f>'[2]Calc_Coef _18'!AH944</f>
        <v>1730.2020304029807</v>
      </c>
      <c r="F946" s="64">
        <f>'[2]Calc_Coef _18'!AI944</f>
        <v>10.5</v>
      </c>
      <c r="G946" s="30"/>
      <c r="H946"/>
      <c r="I946"/>
    </row>
    <row r="947" spans="1:9" x14ac:dyDescent="0.25">
      <c r="A947" s="32">
        <f>'[2]Calc_Coef _18'!AE945</f>
        <v>8500303</v>
      </c>
      <c r="B947" s="32">
        <f>'[2]Calc_Coef _18'!C945</f>
        <v>160290</v>
      </c>
      <c r="C947" s="32" t="str">
        <f>'[2]Calc_Coef _18'!AF945</f>
        <v>HAMBURGUER (SANDUICHE)</v>
      </c>
      <c r="D947" s="63">
        <f>'[2]Calc_Coef _18'!AG945</f>
        <v>9000</v>
      </c>
      <c r="E947" s="63">
        <f>'[2]Calc_Coef _18'!AH945</f>
        <v>8744</v>
      </c>
      <c r="F947" s="64">
        <f>'[2]Calc_Coef _18'!AI945</f>
        <v>52</v>
      </c>
      <c r="G947" s="30"/>
      <c r="H947"/>
      <c r="I947"/>
    </row>
    <row r="948" spans="1:9" x14ac:dyDescent="0.25">
      <c r="A948" s="32">
        <f>'[2]Calc_Coef _18'!AE946</f>
        <v>8500304</v>
      </c>
      <c r="B948" s="32" t="str">
        <f>'[2]Calc_Coef _18'!C946</f>
        <v>160290</v>
      </c>
      <c r="C948" s="32" t="str">
        <f>'[2]Calc_Coef _18'!AF946</f>
        <v>CHEESBURGUER</v>
      </c>
      <c r="D948" s="63">
        <f>'[2]Calc_Coef _18'!AG946</f>
        <v>9000</v>
      </c>
      <c r="E948" s="63">
        <f>'[2]Calc_Coef _18'!AH946</f>
        <v>8744</v>
      </c>
      <c r="F948" s="64">
        <f>'[2]Calc_Coef _18'!AI946</f>
        <v>52</v>
      </c>
      <c r="G948" s="30"/>
      <c r="H948"/>
      <c r="I948"/>
    </row>
    <row r="949" spans="1:9" x14ac:dyDescent="0.25">
      <c r="A949" s="32">
        <f>'[2]Calc_Coef _18'!AE947</f>
        <v>8500305</v>
      </c>
      <c r="B949" s="32" t="str">
        <f>'[2]Calc_Coef _18'!C947</f>
        <v>160290</v>
      </c>
      <c r="C949" s="32" t="str">
        <f>'[2]Calc_Coef _18'!AF947</f>
        <v>EGGSBURGUER</v>
      </c>
      <c r="D949" s="63">
        <f>'[2]Calc_Coef _18'!AG947</f>
        <v>9000</v>
      </c>
      <c r="E949" s="63">
        <f>'[2]Calc_Coef _18'!AH947</f>
        <v>8744</v>
      </c>
      <c r="F949" s="64">
        <f>'[2]Calc_Coef _18'!AI947</f>
        <v>52</v>
      </c>
      <c r="G949" s="30"/>
      <c r="H949"/>
      <c r="I949"/>
    </row>
    <row r="950" spans="1:9" x14ac:dyDescent="0.25">
      <c r="A950" s="32">
        <f>'[2]Calc_Coef _18'!AE948</f>
        <v>8500307</v>
      </c>
      <c r="B950" s="32" t="str">
        <f>'[2]Calc_Coef _18'!C948</f>
        <v>160290</v>
      </c>
      <c r="C950" s="32" t="str">
        <f>'[2]Calc_Coef _18'!AF948</f>
        <v>BAURU</v>
      </c>
      <c r="D950" s="63">
        <f>'[2]Calc_Coef _18'!AG948</f>
        <v>9000</v>
      </c>
      <c r="E950" s="63">
        <f>'[2]Calc_Coef _18'!AH948</f>
        <v>8744</v>
      </c>
      <c r="F950" s="64">
        <f>'[2]Calc_Coef _18'!AI948</f>
        <v>52</v>
      </c>
      <c r="G950" s="30"/>
      <c r="H950"/>
      <c r="I950"/>
    </row>
    <row r="951" spans="1:9" x14ac:dyDescent="0.25">
      <c r="A951" s="32">
        <f>'[2]Calc_Coef _18'!AE949</f>
        <v>8500308</v>
      </c>
      <c r="B951" s="32" t="str">
        <f>'[2]Calc_Coef _18'!C949</f>
        <v>160290</v>
      </c>
      <c r="C951" s="32" t="str">
        <f>'[2]Calc_Coef _18'!AF949</f>
        <v>AMERICANO</v>
      </c>
      <c r="D951" s="63">
        <f>'[2]Calc_Coef _18'!AG949</f>
        <v>9000</v>
      </c>
      <c r="E951" s="63">
        <f>'[2]Calc_Coef _18'!AH949</f>
        <v>8744</v>
      </c>
      <c r="F951" s="64">
        <f>'[2]Calc_Coef _18'!AI949</f>
        <v>52</v>
      </c>
      <c r="G951" s="30"/>
      <c r="H951"/>
      <c r="I951"/>
    </row>
    <row r="952" spans="1:9" x14ac:dyDescent="0.25">
      <c r="A952" s="32">
        <f>'[2]Calc_Coef _18'!AE950</f>
        <v>8500321</v>
      </c>
      <c r="B952" s="32" t="str">
        <f>'[2]Calc_Coef _18'!C950</f>
        <v>160290</v>
      </c>
      <c r="C952" s="32" t="str">
        <f>'[2]Calc_Coef _18'!AF950</f>
        <v>CHEESE EGG</v>
      </c>
      <c r="D952" s="63">
        <f>'[2]Calc_Coef _18'!AG950</f>
        <v>9000</v>
      </c>
      <c r="E952" s="63">
        <f>'[2]Calc_Coef _18'!AH950</f>
        <v>8744</v>
      </c>
      <c r="F952" s="64">
        <f>'[2]Calc_Coef _18'!AI950</f>
        <v>52</v>
      </c>
      <c r="G952" s="30"/>
      <c r="H952"/>
      <c r="I952"/>
    </row>
    <row r="953" spans="1:9" x14ac:dyDescent="0.25">
      <c r="A953" s="32">
        <f>'[2]Calc_Coef _18'!AE951</f>
        <v>8500322</v>
      </c>
      <c r="B953" s="32" t="str">
        <f>'[2]Calc_Coef _18'!C951</f>
        <v>160290</v>
      </c>
      <c r="C953" s="32" t="str">
        <f>'[2]Calc_Coef _18'!AF951</f>
        <v>CHEESE TUDO</v>
      </c>
      <c r="D953" s="63">
        <f>'[2]Calc_Coef _18'!AG951</f>
        <v>9000</v>
      </c>
      <c r="E953" s="63">
        <f>'[2]Calc_Coef _18'!AH951</f>
        <v>8744</v>
      </c>
      <c r="F953" s="64">
        <f>'[2]Calc_Coef _18'!AI951</f>
        <v>52</v>
      </c>
      <c r="G953" s="30"/>
      <c r="H953"/>
      <c r="I953"/>
    </row>
    <row r="954" spans="1:9" x14ac:dyDescent="0.25">
      <c r="A954" s="32">
        <f>'[2]Calc_Coef _18'!AE952</f>
        <v>8500357</v>
      </c>
      <c r="B954" s="32" t="str">
        <f>'[2]Calc_Coef _18'!C952</f>
        <v>160290</v>
      </c>
      <c r="C954" s="32" t="str">
        <f>'[2]Calc_Coef _18'!AF952</f>
        <v>WRAP FRANGO OU GALINHA</v>
      </c>
      <c r="D954" s="63">
        <f>'[2]Calc_Coef _18'!AG952</f>
        <v>9000</v>
      </c>
      <c r="E954" s="63">
        <f>'[2]Calc_Coef _18'!AH952</f>
        <v>8744</v>
      </c>
      <c r="F954" s="64">
        <f>'[2]Calc_Coef _18'!AI952</f>
        <v>52</v>
      </c>
      <c r="G954" s="30"/>
      <c r="H954"/>
      <c r="I954"/>
    </row>
    <row r="955" spans="1:9" x14ac:dyDescent="0.25">
      <c r="A955" s="32">
        <f>'[2]Calc_Coef _18'!AE953</f>
        <v>8500358</v>
      </c>
      <c r="B955" s="32" t="str">
        <f>'[2]Calc_Coef _18'!C953</f>
        <v>160290</v>
      </c>
      <c r="C955" s="32" t="str">
        <f>'[2]Calc_Coef _18'!AF953</f>
        <v>WRAP, CARNE</v>
      </c>
      <c r="D955" s="63">
        <f>'[2]Calc_Coef _18'!AG953</f>
        <v>9000</v>
      </c>
      <c r="E955" s="63">
        <f>'[2]Calc_Coef _18'!AH953</f>
        <v>8744</v>
      </c>
      <c r="F955" s="64">
        <f>'[2]Calc_Coef _18'!AI953</f>
        <v>52</v>
      </c>
      <c r="G955" s="30"/>
      <c r="H955"/>
      <c r="I955"/>
    </row>
    <row r="956" spans="1:9" x14ac:dyDescent="0.25">
      <c r="A956" s="32">
        <f>'[2]Calc_Coef _18'!AE954</f>
        <v>8500401</v>
      </c>
      <c r="B956" s="32" t="str">
        <f>'[2]Calc_Coef _18'!C954</f>
        <v>200960</v>
      </c>
      <c r="C956" s="32" t="str">
        <f>'[2]Calc_Coef _18'!AF954</f>
        <v>SUCO</v>
      </c>
      <c r="D956" s="63">
        <f>'[2]Calc_Coef _18'!AG954</f>
        <v>650</v>
      </c>
      <c r="E956" s="63">
        <f>'[2]Calc_Coef _18'!AH954</f>
        <v>524.99825594233926</v>
      </c>
      <c r="F956" s="64">
        <f>'[2]Calc_Coef _18'!AI954</f>
        <v>11</v>
      </c>
      <c r="G956" s="30"/>
      <c r="H956"/>
      <c r="I956"/>
    </row>
    <row r="957" spans="1:9" x14ac:dyDescent="0.25">
      <c r="A957" s="32">
        <f>'[2]Calc_Coef _18'!AE955</f>
        <v>8500402</v>
      </c>
      <c r="B957" s="32">
        <f>'[2]Calc_Coef _18'!C955</f>
        <v>200940</v>
      </c>
      <c r="C957" s="32" t="str">
        <f>'[2]Calc_Coef _18'!AF955</f>
        <v>SUCO DE ABACAXI</v>
      </c>
      <c r="D957" s="63">
        <f>'[2]Calc_Coef _18'!AG955</f>
        <v>728.29107237189646</v>
      </c>
      <c r="E957" s="63">
        <f>'[2]Calc_Coef _18'!AH955</f>
        <v>797.72771605166247</v>
      </c>
      <c r="F957" s="64">
        <f>'[2]Calc_Coef _18'!AI955</f>
        <v>11</v>
      </c>
      <c r="G957" s="30"/>
      <c r="H957"/>
      <c r="I957"/>
    </row>
    <row r="958" spans="1:9" x14ac:dyDescent="0.25">
      <c r="A958" s="32">
        <f>'[2]Calc_Coef _18'!AE956</f>
        <v>8500406</v>
      </c>
      <c r="B958" s="32" t="str">
        <f>'[2]Calc_Coef _18'!C956</f>
        <v>220290</v>
      </c>
      <c r="C958" s="32" t="str">
        <f>'[2]Calc_Coef _18'!AF956</f>
        <v>SUCO DE GOIABA</v>
      </c>
      <c r="D958" s="63">
        <f>'[2]Calc_Coef _18'!AG956</f>
        <v>477.7</v>
      </c>
      <c r="E958" s="63">
        <f>'[2]Calc_Coef _18'!AH956</f>
        <v>11543.725015272823</v>
      </c>
      <c r="F958" s="64">
        <f>'[2]Calc_Coef _18'!AI956</f>
        <v>57.5</v>
      </c>
      <c r="G958" s="30"/>
      <c r="H958"/>
      <c r="I958"/>
    </row>
    <row r="959" spans="1:9" x14ac:dyDescent="0.25">
      <c r="A959" s="32">
        <f>'[2]Calc_Coef _18'!AE957</f>
        <v>8500407</v>
      </c>
      <c r="B959" s="32" t="str">
        <f>'[2]Calc_Coef _18'!C957</f>
        <v>200919</v>
      </c>
      <c r="C959" s="32" t="str">
        <f>'[2]Calc_Coef _18'!AF957</f>
        <v>SUCO DE LARANJA</v>
      </c>
      <c r="D959" s="63">
        <f>'[2]Calc_Coef _18'!AG957</f>
        <v>780.4851206198274</v>
      </c>
      <c r="E959" s="63">
        <f>'[2]Calc_Coef _18'!AH957</f>
        <v>718.51525990446032</v>
      </c>
      <c r="F959" s="64">
        <f>'[2]Calc_Coef _18'!AI957</f>
        <v>11</v>
      </c>
      <c r="G959" s="30"/>
      <c r="H959"/>
      <c r="I959"/>
    </row>
    <row r="960" spans="1:9" x14ac:dyDescent="0.25">
      <c r="A960" s="32">
        <f>'[2]Calc_Coef _18'!AE958</f>
        <v>8500413</v>
      </c>
      <c r="B960" s="32" t="str">
        <f>'[2]Calc_Coef _18'!C958</f>
        <v>220290</v>
      </c>
      <c r="C960" s="32" t="str">
        <f>'[2]Calc_Coef _18'!AF958</f>
        <v>SUCO DE MANGA</v>
      </c>
      <c r="D960" s="63">
        <f>'[2]Calc_Coef _18'!AG958</f>
        <v>477.7</v>
      </c>
      <c r="E960" s="63">
        <f>'[2]Calc_Coef _18'!AH958</f>
        <v>11543.725015272823</v>
      </c>
      <c r="F960" s="64">
        <f>'[2]Calc_Coef _18'!AI958</f>
        <v>57.5</v>
      </c>
      <c r="G960" s="30"/>
      <c r="H960"/>
      <c r="I960"/>
    </row>
    <row r="961" spans="1:9" x14ac:dyDescent="0.25">
      <c r="A961" s="32">
        <f>'[2]Calc_Coef _18'!AE959</f>
        <v>8500414</v>
      </c>
      <c r="B961" s="32" t="str">
        <f>'[2]Calc_Coef _18'!C959</f>
        <v>200990</v>
      </c>
      <c r="C961" s="32" t="str">
        <f>'[2]Calc_Coef _18'!AF959</f>
        <v>SUCO DE MARACUJA</v>
      </c>
      <c r="D961" s="63">
        <f>'[2]Calc_Coef _18'!AG959</f>
        <v>728.29107237189646</v>
      </c>
      <c r="E961" s="63">
        <f>'[2]Calc_Coef _18'!AH959</f>
        <v>860.47430459166037</v>
      </c>
      <c r="F961" s="64">
        <f>'[2]Calc_Coef _18'!AI959</f>
        <v>11</v>
      </c>
      <c r="G961" s="30"/>
      <c r="H961"/>
      <c r="I961"/>
    </row>
    <row r="962" spans="1:9" x14ac:dyDescent="0.25">
      <c r="A962" s="32">
        <f>'[2]Calc_Coef _18'!AE960</f>
        <v>8500417</v>
      </c>
      <c r="B962" s="32" t="str">
        <f>'[2]Calc_Coef _18'!C960</f>
        <v>220290</v>
      </c>
      <c r="C962" s="32" t="str">
        <f>'[2]Calc_Coef _18'!AF960</f>
        <v>SUCO DE PESSEGO</v>
      </c>
      <c r="D962" s="63">
        <f>'[2]Calc_Coef _18'!AG960</f>
        <v>477.7</v>
      </c>
      <c r="E962" s="63">
        <f>'[2]Calc_Coef _18'!AH960</f>
        <v>11543.725015272823</v>
      </c>
      <c r="F962" s="64">
        <f>'[2]Calc_Coef _18'!AI960</f>
        <v>57.5</v>
      </c>
      <c r="G962" s="30"/>
      <c r="H962"/>
      <c r="I962"/>
    </row>
    <row r="963" spans="1:9" x14ac:dyDescent="0.25">
      <c r="A963" s="32">
        <f>'[2]Calc_Coef _18'!AE961</f>
        <v>8500418</v>
      </c>
      <c r="B963" s="32" t="str">
        <f>'[2]Calc_Coef _18'!C961</f>
        <v>220290</v>
      </c>
      <c r="C963" s="32" t="str">
        <f>'[2]Calc_Coef _18'!AF961</f>
        <v>SUCO DE PESSEGO EM CALDA</v>
      </c>
      <c r="D963" s="63">
        <f>'[2]Calc_Coef _18'!AG961</f>
        <v>477.7</v>
      </c>
      <c r="E963" s="63">
        <f>'[2]Calc_Coef _18'!AH961</f>
        <v>11543.725015272823</v>
      </c>
      <c r="F963" s="64">
        <f>'[2]Calc_Coef _18'!AI961</f>
        <v>57.5</v>
      </c>
      <c r="G963" s="30"/>
      <c r="H963"/>
      <c r="I963"/>
    </row>
    <row r="964" spans="1:9" x14ac:dyDescent="0.25">
      <c r="A964" s="32">
        <f>'[2]Calc_Coef _18'!AE962</f>
        <v>8500601</v>
      </c>
      <c r="B964" s="32" t="str">
        <f>'[2]Calc_Coef _18'!C962</f>
        <v>220290</v>
      </c>
      <c r="C964" s="32" t="str">
        <f>'[2]Calc_Coef _18'!AF962</f>
        <v>REFRESCO</v>
      </c>
      <c r="D964" s="63">
        <f>'[2]Calc_Coef _18'!AG962</f>
        <v>477.7</v>
      </c>
      <c r="E964" s="63">
        <f>'[2]Calc_Coef _18'!AH962</f>
        <v>11543.725015272823</v>
      </c>
      <c r="F964" s="64">
        <f>'[2]Calc_Coef _18'!AI962</f>
        <v>57.5</v>
      </c>
      <c r="G964" s="30"/>
      <c r="H964"/>
      <c r="I964"/>
    </row>
    <row r="965" spans="1:9" x14ac:dyDescent="0.25">
      <c r="A965" s="32">
        <f>'[2]Calc_Coef _18'!AE963</f>
        <v>8500602</v>
      </c>
      <c r="B965" s="32" t="str">
        <f>'[2]Calc_Coef _18'!C963</f>
        <v>220290</v>
      </c>
      <c r="C965" s="32" t="str">
        <f>'[2]Calc_Coef _18'!AF963</f>
        <v>REFRESCO DE CAJU</v>
      </c>
      <c r="D965" s="63">
        <f>'[2]Calc_Coef _18'!AG963</f>
        <v>477.7</v>
      </c>
      <c r="E965" s="63">
        <f>'[2]Calc_Coef _18'!AH963</f>
        <v>11543.725015272823</v>
      </c>
      <c r="F965" s="64">
        <f>'[2]Calc_Coef _18'!AI963</f>
        <v>57.5</v>
      </c>
      <c r="G965" s="30"/>
      <c r="H965"/>
      <c r="I965"/>
    </row>
    <row r="966" spans="1:9" x14ac:dyDescent="0.25">
      <c r="A966" s="32">
        <f>'[2]Calc_Coef _18'!AE964</f>
        <v>8500603</v>
      </c>
      <c r="B966" s="32" t="str">
        <f>'[2]Calc_Coef _18'!C964</f>
        <v>220290</v>
      </c>
      <c r="C966" s="32" t="str">
        <f>'[2]Calc_Coef _18'!AF964</f>
        <v>REFRESCO DE GROSELHA</v>
      </c>
      <c r="D966" s="63">
        <f>'[2]Calc_Coef _18'!AG964</f>
        <v>477.7</v>
      </c>
      <c r="E966" s="63">
        <f>'[2]Calc_Coef _18'!AH964</f>
        <v>11543.725015272823</v>
      </c>
      <c r="F966" s="64">
        <f>'[2]Calc_Coef _18'!AI964</f>
        <v>57.5</v>
      </c>
      <c r="G966" s="30"/>
      <c r="H966"/>
      <c r="I966"/>
    </row>
    <row r="967" spans="1:9" x14ac:dyDescent="0.25">
      <c r="A967" s="32">
        <f>'[2]Calc_Coef _18'!AE965</f>
        <v>8500604</v>
      </c>
      <c r="B967" s="32" t="str">
        <f>'[2]Calc_Coef _18'!C965</f>
        <v>220290</v>
      </c>
      <c r="C967" s="32" t="str">
        <f>'[2]Calc_Coef _18'!AF965</f>
        <v>REFRESCO DE LARANJA</v>
      </c>
      <c r="D967" s="63">
        <f>'[2]Calc_Coef _18'!AG965</f>
        <v>477.7</v>
      </c>
      <c r="E967" s="63">
        <f>'[2]Calc_Coef _18'!AH965</f>
        <v>11543.725015272823</v>
      </c>
      <c r="F967" s="64">
        <f>'[2]Calc_Coef _18'!AI965</f>
        <v>57.5</v>
      </c>
      <c r="G967" s="30"/>
      <c r="H967"/>
      <c r="I967"/>
    </row>
    <row r="968" spans="1:9" x14ac:dyDescent="0.25">
      <c r="A968" s="32">
        <f>'[2]Calc_Coef _18'!AE966</f>
        <v>8500605</v>
      </c>
      <c r="B968" s="32" t="str">
        <f>'[2]Calc_Coef _18'!C966</f>
        <v>220290</v>
      </c>
      <c r="C968" s="32" t="str">
        <f>'[2]Calc_Coef _18'!AF966</f>
        <v>REFRESCO DE MARACUJA</v>
      </c>
      <c r="D968" s="63">
        <f>'[2]Calc_Coef _18'!AG966</f>
        <v>477.7</v>
      </c>
      <c r="E968" s="63">
        <f>'[2]Calc_Coef _18'!AH966</f>
        <v>11543.725015272823</v>
      </c>
      <c r="F968" s="64">
        <f>'[2]Calc_Coef _18'!AI966</f>
        <v>57.5</v>
      </c>
      <c r="G968" s="30"/>
      <c r="H968"/>
      <c r="I968"/>
    </row>
    <row r="969" spans="1:9" x14ac:dyDescent="0.25">
      <c r="A969" s="32">
        <f>'[2]Calc_Coef _18'!AE967</f>
        <v>8500606</v>
      </c>
      <c r="B969" s="32" t="str">
        <f>'[2]Calc_Coef _18'!C967</f>
        <v>220290</v>
      </c>
      <c r="C969" s="32" t="str">
        <f>'[2]Calc_Coef _18'!AF967</f>
        <v>REFRESCO DE LIMAO</v>
      </c>
      <c r="D969" s="63">
        <f>'[2]Calc_Coef _18'!AG967</f>
        <v>477.7</v>
      </c>
      <c r="E969" s="63">
        <f>'[2]Calc_Coef _18'!AH967</f>
        <v>11543.725015272823</v>
      </c>
      <c r="F969" s="64">
        <f>'[2]Calc_Coef _18'!AI967</f>
        <v>57.5</v>
      </c>
      <c r="G969" s="30"/>
      <c r="H969"/>
      <c r="I969"/>
    </row>
    <row r="970" spans="1:9" x14ac:dyDescent="0.25">
      <c r="A970" s="32">
        <f>'[2]Calc_Coef _18'!AE968</f>
        <v>8500607</v>
      </c>
      <c r="B970" s="32" t="str">
        <f>'[2]Calc_Coef _18'!C968</f>
        <v>220290</v>
      </c>
      <c r="C970" s="32" t="str">
        <f>'[2]Calc_Coef _18'!AF968</f>
        <v>REFRESCO CLIGHT</v>
      </c>
      <c r="D970" s="63">
        <f>'[2]Calc_Coef _18'!AG968</f>
        <v>477.7</v>
      </c>
      <c r="E970" s="63">
        <f>'[2]Calc_Coef _18'!AH968</f>
        <v>11543.725015272823</v>
      </c>
      <c r="F970" s="64">
        <f>'[2]Calc_Coef _18'!AI968</f>
        <v>57.5</v>
      </c>
      <c r="G970" s="30"/>
      <c r="H970"/>
      <c r="I970"/>
    </row>
    <row r="971" spans="1:9" x14ac:dyDescent="0.25">
      <c r="A971" s="32">
        <f>'[2]Calc_Coef _18'!AE969</f>
        <v>8500608</v>
      </c>
      <c r="B971" s="32" t="str">
        <f>'[2]Calc_Coef _18'!C969</f>
        <v>220290</v>
      </c>
      <c r="C971" s="32" t="str">
        <f>'[2]Calc_Coef _18'!AF969</f>
        <v>REFRESCO DE GUARANA NATURAL LIGHT / DIET</v>
      </c>
      <c r="D971" s="63">
        <f>'[2]Calc_Coef _18'!AG969</f>
        <v>477.7</v>
      </c>
      <c r="E971" s="63">
        <f>'[2]Calc_Coef _18'!AH969</f>
        <v>11543.725015272823</v>
      </c>
      <c r="F971" s="64">
        <f>'[2]Calc_Coef _18'!AI969</f>
        <v>57.5</v>
      </c>
      <c r="G971" s="30"/>
      <c r="H971"/>
      <c r="I971"/>
    </row>
    <row r="972" spans="1:9" x14ac:dyDescent="0.25">
      <c r="A972" s="32">
        <f>'[2]Calc_Coef _18'!AE970</f>
        <v>8500609</v>
      </c>
      <c r="B972" s="32" t="str">
        <f>'[2]Calc_Coef _18'!C970</f>
        <v>220290</v>
      </c>
      <c r="C972" s="32" t="str">
        <f>'[2]Calc_Coef _18'!AF970</f>
        <v>REFRESCO TANG</v>
      </c>
      <c r="D972" s="63">
        <f>'[2]Calc_Coef _18'!AG970</f>
        <v>477.7</v>
      </c>
      <c r="E972" s="63">
        <f>'[2]Calc_Coef _18'!AH970</f>
        <v>11543.725015272823</v>
      </c>
      <c r="F972" s="64">
        <f>'[2]Calc_Coef _18'!AI970</f>
        <v>57.5</v>
      </c>
      <c r="G972" s="30"/>
      <c r="H972"/>
      <c r="I972"/>
    </row>
    <row r="973" spans="1:9" x14ac:dyDescent="0.25">
      <c r="A973" s="32">
        <f>'[2]Calc_Coef _18'!AE971</f>
        <v>8500903</v>
      </c>
      <c r="B973" s="32" t="str">
        <f>'[2]Calc_Coef _18'!C971</f>
        <v>190590</v>
      </c>
      <c r="C973" s="32" t="str">
        <f>'[2]Calc_Coef _18'!AF971</f>
        <v>PIZZA</v>
      </c>
      <c r="D973" s="63">
        <f>'[2]Calc_Coef _18'!AG971</f>
        <v>4400</v>
      </c>
      <c r="E973" s="63">
        <f>'[2]Calc_Coef _18'!AH971</f>
        <v>1045.2</v>
      </c>
      <c r="F973" s="64">
        <f>'[2]Calc_Coef _18'!AI971</f>
        <v>6.7933333333333339</v>
      </c>
      <c r="G973" s="30"/>
      <c r="H973"/>
      <c r="I973"/>
    </row>
    <row r="974" spans="1:9" x14ac:dyDescent="0.25">
      <c r="A974" s="32">
        <f>'[2]Calc_Coef _18'!AE972</f>
        <v>8500905</v>
      </c>
      <c r="B974" s="32">
        <f>'[2]Calc_Coef _18'!C972</f>
        <v>190230</v>
      </c>
      <c r="C974" s="32" t="str">
        <f>'[2]Calc_Coef _18'!AF972</f>
        <v>NHOQUE</v>
      </c>
      <c r="D974" s="63">
        <f>'[2]Calc_Coef _18'!AG972</f>
        <v>1447.9877152988854</v>
      </c>
      <c r="E974" s="63">
        <f>'[2]Calc_Coef _18'!AH972</f>
        <v>1730.2020304029807</v>
      </c>
      <c r="F974" s="64">
        <f>'[2]Calc_Coef _18'!AI972</f>
        <v>10.5</v>
      </c>
      <c r="G974" s="30"/>
      <c r="H974"/>
      <c r="I974"/>
    </row>
    <row r="975" spans="1:9" x14ac:dyDescent="0.25">
      <c r="A975" s="32">
        <f>'[2]Calc_Coef _18'!AE973</f>
        <v>8500914</v>
      </c>
      <c r="B975" s="32">
        <f>'[2]Calc_Coef _18'!C973</f>
        <v>190590</v>
      </c>
      <c r="C975" s="32" t="str">
        <f>'[2]Calc_Coef _18'!AF973</f>
        <v>PIZZA CALABREZA</v>
      </c>
      <c r="D975" s="63">
        <f>'[2]Calc_Coef _18'!AG973</f>
        <v>5700</v>
      </c>
      <c r="E975" s="63">
        <f>'[2]Calc_Coef _18'!AH973</f>
        <v>1600</v>
      </c>
      <c r="F975" s="64">
        <f>'[2]Calc_Coef _18'!AI973</f>
        <v>6.7933333333333339</v>
      </c>
      <c r="G975" s="30"/>
      <c r="H975"/>
      <c r="I975"/>
    </row>
    <row r="976" spans="1:9" x14ac:dyDescent="0.25">
      <c r="A976" s="32">
        <f>'[2]Calc_Coef _18'!AE974</f>
        <v>8500915</v>
      </c>
      <c r="B976" s="32">
        <f>'[2]Calc_Coef _18'!C974</f>
        <v>190590</v>
      </c>
      <c r="C976" s="32" t="str">
        <f>'[2]Calc_Coef _18'!AF974</f>
        <v>PIZZA MUZZARELA</v>
      </c>
      <c r="D976" s="63">
        <f>'[2]Calc_Coef _18'!AG974</f>
        <v>4000</v>
      </c>
      <c r="E976" s="63">
        <f>'[2]Calc_Coef _18'!AH974</f>
        <v>1600</v>
      </c>
      <c r="F976" s="64">
        <f>'[2]Calc_Coef _18'!AI974</f>
        <v>6.7933333333333339</v>
      </c>
      <c r="G976" s="30"/>
      <c r="H976"/>
      <c r="I976"/>
    </row>
    <row r="977" spans="1:9" x14ac:dyDescent="0.25">
      <c r="A977" s="32">
        <f>'[2]Calc_Coef _18'!AE975</f>
        <v>8500916</v>
      </c>
      <c r="B977" s="32">
        <f>'[2]Calc_Coef _18'!C975</f>
        <v>190590</v>
      </c>
      <c r="C977" s="32" t="str">
        <f>'[2]Calc_Coef _18'!AF975</f>
        <v>PIZZA PRESUNTO</v>
      </c>
      <c r="D977" s="63">
        <f>'[2]Calc_Coef _18'!AG975</f>
        <v>4200</v>
      </c>
      <c r="E977" s="63">
        <f>'[2]Calc_Coef _18'!AH975</f>
        <v>1600</v>
      </c>
      <c r="F977" s="64">
        <f>'[2]Calc_Coef _18'!AI975</f>
        <v>6.7933333333333339</v>
      </c>
      <c r="G977" s="30"/>
      <c r="H977"/>
      <c r="I977"/>
    </row>
    <row r="978" spans="1:9" x14ac:dyDescent="0.25">
      <c r="A978" s="32">
        <f>'[2]Calc_Coef _18'!AE976</f>
        <v>8501004</v>
      </c>
      <c r="B978" s="32" t="str">
        <f>'[2]Calc_Coef _18'!C976</f>
        <v>020711</v>
      </c>
      <c r="C978" s="32" t="str">
        <f>'[2]Calc_Coef _18'!AF976</f>
        <v>GALETO</v>
      </c>
      <c r="D978" s="63">
        <f>'[2]Calc_Coef _18'!AG976</f>
        <v>3320.9089509884666</v>
      </c>
      <c r="E978" s="63">
        <f>'[2]Calc_Coef _18'!AH976</f>
        <v>4474.4591510944665</v>
      </c>
      <c r="F978" s="64">
        <f>'[2]Calc_Coef _18'!AI976</f>
        <v>26.5</v>
      </c>
      <c r="G978" s="30"/>
      <c r="H978"/>
      <c r="I978"/>
    </row>
    <row r="979" spans="1:9" x14ac:dyDescent="0.25">
      <c r="A979" s="32">
        <f>'[2]Calc_Coef _18'!AE977</f>
        <v>8501202</v>
      </c>
      <c r="B979" s="32" t="str">
        <f>'[2]Calc_Coef _18'!C977</f>
        <v>100590</v>
      </c>
      <c r="C979" s="32" t="str">
        <f>'[2]Calc_Coef _18'!AF977</f>
        <v>PIPOCA DOCE OU SALGADA</v>
      </c>
      <c r="D979" s="63">
        <f>'[2]Calc_Coef _18'!AG977</f>
        <v>558.33333333333337</v>
      </c>
      <c r="E979" s="63">
        <f>'[2]Calc_Coef _18'!AH977</f>
        <v>1254.7498947363872</v>
      </c>
      <c r="F979" s="64">
        <f>'[2]Calc_Coef _18'!AI977</f>
        <v>3.2495477253553973</v>
      </c>
      <c r="G979" s="30"/>
      <c r="H979"/>
      <c r="I979"/>
    </row>
    <row r="980" spans="1:9" x14ac:dyDescent="0.25">
      <c r="A980" s="32">
        <f>'[2]Calc_Coef _18'!AE978</f>
        <v>8501302</v>
      </c>
      <c r="B980" s="32" t="str">
        <f>'[2]Calc_Coef _18'!C978</f>
        <v>090121</v>
      </c>
      <c r="C980" s="32" t="str">
        <f>'[2]Calc_Coef _18'!AF978</f>
        <v>CAFE</v>
      </c>
      <c r="D980" s="63">
        <f>'[2]Calc_Coef _18'!AG978</f>
        <v>330</v>
      </c>
      <c r="E980" s="63">
        <f>'[2]Calc_Coef _18'!AH978</f>
        <v>12260.744090910444</v>
      </c>
      <c r="F980" s="64">
        <f>'[2]Calc_Coef _18'!AI978</f>
        <v>52</v>
      </c>
      <c r="G980" s="30"/>
      <c r="H980"/>
      <c r="I980"/>
    </row>
    <row r="981" spans="1:9" x14ac:dyDescent="0.25">
      <c r="A981" s="32">
        <f>'[2]Calc_Coef _18'!AE979</f>
        <v>8501304</v>
      </c>
      <c r="B981" s="32" t="str">
        <f>'[2]Calc_Coef _18'!C979</f>
        <v>090121</v>
      </c>
      <c r="C981" s="32" t="str">
        <f>'[2]Calc_Coef _18'!AF979</f>
        <v>CAFE TIPO EXPRESSO</v>
      </c>
      <c r="D981" s="63">
        <f>'[2]Calc_Coef _18'!AG979</f>
        <v>330</v>
      </c>
      <c r="E981" s="63">
        <f>'[2]Calc_Coef _18'!AH979</f>
        <v>12260.744090910444</v>
      </c>
      <c r="F981" s="64">
        <f>'[2]Calc_Coef _18'!AI979</f>
        <v>52</v>
      </c>
      <c r="G981" s="30"/>
      <c r="H981"/>
      <c r="I981"/>
    </row>
    <row r="982" spans="1:9" x14ac:dyDescent="0.25">
      <c r="A982" s="32">
        <f>'[2]Calc_Coef _18'!AE980</f>
        <v>8501305</v>
      </c>
      <c r="B982" s="32" t="str">
        <f>'[2]Calc_Coef _18'!C980</f>
        <v>090121</v>
      </c>
      <c r="C982" s="32" t="str">
        <f>'[2]Calc_Coef _18'!AF980</f>
        <v>CAFE TIPO CAPUCCINO</v>
      </c>
      <c r="D982" s="63">
        <f>'[2]Calc_Coef _18'!AG980</f>
        <v>330</v>
      </c>
      <c r="E982" s="63">
        <f>'[2]Calc_Coef _18'!AH980</f>
        <v>12260.744090910444</v>
      </c>
      <c r="F982" s="64">
        <f>'[2]Calc_Coef _18'!AI980</f>
        <v>52</v>
      </c>
      <c r="G982" s="30"/>
      <c r="H982"/>
      <c r="I982"/>
    </row>
    <row r="983" spans="1:9" x14ac:dyDescent="0.25">
      <c r="A983" s="32">
        <f>'[2]Calc_Coef _18'!AE981</f>
        <v>8501306</v>
      </c>
      <c r="B983" s="32" t="str">
        <f>'[2]Calc_Coef _18'!C981</f>
        <v>090121</v>
      </c>
      <c r="C983" s="32" t="str">
        <f>'[2]Calc_Coef _18'!AF981</f>
        <v>CAFE CAPPUCINO DESCAFEINADO</v>
      </c>
      <c r="D983" s="63">
        <f>'[2]Calc_Coef _18'!AG981</f>
        <v>330</v>
      </c>
      <c r="E983" s="63">
        <f>'[2]Calc_Coef _18'!AH981</f>
        <v>12260.744090910444</v>
      </c>
      <c r="F983" s="64">
        <f>'[2]Calc_Coef _18'!AI981</f>
        <v>52</v>
      </c>
      <c r="G983" s="30"/>
      <c r="H983"/>
      <c r="I983"/>
    </row>
    <row r="984" spans="1:9" x14ac:dyDescent="0.25">
      <c r="A984" s="32">
        <f>'[2]Calc_Coef _18'!AE982</f>
        <v>8501307</v>
      </c>
      <c r="B984" s="32" t="str">
        <f>'[2]Calc_Coef _18'!C982</f>
        <v>090121</v>
      </c>
      <c r="C984" s="32" t="str">
        <f>'[2]Calc_Coef _18'!AF982</f>
        <v>CAFE CAPPUCINO LIGHT / DIET</v>
      </c>
      <c r="D984" s="63">
        <f>'[2]Calc_Coef _18'!AG982</f>
        <v>330</v>
      </c>
      <c r="E984" s="63">
        <f>'[2]Calc_Coef _18'!AH982</f>
        <v>12260.744090910444</v>
      </c>
      <c r="F984" s="64">
        <f>'[2]Calc_Coef _18'!AI982</f>
        <v>52</v>
      </c>
      <c r="G984" s="30"/>
      <c r="H984"/>
      <c r="I984"/>
    </row>
    <row r="985" spans="1:9" x14ac:dyDescent="0.25">
      <c r="A985" s="32">
        <f>'[2]Calc_Coef _18'!AE983</f>
        <v>8501308</v>
      </c>
      <c r="B985" s="32" t="str">
        <f>'[2]Calc_Coef _18'!C983</f>
        <v>090121</v>
      </c>
      <c r="C985" s="32" t="str">
        <f>'[2]Calc_Coef _18'!AF983</f>
        <v>CAFE CARIOCA</v>
      </c>
      <c r="D985" s="63">
        <f>'[2]Calc_Coef _18'!AG983</f>
        <v>330</v>
      </c>
      <c r="E985" s="63">
        <f>'[2]Calc_Coef _18'!AH983</f>
        <v>12260.744090910444</v>
      </c>
      <c r="F985" s="64">
        <f>'[2]Calc_Coef _18'!AI983</f>
        <v>52</v>
      </c>
      <c r="G985" s="30"/>
      <c r="H985"/>
      <c r="I985"/>
    </row>
    <row r="986" spans="1:9" x14ac:dyDescent="0.25">
      <c r="A986" s="32">
        <f>'[2]Calc_Coef _18'!AE984</f>
        <v>8501310</v>
      </c>
      <c r="B986" s="32" t="str">
        <f>'[2]Calc_Coef _18'!C984</f>
        <v>090121</v>
      </c>
      <c r="C986" s="32" t="str">
        <f>'[2]Calc_Coef _18'!AF984</f>
        <v>CAFE DESCAFEINADO</v>
      </c>
      <c r="D986" s="63">
        <f>'[2]Calc_Coef _18'!AG984</f>
        <v>330</v>
      </c>
      <c r="E986" s="63">
        <f>'[2]Calc_Coef _18'!AH984</f>
        <v>12260.744090910444</v>
      </c>
      <c r="F986" s="64">
        <f>'[2]Calc_Coef _18'!AI984</f>
        <v>52</v>
      </c>
      <c r="G986" s="30"/>
      <c r="H986"/>
      <c r="I986"/>
    </row>
    <row r="987" spans="1:9" x14ac:dyDescent="0.25">
      <c r="A987" s="32">
        <f>'[2]Calc_Coef _18'!AE985</f>
        <v>8501311</v>
      </c>
      <c r="B987" s="32" t="str">
        <f>'[2]Calc_Coef _18'!C985</f>
        <v>090121</v>
      </c>
      <c r="C987" s="32" t="str">
        <f>'[2]Calc_Coef _18'!AF985</f>
        <v>CAFE EXPRESSO DESCAFEINADO</v>
      </c>
      <c r="D987" s="63">
        <f>'[2]Calc_Coef _18'!AG985</f>
        <v>330</v>
      </c>
      <c r="E987" s="63">
        <f>'[2]Calc_Coef _18'!AH985</f>
        <v>12260.744090910444</v>
      </c>
      <c r="F987" s="64">
        <f>'[2]Calc_Coef _18'!AI985</f>
        <v>52</v>
      </c>
      <c r="G987" s="30"/>
      <c r="H987"/>
      <c r="I987"/>
    </row>
    <row r="988" spans="1:9" x14ac:dyDescent="0.25">
      <c r="A988" s="32">
        <f>'[2]Calc_Coef _18'!AE986</f>
        <v>8501402</v>
      </c>
      <c r="B988" s="32" t="str">
        <f>'[2]Calc_Coef _18'!C986</f>
        <v>100590</v>
      </c>
      <c r="C988" s="32" t="str">
        <f>'[2]Calc_Coef _18'!AF986</f>
        <v>MILHO COZIDO</v>
      </c>
      <c r="D988" s="63">
        <f>'[2]Calc_Coef _18'!AG986</f>
        <v>558.33333333333337</v>
      </c>
      <c r="E988" s="63">
        <f>'[2]Calc_Coef _18'!AH986</f>
        <v>1254.7498947363872</v>
      </c>
      <c r="F988" s="64">
        <f>'[2]Calc_Coef _18'!AI986</f>
        <v>3.2495477253553973</v>
      </c>
      <c r="G988" s="30"/>
      <c r="H988"/>
      <c r="I988"/>
    </row>
    <row r="989" spans="1:9" x14ac:dyDescent="0.25">
      <c r="A989" s="32">
        <f>'[2]Calc_Coef _18'!AE987</f>
        <v>8501502</v>
      </c>
      <c r="B989" s="32">
        <f>'[2]Calc_Coef _18'!C987</f>
        <v>200520</v>
      </c>
      <c r="C989" s="32" t="str">
        <f>'[2]Calc_Coef _18'!AF987</f>
        <v>BATATA PALITO</v>
      </c>
      <c r="D989" s="63">
        <f>'[2]Calc_Coef _18'!AG987</f>
        <v>2200</v>
      </c>
      <c r="E989" s="63">
        <f>'[2]Calc_Coef _18'!AH987</f>
        <v>2256.485722150212</v>
      </c>
      <c r="F989" s="64">
        <f>'[2]Calc_Coef _18'!AI987</f>
        <v>5</v>
      </c>
      <c r="G989" s="30"/>
      <c r="H989"/>
      <c r="I989"/>
    </row>
    <row r="990" spans="1:9" x14ac:dyDescent="0.25">
      <c r="A990" s="32">
        <f>'[2]Calc_Coef _18'!AE988</f>
        <v>8501503</v>
      </c>
      <c r="B990" s="32">
        <f>'[2]Calc_Coef _18'!C988</f>
        <v>200520</v>
      </c>
      <c r="C990" s="32" t="str">
        <f>'[2]Calc_Coef _18'!AF988</f>
        <v>BATATA PALHA</v>
      </c>
      <c r="D990" s="63">
        <f>'[2]Calc_Coef _18'!AG988</f>
        <v>2200</v>
      </c>
      <c r="E990" s="63">
        <f>'[2]Calc_Coef _18'!AH988</f>
        <v>2256.485722150212</v>
      </c>
      <c r="F990" s="64">
        <f>'[2]Calc_Coef _18'!AI988</f>
        <v>5</v>
      </c>
      <c r="G990" s="30"/>
      <c r="H990"/>
      <c r="I990"/>
    </row>
    <row r="991" spans="1:9" x14ac:dyDescent="0.25">
      <c r="A991" s="32">
        <f>'[2]Calc_Coef _18'!AE989</f>
        <v>8501904</v>
      </c>
      <c r="B991" s="32">
        <f>'[2]Calc_Coef _18'!C989</f>
        <v>190190</v>
      </c>
      <c r="C991" s="32" t="str">
        <f>'[2]Calc_Coef _18'!AF989</f>
        <v>CURAU</v>
      </c>
      <c r="D991" s="63">
        <f>'[2]Calc_Coef _18'!AG989</f>
        <v>3200</v>
      </c>
      <c r="E991" s="63">
        <f>'[2]Calc_Coef _18'!AH989</f>
        <v>1870.1099089032616</v>
      </c>
      <c r="F991" s="64">
        <f>'[2]Calc_Coef _18'!AI989</f>
        <v>5</v>
      </c>
      <c r="G991" s="30"/>
      <c r="H991"/>
      <c r="I991"/>
    </row>
    <row r="992" spans="1:9" x14ac:dyDescent="0.25">
      <c r="A992" s="32">
        <f>'[2]Calc_Coef _18'!AE990</f>
        <v>8502101</v>
      </c>
      <c r="B992" s="32">
        <f>'[2]Calc_Coef _18'!C990</f>
        <v>110620</v>
      </c>
      <c r="C992" s="32" t="str">
        <f>'[2]Calc_Coef _18'!AF990</f>
        <v>FAROFA PRONTA LIGHT</v>
      </c>
      <c r="D992" s="63">
        <f>'[2]Calc_Coef _18'!AG990</f>
        <v>594</v>
      </c>
      <c r="E992" s="63">
        <f>'[2]Calc_Coef _18'!AH990</f>
        <v>1854.3502757816716</v>
      </c>
      <c r="F992" s="64">
        <f>'[2]Calc_Coef _18'!AI990</f>
        <v>8.5</v>
      </c>
      <c r="G992" s="30"/>
      <c r="H992"/>
      <c r="I992"/>
    </row>
    <row r="993" spans="1:9" x14ac:dyDescent="0.25">
      <c r="A993" s="32">
        <f>'[2]Calc_Coef _18'!AE991</f>
        <v>8502901</v>
      </c>
      <c r="B993" s="32">
        <f>'[2]Calc_Coef _18'!C991</f>
        <v>110620</v>
      </c>
      <c r="C993" s="32" t="str">
        <f>'[2]Calc_Coef _18'!AF991</f>
        <v>FAROFA PRONTA</v>
      </c>
      <c r="D993" s="63">
        <f>'[2]Calc_Coef _18'!AG991</f>
        <v>594</v>
      </c>
      <c r="E993" s="63">
        <f>'[2]Calc_Coef _18'!AH991</f>
        <v>1854.3502757816716</v>
      </c>
      <c r="F993" s="64">
        <f>'[2]Calc_Coef _18'!AI991</f>
        <v>8.5</v>
      </c>
      <c r="G993" s="30"/>
      <c r="H993"/>
      <c r="I993"/>
    </row>
    <row r="994" spans="1:9" x14ac:dyDescent="0.25">
      <c r="A994" s="32">
        <f>'[2]Calc_Coef _18'!AE992</f>
        <v>8503202</v>
      </c>
      <c r="B994" s="32">
        <f>'[2]Calc_Coef _18'!C992</f>
        <v>210410</v>
      </c>
      <c r="C994" s="32" t="str">
        <f>'[2]Calc_Coef _18'!AF992</f>
        <v>CALDO DE CARNE</v>
      </c>
      <c r="D994" s="63">
        <f>'[2]Calc_Coef _18'!AG992</f>
        <v>2800</v>
      </c>
      <c r="E994" s="63">
        <f>'[2]Calc_Coef _18'!AH992</f>
        <v>6114.9086447857417</v>
      </c>
      <c r="F994" s="64">
        <f>'[2]Calc_Coef _18'!AI992</f>
        <v>33.5</v>
      </c>
      <c r="G994" s="30"/>
      <c r="H994"/>
      <c r="I994"/>
    </row>
    <row r="995" spans="1:9" x14ac:dyDescent="0.25">
      <c r="A995" s="32">
        <f>'[2]Calc_Coef _18'!AE993</f>
        <v>8507601</v>
      </c>
      <c r="B995" s="32" t="str">
        <f>'[2]Calc_Coef _18'!C993</f>
        <v>180500</v>
      </c>
      <c r="C995" s="32" t="str">
        <f>'[2]Calc_Coef _18'!AF993</f>
        <v>CHOCOLATE</v>
      </c>
      <c r="D995" s="63">
        <f>'[2]Calc_Coef _18'!AG993</f>
        <v>2333.3333333333335</v>
      </c>
      <c r="E995" s="63">
        <f>'[2]Calc_Coef _18'!AH993</f>
        <v>30989.752514303607</v>
      </c>
      <c r="F995" s="64">
        <f>'[2]Calc_Coef _18'!AI993</f>
        <v>46</v>
      </c>
      <c r="G995" s="30"/>
      <c r="H995"/>
      <c r="I995"/>
    </row>
    <row r="996" spans="1:9" x14ac:dyDescent="0.25">
      <c r="A996" s="32">
        <f>'[2]Calc_Coef _18'!AE994</f>
        <v>8511401</v>
      </c>
      <c r="B996" s="32" t="str">
        <f>'[2]Calc_Coef _18'!C994</f>
        <v>070200</v>
      </c>
      <c r="C996" s="32" t="str">
        <f>'[2]Calc_Coef _18'!AF994</f>
        <v>SALADA DE TOMATE</v>
      </c>
      <c r="D996" s="63">
        <f>'[2]Calc_Coef _18'!AG994</f>
        <v>771.92651067033364</v>
      </c>
      <c r="E996" s="63">
        <f>'[2]Calc_Coef _18'!AH994</f>
        <v>441.55179914628678</v>
      </c>
      <c r="F996" s="64">
        <f>'[2]Calc_Coef _18'!AI994</f>
        <v>0.8</v>
      </c>
      <c r="G996" s="30"/>
      <c r="H996"/>
      <c r="I996"/>
    </row>
    <row r="997" spans="1:9" x14ac:dyDescent="0.25">
      <c r="A997" s="32">
        <f>'[2]Calc_Coef _18'!AE995</f>
        <v>8511501</v>
      </c>
      <c r="B997" s="32">
        <f>'[2]Calc_Coef _18'!C995</f>
        <v>100110</v>
      </c>
      <c r="C997" s="32" t="str">
        <f>'[2]Calc_Coef _18'!AF995</f>
        <v>TABULE</v>
      </c>
      <c r="D997" s="63">
        <f>'[2]Calc_Coef _18'!AG995</f>
        <v>388.5</v>
      </c>
      <c r="E997" s="63">
        <f>'[2]Calc_Coef _18'!AH995</f>
        <v>712</v>
      </c>
      <c r="F997" s="64">
        <f>'[2]Calc_Coef _18'!AI995</f>
        <v>10</v>
      </c>
      <c r="G997" s="30"/>
      <c r="H997"/>
      <c r="I997"/>
    </row>
    <row r="998" spans="1:9" x14ac:dyDescent="0.25">
      <c r="A998" s="32">
        <f>'[2]Calc_Coef _18'!AE996</f>
        <v>8579236</v>
      </c>
      <c r="B998" s="32" t="str">
        <f>'[2]Calc_Coef _18'!C996</f>
        <v>020130</v>
      </c>
      <c r="C998" s="32" t="str">
        <f>'[2]Calc_Coef _18'!AF996</f>
        <v>QUIBE CRU</v>
      </c>
      <c r="D998" s="63">
        <f>'[2]Calc_Coef _18'!AG996</f>
        <v>26937.633264372518</v>
      </c>
      <c r="E998" s="63">
        <f>'[2]Calc_Coef _18'!AH996</f>
        <v>18136.156896200948</v>
      </c>
      <c r="F998" s="64">
        <f>'[2]Calc_Coef _18'!AI996</f>
        <v>112.26701297421286</v>
      </c>
      <c r="G998" s="30"/>
      <c r="H998"/>
      <c r="I998"/>
    </row>
    <row r="999" spans="1:9" x14ac:dyDescent="0.25">
      <c r="A999" s="32">
        <f>'[2]Calc_Coef _18'!AE997</f>
        <v>8581301</v>
      </c>
      <c r="B999" s="32">
        <f>'[2]Calc_Coef _18'!C997</f>
        <v>210410</v>
      </c>
      <c r="C999" s="32" t="str">
        <f>'[2]Calc_Coef _18'!AF997</f>
        <v>SOPA INSTANTANEA</v>
      </c>
      <c r="D999" s="63">
        <f>'[2]Calc_Coef _18'!AG997</f>
        <v>2900</v>
      </c>
      <c r="E999" s="63">
        <f>'[2]Calc_Coef _18'!AH997</f>
        <v>6114.9086447857417</v>
      </c>
      <c r="F999" s="64">
        <f>'[2]Calc_Coef _18'!AI997</f>
        <v>33.5</v>
      </c>
      <c r="G999" s="30"/>
      <c r="H999"/>
      <c r="I999"/>
    </row>
    <row r="1000" spans="1:9" x14ac:dyDescent="0.25">
      <c r="A1000" s="32">
        <f>'[2]Calc_Coef _18'!AE998</f>
        <v>8582111</v>
      </c>
      <c r="B1000" s="32" t="str">
        <f>'[2]Calc_Coef _18'!C998</f>
        <v>190220</v>
      </c>
      <c r="C1000" s="32" t="str">
        <f>'[2]Calc_Coef _18'!AF998</f>
        <v>TORTA DE PRESUNTO E QUEIJO</v>
      </c>
      <c r="D1000" s="63">
        <f>'[2]Calc_Coef _18'!AG998</f>
        <v>3600</v>
      </c>
      <c r="E1000" s="63">
        <f>'[2]Calc_Coef _18'!AH998</f>
        <v>1730.2020304029807</v>
      </c>
      <c r="F1000" s="64">
        <f>'[2]Calc_Coef _18'!AI998</f>
        <v>10.5</v>
      </c>
      <c r="G1000" s="30"/>
      <c r="H1000"/>
      <c r="I1000"/>
    </row>
    <row r="1001" spans="1:9" ht="15.75" thickBot="1" x14ac:dyDescent="0.3">
      <c r="A1001" s="65">
        <f>'[2]Calc_Coef _18'!AE999</f>
        <v>8800109</v>
      </c>
      <c r="B1001" s="65" t="str">
        <f>'[2]Calc_Coef _18'!C999</f>
        <v>070999</v>
      </c>
      <c r="C1001" s="65" t="str">
        <f>'[2]Calc_Coef _18'!AF999</f>
        <v>PALMA</v>
      </c>
      <c r="D1001" s="66">
        <f>'[2]Calc_Coef _18'!AG999</f>
        <v>335.30210772833726</v>
      </c>
      <c r="E1001" s="66">
        <f>'[2]Calc_Coef _18'!AH999</f>
        <v>799.09345438723949</v>
      </c>
      <c r="F1001" s="67">
        <f>'[2]Calc_Coef _18'!AI999</f>
        <v>1.5</v>
      </c>
      <c r="G1001" s="30"/>
      <c r="H1001"/>
      <c r="I1001"/>
    </row>
    <row r="1002" spans="1:9" x14ac:dyDescent="0.25">
      <c r="A1002" s="32"/>
      <c r="B1002" s="58"/>
      <c r="C1002" s="6"/>
      <c r="D1002" s="56"/>
      <c r="E1002" s="56"/>
      <c r="F1002" s="57"/>
      <c r="G1002"/>
      <c r="H1002"/>
      <c r="I1002"/>
    </row>
    <row r="1003" spans="1:9" x14ac:dyDescent="0.25">
      <c r="A1003" s="32"/>
      <c r="B1003" s="58"/>
      <c r="C1003" s="6"/>
      <c r="D1003" s="56"/>
      <c r="E1003" s="56"/>
      <c r="F1003" s="57"/>
      <c r="G1003"/>
      <c r="H1003"/>
      <c r="I1003"/>
    </row>
    <row r="1004" spans="1:9" x14ac:dyDescent="0.25">
      <c r="A1004" s="32"/>
      <c r="B1004" s="58"/>
      <c r="C1004" s="6"/>
      <c r="D1004" s="56"/>
      <c r="E1004" s="56"/>
      <c r="F1004" s="57"/>
      <c r="G1004"/>
      <c r="H1004"/>
      <c r="I1004"/>
    </row>
    <row r="1005" spans="1:9" x14ac:dyDescent="0.25">
      <c r="A1005" s="32"/>
      <c r="B1005" s="58"/>
      <c r="C1005" s="6"/>
      <c r="D1005" s="56"/>
      <c r="E1005" s="56"/>
      <c r="F1005" s="57"/>
      <c r="G1005"/>
      <c r="H1005"/>
      <c r="I1005"/>
    </row>
    <row r="1006" spans="1:9" x14ac:dyDescent="0.25">
      <c r="A1006" s="31"/>
      <c r="B1006" s="30"/>
      <c r="C1006" s="31"/>
      <c r="D1006" s="31"/>
      <c r="E1006" s="30"/>
      <c r="F1006" s="30"/>
      <c r="G1006" s="32"/>
    </row>
  </sheetData>
  <sortState xmlns:xlrd2="http://schemas.microsoft.com/office/spreadsheetml/2017/richdata2" ref="A5:F1001">
    <sortCondition ref="A5:A1001"/>
  </sortState>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4"/>
  <sheetViews>
    <sheetView workbookViewId="0">
      <selection activeCell="F10" sqref="F10"/>
    </sheetView>
  </sheetViews>
  <sheetFormatPr defaultColWidth="24.85546875" defaultRowHeight="11.25" x14ac:dyDescent="0.2"/>
  <cols>
    <col min="1" max="1" width="24.85546875" style="11"/>
    <col min="2" max="2" width="24.85546875" style="10"/>
    <col min="3" max="4" width="10.7109375" style="52" customWidth="1"/>
    <col min="5" max="5" width="10.7109375" style="23" customWidth="1"/>
    <col min="6" max="16384" width="24.85546875" style="11"/>
  </cols>
  <sheetData>
    <row r="1" spans="1:7" ht="12" thickBot="1" x14ac:dyDescent="0.25">
      <c r="A1" s="18"/>
      <c r="B1" s="26"/>
      <c r="C1" s="49"/>
      <c r="D1" s="49"/>
      <c r="E1" s="9"/>
      <c r="F1" s="18"/>
      <c r="G1" s="18"/>
    </row>
    <row r="2" spans="1:7" x14ac:dyDescent="0.2">
      <c r="A2" s="24" t="s">
        <v>1836</v>
      </c>
      <c r="B2" s="24" t="s">
        <v>1837</v>
      </c>
      <c r="C2" s="50" t="s">
        <v>1838</v>
      </c>
      <c r="D2" s="50" t="s">
        <v>1839</v>
      </c>
      <c r="E2" s="53" t="s">
        <v>10</v>
      </c>
      <c r="F2" s="18"/>
      <c r="G2" s="18"/>
    </row>
    <row r="3" spans="1:7" ht="13.5" thickBot="1" x14ac:dyDescent="0.3">
      <c r="A3" s="25"/>
      <c r="B3" s="25"/>
      <c r="C3" s="84" t="s">
        <v>1840</v>
      </c>
      <c r="D3" s="84"/>
      <c r="E3" s="54" t="s">
        <v>1921</v>
      </c>
      <c r="F3" s="18"/>
      <c r="G3" s="18"/>
    </row>
    <row r="4" spans="1:7" ht="16.899999999999999" customHeight="1" x14ac:dyDescent="0.2">
      <c r="A4" s="27" t="s">
        <v>1841</v>
      </c>
      <c r="B4" s="26"/>
      <c r="C4" s="49"/>
      <c r="D4" s="49"/>
      <c r="E4" s="55"/>
      <c r="F4" s="18"/>
      <c r="G4" s="18"/>
    </row>
    <row r="5" spans="1:7" x14ac:dyDescent="0.2">
      <c r="A5" s="26" t="s">
        <v>2646</v>
      </c>
      <c r="B5" s="26" t="s">
        <v>9</v>
      </c>
      <c r="C5" s="49">
        <v>0</v>
      </c>
      <c r="D5" s="49">
        <v>20</v>
      </c>
      <c r="E5" s="55">
        <v>12.696666666666665</v>
      </c>
    </row>
    <row r="6" spans="1:7" x14ac:dyDescent="0.2">
      <c r="A6" s="26" t="s">
        <v>2647</v>
      </c>
      <c r="B6" s="26" t="s">
        <v>9</v>
      </c>
      <c r="C6" s="49">
        <v>0</v>
      </c>
      <c r="D6" s="49">
        <v>45</v>
      </c>
      <c r="E6" s="55">
        <v>28.567499999999995</v>
      </c>
    </row>
    <row r="7" spans="1:7" x14ac:dyDescent="0.2">
      <c r="A7" s="26" t="s">
        <v>2647</v>
      </c>
      <c r="B7" s="26" t="s">
        <v>8</v>
      </c>
      <c r="C7" s="49">
        <v>0</v>
      </c>
      <c r="D7" s="49">
        <v>45</v>
      </c>
      <c r="E7" s="55">
        <v>28.567499999999995</v>
      </c>
    </row>
    <row r="8" spans="1:7" x14ac:dyDescent="0.2">
      <c r="A8" s="26" t="s">
        <v>2648</v>
      </c>
      <c r="B8" s="26" t="s">
        <v>2649</v>
      </c>
      <c r="C8" s="49">
        <v>0</v>
      </c>
      <c r="D8" s="49">
        <v>0</v>
      </c>
      <c r="E8" s="55">
        <v>0</v>
      </c>
    </row>
    <row r="9" spans="1:7" x14ac:dyDescent="0.2">
      <c r="A9" s="26" t="s">
        <v>2648</v>
      </c>
      <c r="B9" s="26" t="s">
        <v>9</v>
      </c>
      <c r="C9" s="49">
        <v>0</v>
      </c>
      <c r="D9" s="49">
        <v>30</v>
      </c>
      <c r="E9" s="55">
        <v>19.044999999999998</v>
      </c>
    </row>
    <row r="10" spans="1:7" x14ac:dyDescent="0.2">
      <c r="A10" s="26" t="s">
        <v>2648</v>
      </c>
      <c r="B10" s="26" t="s">
        <v>2650</v>
      </c>
      <c r="C10" s="49">
        <v>0</v>
      </c>
      <c r="D10" s="49">
        <v>0</v>
      </c>
      <c r="E10" s="55">
        <v>0</v>
      </c>
    </row>
    <row r="11" spans="1:7" x14ac:dyDescent="0.2">
      <c r="A11" s="26" t="s">
        <v>2648</v>
      </c>
      <c r="B11" s="26" t="s">
        <v>8</v>
      </c>
      <c r="C11" s="49">
        <v>0</v>
      </c>
      <c r="D11" s="49">
        <v>30</v>
      </c>
      <c r="E11" s="55">
        <v>19.044999999999998</v>
      </c>
    </row>
    <row r="12" spans="1:7" x14ac:dyDescent="0.2">
      <c r="A12" s="26" t="s">
        <v>2648</v>
      </c>
      <c r="B12" s="26" t="s">
        <v>2651</v>
      </c>
      <c r="C12" s="49">
        <v>0</v>
      </c>
      <c r="D12" s="49">
        <v>10</v>
      </c>
      <c r="E12" s="55">
        <v>6.3483333333333327</v>
      </c>
    </row>
    <row r="13" spans="1:7" x14ac:dyDescent="0.2">
      <c r="A13" s="26" t="s">
        <v>2648</v>
      </c>
      <c r="B13" s="26" t="s">
        <v>2652</v>
      </c>
      <c r="C13" s="49">
        <v>0</v>
      </c>
      <c r="D13" s="49">
        <v>0</v>
      </c>
      <c r="E13" s="55">
        <v>0</v>
      </c>
    </row>
    <row r="14" spans="1:7" x14ac:dyDescent="0.2">
      <c r="A14" s="26" t="s">
        <v>2648</v>
      </c>
      <c r="B14" s="26" t="s">
        <v>2653</v>
      </c>
      <c r="C14" s="49">
        <v>0</v>
      </c>
      <c r="D14" s="49">
        <v>15</v>
      </c>
      <c r="E14" s="55">
        <v>9.5224999999999991</v>
      </c>
    </row>
    <row r="15" spans="1:7" x14ac:dyDescent="0.2">
      <c r="A15" s="26" t="s">
        <v>2654</v>
      </c>
      <c r="B15" s="26" t="s">
        <v>2649</v>
      </c>
      <c r="C15" s="49">
        <v>15</v>
      </c>
      <c r="D15" s="49">
        <v>0</v>
      </c>
      <c r="E15" s="55">
        <v>16.481249999999999</v>
      </c>
    </row>
    <row r="16" spans="1:7" x14ac:dyDescent="0.2">
      <c r="A16" s="26" t="s">
        <v>2654</v>
      </c>
      <c r="B16" s="26" t="s">
        <v>9</v>
      </c>
      <c r="C16" s="49">
        <v>0</v>
      </c>
      <c r="D16" s="49">
        <v>10</v>
      </c>
      <c r="E16" s="55">
        <v>6.3483333333333327</v>
      </c>
    </row>
    <row r="17" spans="1:5" x14ac:dyDescent="0.2">
      <c r="A17" s="26" t="s">
        <v>2654</v>
      </c>
      <c r="B17" s="26" t="s">
        <v>2650</v>
      </c>
      <c r="C17" s="49">
        <v>0</v>
      </c>
      <c r="D17" s="49">
        <v>0</v>
      </c>
      <c r="E17" s="55">
        <v>0</v>
      </c>
    </row>
    <row r="18" spans="1:5" x14ac:dyDescent="0.2">
      <c r="A18" s="26" t="s">
        <v>2654</v>
      </c>
      <c r="B18" s="26" t="s">
        <v>2655</v>
      </c>
      <c r="C18" s="49">
        <v>0</v>
      </c>
      <c r="D18" s="49">
        <v>10</v>
      </c>
      <c r="E18" s="55">
        <v>6.3483333333333327</v>
      </c>
    </row>
    <row r="19" spans="1:5" x14ac:dyDescent="0.2">
      <c r="A19" s="26" t="s">
        <v>2654</v>
      </c>
      <c r="B19" s="26" t="s">
        <v>8</v>
      </c>
      <c r="C19" s="49">
        <v>0</v>
      </c>
      <c r="D19" s="49">
        <v>0</v>
      </c>
      <c r="E19" s="55">
        <v>0</v>
      </c>
    </row>
    <row r="20" spans="1:5" x14ac:dyDescent="0.2">
      <c r="A20" s="26" t="s">
        <v>2654</v>
      </c>
      <c r="B20" s="26" t="s">
        <v>2651</v>
      </c>
      <c r="C20" s="49">
        <v>0</v>
      </c>
      <c r="D20" s="49">
        <v>10</v>
      </c>
      <c r="E20" s="55">
        <v>6.3483333333333327</v>
      </c>
    </row>
    <row r="21" spans="1:5" x14ac:dyDescent="0.2">
      <c r="A21" s="26" t="s">
        <v>2654</v>
      </c>
      <c r="B21" s="26" t="s">
        <v>2652</v>
      </c>
      <c r="C21" s="49">
        <v>0</v>
      </c>
      <c r="D21" s="49">
        <v>0</v>
      </c>
      <c r="E21" s="55">
        <v>0</v>
      </c>
    </row>
    <row r="22" spans="1:5" x14ac:dyDescent="0.2">
      <c r="A22" s="26" t="s">
        <v>2654</v>
      </c>
      <c r="B22" s="26" t="s">
        <v>2653</v>
      </c>
      <c r="C22" s="49">
        <v>0</v>
      </c>
      <c r="D22" s="49">
        <v>10</v>
      </c>
      <c r="E22" s="55">
        <v>6.3483333333333327</v>
      </c>
    </row>
    <row r="23" spans="1:5" x14ac:dyDescent="0.2">
      <c r="A23" s="26" t="s">
        <v>2656</v>
      </c>
      <c r="B23" s="26" t="s">
        <v>2649</v>
      </c>
      <c r="C23" s="49">
        <v>20</v>
      </c>
      <c r="D23" s="49">
        <v>0</v>
      </c>
      <c r="E23" s="55">
        <v>21.975000000000001</v>
      </c>
    </row>
    <row r="24" spans="1:5" x14ac:dyDescent="0.2">
      <c r="A24" s="26" t="s">
        <v>2656</v>
      </c>
      <c r="B24" s="26" t="s">
        <v>9</v>
      </c>
      <c r="C24" s="49">
        <v>0</v>
      </c>
      <c r="D24" s="49">
        <v>20</v>
      </c>
      <c r="E24" s="55">
        <v>12.696666666666665</v>
      </c>
    </row>
    <row r="25" spans="1:5" x14ac:dyDescent="0.2">
      <c r="A25" s="26" t="s">
        <v>2656</v>
      </c>
      <c r="B25" s="26" t="s">
        <v>2650</v>
      </c>
      <c r="C25" s="49">
        <v>0</v>
      </c>
      <c r="D25" s="49">
        <v>0</v>
      </c>
      <c r="E25" s="55">
        <v>0</v>
      </c>
    </row>
    <row r="26" spans="1:5" x14ac:dyDescent="0.2">
      <c r="A26" s="26" t="s">
        <v>2656</v>
      </c>
      <c r="B26" s="26" t="s">
        <v>2655</v>
      </c>
      <c r="C26" s="49">
        <v>0</v>
      </c>
      <c r="D26" s="49">
        <v>15</v>
      </c>
      <c r="E26" s="55">
        <v>9.5224999999999991</v>
      </c>
    </row>
    <row r="27" spans="1:5" x14ac:dyDescent="0.2">
      <c r="A27" s="26" t="s">
        <v>2656</v>
      </c>
      <c r="B27" s="26" t="s">
        <v>8</v>
      </c>
      <c r="C27" s="49">
        <v>0</v>
      </c>
      <c r="D27" s="49">
        <v>20</v>
      </c>
      <c r="E27" s="55">
        <v>12.696666666666665</v>
      </c>
    </row>
    <row r="28" spans="1:5" x14ac:dyDescent="0.2">
      <c r="A28" s="26" t="s">
        <v>2656</v>
      </c>
      <c r="B28" s="26" t="s">
        <v>2651</v>
      </c>
      <c r="C28" s="49">
        <v>0</v>
      </c>
      <c r="D28" s="49">
        <v>15</v>
      </c>
      <c r="E28" s="55">
        <v>9.5224999999999991</v>
      </c>
    </row>
    <row r="29" spans="1:5" x14ac:dyDescent="0.2">
      <c r="A29" s="26" t="s">
        <v>2656</v>
      </c>
      <c r="B29" s="26" t="s">
        <v>2652</v>
      </c>
      <c r="C29" s="49">
        <v>0</v>
      </c>
      <c r="D29" s="49">
        <v>0</v>
      </c>
      <c r="E29" s="55">
        <v>0</v>
      </c>
    </row>
    <row r="30" spans="1:5" x14ac:dyDescent="0.2">
      <c r="A30" s="26" t="s">
        <v>2656</v>
      </c>
      <c r="B30" s="26" t="s">
        <v>2653</v>
      </c>
      <c r="C30" s="49">
        <v>0</v>
      </c>
      <c r="D30" s="49">
        <v>15</v>
      </c>
      <c r="E30" s="55">
        <v>9.5224999999999991</v>
      </c>
    </row>
    <row r="31" spans="1:5" x14ac:dyDescent="0.2">
      <c r="A31" s="26" t="s">
        <v>2657</v>
      </c>
      <c r="B31" s="26" t="s">
        <v>2649</v>
      </c>
      <c r="C31" s="49">
        <v>20</v>
      </c>
      <c r="D31" s="49">
        <v>0</v>
      </c>
      <c r="E31" s="55">
        <v>21.975000000000001</v>
      </c>
    </row>
    <row r="32" spans="1:5" x14ac:dyDescent="0.2">
      <c r="A32" s="26" t="s">
        <v>2657</v>
      </c>
      <c r="B32" s="26" t="s">
        <v>9</v>
      </c>
      <c r="C32" s="49">
        <v>0</v>
      </c>
      <c r="D32" s="49">
        <v>30</v>
      </c>
      <c r="E32" s="55">
        <v>19.044999999999998</v>
      </c>
    </row>
    <row r="33" spans="1:5" x14ac:dyDescent="0.2">
      <c r="A33" s="26" t="s">
        <v>2657</v>
      </c>
      <c r="B33" s="26" t="s">
        <v>2650</v>
      </c>
      <c r="C33" s="49">
        <v>0</v>
      </c>
      <c r="D33" s="49">
        <v>0</v>
      </c>
      <c r="E33" s="55">
        <v>0</v>
      </c>
    </row>
    <row r="34" spans="1:5" x14ac:dyDescent="0.2">
      <c r="A34" s="26" t="s">
        <v>2657</v>
      </c>
      <c r="B34" s="26" t="s">
        <v>2655</v>
      </c>
      <c r="C34" s="49">
        <v>0</v>
      </c>
      <c r="D34" s="49">
        <v>10</v>
      </c>
      <c r="E34" s="55">
        <v>6.3483333333333327</v>
      </c>
    </row>
    <row r="35" spans="1:5" x14ac:dyDescent="0.2">
      <c r="A35" s="26" t="s">
        <v>2657</v>
      </c>
      <c r="B35" s="26" t="s">
        <v>8</v>
      </c>
      <c r="C35" s="49">
        <v>0</v>
      </c>
      <c r="D35" s="49">
        <v>30</v>
      </c>
      <c r="E35" s="55">
        <v>19.044999999999998</v>
      </c>
    </row>
    <row r="36" spans="1:5" x14ac:dyDescent="0.2">
      <c r="A36" s="26" t="s">
        <v>2657</v>
      </c>
      <c r="B36" s="26" t="s">
        <v>8</v>
      </c>
      <c r="C36" s="49">
        <v>0</v>
      </c>
      <c r="D36" s="49">
        <v>30</v>
      </c>
      <c r="E36" s="55">
        <v>19.044999999999998</v>
      </c>
    </row>
    <row r="37" spans="1:5" x14ac:dyDescent="0.2">
      <c r="A37" s="26" t="s">
        <v>2657</v>
      </c>
      <c r="B37" s="26" t="s">
        <v>2651</v>
      </c>
      <c r="C37" s="49">
        <v>0</v>
      </c>
      <c r="D37" s="49">
        <v>30</v>
      </c>
      <c r="E37" s="55">
        <v>19.044999999999998</v>
      </c>
    </row>
    <row r="38" spans="1:5" x14ac:dyDescent="0.2">
      <c r="A38" s="26" t="s">
        <v>2657</v>
      </c>
      <c r="B38" s="26" t="s">
        <v>2652</v>
      </c>
      <c r="C38" s="49">
        <v>0</v>
      </c>
      <c r="D38" s="49">
        <v>0</v>
      </c>
      <c r="E38" s="55">
        <v>0</v>
      </c>
    </row>
    <row r="39" spans="1:5" x14ac:dyDescent="0.2">
      <c r="A39" s="26" t="s">
        <v>2657</v>
      </c>
      <c r="B39" s="26" t="s">
        <v>2653</v>
      </c>
      <c r="C39" s="49">
        <v>0</v>
      </c>
      <c r="D39" s="49">
        <v>20</v>
      </c>
      <c r="E39" s="55">
        <v>12.696666666666665</v>
      </c>
    </row>
    <row r="40" spans="1:5" x14ac:dyDescent="0.2">
      <c r="A40" s="26" t="s">
        <v>2658</v>
      </c>
      <c r="B40" s="26" t="s">
        <v>2649</v>
      </c>
      <c r="C40" s="49">
        <v>20</v>
      </c>
      <c r="D40" s="49">
        <v>20</v>
      </c>
      <c r="E40" s="55">
        <v>34.671666666666667</v>
      </c>
    </row>
    <row r="41" spans="1:5" x14ac:dyDescent="0.2">
      <c r="A41" s="26" t="s">
        <v>2658</v>
      </c>
      <c r="B41" s="26" t="s">
        <v>9</v>
      </c>
      <c r="C41" s="49">
        <v>0</v>
      </c>
      <c r="D41" s="49">
        <v>20</v>
      </c>
      <c r="E41" s="55">
        <v>12.696666666666665</v>
      </c>
    </row>
    <row r="42" spans="1:5" x14ac:dyDescent="0.2">
      <c r="A42" s="26" t="s">
        <v>2658</v>
      </c>
      <c r="B42" s="26" t="s">
        <v>9</v>
      </c>
      <c r="C42" s="49">
        <v>0</v>
      </c>
      <c r="D42" s="49">
        <v>15</v>
      </c>
      <c r="E42" s="55">
        <v>9.5224999999999991</v>
      </c>
    </row>
    <row r="43" spans="1:5" x14ac:dyDescent="0.2">
      <c r="A43" s="26" t="s">
        <v>2658</v>
      </c>
      <c r="B43" s="26" t="s">
        <v>2650</v>
      </c>
      <c r="C43" s="49">
        <v>0</v>
      </c>
      <c r="D43" s="49">
        <v>0</v>
      </c>
      <c r="E43" s="55">
        <v>0</v>
      </c>
    </row>
    <row r="44" spans="1:5" x14ac:dyDescent="0.2">
      <c r="A44" s="26" t="s">
        <v>2658</v>
      </c>
      <c r="B44" s="26" t="s">
        <v>8</v>
      </c>
      <c r="C44" s="49">
        <v>0</v>
      </c>
      <c r="D44" s="49">
        <v>0</v>
      </c>
      <c r="E44" s="55">
        <v>0</v>
      </c>
    </row>
    <row r="45" spans="1:5" x14ac:dyDescent="0.2">
      <c r="A45" s="26" t="s">
        <v>2658</v>
      </c>
      <c r="B45" s="26" t="s">
        <v>2651</v>
      </c>
      <c r="C45" s="49">
        <v>0</v>
      </c>
      <c r="D45" s="49">
        <v>10</v>
      </c>
      <c r="E45" s="55">
        <v>6.3483333333333327</v>
      </c>
    </row>
    <row r="46" spans="1:5" x14ac:dyDescent="0.2">
      <c r="A46" s="26" t="s">
        <v>2658</v>
      </c>
      <c r="B46" s="26" t="s">
        <v>2653</v>
      </c>
      <c r="C46" s="49">
        <v>0</v>
      </c>
      <c r="D46" s="49">
        <v>10</v>
      </c>
      <c r="E46" s="55">
        <v>6.3483333333333327</v>
      </c>
    </row>
    <row r="47" spans="1:5" x14ac:dyDescent="0.2">
      <c r="A47" s="26" t="s">
        <v>0</v>
      </c>
      <c r="B47" s="26" t="s">
        <v>2649</v>
      </c>
      <c r="C47" s="49">
        <v>5</v>
      </c>
      <c r="D47" s="49">
        <v>5</v>
      </c>
      <c r="E47" s="55">
        <v>8.6679166666666667</v>
      </c>
    </row>
    <row r="48" spans="1:5" x14ac:dyDescent="0.2">
      <c r="A48" s="26" t="s">
        <v>0</v>
      </c>
      <c r="B48" s="26" t="s">
        <v>9</v>
      </c>
      <c r="C48" s="49">
        <v>0</v>
      </c>
      <c r="D48" s="49">
        <v>5</v>
      </c>
      <c r="E48" s="55">
        <v>3.1741666666666664</v>
      </c>
    </row>
    <row r="49" spans="1:5" x14ac:dyDescent="0.2">
      <c r="A49" s="26" t="s">
        <v>0</v>
      </c>
      <c r="B49" s="26" t="s">
        <v>2650</v>
      </c>
      <c r="C49" s="49">
        <v>0</v>
      </c>
      <c r="D49" s="49">
        <v>0</v>
      </c>
      <c r="E49" s="55">
        <v>0</v>
      </c>
    </row>
    <row r="50" spans="1:5" x14ac:dyDescent="0.2">
      <c r="A50" s="26" t="s">
        <v>0</v>
      </c>
      <c r="B50" s="26" t="s">
        <v>2655</v>
      </c>
      <c r="C50" s="49">
        <v>0</v>
      </c>
      <c r="D50" s="49">
        <v>5</v>
      </c>
      <c r="E50" s="55">
        <v>3.1741666666666664</v>
      </c>
    </row>
    <row r="51" spans="1:5" x14ac:dyDescent="0.2">
      <c r="A51" s="26" t="s">
        <v>0</v>
      </c>
      <c r="B51" s="26" t="s">
        <v>8</v>
      </c>
      <c r="C51" s="49">
        <v>0</v>
      </c>
      <c r="D51" s="49">
        <v>0</v>
      </c>
      <c r="E51" s="55">
        <v>0</v>
      </c>
    </row>
    <row r="52" spans="1:5" x14ac:dyDescent="0.2">
      <c r="A52" s="26" t="s">
        <v>0</v>
      </c>
      <c r="B52" s="26" t="s">
        <v>2651</v>
      </c>
      <c r="C52" s="49">
        <v>0</v>
      </c>
      <c r="D52" s="49">
        <v>5</v>
      </c>
      <c r="E52" s="55">
        <v>3.1741666666666664</v>
      </c>
    </row>
    <row r="53" spans="1:5" x14ac:dyDescent="0.2">
      <c r="A53" s="26" t="s">
        <v>2659</v>
      </c>
      <c r="B53" s="26" t="s">
        <v>2649</v>
      </c>
      <c r="C53" s="49">
        <v>60</v>
      </c>
      <c r="D53" s="49">
        <v>0</v>
      </c>
      <c r="E53" s="55">
        <v>65.924999999999997</v>
      </c>
    </row>
    <row r="54" spans="1:5" x14ac:dyDescent="0.2">
      <c r="A54" s="26" t="s">
        <v>2659</v>
      </c>
      <c r="B54" s="26" t="s">
        <v>9</v>
      </c>
      <c r="C54" s="49">
        <v>0</v>
      </c>
      <c r="D54" s="49">
        <v>60</v>
      </c>
      <c r="E54" s="55">
        <v>38.089999999999996</v>
      </c>
    </row>
    <row r="55" spans="1:5" x14ac:dyDescent="0.2">
      <c r="A55" s="26" t="s">
        <v>2659</v>
      </c>
      <c r="B55" s="26" t="s">
        <v>2650</v>
      </c>
      <c r="C55" s="49">
        <v>0</v>
      </c>
      <c r="D55" s="49">
        <v>0</v>
      </c>
      <c r="E55" s="55">
        <v>0</v>
      </c>
    </row>
    <row r="56" spans="1:5" x14ac:dyDescent="0.2">
      <c r="A56" s="26" t="s">
        <v>2659</v>
      </c>
      <c r="B56" s="26" t="s">
        <v>2655</v>
      </c>
      <c r="C56" s="49">
        <v>0</v>
      </c>
      <c r="D56" s="49">
        <v>20</v>
      </c>
      <c r="E56" s="55">
        <v>12.696666666666665</v>
      </c>
    </row>
    <row r="57" spans="1:5" x14ac:dyDescent="0.2">
      <c r="A57" s="26" t="s">
        <v>2659</v>
      </c>
      <c r="B57" s="26" t="s">
        <v>8</v>
      </c>
      <c r="C57" s="49">
        <v>0</v>
      </c>
      <c r="D57" s="49">
        <v>30</v>
      </c>
      <c r="E57" s="55">
        <v>19.044999999999998</v>
      </c>
    </row>
    <row r="58" spans="1:5" x14ac:dyDescent="0.2">
      <c r="A58" s="26" t="s">
        <v>2659</v>
      </c>
      <c r="B58" s="26" t="s">
        <v>2651</v>
      </c>
      <c r="C58" s="49">
        <v>0</v>
      </c>
      <c r="D58" s="49">
        <v>15</v>
      </c>
      <c r="E58" s="55">
        <v>9.5224999999999991</v>
      </c>
    </row>
    <row r="59" spans="1:5" x14ac:dyDescent="0.2">
      <c r="A59" s="26" t="s">
        <v>2659</v>
      </c>
      <c r="B59" s="26" t="s">
        <v>2652</v>
      </c>
      <c r="C59" s="49">
        <v>0</v>
      </c>
      <c r="D59" s="49">
        <v>0</v>
      </c>
      <c r="E59" s="55">
        <v>0</v>
      </c>
    </row>
    <row r="60" spans="1:5" x14ac:dyDescent="0.2">
      <c r="A60" s="26" t="s">
        <v>2659</v>
      </c>
      <c r="B60" s="26" t="s">
        <v>2653</v>
      </c>
      <c r="C60" s="49">
        <v>0</v>
      </c>
      <c r="D60" s="49">
        <v>45</v>
      </c>
      <c r="E60" s="55">
        <v>28.567499999999995</v>
      </c>
    </row>
    <row r="61" spans="1:5" x14ac:dyDescent="0.2">
      <c r="A61" s="26" t="s">
        <v>2660</v>
      </c>
      <c r="B61" s="26" t="s">
        <v>2649</v>
      </c>
      <c r="C61" s="49">
        <v>45</v>
      </c>
      <c r="D61" s="49">
        <v>0</v>
      </c>
      <c r="E61" s="55">
        <v>49.443750000000009</v>
      </c>
    </row>
    <row r="62" spans="1:5" x14ac:dyDescent="0.2">
      <c r="A62" s="26" t="s">
        <v>2660</v>
      </c>
      <c r="B62" s="26" t="s">
        <v>9</v>
      </c>
      <c r="C62" s="49">
        <v>0</v>
      </c>
      <c r="D62" s="49">
        <v>40</v>
      </c>
      <c r="E62" s="55">
        <v>25.393333333333331</v>
      </c>
    </row>
    <row r="63" spans="1:5" x14ac:dyDescent="0.2">
      <c r="A63" s="26" t="s">
        <v>2660</v>
      </c>
      <c r="B63" s="26" t="s">
        <v>2650</v>
      </c>
      <c r="C63" s="49">
        <v>0</v>
      </c>
      <c r="D63" s="49">
        <v>0</v>
      </c>
      <c r="E63" s="55">
        <v>0</v>
      </c>
    </row>
    <row r="64" spans="1:5" x14ac:dyDescent="0.2">
      <c r="A64" s="26" t="s">
        <v>2660</v>
      </c>
      <c r="B64" s="26" t="s">
        <v>2655</v>
      </c>
      <c r="C64" s="49">
        <v>0</v>
      </c>
      <c r="D64" s="49">
        <v>20</v>
      </c>
      <c r="E64" s="55">
        <v>12.696666666666665</v>
      </c>
    </row>
    <row r="65" spans="1:5" x14ac:dyDescent="0.2">
      <c r="A65" s="26" t="s">
        <v>2660</v>
      </c>
      <c r="B65" s="26" t="s">
        <v>8</v>
      </c>
      <c r="C65" s="49">
        <v>0</v>
      </c>
      <c r="D65" s="49">
        <v>20</v>
      </c>
      <c r="E65" s="55">
        <v>12.696666666666665</v>
      </c>
    </row>
    <row r="66" spans="1:5" x14ac:dyDescent="0.2">
      <c r="A66" s="26" t="s">
        <v>2660</v>
      </c>
      <c r="B66" s="26" t="s">
        <v>2651</v>
      </c>
      <c r="C66" s="49">
        <v>0</v>
      </c>
      <c r="D66" s="49">
        <v>15</v>
      </c>
      <c r="E66" s="55">
        <v>9.5224999999999991</v>
      </c>
    </row>
    <row r="67" spans="1:5" x14ac:dyDescent="0.2">
      <c r="A67" s="26" t="s">
        <v>2660</v>
      </c>
      <c r="B67" s="26" t="s">
        <v>2652</v>
      </c>
      <c r="C67" s="49">
        <v>0</v>
      </c>
      <c r="D67" s="49">
        <v>0</v>
      </c>
      <c r="E67" s="55">
        <v>0</v>
      </c>
    </row>
    <row r="68" spans="1:5" x14ac:dyDescent="0.2">
      <c r="A68" s="26" t="s">
        <v>2660</v>
      </c>
      <c r="B68" s="26" t="s">
        <v>2653</v>
      </c>
      <c r="C68" s="49">
        <v>0</v>
      </c>
      <c r="D68" s="49">
        <v>30</v>
      </c>
      <c r="E68" s="55">
        <v>19.044999999999998</v>
      </c>
    </row>
    <row r="69" spans="1:5" x14ac:dyDescent="0.2">
      <c r="A69" s="26" t="s">
        <v>2661</v>
      </c>
      <c r="B69" s="26" t="s">
        <v>2649</v>
      </c>
      <c r="C69" s="49">
        <v>0</v>
      </c>
      <c r="D69" s="49">
        <v>0</v>
      </c>
      <c r="E69" s="55">
        <v>0</v>
      </c>
    </row>
    <row r="70" spans="1:5" x14ac:dyDescent="0.2">
      <c r="A70" s="26" t="s">
        <v>2661</v>
      </c>
      <c r="B70" s="26" t="s">
        <v>9</v>
      </c>
      <c r="C70" s="49">
        <v>0</v>
      </c>
      <c r="D70" s="49">
        <v>20</v>
      </c>
      <c r="E70" s="55">
        <v>12.696666666666665</v>
      </c>
    </row>
    <row r="71" spans="1:5" x14ac:dyDescent="0.2">
      <c r="A71" s="26" t="s">
        <v>2661</v>
      </c>
      <c r="B71" s="26" t="s">
        <v>2650</v>
      </c>
      <c r="C71" s="49">
        <v>0</v>
      </c>
      <c r="D71" s="49">
        <v>0</v>
      </c>
      <c r="E71" s="55">
        <v>0</v>
      </c>
    </row>
    <row r="72" spans="1:5" x14ac:dyDescent="0.2">
      <c r="A72" s="26" t="s">
        <v>2661</v>
      </c>
      <c r="B72" s="26" t="s">
        <v>2655</v>
      </c>
      <c r="C72" s="49">
        <v>0</v>
      </c>
      <c r="D72" s="49">
        <v>15</v>
      </c>
      <c r="E72" s="55">
        <v>9.5224999999999991</v>
      </c>
    </row>
    <row r="73" spans="1:5" x14ac:dyDescent="0.2">
      <c r="A73" s="26" t="s">
        <v>2661</v>
      </c>
      <c r="B73" s="26" t="s">
        <v>8</v>
      </c>
      <c r="C73" s="49">
        <v>0</v>
      </c>
      <c r="D73" s="49">
        <v>15</v>
      </c>
      <c r="E73" s="55">
        <v>9.5224999999999991</v>
      </c>
    </row>
    <row r="74" spans="1:5" x14ac:dyDescent="0.2">
      <c r="A74" s="26" t="s">
        <v>2661</v>
      </c>
      <c r="B74" s="26" t="s">
        <v>2651</v>
      </c>
      <c r="C74" s="49">
        <v>0</v>
      </c>
      <c r="D74" s="49">
        <v>15</v>
      </c>
      <c r="E74" s="55">
        <v>9.5224999999999991</v>
      </c>
    </row>
    <row r="75" spans="1:5" x14ac:dyDescent="0.2">
      <c r="A75" s="26" t="s">
        <v>2661</v>
      </c>
      <c r="B75" s="26" t="s">
        <v>2652</v>
      </c>
      <c r="C75" s="49">
        <v>0</v>
      </c>
      <c r="D75" s="49">
        <v>0</v>
      </c>
      <c r="E75" s="55">
        <v>0</v>
      </c>
    </row>
    <row r="76" spans="1:5" x14ac:dyDescent="0.2">
      <c r="A76" s="26" t="s">
        <v>2661</v>
      </c>
      <c r="B76" s="26" t="s">
        <v>2653</v>
      </c>
      <c r="C76" s="49">
        <v>0</v>
      </c>
      <c r="D76" s="49">
        <v>15</v>
      </c>
      <c r="E76" s="55">
        <v>9.5224999999999991</v>
      </c>
    </row>
    <row r="77" spans="1:5" x14ac:dyDescent="0.2">
      <c r="A77" s="26" t="s">
        <v>2662</v>
      </c>
      <c r="B77" s="26" t="s">
        <v>2649</v>
      </c>
      <c r="C77" s="49">
        <v>0</v>
      </c>
      <c r="D77" s="49">
        <v>0</v>
      </c>
      <c r="E77" s="55">
        <v>0</v>
      </c>
    </row>
    <row r="78" spans="1:5" x14ac:dyDescent="0.2">
      <c r="A78" s="26" t="s">
        <v>2662</v>
      </c>
      <c r="B78" s="26" t="s">
        <v>9</v>
      </c>
      <c r="C78" s="49">
        <v>0</v>
      </c>
      <c r="D78" s="49">
        <v>15</v>
      </c>
      <c r="E78" s="55">
        <v>9.5224999999999991</v>
      </c>
    </row>
    <row r="79" spans="1:5" x14ac:dyDescent="0.2">
      <c r="A79" s="26" t="s">
        <v>2662</v>
      </c>
      <c r="B79" s="26" t="s">
        <v>2650</v>
      </c>
      <c r="C79" s="49">
        <v>0</v>
      </c>
      <c r="D79" s="49">
        <v>0</v>
      </c>
      <c r="E79" s="55">
        <v>0</v>
      </c>
    </row>
    <row r="80" spans="1:5" x14ac:dyDescent="0.2">
      <c r="A80" s="26" t="s">
        <v>2662</v>
      </c>
      <c r="B80" s="26" t="s">
        <v>2655</v>
      </c>
      <c r="C80" s="49">
        <v>0</v>
      </c>
      <c r="D80" s="49">
        <v>10</v>
      </c>
      <c r="E80" s="55">
        <v>6.3483333333333327</v>
      </c>
    </row>
    <row r="81" spans="1:5" x14ac:dyDescent="0.2">
      <c r="A81" s="26" t="s">
        <v>2662</v>
      </c>
      <c r="B81" s="26" t="s">
        <v>8</v>
      </c>
      <c r="C81" s="49">
        <v>0</v>
      </c>
      <c r="D81" s="49">
        <v>15</v>
      </c>
      <c r="E81" s="55">
        <v>9.5224999999999991</v>
      </c>
    </row>
    <row r="82" spans="1:5" x14ac:dyDescent="0.2">
      <c r="A82" s="26" t="s">
        <v>2662</v>
      </c>
      <c r="B82" s="26" t="s">
        <v>2651</v>
      </c>
      <c r="C82" s="49">
        <v>0</v>
      </c>
      <c r="D82" s="49">
        <v>15</v>
      </c>
      <c r="E82" s="55">
        <v>9.5224999999999991</v>
      </c>
    </row>
    <row r="83" spans="1:5" x14ac:dyDescent="0.2">
      <c r="A83" s="26" t="s">
        <v>2662</v>
      </c>
      <c r="B83" s="26" t="s">
        <v>2652</v>
      </c>
      <c r="C83" s="49">
        <v>0</v>
      </c>
      <c r="D83" s="49">
        <v>0</v>
      </c>
      <c r="E83" s="55">
        <v>0</v>
      </c>
    </row>
    <row r="84" spans="1:5" x14ac:dyDescent="0.2">
      <c r="A84" s="26" t="s">
        <v>2662</v>
      </c>
      <c r="B84" s="26" t="s">
        <v>2653</v>
      </c>
      <c r="C84" s="49">
        <v>0</v>
      </c>
      <c r="D84" s="49">
        <v>10</v>
      </c>
      <c r="E84" s="55">
        <v>6.3483333333333327</v>
      </c>
    </row>
    <row r="85" spans="1:5" x14ac:dyDescent="0.2">
      <c r="A85" s="26" t="s">
        <v>2663</v>
      </c>
      <c r="B85" s="26" t="s">
        <v>2649</v>
      </c>
      <c r="C85" s="49">
        <v>10</v>
      </c>
      <c r="D85" s="49">
        <v>10</v>
      </c>
      <c r="E85" s="55">
        <v>17.335833333333333</v>
      </c>
    </row>
    <row r="86" spans="1:5" x14ac:dyDescent="0.2">
      <c r="A86" s="26" t="s">
        <v>2663</v>
      </c>
      <c r="B86" s="26" t="s">
        <v>9</v>
      </c>
      <c r="C86" s="49">
        <v>0</v>
      </c>
      <c r="D86" s="49">
        <v>15</v>
      </c>
      <c r="E86" s="55">
        <v>9.5224999999999991</v>
      </c>
    </row>
    <row r="87" spans="1:5" x14ac:dyDescent="0.2">
      <c r="A87" s="26" t="s">
        <v>2663</v>
      </c>
      <c r="B87" s="26" t="s">
        <v>2650</v>
      </c>
      <c r="C87" s="49">
        <v>0</v>
      </c>
      <c r="D87" s="49">
        <v>0</v>
      </c>
      <c r="E87" s="55">
        <v>0</v>
      </c>
    </row>
    <row r="88" spans="1:5" x14ac:dyDescent="0.2">
      <c r="A88" s="26" t="s">
        <v>2663</v>
      </c>
      <c r="B88" s="26" t="s">
        <v>2655</v>
      </c>
      <c r="C88" s="49">
        <v>0</v>
      </c>
      <c r="D88" s="49">
        <v>5</v>
      </c>
      <c r="E88" s="55">
        <v>3.1741666666666664</v>
      </c>
    </row>
    <row r="89" spans="1:5" x14ac:dyDescent="0.2">
      <c r="A89" s="26" t="s">
        <v>2663</v>
      </c>
      <c r="B89" s="26" t="s">
        <v>8</v>
      </c>
      <c r="C89" s="49">
        <v>0</v>
      </c>
      <c r="D89" s="49">
        <v>5</v>
      </c>
      <c r="E89" s="55">
        <v>3.1741666666666664</v>
      </c>
    </row>
    <row r="90" spans="1:5" x14ac:dyDescent="0.2">
      <c r="A90" s="26" t="s">
        <v>2663</v>
      </c>
      <c r="B90" s="26" t="s">
        <v>2651</v>
      </c>
      <c r="C90" s="49">
        <v>0</v>
      </c>
      <c r="D90" s="49">
        <v>5</v>
      </c>
      <c r="E90" s="55">
        <v>3.1741666666666664</v>
      </c>
    </row>
    <row r="91" spans="1:5" x14ac:dyDescent="0.2">
      <c r="A91" s="26" t="s">
        <v>2663</v>
      </c>
      <c r="B91" s="26" t="s">
        <v>2652</v>
      </c>
      <c r="C91" s="49">
        <v>0</v>
      </c>
      <c r="D91" s="49">
        <v>0</v>
      </c>
      <c r="E91" s="55">
        <v>0</v>
      </c>
    </row>
    <row r="92" spans="1:5" x14ac:dyDescent="0.2">
      <c r="A92" s="26" t="s">
        <v>2663</v>
      </c>
      <c r="B92" s="26" t="s">
        <v>2653</v>
      </c>
      <c r="C92" s="49">
        <v>0</v>
      </c>
      <c r="D92" s="49">
        <v>5</v>
      </c>
      <c r="E92" s="55">
        <v>3.1741666666666664</v>
      </c>
    </row>
    <row r="93" spans="1:5" x14ac:dyDescent="0.2">
      <c r="A93" s="26" t="s">
        <v>2664</v>
      </c>
      <c r="B93" s="26" t="s">
        <v>2649</v>
      </c>
      <c r="C93" s="49">
        <v>0</v>
      </c>
      <c r="D93" s="49">
        <v>0</v>
      </c>
      <c r="E93" s="55">
        <v>0</v>
      </c>
    </row>
    <row r="94" spans="1:5" x14ac:dyDescent="0.2">
      <c r="A94" s="26" t="s">
        <v>2664</v>
      </c>
      <c r="B94" s="26" t="s">
        <v>9</v>
      </c>
      <c r="C94" s="49">
        <v>0</v>
      </c>
      <c r="D94" s="49">
        <v>20</v>
      </c>
      <c r="E94" s="55">
        <v>12.696666666666665</v>
      </c>
    </row>
    <row r="95" spans="1:5" x14ac:dyDescent="0.2">
      <c r="A95" s="26" t="s">
        <v>2664</v>
      </c>
      <c r="B95" s="26" t="s">
        <v>2650</v>
      </c>
      <c r="C95" s="49">
        <v>0</v>
      </c>
      <c r="D95" s="49">
        <v>0</v>
      </c>
      <c r="E95" s="55">
        <v>0</v>
      </c>
    </row>
    <row r="96" spans="1:5" x14ac:dyDescent="0.2">
      <c r="A96" s="26" t="s">
        <v>2664</v>
      </c>
      <c r="B96" s="26" t="s">
        <v>2655</v>
      </c>
      <c r="C96" s="49">
        <v>0</v>
      </c>
      <c r="D96" s="49">
        <v>0</v>
      </c>
      <c r="E96" s="55">
        <v>0</v>
      </c>
    </row>
    <row r="97" spans="1:5" x14ac:dyDescent="0.2">
      <c r="A97" s="26" t="s">
        <v>2664</v>
      </c>
      <c r="B97" s="26" t="s">
        <v>8</v>
      </c>
      <c r="C97" s="49">
        <v>0</v>
      </c>
      <c r="D97" s="49">
        <v>0</v>
      </c>
      <c r="E97" s="55">
        <v>0</v>
      </c>
    </row>
    <row r="98" spans="1:5" x14ac:dyDescent="0.2">
      <c r="A98" s="26" t="s">
        <v>2664</v>
      </c>
      <c r="B98" s="26" t="s">
        <v>2651</v>
      </c>
      <c r="C98" s="49">
        <v>0</v>
      </c>
      <c r="D98" s="49">
        <v>5</v>
      </c>
      <c r="E98" s="55">
        <v>3.1741666666666664</v>
      </c>
    </row>
    <row r="99" spans="1:5" x14ac:dyDescent="0.2">
      <c r="A99" s="26" t="s">
        <v>2664</v>
      </c>
      <c r="B99" s="26" t="s">
        <v>2652</v>
      </c>
      <c r="C99" s="49">
        <v>0</v>
      </c>
      <c r="D99" s="49">
        <v>0</v>
      </c>
      <c r="E99" s="55">
        <v>0</v>
      </c>
    </row>
    <row r="100" spans="1:5" x14ac:dyDescent="0.2">
      <c r="A100" s="26" t="s">
        <v>2664</v>
      </c>
      <c r="B100" s="26" t="s">
        <v>2653</v>
      </c>
      <c r="C100" s="49">
        <v>0</v>
      </c>
      <c r="D100" s="49">
        <v>0</v>
      </c>
      <c r="E100" s="55">
        <v>0</v>
      </c>
    </row>
    <row r="101" spans="1:5" x14ac:dyDescent="0.2">
      <c r="A101" s="26" t="s">
        <v>2665</v>
      </c>
      <c r="B101" s="26" t="s">
        <v>2649</v>
      </c>
      <c r="C101" s="49">
        <v>0</v>
      </c>
      <c r="D101" s="49">
        <v>0</v>
      </c>
      <c r="E101" s="55">
        <v>0</v>
      </c>
    </row>
    <row r="102" spans="1:5" x14ac:dyDescent="0.2">
      <c r="A102" s="26" t="s">
        <v>2665</v>
      </c>
      <c r="B102" s="26" t="s">
        <v>9</v>
      </c>
      <c r="C102" s="49">
        <v>0</v>
      </c>
      <c r="D102" s="49">
        <v>5</v>
      </c>
      <c r="E102" s="55">
        <v>3.1741666666666664</v>
      </c>
    </row>
    <row r="103" spans="1:5" x14ac:dyDescent="0.2">
      <c r="A103" s="26" t="s">
        <v>2665</v>
      </c>
      <c r="B103" s="26" t="s">
        <v>2650</v>
      </c>
      <c r="C103" s="49">
        <v>0</v>
      </c>
      <c r="D103" s="49">
        <v>0</v>
      </c>
      <c r="E103" s="55">
        <v>0</v>
      </c>
    </row>
    <row r="104" spans="1:5" x14ac:dyDescent="0.2">
      <c r="A104" s="26" t="s">
        <v>2665</v>
      </c>
      <c r="B104" s="26" t="s">
        <v>8</v>
      </c>
      <c r="C104" s="49">
        <v>0</v>
      </c>
      <c r="D104" s="49">
        <v>5</v>
      </c>
      <c r="E104" s="55">
        <v>3.1741666666666664</v>
      </c>
    </row>
    <row r="105" spans="1:5" x14ac:dyDescent="0.2">
      <c r="A105" s="26" t="s">
        <v>2665</v>
      </c>
      <c r="B105" s="26" t="s">
        <v>2651</v>
      </c>
      <c r="C105" s="49">
        <v>0</v>
      </c>
      <c r="D105" s="49">
        <v>0</v>
      </c>
      <c r="E105" s="55">
        <v>0</v>
      </c>
    </row>
    <row r="106" spans="1:5" x14ac:dyDescent="0.2">
      <c r="A106" s="26" t="s">
        <v>4</v>
      </c>
      <c r="B106" s="26" t="s">
        <v>2650</v>
      </c>
      <c r="C106" s="49">
        <v>0</v>
      </c>
      <c r="D106" s="49">
        <v>0</v>
      </c>
      <c r="E106" s="55">
        <v>0</v>
      </c>
    </row>
    <row r="107" spans="1:5" x14ac:dyDescent="0.2">
      <c r="A107" s="26" t="s">
        <v>2666</v>
      </c>
      <c r="B107" s="26" t="s">
        <v>9</v>
      </c>
      <c r="C107" s="49">
        <v>0</v>
      </c>
      <c r="D107" s="49">
        <v>5</v>
      </c>
      <c r="E107" s="55">
        <v>3.1741666666666664</v>
      </c>
    </row>
    <row r="108" spans="1:5" x14ac:dyDescent="0.2">
      <c r="A108" s="28" t="s">
        <v>2666</v>
      </c>
      <c r="B108" s="26" t="s">
        <v>2650</v>
      </c>
      <c r="C108" s="49">
        <v>0</v>
      </c>
      <c r="D108" s="49">
        <v>0</v>
      </c>
      <c r="E108" s="55">
        <v>0</v>
      </c>
    </row>
    <row r="109" spans="1:5" x14ac:dyDescent="0.2">
      <c r="A109" s="26" t="s">
        <v>2667</v>
      </c>
      <c r="B109" s="26" t="s">
        <v>9</v>
      </c>
      <c r="C109" s="49">
        <v>0</v>
      </c>
      <c r="D109" s="49">
        <v>0</v>
      </c>
      <c r="E109" s="55">
        <v>0</v>
      </c>
    </row>
    <row r="110" spans="1:5" x14ac:dyDescent="0.2">
      <c r="A110" s="26" t="s">
        <v>2667</v>
      </c>
      <c r="B110" s="26" t="s">
        <v>2650</v>
      </c>
      <c r="C110" s="49">
        <v>0</v>
      </c>
      <c r="D110" s="49">
        <v>0</v>
      </c>
      <c r="E110" s="55">
        <v>0</v>
      </c>
    </row>
    <row r="111" spans="1:5" x14ac:dyDescent="0.2">
      <c r="A111" s="26" t="s">
        <v>2668</v>
      </c>
      <c r="B111" s="26" t="s">
        <v>2649</v>
      </c>
      <c r="C111" s="49">
        <v>0</v>
      </c>
      <c r="D111" s="49">
        <v>0</v>
      </c>
      <c r="E111" s="55">
        <v>0</v>
      </c>
    </row>
    <row r="112" spans="1:5" x14ac:dyDescent="0.2">
      <c r="A112" s="28" t="s">
        <v>2668</v>
      </c>
      <c r="B112" s="26" t="s">
        <v>9</v>
      </c>
      <c r="C112" s="49">
        <v>0</v>
      </c>
      <c r="D112" s="49">
        <v>0</v>
      </c>
      <c r="E112" s="55">
        <v>0</v>
      </c>
    </row>
    <row r="113" spans="1:5" x14ac:dyDescent="0.2">
      <c r="A113" s="26" t="s">
        <v>2668</v>
      </c>
      <c r="B113" s="26" t="s">
        <v>8</v>
      </c>
      <c r="C113" s="49">
        <v>0</v>
      </c>
      <c r="D113" s="49">
        <v>2</v>
      </c>
      <c r="E113" s="55">
        <v>1.2696666666666665</v>
      </c>
    </row>
    <row r="114" spans="1:5" x14ac:dyDescent="0.2">
      <c r="A114" s="26" t="s">
        <v>2668</v>
      </c>
      <c r="B114" s="26" t="s">
        <v>2651</v>
      </c>
      <c r="C114" s="49">
        <v>0</v>
      </c>
      <c r="D114" s="49">
        <v>2</v>
      </c>
      <c r="E114" s="55">
        <v>1.2696666666666665</v>
      </c>
    </row>
    <row r="115" spans="1:5" x14ac:dyDescent="0.2">
      <c r="A115" s="26" t="s">
        <v>2668</v>
      </c>
      <c r="B115" s="26" t="s">
        <v>2653</v>
      </c>
      <c r="C115" s="49">
        <v>0</v>
      </c>
      <c r="D115" s="49">
        <v>2</v>
      </c>
      <c r="E115" s="55">
        <v>1.2696666666666665</v>
      </c>
    </row>
    <row r="116" spans="1:5" x14ac:dyDescent="0.2">
      <c r="A116" s="26" t="s">
        <v>2668</v>
      </c>
      <c r="B116" s="26" t="s">
        <v>2650</v>
      </c>
      <c r="C116" s="49">
        <v>0</v>
      </c>
      <c r="D116" s="49">
        <v>0</v>
      </c>
      <c r="E116" s="55">
        <v>0</v>
      </c>
    </row>
    <row r="117" spans="1:5" x14ac:dyDescent="0.2">
      <c r="A117" s="26" t="s">
        <v>1157</v>
      </c>
      <c r="B117" s="26" t="s">
        <v>2649</v>
      </c>
      <c r="C117" s="49">
        <v>0</v>
      </c>
      <c r="D117" s="49">
        <v>0</v>
      </c>
      <c r="E117" s="55">
        <v>0</v>
      </c>
    </row>
    <row r="118" spans="1:5" x14ac:dyDescent="0.2">
      <c r="A118" s="26" t="s">
        <v>1157</v>
      </c>
      <c r="B118" s="26" t="s">
        <v>9</v>
      </c>
      <c r="C118" s="49">
        <v>0</v>
      </c>
      <c r="D118" s="49">
        <v>0</v>
      </c>
      <c r="E118" s="55">
        <v>0</v>
      </c>
    </row>
    <row r="119" spans="1:5" x14ac:dyDescent="0.2">
      <c r="A119" s="26" t="s">
        <v>1157</v>
      </c>
      <c r="B119" s="26" t="s">
        <v>2650</v>
      </c>
      <c r="C119" s="49">
        <v>0</v>
      </c>
      <c r="D119" s="49">
        <v>0</v>
      </c>
      <c r="E119" s="55">
        <v>0</v>
      </c>
    </row>
    <row r="120" spans="1:5" x14ac:dyDescent="0.2">
      <c r="A120" s="26" t="s">
        <v>1157</v>
      </c>
      <c r="B120" s="26" t="s">
        <v>2655</v>
      </c>
      <c r="C120" s="49">
        <v>0</v>
      </c>
      <c r="D120" s="49">
        <v>5</v>
      </c>
      <c r="E120" s="55">
        <v>3.1741666666666664</v>
      </c>
    </row>
    <row r="121" spans="1:5" x14ac:dyDescent="0.2">
      <c r="A121" s="26" t="s">
        <v>1157</v>
      </c>
      <c r="B121" s="26" t="s">
        <v>8</v>
      </c>
      <c r="C121" s="49">
        <v>0</v>
      </c>
      <c r="D121" s="49">
        <v>2</v>
      </c>
      <c r="E121" s="55">
        <v>1.2696666666666665</v>
      </c>
    </row>
    <row r="122" spans="1:5" x14ac:dyDescent="0.2">
      <c r="A122" s="26" t="s">
        <v>1157</v>
      </c>
      <c r="B122" s="26" t="s">
        <v>2651</v>
      </c>
      <c r="C122" s="49">
        <v>0</v>
      </c>
      <c r="D122" s="49">
        <v>5</v>
      </c>
      <c r="E122" s="55">
        <v>3.1741666666666664</v>
      </c>
    </row>
    <row r="123" spans="1:5" x14ac:dyDescent="0.2">
      <c r="A123" s="28" t="s">
        <v>1157</v>
      </c>
      <c r="B123" s="26" t="s">
        <v>2652</v>
      </c>
      <c r="C123" s="49">
        <v>0</v>
      </c>
      <c r="D123" s="49">
        <v>0</v>
      </c>
      <c r="E123" s="55">
        <v>0</v>
      </c>
    </row>
    <row r="124" spans="1:5" x14ac:dyDescent="0.2">
      <c r="A124" s="26" t="s">
        <v>1157</v>
      </c>
      <c r="B124" s="26" t="s">
        <v>2653</v>
      </c>
      <c r="C124" s="49">
        <v>0</v>
      </c>
      <c r="D124" s="49">
        <v>5</v>
      </c>
      <c r="E124" s="55">
        <v>3.1741666666666664</v>
      </c>
    </row>
    <row r="125" spans="1:5" x14ac:dyDescent="0.2">
      <c r="A125" s="26" t="s">
        <v>2669</v>
      </c>
      <c r="B125" s="26" t="s">
        <v>2649</v>
      </c>
      <c r="C125" s="49">
        <v>0</v>
      </c>
      <c r="D125" s="49">
        <v>0</v>
      </c>
      <c r="E125" s="55">
        <v>0</v>
      </c>
    </row>
    <row r="126" spans="1:5" x14ac:dyDescent="0.2">
      <c r="A126" s="26" t="s">
        <v>2669</v>
      </c>
      <c r="B126" s="26" t="s">
        <v>9</v>
      </c>
      <c r="C126" s="49">
        <v>0</v>
      </c>
      <c r="D126" s="49">
        <v>0</v>
      </c>
      <c r="E126" s="55">
        <v>0</v>
      </c>
    </row>
    <row r="127" spans="1:5" x14ac:dyDescent="0.2">
      <c r="A127" s="26" t="s">
        <v>2669</v>
      </c>
      <c r="B127" s="26" t="s">
        <v>2650</v>
      </c>
      <c r="C127" s="49">
        <v>0</v>
      </c>
      <c r="D127" s="49">
        <v>0</v>
      </c>
      <c r="E127" s="55">
        <v>0</v>
      </c>
    </row>
    <row r="128" spans="1:5" x14ac:dyDescent="0.2">
      <c r="A128" s="26" t="s">
        <v>2669</v>
      </c>
      <c r="B128" s="26" t="s">
        <v>2655</v>
      </c>
      <c r="C128" s="49">
        <v>0</v>
      </c>
      <c r="D128" s="49">
        <v>0</v>
      </c>
      <c r="E128" s="55">
        <v>0</v>
      </c>
    </row>
    <row r="129" spans="1:5" x14ac:dyDescent="0.2">
      <c r="A129" s="26" t="s">
        <v>2669</v>
      </c>
      <c r="B129" s="26" t="s">
        <v>8</v>
      </c>
      <c r="C129" s="49">
        <v>0</v>
      </c>
      <c r="D129" s="49">
        <v>0</v>
      </c>
      <c r="E129" s="55">
        <v>0</v>
      </c>
    </row>
    <row r="130" spans="1:5" x14ac:dyDescent="0.2">
      <c r="A130" s="26" t="s">
        <v>2669</v>
      </c>
      <c r="B130" s="26" t="s">
        <v>2651</v>
      </c>
      <c r="C130" s="49">
        <v>0</v>
      </c>
      <c r="D130" s="49">
        <v>0</v>
      </c>
      <c r="E130" s="55">
        <v>0</v>
      </c>
    </row>
    <row r="131" spans="1:5" x14ac:dyDescent="0.2">
      <c r="A131" s="26" t="s">
        <v>2669</v>
      </c>
      <c r="B131" s="26" t="s">
        <v>2652</v>
      </c>
      <c r="C131" s="49">
        <v>0</v>
      </c>
      <c r="D131" s="49">
        <v>0</v>
      </c>
      <c r="E131" s="55">
        <v>0</v>
      </c>
    </row>
    <row r="132" spans="1:5" x14ac:dyDescent="0.2">
      <c r="A132" s="26" t="s">
        <v>2669</v>
      </c>
      <c r="B132" s="26" t="s">
        <v>2653</v>
      </c>
      <c r="C132" s="49">
        <v>0</v>
      </c>
      <c r="D132" s="49">
        <v>0</v>
      </c>
      <c r="E132" s="55">
        <v>0</v>
      </c>
    </row>
    <row r="133" spans="1:5" x14ac:dyDescent="0.2">
      <c r="A133" s="26" t="s">
        <v>2670</v>
      </c>
      <c r="B133" s="26" t="s">
        <v>2649</v>
      </c>
      <c r="C133" s="49">
        <v>0</v>
      </c>
      <c r="D133" s="49">
        <v>0</v>
      </c>
      <c r="E133" s="55">
        <v>0</v>
      </c>
    </row>
    <row r="134" spans="1:5" x14ac:dyDescent="0.2">
      <c r="A134" s="26" t="s">
        <v>2670</v>
      </c>
      <c r="B134" s="26" t="s">
        <v>9</v>
      </c>
      <c r="C134" s="49">
        <v>0</v>
      </c>
      <c r="D134" s="49">
        <v>0</v>
      </c>
      <c r="E134" s="55">
        <v>0</v>
      </c>
    </row>
    <row r="135" spans="1:5" x14ac:dyDescent="0.2">
      <c r="A135" s="26" t="s">
        <v>2670</v>
      </c>
      <c r="B135" s="26" t="s">
        <v>2650</v>
      </c>
      <c r="C135" s="49">
        <v>0</v>
      </c>
      <c r="D135" s="49">
        <v>0</v>
      </c>
      <c r="E135" s="55">
        <v>0</v>
      </c>
    </row>
    <row r="136" spans="1:5" x14ac:dyDescent="0.2">
      <c r="A136" s="26" t="s">
        <v>2670</v>
      </c>
      <c r="B136" s="26" t="s">
        <v>2651</v>
      </c>
      <c r="C136" s="49">
        <v>0</v>
      </c>
      <c r="D136" s="49">
        <v>0</v>
      </c>
      <c r="E136" s="55">
        <v>0</v>
      </c>
    </row>
    <row r="137" spans="1:5" x14ac:dyDescent="0.2">
      <c r="A137" s="26" t="s">
        <v>2670</v>
      </c>
      <c r="B137" s="26" t="s">
        <v>2652</v>
      </c>
      <c r="C137" s="49">
        <v>0</v>
      </c>
      <c r="D137" s="49">
        <v>0</v>
      </c>
      <c r="E137" s="55">
        <v>0</v>
      </c>
    </row>
    <row r="138" spans="1:5" x14ac:dyDescent="0.2">
      <c r="A138" s="26" t="s">
        <v>2671</v>
      </c>
      <c r="B138" s="26" t="s">
        <v>9</v>
      </c>
      <c r="C138" s="49">
        <v>0</v>
      </c>
      <c r="D138" s="49">
        <v>0</v>
      </c>
      <c r="E138" s="55">
        <v>0</v>
      </c>
    </row>
    <row r="139" spans="1:5" x14ac:dyDescent="0.2">
      <c r="A139" s="26" t="s">
        <v>2671</v>
      </c>
      <c r="B139" s="26" t="s">
        <v>2650</v>
      </c>
      <c r="C139" s="49">
        <v>0</v>
      </c>
      <c r="D139" s="49">
        <v>0</v>
      </c>
      <c r="E139" s="55">
        <v>0</v>
      </c>
    </row>
    <row r="140" spans="1:5" x14ac:dyDescent="0.2">
      <c r="A140" s="26" t="s">
        <v>2671</v>
      </c>
      <c r="B140" s="26" t="s">
        <v>2653</v>
      </c>
      <c r="C140" s="49">
        <v>0</v>
      </c>
      <c r="D140" s="49">
        <v>0</v>
      </c>
      <c r="E140" s="55">
        <v>0</v>
      </c>
    </row>
    <row r="141" spans="1:5" x14ac:dyDescent="0.2">
      <c r="A141" s="18" t="s">
        <v>2672</v>
      </c>
      <c r="B141" s="26" t="s">
        <v>9</v>
      </c>
      <c r="C141" s="49">
        <v>0</v>
      </c>
      <c r="D141" s="49">
        <v>0</v>
      </c>
      <c r="E141" s="55">
        <v>0</v>
      </c>
    </row>
    <row r="142" spans="1:5" x14ac:dyDescent="0.2">
      <c r="A142" s="18" t="s">
        <v>2672</v>
      </c>
      <c r="B142" s="26" t="s">
        <v>2650</v>
      </c>
      <c r="C142" s="49">
        <v>0</v>
      </c>
      <c r="D142" s="49">
        <v>0</v>
      </c>
      <c r="E142" s="55">
        <v>0</v>
      </c>
    </row>
    <row r="143" spans="1:5" x14ac:dyDescent="0.2">
      <c r="A143" s="18" t="s">
        <v>2673</v>
      </c>
      <c r="B143" s="26" t="s">
        <v>2650</v>
      </c>
      <c r="C143" s="49">
        <v>0</v>
      </c>
      <c r="D143" s="49">
        <v>0</v>
      </c>
      <c r="E143" s="55">
        <v>0</v>
      </c>
    </row>
    <row r="144" spans="1:5" x14ac:dyDescent="0.2">
      <c r="A144" s="18" t="s">
        <v>2674</v>
      </c>
      <c r="B144" s="26" t="s">
        <v>2649</v>
      </c>
      <c r="C144" s="49">
        <v>0</v>
      </c>
      <c r="D144" s="49">
        <v>0</v>
      </c>
      <c r="E144" s="55">
        <v>0</v>
      </c>
    </row>
    <row r="145" spans="1:5" x14ac:dyDescent="0.2">
      <c r="A145" s="18" t="s">
        <v>2674</v>
      </c>
      <c r="B145" s="26" t="s">
        <v>9</v>
      </c>
      <c r="C145" s="49">
        <v>0</v>
      </c>
      <c r="D145" s="49">
        <v>15</v>
      </c>
      <c r="E145" s="55">
        <v>9.5224999999999991</v>
      </c>
    </row>
    <row r="146" spans="1:5" x14ac:dyDescent="0.2">
      <c r="A146" s="18" t="s">
        <v>2674</v>
      </c>
      <c r="B146" s="26" t="s">
        <v>2650</v>
      </c>
      <c r="C146" s="49">
        <v>0</v>
      </c>
      <c r="D146" s="49">
        <v>0</v>
      </c>
      <c r="E146" s="55">
        <v>0</v>
      </c>
    </row>
    <row r="147" spans="1:5" x14ac:dyDescent="0.2">
      <c r="A147" s="18" t="s">
        <v>2674</v>
      </c>
      <c r="B147" s="26" t="s">
        <v>8</v>
      </c>
      <c r="C147" s="49">
        <v>0</v>
      </c>
      <c r="D147" s="49">
        <v>30</v>
      </c>
      <c r="E147" s="55">
        <v>19.044999999999998</v>
      </c>
    </row>
    <row r="148" spans="1:5" x14ac:dyDescent="0.2">
      <c r="A148" s="18" t="s">
        <v>2674</v>
      </c>
      <c r="B148" s="26" t="s">
        <v>2651</v>
      </c>
      <c r="C148" s="49">
        <v>0</v>
      </c>
      <c r="D148" s="49">
        <v>15</v>
      </c>
      <c r="E148" s="55">
        <v>9.5224999999999991</v>
      </c>
    </row>
    <row r="149" spans="1:5" x14ac:dyDescent="0.2">
      <c r="A149" s="18" t="s">
        <v>2674</v>
      </c>
      <c r="B149" s="26" t="s">
        <v>2652</v>
      </c>
      <c r="C149" s="49">
        <v>0</v>
      </c>
      <c r="D149" s="49">
        <v>0</v>
      </c>
      <c r="E149" s="55">
        <v>0</v>
      </c>
    </row>
    <row r="150" spans="1:5" x14ac:dyDescent="0.2">
      <c r="A150" s="18" t="s">
        <v>2674</v>
      </c>
      <c r="B150" s="26" t="s">
        <v>2653</v>
      </c>
      <c r="C150" s="49">
        <v>0</v>
      </c>
      <c r="D150" s="49">
        <v>30</v>
      </c>
      <c r="E150" s="55">
        <v>19.044999999999998</v>
      </c>
    </row>
    <row r="151" spans="1:5" x14ac:dyDescent="0.2">
      <c r="A151" s="18" t="s">
        <v>2675</v>
      </c>
      <c r="B151" s="26" t="s">
        <v>2650</v>
      </c>
      <c r="C151" s="49">
        <v>0</v>
      </c>
      <c r="D151" s="49">
        <v>0</v>
      </c>
      <c r="E151" s="55">
        <v>0</v>
      </c>
    </row>
    <row r="152" spans="1:5" x14ac:dyDescent="0.2">
      <c r="A152" s="18" t="s">
        <v>2676</v>
      </c>
      <c r="B152" s="26" t="s">
        <v>2650</v>
      </c>
      <c r="C152" s="49">
        <v>0</v>
      </c>
      <c r="D152" s="49">
        <v>0</v>
      </c>
      <c r="E152" s="55">
        <v>0</v>
      </c>
    </row>
    <row r="153" spans="1:5" x14ac:dyDescent="0.2">
      <c r="A153" s="18" t="s">
        <v>2677</v>
      </c>
      <c r="B153" s="26" t="s">
        <v>2650</v>
      </c>
      <c r="C153" s="49">
        <v>0</v>
      </c>
      <c r="D153" s="49">
        <v>0</v>
      </c>
      <c r="E153" s="55">
        <v>0</v>
      </c>
    </row>
    <row r="154" spans="1:5" x14ac:dyDescent="0.2">
      <c r="A154" s="18" t="s">
        <v>2677</v>
      </c>
      <c r="B154" s="26" t="s">
        <v>2651</v>
      </c>
      <c r="C154" s="49">
        <v>0</v>
      </c>
      <c r="D154" s="49">
        <v>0</v>
      </c>
      <c r="E154" s="55">
        <v>0</v>
      </c>
    </row>
    <row r="155" spans="1:5" x14ac:dyDescent="0.2">
      <c r="A155" s="18" t="s">
        <v>2678</v>
      </c>
      <c r="B155" s="26" t="s">
        <v>2649</v>
      </c>
      <c r="C155" s="49">
        <v>20</v>
      </c>
      <c r="D155" s="49">
        <v>0</v>
      </c>
      <c r="E155" s="55">
        <v>21.975000000000001</v>
      </c>
    </row>
    <row r="156" spans="1:5" x14ac:dyDescent="0.2">
      <c r="A156" s="18" t="s">
        <v>2678</v>
      </c>
      <c r="B156" s="26" t="s">
        <v>9</v>
      </c>
      <c r="C156" s="49">
        <v>0</v>
      </c>
      <c r="D156" s="49">
        <v>0</v>
      </c>
      <c r="E156" s="55">
        <v>0</v>
      </c>
    </row>
    <row r="157" spans="1:5" x14ac:dyDescent="0.2">
      <c r="A157" s="18" t="s">
        <v>2678</v>
      </c>
      <c r="B157" s="26" t="s">
        <v>2650</v>
      </c>
      <c r="C157" s="49">
        <v>0</v>
      </c>
      <c r="D157" s="49">
        <v>0</v>
      </c>
      <c r="E157" s="55">
        <v>0</v>
      </c>
    </row>
    <row r="158" spans="1:5" x14ac:dyDescent="0.2">
      <c r="A158" s="18" t="s">
        <v>2678</v>
      </c>
      <c r="B158" s="26" t="s">
        <v>2651</v>
      </c>
      <c r="C158" s="49">
        <v>0</v>
      </c>
      <c r="D158" s="49">
        <v>0</v>
      </c>
      <c r="E158" s="55">
        <v>0</v>
      </c>
    </row>
    <row r="159" spans="1:5" x14ac:dyDescent="0.2">
      <c r="A159" s="18" t="s">
        <v>2679</v>
      </c>
      <c r="B159" s="26" t="s">
        <v>9</v>
      </c>
      <c r="C159" s="49">
        <v>0</v>
      </c>
      <c r="D159" s="49">
        <v>0</v>
      </c>
      <c r="E159" s="55">
        <v>0</v>
      </c>
    </row>
    <row r="160" spans="1:5" x14ac:dyDescent="0.2">
      <c r="A160" s="18" t="s">
        <v>2679</v>
      </c>
      <c r="B160" s="26" t="s">
        <v>2650</v>
      </c>
      <c r="C160" s="49">
        <v>0</v>
      </c>
      <c r="D160" s="49">
        <v>0</v>
      </c>
      <c r="E160" s="55">
        <v>0</v>
      </c>
    </row>
    <row r="161" spans="1:5" x14ac:dyDescent="0.2">
      <c r="A161" s="18" t="s">
        <v>2680</v>
      </c>
      <c r="B161" s="26" t="s">
        <v>2650</v>
      </c>
      <c r="C161" s="49">
        <v>0</v>
      </c>
      <c r="D161" s="49">
        <v>0</v>
      </c>
      <c r="E161" s="55">
        <v>0</v>
      </c>
    </row>
    <row r="162" spans="1:5" x14ac:dyDescent="0.2">
      <c r="A162" s="18" t="s">
        <v>2681</v>
      </c>
      <c r="B162" s="26" t="s">
        <v>2649</v>
      </c>
      <c r="C162" s="49">
        <v>0</v>
      </c>
      <c r="D162" s="49">
        <v>0</v>
      </c>
      <c r="E162" s="55">
        <v>0</v>
      </c>
    </row>
    <row r="163" spans="1:5" x14ac:dyDescent="0.2">
      <c r="A163" s="18" t="s">
        <v>2681</v>
      </c>
      <c r="B163" s="26" t="s">
        <v>2650</v>
      </c>
      <c r="C163" s="49">
        <v>0</v>
      </c>
      <c r="D163" s="49">
        <v>0</v>
      </c>
      <c r="E163" s="55">
        <v>0</v>
      </c>
    </row>
    <row r="164" spans="1:5" x14ac:dyDescent="0.2">
      <c r="A164" s="18" t="s">
        <v>2682</v>
      </c>
      <c r="B164" s="26" t="s">
        <v>2650</v>
      </c>
      <c r="C164" s="49">
        <v>0</v>
      </c>
      <c r="D164" s="49">
        <v>0</v>
      </c>
      <c r="E164" s="55">
        <v>0</v>
      </c>
    </row>
    <row r="165" spans="1:5" x14ac:dyDescent="0.2">
      <c r="A165" s="18" t="s">
        <v>2682</v>
      </c>
      <c r="B165" s="26" t="s">
        <v>9</v>
      </c>
      <c r="C165" s="49">
        <v>0</v>
      </c>
      <c r="D165" s="49">
        <v>0</v>
      </c>
      <c r="E165" s="55">
        <v>0</v>
      </c>
    </row>
    <row r="166" spans="1:5" x14ac:dyDescent="0.2">
      <c r="A166" s="18" t="s">
        <v>2683</v>
      </c>
      <c r="B166" s="26" t="s">
        <v>2649</v>
      </c>
      <c r="C166" s="49">
        <v>30</v>
      </c>
      <c r="D166" s="49">
        <v>0</v>
      </c>
      <c r="E166" s="55">
        <v>32.962499999999999</v>
      </c>
    </row>
    <row r="167" spans="1:5" x14ac:dyDescent="0.2">
      <c r="A167" s="18" t="s">
        <v>2683</v>
      </c>
      <c r="B167" s="26" t="s">
        <v>9</v>
      </c>
      <c r="C167" s="49">
        <v>0</v>
      </c>
      <c r="D167" s="49">
        <v>0</v>
      </c>
      <c r="E167" s="55">
        <v>0</v>
      </c>
    </row>
    <row r="168" spans="1:5" x14ac:dyDescent="0.2">
      <c r="A168" s="18" t="s">
        <v>2683</v>
      </c>
      <c r="B168" s="26" t="s">
        <v>2650</v>
      </c>
      <c r="C168" s="49">
        <v>0</v>
      </c>
      <c r="D168" s="49">
        <v>0</v>
      </c>
      <c r="E168" s="55">
        <v>0</v>
      </c>
    </row>
    <row r="169" spans="1:5" x14ac:dyDescent="0.2">
      <c r="A169" s="18" t="s">
        <v>2683</v>
      </c>
      <c r="B169" s="26" t="s">
        <v>2655</v>
      </c>
      <c r="C169" s="49">
        <v>0</v>
      </c>
      <c r="D169" s="49">
        <v>10</v>
      </c>
      <c r="E169" s="55">
        <v>6.3483333333333327</v>
      </c>
    </row>
    <row r="170" spans="1:5" x14ac:dyDescent="0.2">
      <c r="A170" s="18" t="s">
        <v>2683</v>
      </c>
      <c r="B170" s="26" t="s">
        <v>8</v>
      </c>
      <c r="C170" s="49">
        <v>0</v>
      </c>
      <c r="D170" s="49">
        <v>10</v>
      </c>
      <c r="E170" s="55">
        <v>6.3483333333333327</v>
      </c>
    </row>
    <row r="171" spans="1:5" x14ac:dyDescent="0.2">
      <c r="A171" s="18" t="s">
        <v>2683</v>
      </c>
      <c r="B171" s="26" t="s">
        <v>2651</v>
      </c>
      <c r="C171" s="49">
        <v>0</v>
      </c>
      <c r="D171" s="49">
        <v>10</v>
      </c>
      <c r="E171" s="55">
        <v>6.3483333333333327</v>
      </c>
    </row>
    <row r="172" spans="1:5" x14ac:dyDescent="0.2">
      <c r="A172" s="18" t="s">
        <v>2683</v>
      </c>
      <c r="B172" s="26" t="s">
        <v>2652</v>
      </c>
      <c r="C172" s="49">
        <v>0</v>
      </c>
      <c r="D172" s="49">
        <v>0</v>
      </c>
      <c r="E172" s="55">
        <v>0</v>
      </c>
    </row>
    <row r="173" spans="1:5" x14ac:dyDescent="0.2">
      <c r="A173" s="18" t="s">
        <v>2683</v>
      </c>
      <c r="B173" s="26" t="s">
        <v>2653</v>
      </c>
      <c r="C173" s="49">
        <v>0</v>
      </c>
      <c r="D173" s="49">
        <v>10</v>
      </c>
      <c r="E173" s="55">
        <v>6.3483333333333327</v>
      </c>
    </row>
    <row r="174" spans="1:5" x14ac:dyDescent="0.2">
      <c r="A174" s="18" t="s">
        <v>2684</v>
      </c>
      <c r="B174" s="26" t="s">
        <v>2649</v>
      </c>
      <c r="C174" s="49">
        <v>0</v>
      </c>
      <c r="D174" s="49">
        <v>0</v>
      </c>
      <c r="E174" s="55">
        <v>0</v>
      </c>
    </row>
    <row r="175" spans="1:5" x14ac:dyDescent="0.2">
      <c r="A175" s="18" t="s">
        <v>2684</v>
      </c>
      <c r="B175" s="26" t="s">
        <v>9</v>
      </c>
      <c r="C175" s="49">
        <v>0</v>
      </c>
      <c r="D175" s="49">
        <v>15</v>
      </c>
      <c r="E175" s="55">
        <v>9.5224999999999991</v>
      </c>
    </row>
    <row r="176" spans="1:5" x14ac:dyDescent="0.2">
      <c r="A176" s="18" t="s">
        <v>2684</v>
      </c>
      <c r="B176" s="26" t="s">
        <v>2650</v>
      </c>
      <c r="C176" s="49">
        <v>0</v>
      </c>
      <c r="D176" s="49">
        <v>0</v>
      </c>
      <c r="E176" s="55">
        <v>0</v>
      </c>
    </row>
    <row r="177" spans="1:5" x14ac:dyDescent="0.2">
      <c r="A177" s="18" t="s">
        <v>2684</v>
      </c>
      <c r="B177" s="26" t="s">
        <v>8</v>
      </c>
      <c r="C177" s="49">
        <v>0</v>
      </c>
      <c r="D177" s="49">
        <v>5</v>
      </c>
      <c r="E177" s="55">
        <v>3.1741666666666664</v>
      </c>
    </row>
    <row r="178" spans="1:5" x14ac:dyDescent="0.2">
      <c r="A178" s="18" t="s">
        <v>2684</v>
      </c>
      <c r="B178" s="26" t="s">
        <v>2651</v>
      </c>
      <c r="C178" s="49">
        <v>0</v>
      </c>
      <c r="D178" s="49">
        <v>0</v>
      </c>
      <c r="E178" s="55">
        <v>0</v>
      </c>
    </row>
    <row r="179" spans="1:5" x14ac:dyDescent="0.2">
      <c r="A179" s="18" t="s">
        <v>2684</v>
      </c>
      <c r="B179" s="26" t="s">
        <v>2653</v>
      </c>
      <c r="C179" s="49">
        <v>0</v>
      </c>
      <c r="D179" s="49">
        <v>5</v>
      </c>
      <c r="E179" s="55">
        <v>3.1741666666666664</v>
      </c>
    </row>
    <row r="180" spans="1:5" x14ac:dyDescent="0.2">
      <c r="A180" s="18" t="s">
        <v>2685</v>
      </c>
      <c r="B180" s="26" t="s">
        <v>2649</v>
      </c>
      <c r="C180" s="49">
        <v>30</v>
      </c>
      <c r="D180" s="49">
        <v>0</v>
      </c>
      <c r="E180" s="55">
        <v>32.962499999999999</v>
      </c>
    </row>
    <row r="181" spans="1:5" x14ac:dyDescent="0.2">
      <c r="A181" s="18" t="s">
        <v>2685</v>
      </c>
      <c r="B181" s="26" t="s">
        <v>9</v>
      </c>
      <c r="C181" s="49">
        <v>0</v>
      </c>
      <c r="D181" s="49">
        <v>15</v>
      </c>
      <c r="E181" s="55">
        <v>9.5224999999999991</v>
      </c>
    </row>
    <row r="182" spans="1:5" x14ac:dyDescent="0.2">
      <c r="A182" s="18" t="s">
        <v>2685</v>
      </c>
      <c r="B182" s="26" t="s">
        <v>2650</v>
      </c>
      <c r="C182" s="49">
        <v>0</v>
      </c>
      <c r="D182" s="49">
        <v>0</v>
      </c>
      <c r="E182" s="55">
        <v>0</v>
      </c>
    </row>
    <row r="183" spans="1:5" x14ac:dyDescent="0.2">
      <c r="A183" s="18" t="s">
        <v>2685</v>
      </c>
      <c r="B183" s="26" t="s">
        <v>8</v>
      </c>
      <c r="C183" s="49">
        <v>0</v>
      </c>
      <c r="D183" s="49">
        <v>15</v>
      </c>
      <c r="E183" s="55">
        <v>9.5224999999999991</v>
      </c>
    </row>
    <row r="184" spans="1:5" x14ac:dyDescent="0.2">
      <c r="A184" s="18" t="s">
        <v>2685</v>
      </c>
      <c r="B184" s="26" t="s">
        <v>2651</v>
      </c>
      <c r="C184" s="49">
        <v>0</v>
      </c>
      <c r="D184" s="49">
        <v>15</v>
      </c>
      <c r="E184" s="55">
        <v>9.5224999999999991</v>
      </c>
    </row>
    <row r="185" spans="1:5" x14ac:dyDescent="0.2">
      <c r="A185" s="18" t="s">
        <v>2686</v>
      </c>
      <c r="B185" s="26" t="s">
        <v>2650</v>
      </c>
      <c r="C185" s="49">
        <v>0</v>
      </c>
      <c r="D185" s="49">
        <v>0</v>
      </c>
      <c r="E185" s="55">
        <v>0</v>
      </c>
    </row>
    <row r="186" spans="1:5" x14ac:dyDescent="0.2">
      <c r="A186" s="18" t="s">
        <v>2687</v>
      </c>
      <c r="B186" s="26" t="s">
        <v>2650</v>
      </c>
      <c r="C186" s="49">
        <v>0</v>
      </c>
      <c r="D186" s="49">
        <v>0</v>
      </c>
      <c r="E186" s="55">
        <v>0</v>
      </c>
    </row>
    <row r="187" spans="1:5" x14ac:dyDescent="0.2">
      <c r="A187" s="18" t="s">
        <v>2688</v>
      </c>
      <c r="B187" s="26" t="s">
        <v>2649</v>
      </c>
      <c r="C187" s="49">
        <v>0</v>
      </c>
      <c r="D187" s="49">
        <v>0</v>
      </c>
      <c r="E187" s="55">
        <v>0</v>
      </c>
    </row>
    <row r="188" spans="1:5" x14ac:dyDescent="0.2">
      <c r="A188" s="18" t="s">
        <v>2688</v>
      </c>
      <c r="B188" s="26" t="s">
        <v>2650</v>
      </c>
      <c r="C188" s="49">
        <v>0</v>
      </c>
      <c r="D188" s="49">
        <v>0</v>
      </c>
      <c r="E188" s="55">
        <v>0</v>
      </c>
    </row>
    <row r="189" spans="1:5" x14ac:dyDescent="0.2">
      <c r="A189" s="18" t="s">
        <v>2689</v>
      </c>
      <c r="B189" s="26" t="s">
        <v>9</v>
      </c>
      <c r="C189" s="49">
        <v>0</v>
      </c>
      <c r="D189" s="49">
        <v>15</v>
      </c>
      <c r="E189" s="55">
        <v>9.5224999999999991</v>
      </c>
    </row>
    <row r="190" spans="1:5" x14ac:dyDescent="0.2">
      <c r="A190" s="18" t="s">
        <v>2689</v>
      </c>
      <c r="B190" s="26" t="s">
        <v>2650</v>
      </c>
      <c r="C190" s="49">
        <v>0</v>
      </c>
      <c r="D190" s="49">
        <v>0</v>
      </c>
      <c r="E190" s="55">
        <v>0</v>
      </c>
    </row>
    <row r="191" spans="1:5" x14ac:dyDescent="0.2">
      <c r="A191" s="18" t="s">
        <v>2690</v>
      </c>
      <c r="B191" s="26" t="s">
        <v>9</v>
      </c>
      <c r="C191" s="49">
        <v>0</v>
      </c>
      <c r="D191" s="49">
        <v>0</v>
      </c>
      <c r="E191" s="55">
        <v>0</v>
      </c>
    </row>
    <row r="192" spans="1:5" x14ac:dyDescent="0.2">
      <c r="A192" s="18" t="s">
        <v>2690</v>
      </c>
      <c r="B192" s="26" t="s">
        <v>2650</v>
      </c>
      <c r="C192" s="49">
        <v>0</v>
      </c>
      <c r="D192" s="49">
        <v>0</v>
      </c>
      <c r="E192" s="55">
        <v>0</v>
      </c>
    </row>
    <row r="193" spans="1:5" x14ac:dyDescent="0.2">
      <c r="A193" s="18" t="s">
        <v>2690</v>
      </c>
      <c r="B193" s="26" t="s">
        <v>2651</v>
      </c>
      <c r="C193" s="49">
        <v>0</v>
      </c>
      <c r="D193" s="49">
        <v>0</v>
      </c>
      <c r="E193" s="55">
        <v>0</v>
      </c>
    </row>
    <row r="194" spans="1:5" ht="12" thickBot="1" x14ac:dyDescent="0.25">
      <c r="A194" s="25" t="s">
        <v>2691</v>
      </c>
      <c r="B194" s="25" t="s">
        <v>2650</v>
      </c>
      <c r="C194" s="51">
        <v>0</v>
      </c>
      <c r="D194" s="51">
        <v>0</v>
      </c>
      <c r="E194" s="54">
        <v>0</v>
      </c>
    </row>
  </sheetData>
  <mergeCells count="1">
    <mergeCell ref="C3:D3"/>
  </mergeCells>
  <pageMargins left="0.511811024" right="0.511811024" top="0.78740157499999996" bottom="0.78740157499999996" header="0.31496062000000002" footer="0.31496062000000002"/>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428"/>
  <sheetViews>
    <sheetView zoomScale="90" zoomScaleNormal="90" workbookViewId="0">
      <selection activeCell="A4" sqref="A4"/>
    </sheetView>
  </sheetViews>
  <sheetFormatPr defaultColWidth="9.140625" defaultRowHeight="15" x14ac:dyDescent="0.25"/>
  <cols>
    <col min="1" max="1" width="11.5703125" style="6" bestFit="1" customWidth="1"/>
    <col min="2" max="2" width="10.42578125" style="6" customWidth="1"/>
    <col min="3" max="3" width="56.42578125" bestFit="1" customWidth="1"/>
    <col min="4" max="4" width="20.140625" style="1" bestFit="1" customWidth="1"/>
    <col min="5" max="5" width="17" style="1" bestFit="1" customWidth="1"/>
    <col min="6" max="6" width="13.85546875" style="1" bestFit="1" customWidth="1"/>
    <col min="7" max="7" width="16.7109375" style="1" bestFit="1" customWidth="1"/>
    <col min="8" max="8" width="23.140625" style="6" bestFit="1" customWidth="1"/>
    <col min="9" max="9" width="34.5703125" style="6" bestFit="1" customWidth="1"/>
    <col min="10" max="10" width="47" style="6" bestFit="1" customWidth="1"/>
    <col min="11" max="11" width="12.7109375" style="1" bestFit="1" customWidth="1"/>
    <col min="12" max="12" width="23.140625" style="6" bestFit="1" customWidth="1"/>
    <col min="13" max="13" width="9.5703125" style="1" bestFit="1" customWidth="1"/>
    <col min="14" max="15" width="18.42578125" style="1" customWidth="1"/>
    <col min="16" max="16" width="14.28515625" style="1" bestFit="1" customWidth="1"/>
    <col min="17" max="18" width="14.28515625" style="1" customWidth="1"/>
    <col min="19" max="19" width="9.7109375" style="1" customWidth="1"/>
    <col min="20" max="20" width="15.7109375" customWidth="1"/>
  </cols>
  <sheetData>
    <row r="1" spans="1:19" s="38" customFormat="1" x14ac:dyDescent="0.25">
      <c r="A1" s="37" t="s">
        <v>1936</v>
      </c>
      <c r="B1" s="37" t="s">
        <v>1937</v>
      </c>
      <c r="C1" s="38" t="s">
        <v>1938</v>
      </c>
      <c r="D1" s="39" t="s">
        <v>1939</v>
      </c>
      <c r="E1" s="39" t="s">
        <v>231</v>
      </c>
      <c r="F1" s="39" t="s">
        <v>232</v>
      </c>
      <c r="G1" s="39" t="s">
        <v>1847</v>
      </c>
      <c r="H1" s="37" t="s">
        <v>1940</v>
      </c>
      <c r="I1" s="37" t="s">
        <v>1848</v>
      </c>
      <c r="J1" s="37" t="s">
        <v>1941</v>
      </c>
      <c r="K1" s="39" t="s">
        <v>1942</v>
      </c>
      <c r="L1" s="37" t="s">
        <v>1943</v>
      </c>
      <c r="M1" s="39" t="s">
        <v>1944</v>
      </c>
      <c r="N1" s="39" t="s">
        <v>1945</v>
      </c>
      <c r="O1" s="39" t="s">
        <v>1946</v>
      </c>
      <c r="P1" s="39" t="s">
        <v>1947</v>
      </c>
      <c r="Q1" s="39" t="s">
        <v>1948</v>
      </c>
      <c r="R1" s="39" t="s">
        <v>1949</v>
      </c>
      <c r="S1" s="39" t="s">
        <v>1950</v>
      </c>
    </row>
    <row r="2" spans="1:19" ht="14.45" customHeight="1" x14ac:dyDescent="0.25">
      <c r="A2" s="6">
        <v>1</v>
      </c>
      <c r="B2" s="6">
        <v>6300101</v>
      </c>
      <c r="C2" t="s">
        <v>735</v>
      </c>
      <c r="D2" s="1" t="s">
        <v>736</v>
      </c>
      <c r="E2" s="21">
        <v>5670</v>
      </c>
      <c r="F2" s="1" t="s">
        <v>233</v>
      </c>
      <c r="G2" s="1" t="s">
        <v>233</v>
      </c>
      <c r="H2" s="6" t="s">
        <v>1951</v>
      </c>
      <c r="I2" s="6" t="s">
        <v>428</v>
      </c>
      <c r="J2" s="6" t="s">
        <v>1849</v>
      </c>
      <c r="K2" s="1">
        <v>0</v>
      </c>
      <c r="L2" s="6" t="s">
        <v>234</v>
      </c>
      <c r="M2" s="1">
        <v>2012</v>
      </c>
      <c r="N2" s="1" t="s">
        <v>1850</v>
      </c>
      <c r="O2" s="1">
        <v>1</v>
      </c>
      <c r="P2" s="1">
        <v>0</v>
      </c>
      <c r="Q2" s="1">
        <v>0</v>
      </c>
      <c r="R2" s="1">
        <v>0</v>
      </c>
      <c r="S2" s="1" t="s">
        <v>235</v>
      </c>
    </row>
    <row r="3" spans="1:19" ht="14.45" customHeight="1" x14ac:dyDescent="0.25">
      <c r="A3" s="6">
        <v>2</v>
      </c>
      <c r="B3" s="6">
        <v>6300101</v>
      </c>
      <c r="C3" t="s">
        <v>735</v>
      </c>
      <c r="D3" s="1" t="s">
        <v>736</v>
      </c>
      <c r="E3" s="21">
        <v>2750</v>
      </c>
      <c r="F3" s="1" t="s">
        <v>233</v>
      </c>
      <c r="G3" s="1" t="s">
        <v>233</v>
      </c>
      <c r="H3" s="6" t="s">
        <v>1951</v>
      </c>
      <c r="I3" s="6" t="s">
        <v>432</v>
      </c>
      <c r="J3" s="6" t="s">
        <v>1849</v>
      </c>
      <c r="K3" s="1">
        <v>0</v>
      </c>
      <c r="L3" s="6" t="s">
        <v>236</v>
      </c>
      <c r="M3" s="1">
        <v>2009</v>
      </c>
      <c r="N3" s="1" t="s">
        <v>237</v>
      </c>
      <c r="O3" s="1">
        <v>0</v>
      </c>
      <c r="P3" s="1">
        <v>0</v>
      </c>
      <c r="Q3" s="1">
        <v>0</v>
      </c>
      <c r="R3" s="1">
        <v>0</v>
      </c>
      <c r="S3" s="1" t="s">
        <v>235</v>
      </c>
    </row>
    <row r="4" spans="1:19" ht="14.45" customHeight="1" x14ac:dyDescent="0.25">
      <c r="A4" s="6">
        <v>3</v>
      </c>
      <c r="B4" s="6">
        <v>6300101</v>
      </c>
      <c r="C4" t="s">
        <v>735</v>
      </c>
      <c r="D4" s="1" t="s">
        <v>736</v>
      </c>
      <c r="E4" s="21">
        <v>2375</v>
      </c>
      <c r="F4" s="1" t="s">
        <v>233</v>
      </c>
      <c r="G4" s="1" t="s">
        <v>233</v>
      </c>
      <c r="H4" s="6" t="s">
        <v>1951</v>
      </c>
      <c r="I4" s="6" t="s">
        <v>439</v>
      </c>
      <c r="J4" s="6" t="s">
        <v>1849</v>
      </c>
      <c r="K4" s="1">
        <v>0</v>
      </c>
      <c r="L4" s="6" t="s">
        <v>238</v>
      </c>
      <c r="M4" s="1">
        <v>2009</v>
      </c>
      <c r="N4" s="1" t="s">
        <v>237</v>
      </c>
      <c r="O4" s="1">
        <v>0</v>
      </c>
      <c r="P4" s="1">
        <v>0</v>
      </c>
      <c r="Q4" s="1">
        <v>0</v>
      </c>
      <c r="R4" s="1">
        <v>0</v>
      </c>
      <c r="S4" s="1" t="s">
        <v>235</v>
      </c>
    </row>
    <row r="5" spans="1:19" ht="14.45" customHeight="1" x14ac:dyDescent="0.25">
      <c r="A5" s="6">
        <v>4</v>
      </c>
      <c r="B5" s="6">
        <v>6300101</v>
      </c>
      <c r="C5" t="s">
        <v>735</v>
      </c>
      <c r="D5" s="1" t="s">
        <v>736</v>
      </c>
      <c r="E5" s="21">
        <v>6400</v>
      </c>
      <c r="F5" s="1" t="s">
        <v>233</v>
      </c>
      <c r="G5" s="1" t="s">
        <v>233</v>
      </c>
      <c r="H5" s="6" t="s">
        <v>1951</v>
      </c>
      <c r="I5" s="6" t="s">
        <v>1972</v>
      </c>
      <c r="J5" s="6" t="s">
        <v>1851</v>
      </c>
      <c r="K5" s="1">
        <v>0</v>
      </c>
      <c r="L5" s="6" t="s">
        <v>239</v>
      </c>
      <c r="M5" s="1">
        <v>1998</v>
      </c>
      <c r="N5" s="1" t="s">
        <v>237</v>
      </c>
      <c r="O5" s="1">
        <v>0</v>
      </c>
      <c r="P5" s="1" t="s">
        <v>1952</v>
      </c>
      <c r="Q5" s="1">
        <v>0</v>
      </c>
      <c r="R5" s="1">
        <v>0</v>
      </c>
      <c r="S5" s="1" t="s">
        <v>235</v>
      </c>
    </row>
    <row r="6" spans="1:19" ht="14.45" customHeight="1" x14ac:dyDescent="0.25">
      <c r="A6" s="6">
        <v>5</v>
      </c>
      <c r="B6" s="6">
        <v>6300101</v>
      </c>
      <c r="C6" t="s">
        <v>735</v>
      </c>
      <c r="D6" s="1" t="s">
        <v>736</v>
      </c>
      <c r="E6" s="21" t="s">
        <v>237</v>
      </c>
      <c r="F6" s="21">
        <v>2672</v>
      </c>
      <c r="G6" s="1" t="s">
        <v>233</v>
      </c>
      <c r="H6" s="6" t="s">
        <v>1951</v>
      </c>
      <c r="I6" s="6" t="s">
        <v>458</v>
      </c>
      <c r="J6" s="6" t="s">
        <v>1852</v>
      </c>
      <c r="K6" s="1">
        <v>0</v>
      </c>
      <c r="L6" s="6" t="s">
        <v>233</v>
      </c>
      <c r="M6" s="1">
        <v>2009</v>
      </c>
      <c r="N6" s="1" t="s">
        <v>237</v>
      </c>
      <c r="O6" s="1">
        <v>0</v>
      </c>
      <c r="P6" s="1">
        <v>0</v>
      </c>
      <c r="Q6" s="1" t="s">
        <v>1953</v>
      </c>
      <c r="R6" s="1">
        <v>0</v>
      </c>
      <c r="S6" s="1" t="s">
        <v>235</v>
      </c>
    </row>
    <row r="7" spans="1:19" ht="14.45" customHeight="1" x14ac:dyDescent="0.25">
      <c r="A7" s="6">
        <v>6</v>
      </c>
      <c r="B7" s="6">
        <v>6300101</v>
      </c>
      <c r="C7" t="s">
        <v>735</v>
      </c>
      <c r="D7" s="1" t="s">
        <v>736</v>
      </c>
      <c r="E7" s="21" t="s">
        <v>237</v>
      </c>
      <c r="F7" s="21">
        <v>638</v>
      </c>
      <c r="G7" s="1" t="s">
        <v>233</v>
      </c>
      <c r="H7" s="6" t="s">
        <v>1951</v>
      </c>
      <c r="I7" s="6" t="s">
        <v>460</v>
      </c>
      <c r="J7" s="6" t="s">
        <v>1852</v>
      </c>
      <c r="K7" s="1">
        <v>0</v>
      </c>
      <c r="L7" s="6" t="s">
        <v>241</v>
      </c>
      <c r="M7" s="1">
        <v>2011</v>
      </c>
      <c r="N7" s="1" t="s">
        <v>237</v>
      </c>
      <c r="O7" s="1">
        <v>0</v>
      </c>
      <c r="P7" s="1">
        <v>0</v>
      </c>
      <c r="Q7" s="1" t="s">
        <v>1953</v>
      </c>
      <c r="R7" s="1">
        <v>0</v>
      </c>
      <c r="S7" s="1" t="s">
        <v>235</v>
      </c>
    </row>
    <row r="8" spans="1:19" ht="14.45" customHeight="1" x14ac:dyDescent="0.25">
      <c r="A8" s="6">
        <v>7</v>
      </c>
      <c r="B8" s="6">
        <v>6300101</v>
      </c>
      <c r="C8" t="s">
        <v>735</v>
      </c>
      <c r="D8" s="1" t="s">
        <v>736</v>
      </c>
      <c r="E8" s="21" t="s">
        <v>237</v>
      </c>
      <c r="F8" s="21">
        <v>802</v>
      </c>
      <c r="G8" s="1" t="s">
        <v>233</v>
      </c>
      <c r="H8" s="6" t="s">
        <v>1951</v>
      </c>
      <c r="I8" s="6" t="s">
        <v>460</v>
      </c>
      <c r="J8" s="6" t="s">
        <v>1852</v>
      </c>
      <c r="K8" s="1">
        <v>0</v>
      </c>
      <c r="L8" s="6" t="s">
        <v>242</v>
      </c>
      <c r="M8" s="1">
        <v>2011</v>
      </c>
      <c r="N8" s="1" t="s">
        <v>237</v>
      </c>
      <c r="O8" s="1">
        <v>0</v>
      </c>
      <c r="P8" s="1">
        <v>0</v>
      </c>
      <c r="Q8" s="1">
        <v>0</v>
      </c>
      <c r="R8" s="1">
        <v>0</v>
      </c>
      <c r="S8" s="1" t="s">
        <v>235</v>
      </c>
    </row>
    <row r="9" spans="1:19" ht="14.45" customHeight="1" x14ac:dyDescent="0.25">
      <c r="A9" s="6">
        <v>8</v>
      </c>
      <c r="B9" s="6">
        <v>6300101</v>
      </c>
      <c r="C9" t="s">
        <v>735</v>
      </c>
      <c r="D9" s="1" t="s">
        <v>736</v>
      </c>
      <c r="E9" s="21" t="s">
        <v>237</v>
      </c>
      <c r="F9" s="21">
        <v>971</v>
      </c>
      <c r="G9" s="1" t="s">
        <v>233</v>
      </c>
      <c r="H9" s="6" t="s">
        <v>1951</v>
      </c>
      <c r="I9" s="6" t="s">
        <v>460</v>
      </c>
      <c r="J9" s="6" t="s">
        <v>1852</v>
      </c>
      <c r="K9" s="1">
        <v>0</v>
      </c>
      <c r="L9" s="6" t="s">
        <v>243</v>
      </c>
      <c r="M9" s="1">
        <v>2011</v>
      </c>
      <c r="N9" s="1" t="s">
        <v>237</v>
      </c>
      <c r="O9" s="1">
        <v>0</v>
      </c>
      <c r="P9" s="1">
        <v>0</v>
      </c>
      <c r="Q9" s="1">
        <v>0</v>
      </c>
      <c r="R9" s="1">
        <v>0</v>
      </c>
      <c r="S9" s="1" t="s">
        <v>235</v>
      </c>
    </row>
    <row r="10" spans="1:19" ht="14.45" customHeight="1" x14ac:dyDescent="0.25">
      <c r="A10" s="6">
        <v>9</v>
      </c>
      <c r="B10" s="6">
        <v>6300101</v>
      </c>
      <c r="C10" t="s">
        <v>735</v>
      </c>
      <c r="D10" s="1" t="s">
        <v>736</v>
      </c>
      <c r="E10" s="21" t="s">
        <v>237</v>
      </c>
      <c r="F10" s="21">
        <v>1163</v>
      </c>
      <c r="G10" s="1" t="s">
        <v>233</v>
      </c>
      <c r="H10" s="6" t="s">
        <v>1951</v>
      </c>
      <c r="I10" s="6" t="s">
        <v>460</v>
      </c>
      <c r="J10" s="6" t="s">
        <v>1852</v>
      </c>
      <c r="K10" s="1">
        <v>0</v>
      </c>
      <c r="L10" s="6" t="s">
        <v>238</v>
      </c>
      <c r="M10" s="1">
        <v>2011</v>
      </c>
      <c r="N10" s="1" t="s">
        <v>237</v>
      </c>
      <c r="O10" s="1">
        <v>0</v>
      </c>
      <c r="P10" s="1">
        <v>0</v>
      </c>
      <c r="Q10" s="1">
        <v>0</v>
      </c>
      <c r="R10" s="1">
        <v>0</v>
      </c>
      <c r="S10" s="1" t="s">
        <v>235</v>
      </c>
    </row>
    <row r="11" spans="1:19" ht="14.45" customHeight="1" x14ac:dyDescent="0.25">
      <c r="A11" s="6">
        <v>10</v>
      </c>
      <c r="B11" s="6">
        <v>6300101</v>
      </c>
      <c r="C11" t="s">
        <v>735</v>
      </c>
      <c r="D11" s="1" t="s">
        <v>736</v>
      </c>
      <c r="E11" s="21" t="s">
        <v>237</v>
      </c>
      <c r="F11" s="21">
        <v>1187</v>
      </c>
      <c r="G11" s="1" t="s">
        <v>233</v>
      </c>
      <c r="H11" s="6" t="s">
        <v>1951</v>
      </c>
      <c r="I11" s="6" t="s">
        <v>460</v>
      </c>
      <c r="J11" s="6" t="s">
        <v>1852</v>
      </c>
      <c r="K11" s="1">
        <v>0</v>
      </c>
      <c r="L11" s="6" t="s">
        <v>244</v>
      </c>
      <c r="M11" s="1">
        <v>2011</v>
      </c>
      <c r="N11" s="1" t="s">
        <v>237</v>
      </c>
      <c r="O11" s="1">
        <v>0</v>
      </c>
      <c r="P11" s="1">
        <v>0</v>
      </c>
      <c r="Q11" s="1">
        <v>0</v>
      </c>
      <c r="R11" s="1">
        <v>0</v>
      </c>
      <c r="S11" s="1" t="s">
        <v>235</v>
      </c>
    </row>
    <row r="12" spans="1:19" ht="14.45" customHeight="1" x14ac:dyDescent="0.25">
      <c r="A12" s="6">
        <v>11</v>
      </c>
      <c r="B12" s="6">
        <v>6300101</v>
      </c>
      <c r="C12" t="s">
        <v>735</v>
      </c>
      <c r="D12" s="1" t="s">
        <v>736</v>
      </c>
      <c r="E12" s="21" t="s">
        <v>237</v>
      </c>
      <c r="F12" s="21">
        <v>1521</v>
      </c>
      <c r="G12" s="1" t="s">
        <v>233</v>
      </c>
      <c r="H12" s="6" t="s">
        <v>1951</v>
      </c>
      <c r="I12" s="6" t="s">
        <v>460</v>
      </c>
      <c r="J12" s="6" t="s">
        <v>1852</v>
      </c>
      <c r="K12" s="1">
        <v>0</v>
      </c>
      <c r="L12" s="6" t="s">
        <v>245</v>
      </c>
      <c r="M12" s="1">
        <v>2011</v>
      </c>
      <c r="N12" s="1" t="s">
        <v>237</v>
      </c>
      <c r="O12" s="1">
        <v>0</v>
      </c>
      <c r="P12" s="1">
        <v>0</v>
      </c>
      <c r="Q12" s="1">
        <v>0</v>
      </c>
      <c r="R12" s="1">
        <v>0</v>
      </c>
      <c r="S12" s="1" t="s">
        <v>235</v>
      </c>
    </row>
    <row r="13" spans="1:19" ht="14.45" customHeight="1" x14ac:dyDescent="0.25">
      <c r="A13" s="6">
        <v>12</v>
      </c>
      <c r="B13" s="6">
        <v>6300101</v>
      </c>
      <c r="C13" t="s">
        <v>735</v>
      </c>
      <c r="D13" s="1" t="s">
        <v>736</v>
      </c>
      <c r="E13" s="21" t="s">
        <v>237</v>
      </c>
      <c r="F13" s="21">
        <v>2020</v>
      </c>
      <c r="G13" s="1" t="s">
        <v>233</v>
      </c>
      <c r="H13" s="6" t="s">
        <v>1951</v>
      </c>
      <c r="I13" s="6" t="s">
        <v>460</v>
      </c>
      <c r="J13" s="6" t="s">
        <v>1852</v>
      </c>
      <c r="K13" s="1">
        <v>0</v>
      </c>
      <c r="L13" s="6" t="s">
        <v>246</v>
      </c>
      <c r="M13" s="1">
        <v>2011</v>
      </c>
      <c r="N13" s="1" t="s">
        <v>237</v>
      </c>
      <c r="O13" s="1">
        <v>0</v>
      </c>
      <c r="P13" s="1">
        <v>0</v>
      </c>
      <c r="Q13" s="1">
        <v>0</v>
      </c>
      <c r="R13" s="1">
        <v>0</v>
      </c>
      <c r="S13" s="1" t="s">
        <v>235</v>
      </c>
    </row>
    <row r="14" spans="1:19" ht="14.45" customHeight="1" x14ac:dyDescent="0.25">
      <c r="A14" s="6">
        <v>13</v>
      </c>
      <c r="B14" s="6">
        <v>6300101</v>
      </c>
      <c r="C14" t="s">
        <v>735</v>
      </c>
      <c r="D14" s="1" t="s">
        <v>736</v>
      </c>
      <c r="E14" s="21">
        <v>1200.0000000000002</v>
      </c>
      <c r="F14" s="1" t="s">
        <v>233</v>
      </c>
      <c r="G14" s="1" t="s">
        <v>233</v>
      </c>
      <c r="H14" s="6" t="s">
        <v>1951</v>
      </c>
      <c r="I14" s="6" t="s">
        <v>515</v>
      </c>
      <c r="J14" s="6" t="s">
        <v>1853</v>
      </c>
      <c r="K14" s="1">
        <v>0</v>
      </c>
      <c r="L14" s="6" t="s">
        <v>242</v>
      </c>
      <c r="M14" s="1">
        <v>2011</v>
      </c>
      <c r="N14" s="1" t="s">
        <v>237</v>
      </c>
      <c r="O14" s="1">
        <v>0</v>
      </c>
      <c r="P14" s="1">
        <v>0</v>
      </c>
      <c r="Q14" s="1">
        <v>0</v>
      </c>
      <c r="R14" s="1">
        <v>0</v>
      </c>
      <c r="S14" s="1" t="s">
        <v>235</v>
      </c>
    </row>
    <row r="15" spans="1:19" ht="14.45" customHeight="1" x14ac:dyDescent="0.25">
      <c r="A15" s="6">
        <v>14</v>
      </c>
      <c r="B15" s="6">
        <v>6300101</v>
      </c>
      <c r="C15" t="s">
        <v>735</v>
      </c>
      <c r="D15" s="1" t="s">
        <v>736</v>
      </c>
      <c r="E15" s="21">
        <v>1500</v>
      </c>
      <c r="F15" s="1" t="s">
        <v>233</v>
      </c>
      <c r="G15" s="1" t="s">
        <v>233</v>
      </c>
      <c r="H15" s="6" t="s">
        <v>1951</v>
      </c>
      <c r="I15" s="6" t="s">
        <v>539</v>
      </c>
      <c r="J15" s="6" t="s">
        <v>1852</v>
      </c>
      <c r="K15" s="1">
        <v>0</v>
      </c>
      <c r="L15" s="6" t="s">
        <v>242</v>
      </c>
      <c r="M15" s="1">
        <v>2009</v>
      </c>
      <c r="N15" s="1" t="s">
        <v>237</v>
      </c>
      <c r="O15" s="1">
        <v>0</v>
      </c>
      <c r="P15" s="1">
        <v>0</v>
      </c>
      <c r="Q15" s="1">
        <v>0</v>
      </c>
      <c r="R15" s="1">
        <v>0</v>
      </c>
      <c r="S15" s="1" t="s">
        <v>235</v>
      </c>
    </row>
    <row r="16" spans="1:19" ht="14.45" customHeight="1" x14ac:dyDescent="0.25">
      <c r="A16" s="6">
        <v>15</v>
      </c>
      <c r="B16" s="6">
        <v>6300101</v>
      </c>
      <c r="C16" t="s">
        <v>735</v>
      </c>
      <c r="D16" s="1" t="s">
        <v>736</v>
      </c>
      <c r="E16" s="21">
        <v>1650</v>
      </c>
      <c r="F16" s="1" t="s">
        <v>233</v>
      </c>
      <c r="G16" s="1" t="s">
        <v>233</v>
      </c>
      <c r="H16" s="6" t="s">
        <v>1951</v>
      </c>
      <c r="I16" s="6" t="s">
        <v>553</v>
      </c>
      <c r="J16" s="6" t="s">
        <v>1849</v>
      </c>
      <c r="K16" s="1">
        <v>0</v>
      </c>
      <c r="L16" s="6" t="s">
        <v>247</v>
      </c>
      <c r="M16" s="1">
        <v>2010</v>
      </c>
      <c r="N16" s="1" t="s">
        <v>237</v>
      </c>
      <c r="O16" s="1">
        <v>0</v>
      </c>
      <c r="P16" s="1">
        <v>0</v>
      </c>
      <c r="Q16" s="1">
        <v>0</v>
      </c>
      <c r="R16" s="1">
        <v>0</v>
      </c>
      <c r="S16" s="1" t="s">
        <v>235</v>
      </c>
    </row>
    <row r="17" spans="1:19" ht="14.45" customHeight="1" x14ac:dyDescent="0.25">
      <c r="A17" s="6">
        <v>16</v>
      </c>
      <c r="B17" s="6">
        <v>6300101</v>
      </c>
      <c r="C17" t="s">
        <v>735</v>
      </c>
      <c r="D17" s="1" t="s">
        <v>736</v>
      </c>
      <c r="E17" s="21">
        <v>2550</v>
      </c>
      <c r="F17" s="1" t="s">
        <v>233</v>
      </c>
      <c r="G17" s="1" t="s">
        <v>233</v>
      </c>
      <c r="H17" s="6" t="s">
        <v>1951</v>
      </c>
      <c r="I17" s="6" t="s">
        <v>553</v>
      </c>
      <c r="J17" s="6" t="s">
        <v>1849</v>
      </c>
      <c r="K17" s="1">
        <v>0</v>
      </c>
      <c r="L17" s="6" t="s">
        <v>236</v>
      </c>
      <c r="M17" s="1">
        <v>2010</v>
      </c>
      <c r="N17" s="1" t="s">
        <v>237</v>
      </c>
      <c r="O17" s="1">
        <v>0</v>
      </c>
      <c r="P17" s="1">
        <v>0</v>
      </c>
      <c r="Q17" s="1">
        <v>0</v>
      </c>
      <c r="R17" s="1">
        <v>0</v>
      </c>
      <c r="S17" s="1" t="s">
        <v>235</v>
      </c>
    </row>
    <row r="18" spans="1:19" ht="14.45" customHeight="1" x14ac:dyDescent="0.25">
      <c r="A18" s="6">
        <v>17</v>
      </c>
      <c r="B18" s="6">
        <v>6300101</v>
      </c>
      <c r="C18" t="s">
        <v>735</v>
      </c>
      <c r="D18" s="1" t="s">
        <v>736</v>
      </c>
      <c r="E18" s="21">
        <v>3050</v>
      </c>
      <c r="F18" s="1" t="s">
        <v>233</v>
      </c>
      <c r="G18" s="1" t="s">
        <v>233</v>
      </c>
      <c r="H18" s="6" t="s">
        <v>1951</v>
      </c>
      <c r="I18" s="6" t="s">
        <v>553</v>
      </c>
      <c r="J18" s="6" t="s">
        <v>1849</v>
      </c>
      <c r="K18" s="1">
        <v>0</v>
      </c>
      <c r="L18" s="6" t="s">
        <v>238</v>
      </c>
      <c r="M18" s="1">
        <v>2010</v>
      </c>
      <c r="N18" s="1" t="s">
        <v>237</v>
      </c>
      <c r="O18" s="1">
        <v>0</v>
      </c>
      <c r="P18" s="1">
        <v>0</v>
      </c>
      <c r="Q18" s="1">
        <v>0</v>
      </c>
      <c r="R18" s="1">
        <v>0</v>
      </c>
      <c r="S18" s="1" t="s">
        <v>235</v>
      </c>
    </row>
    <row r="19" spans="1:19" ht="14.45" customHeight="1" x14ac:dyDescent="0.25">
      <c r="A19" s="6">
        <v>18</v>
      </c>
      <c r="B19" s="6">
        <v>6300101</v>
      </c>
      <c r="C19" t="s">
        <v>735</v>
      </c>
      <c r="D19" s="1" t="s">
        <v>736</v>
      </c>
      <c r="E19" s="21">
        <v>2926.9</v>
      </c>
      <c r="F19" s="1" t="s">
        <v>233</v>
      </c>
      <c r="G19" s="1" t="s">
        <v>233</v>
      </c>
      <c r="H19" s="6" t="s">
        <v>1951</v>
      </c>
      <c r="I19" s="6" t="s">
        <v>556</v>
      </c>
      <c r="J19" s="6" t="s">
        <v>1849</v>
      </c>
      <c r="K19" s="1">
        <v>0</v>
      </c>
      <c r="L19" s="6" t="s">
        <v>248</v>
      </c>
      <c r="M19" s="1">
        <v>2009</v>
      </c>
      <c r="N19" s="1" t="s">
        <v>237</v>
      </c>
      <c r="O19" s="1">
        <v>0</v>
      </c>
      <c r="P19" s="1">
        <v>0</v>
      </c>
      <c r="Q19" s="1">
        <v>0</v>
      </c>
      <c r="R19" s="1">
        <v>0</v>
      </c>
      <c r="S19" s="1" t="s">
        <v>235</v>
      </c>
    </row>
    <row r="20" spans="1:19" ht="14.45" customHeight="1" x14ac:dyDescent="0.25">
      <c r="A20" s="6">
        <v>19</v>
      </c>
      <c r="B20" s="6">
        <v>6300101</v>
      </c>
      <c r="C20" t="s">
        <v>735</v>
      </c>
      <c r="D20" s="1" t="s">
        <v>736</v>
      </c>
      <c r="E20" s="21">
        <v>4549</v>
      </c>
      <c r="F20" s="1" t="s">
        <v>233</v>
      </c>
      <c r="G20" s="1" t="s">
        <v>233</v>
      </c>
      <c r="H20" s="6" t="s">
        <v>1951</v>
      </c>
      <c r="I20" s="6" t="s">
        <v>560</v>
      </c>
      <c r="J20" s="6" t="s">
        <v>1852</v>
      </c>
      <c r="K20" s="1">
        <v>0</v>
      </c>
      <c r="L20" s="6" t="s">
        <v>249</v>
      </c>
      <c r="M20" s="1">
        <v>2001</v>
      </c>
      <c r="N20" s="1" t="s">
        <v>237</v>
      </c>
      <c r="O20" s="1">
        <v>0</v>
      </c>
      <c r="P20" s="1">
        <v>0</v>
      </c>
      <c r="Q20" s="1">
        <v>0</v>
      </c>
      <c r="R20" s="1">
        <v>0</v>
      </c>
      <c r="S20" s="1" t="s">
        <v>235</v>
      </c>
    </row>
    <row r="21" spans="1:19" ht="14.45" customHeight="1" x14ac:dyDescent="0.25">
      <c r="A21" s="6">
        <v>20</v>
      </c>
      <c r="B21" s="6">
        <v>6300101</v>
      </c>
      <c r="C21" t="s">
        <v>735</v>
      </c>
      <c r="D21" s="1" t="s">
        <v>736</v>
      </c>
      <c r="E21" s="21">
        <v>785.4</v>
      </c>
      <c r="F21" s="1" t="s">
        <v>233</v>
      </c>
      <c r="G21" s="1" t="s">
        <v>233</v>
      </c>
      <c r="H21" s="6" t="s">
        <v>1951</v>
      </c>
      <c r="I21" s="6" t="s">
        <v>737</v>
      </c>
      <c r="J21" s="6" t="s">
        <v>1854</v>
      </c>
      <c r="K21" s="1">
        <v>1</v>
      </c>
      <c r="L21" s="6" t="s">
        <v>246</v>
      </c>
      <c r="M21" s="1">
        <v>2010</v>
      </c>
      <c r="N21" s="1" t="s">
        <v>237</v>
      </c>
      <c r="O21" s="1">
        <v>0</v>
      </c>
      <c r="P21" s="1">
        <v>0</v>
      </c>
      <c r="Q21" s="1">
        <v>0</v>
      </c>
      <c r="R21" s="1">
        <v>0</v>
      </c>
      <c r="S21" s="1" t="s">
        <v>235</v>
      </c>
    </row>
    <row r="22" spans="1:19" ht="14.45" customHeight="1" x14ac:dyDescent="0.25">
      <c r="A22" s="6">
        <v>21</v>
      </c>
      <c r="B22" s="6">
        <v>6300101</v>
      </c>
      <c r="C22" t="s">
        <v>735</v>
      </c>
      <c r="D22" s="1" t="s">
        <v>736</v>
      </c>
      <c r="E22" s="21">
        <v>940</v>
      </c>
      <c r="F22" s="1" t="s">
        <v>233</v>
      </c>
      <c r="G22" s="1" t="s">
        <v>233</v>
      </c>
      <c r="H22" s="6" t="s">
        <v>1951</v>
      </c>
      <c r="I22" s="6" t="s">
        <v>642</v>
      </c>
      <c r="J22" s="6" t="s">
        <v>1853</v>
      </c>
      <c r="K22" s="1">
        <v>0</v>
      </c>
      <c r="L22" s="6" t="s">
        <v>241</v>
      </c>
      <c r="M22" s="1">
        <v>2011</v>
      </c>
      <c r="N22" s="1" t="s">
        <v>237</v>
      </c>
      <c r="O22" s="1">
        <v>0</v>
      </c>
      <c r="P22" s="1" t="s">
        <v>1952</v>
      </c>
      <c r="Q22" s="1">
        <v>0</v>
      </c>
      <c r="R22" s="1">
        <v>0</v>
      </c>
      <c r="S22" s="1" t="s">
        <v>235</v>
      </c>
    </row>
    <row r="23" spans="1:19" ht="14.45" customHeight="1" x14ac:dyDescent="0.25">
      <c r="A23" s="6">
        <v>22</v>
      </c>
      <c r="B23" s="6">
        <v>6300101</v>
      </c>
      <c r="C23" t="s">
        <v>735</v>
      </c>
      <c r="D23" s="1" t="s">
        <v>736</v>
      </c>
      <c r="E23" s="21">
        <v>244.44444444444446</v>
      </c>
      <c r="F23" s="1" t="s">
        <v>233</v>
      </c>
      <c r="G23" s="1" t="s">
        <v>233</v>
      </c>
      <c r="H23" s="6" t="s">
        <v>1951</v>
      </c>
      <c r="I23" s="6" t="s">
        <v>738</v>
      </c>
      <c r="J23" s="6" t="s">
        <v>1854</v>
      </c>
      <c r="K23" s="1">
        <v>1</v>
      </c>
      <c r="L23" s="6" t="s">
        <v>242</v>
      </c>
      <c r="M23" s="1">
        <v>2009</v>
      </c>
      <c r="N23" s="1" t="s">
        <v>237</v>
      </c>
      <c r="O23" s="1">
        <v>0</v>
      </c>
      <c r="P23" s="1">
        <v>0</v>
      </c>
      <c r="Q23" s="1">
        <v>0</v>
      </c>
      <c r="R23" s="1">
        <v>0</v>
      </c>
      <c r="S23" s="1" t="s">
        <v>235</v>
      </c>
    </row>
    <row r="24" spans="1:19" ht="14.45" customHeight="1" x14ac:dyDescent="0.25">
      <c r="A24" s="6">
        <v>23</v>
      </c>
      <c r="B24" s="6">
        <v>6300101</v>
      </c>
      <c r="C24" t="s">
        <v>735</v>
      </c>
      <c r="D24" s="1" t="s">
        <v>736</v>
      </c>
      <c r="E24" s="21">
        <v>2760</v>
      </c>
      <c r="F24" s="1" t="s">
        <v>233</v>
      </c>
      <c r="G24" s="1" t="s">
        <v>233</v>
      </c>
      <c r="H24" s="6" t="s">
        <v>1951</v>
      </c>
      <c r="I24" s="6" t="s">
        <v>739</v>
      </c>
      <c r="J24" s="6" t="s">
        <v>1854</v>
      </c>
      <c r="K24" s="1">
        <v>1</v>
      </c>
      <c r="L24" s="6" t="s">
        <v>250</v>
      </c>
      <c r="M24" s="1">
        <v>2012</v>
      </c>
      <c r="N24" s="1" t="s">
        <v>237</v>
      </c>
      <c r="O24" s="1">
        <v>0</v>
      </c>
      <c r="P24" s="1">
        <v>0</v>
      </c>
      <c r="Q24" s="1">
        <v>0</v>
      </c>
      <c r="R24" s="1">
        <v>0</v>
      </c>
      <c r="S24" s="1" t="s">
        <v>235</v>
      </c>
    </row>
    <row r="25" spans="1:19" ht="14.45" customHeight="1" x14ac:dyDescent="0.25">
      <c r="A25" s="6">
        <v>24</v>
      </c>
      <c r="B25" s="6">
        <v>6300101</v>
      </c>
      <c r="C25" t="s">
        <v>735</v>
      </c>
      <c r="D25" s="1" t="s">
        <v>736</v>
      </c>
      <c r="E25" s="21" t="s">
        <v>237</v>
      </c>
      <c r="F25" s="1" t="s">
        <v>233</v>
      </c>
      <c r="G25" s="19">
        <v>10</v>
      </c>
      <c r="H25" s="6" t="s">
        <v>1951</v>
      </c>
      <c r="I25" s="6" t="s">
        <v>465</v>
      </c>
      <c r="J25" s="6" t="s">
        <v>1849</v>
      </c>
      <c r="K25" s="1">
        <v>0</v>
      </c>
      <c r="L25" s="6" t="s">
        <v>234</v>
      </c>
      <c r="M25" s="1">
        <v>2007</v>
      </c>
      <c r="N25" s="1" t="s">
        <v>237</v>
      </c>
      <c r="O25" s="1">
        <v>0</v>
      </c>
      <c r="P25" s="1">
        <v>0</v>
      </c>
      <c r="Q25" s="1">
        <v>0</v>
      </c>
      <c r="R25" s="1">
        <v>0</v>
      </c>
      <c r="S25" s="1" t="s">
        <v>235</v>
      </c>
    </row>
    <row r="26" spans="1:19" ht="14.45" customHeight="1" x14ac:dyDescent="0.25">
      <c r="A26" s="6">
        <v>25</v>
      </c>
      <c r="B26" s="6">
        <v>6300701</v>
      </c>
      <c r="C26" t="s">
        <v>740</v>
      </c>
      <c r="D26" s="1" t="s">
        <v>741</v>
      </c>
      <c r="E26" s="21">
        <v>655</v>
      </c>
      <c r="F26" s="1" t="s">
        <v>233</v>
      </c>
      <c r="G26" s="1" t="s">
        <v>233</v>
      </c>
      <c r="H26" s="6" t="s">
        <v>1951</v>
      </c>
      <c r="I26" s="6" t="s">
        <v>515</v>
      </c>
      <c r="J26" s="6" t="s">
        <v>1853</v>
      </c>
      <c r="K26" s="1">
        <v>0</v>
      </c>
      <c r="L26" s="6" t="s">
        <v>238</v>
      </c>
      <c r="M26" s="1">
        <v>2011</v>
      </c>
      <c r="N26" s="1" t="s">
        <v>237</v>
      </c>
      <c r="O26" s="1">
        <v>0</v>
      </c>
      <c r="P26" s="1">
        <v>0</v>
      </c>
      <c r="Q26" s="1">
        <v>0</v>
      </c>
      <c r="R26" s="1">
        <v>0</v>
      </c>
      <c r="S26" s="1" t="s">
        <v>235</v>
      </c>
    </row>
    <row r="27" spans="1:19" ht="14.45" customHeight="1" x14ac:dyDescent="0.25">
      <c r="A27" s="6">
        <v>26</v>
      </c>
      <c r="B27" s="6">
        <v>6300701</v>
      </c>
      <c r="C27" t="s">
        <v>740</v>
      </c>
      <c r="D27" s="1" t="s">
        <v>741</v>
      </c>
      <c r="E27" s="21" t="s">
        <v>237</v>
      </c>
      <c r="F27" s="21">
        <v>868.2</v>
      </c>
      <c r="G27" s="1" t="s">
        <v>233</v>
      </c>
      <c r="H27" s="6" t="s">
        <v>1951</v>
      </c>
      <c r="I27" s="6" t="s">
        <v>542</v>
      </c>
      <c r="J27" s="6" t="s">
        <v>1852</v>
      </c>
      <c r="K27" s="1">
        <v>0</v>
      </c>
      <c r="L27" s="6" t="s">
        <v>243</v>
      </c>
      <c r="M27" s="1">
        <v>2012</v>
      </c>
      <c r="N27" s="1" t="s">
        <v>237</v>
      </c>
      <c r="O27" s="1">
        <v>0</v>
      </c>
      <c r="P27" s="1">
        <v>0</v>
      </c>
      <c r="Q27" s="1">
        <v>0</v>
      </c>
      <c r="R27" s="1">
        <v>0</v>
      </c>
      <c r="S27" s="1" t="s">
        <v>235</v>
      </c>
    </row>
    <row r="28" spans="1:19" ht="14.45" customHeight="1" x14ac:dyDescent="0.25">
      <c r="A28" s="6">
        <v>27</v>
      </c>
      <c r="B28" s="6">
        <v>6300701</v>
      </c>
      <c r="C28" t="s">
        <v>740</v>
      </c>
      <c r="D28" s="1" t="s">
        <v>741</v>
      </c>
      <c r="E28" s="21" t="s">
        <v>237</v>
      </c>
      <c r="F28" s="1" t="s">
        <v>233</v>
      </c>
      <c r="G28" s="19">
        <v>3.2495477253553973</v>
      </c>
      <c r="H28" s="6" t="s">
        <v>1951</v>
      </c>
      <c r="I28" s="6" t="s">
        <v>580</v>
      </c>
      <c r="J28" s="6" t="s">
        <v>1851</v>
      </c>
      <c r="K28" s="1">
        <v>0</v>
      </c>
      <c r="L28" s="6" t="s">
        <v>243</v>
      </c>
      <c r="M28" s="1">
        <v>2008</v>
      </c>
      <c r="N28" s="1" t="s">
        <v>237</v>
      </c>
      <c r="O28" s="1">
        <v>0</v>
      </c>
      <c r="P28" s="1">
        <v>0</v>
      </c>
      <c r="Q28" s="1">
        <v>0</v>
      </c>
      <c r="R28" s="1">
        <v>0</v>
      </c>
      <c r="S28" s="1" t="s">
        <v>251</v>
      </c>
    </row>
    <row r="29" spans="1:19" ht="14.45" customHeight="1" x14ac:dyDescent="0.25">
      <c r="A29" s="6">
        <v>28</v>
      </c>
      <c r="B29" s="6">
        <v>6300701</v>
      </c>
      <c r="C29" t="s">
        <v>740</v>
      </c>
      <c r="D29" s="1" t="s">
        <v>741</v>
      </c>
      <c r="E29" s="21" t="s">
        <v>237</v>
      </c>
      <c r="F29" s="21">
        <v>1746.0496842091618</v>
      </c>
      <c r="G29" s="1" t="s">
        <v>233</v>
      </c>
      <c r="H29" s="6" t="s">
        <v>1951</v>
      </c>
      <c r="I29" s="6" t="s">
        <v>593</v>
      </c>
      <c r="J29" s="6" t="s">
        <v>1853</v>
      </c>
      <c r="K29" s="1">
        <v>0</v>
      </c>
      <c r="L29" s="6" t="s">
        <v>245</v>
      </c>
      <c r="M29" s="1">
        <v>2011</v>
      </c>
      <c r="N29" s="1" t="s">
        <v>237</v>
      </c>
      <c r="O29" s="1">
        <v>0</v>
      </c>
      <c r="P29" s="1">
        <v>0</v>
      </c>
      <c r="Q29" s="1">
        <v>0</v>
      </c>
      <c r="R29" s="1">
        <v>0</v>
      </c>
      <c r="S29" s="1" t="s">
        <v>251</v>
      </c>
    </row>
    <row r="30" spans="1:19" ht="14.45" customHeight="1" x14ac:dyDescent="0.25">
      <c r="A30" s="6">
        <v>29</v>
      </c>
      <c r="B30" s="6">
        <v>6300701</v>
      </c>
      <c r="C30" t="s">
        <v>740</v>
      </c>
      <c r="D30" s="1" t="s">
        <v>741</v>
      </c>
      <c r="E30" s="21">
        <v>398</v>
      </c>
      <c r="F30" s="1" t="s">
        <v>233</v>
      </c>
      <c r="G30" s="1" t="s">
        <v>233</v>
      </c>
      <c r="H30" s="6" t="s">
        <v>1951</v>
      </c>
      <c r="I30" s="6" t="s">
        <v>595</v>
      </c>
      <c r="J30" s="6" t="s">
        <v>1849</v>
      </c>
      <c r="K30" s="1">
        <v>0</v>
      </c>
      <c r="L30" s="6" t="s">
        <v>252</v>
      </c>
      <c r="M30" s="1">
        <v>2012</v>
      </c>
      <c r="N30" s="1" t="s">
        <v>237</v>
      </c>
      <c r="O30" s="1">
        <v>0</v>
      </c>
      <c r="P30" s="1">
        <v>0</v>
      </c>
      <c r="Q30" s="1">
        <v>0</v>
      </c>
      <c r="R30" s="1">
        <v>0</v>
      </c>
      <c r="S30" s="1" t="s">
        <v>235</v>
      </c>
    </row>
    <row r="31" spans="1:19" ht="14.45" customHeight="1" x14ac:dyDescent="0.25">
      <c r="A31" s="6">
        <v>30</v>
      </c>
      <c r="B31" s="6">
        <v>6300701</v>
      </c>
      <c r="C31" t="s">
        <v>740</v>
      </c>
      <c r="D31" s="1" t="s">
        <v>741</v>
      </c>
      <c r="E31" s="21">
        <v>622</v>
      </c>
      <c r="F31" s="1">
        <v>1150</v>
      </c>
      <c r="G31" s="1" t="s">
        <v>233</v>
      </c>
      <c r="H31" s="6" t="s">
        <v>1951</v>
      </c>
      <c r="I31" s="6" t="s">
        <v>412</v>
      </c>
      <c r="J31" s="6" t="s">
        <v>1852</v>
      </c>
      <c r="K31" s="1">
        <v>0</v>
      </c>
      <c r="L31" s="6" t="s">
        <v>253</v>
      </c>
      <c r="M31" s="1">
        <v>2012</v>
      </c>
      <c r="N31" s="1" t="s">
        <v>254</v>
      </c>
      <c r="O31" s="1">
        <v>0</v>
      </c>
      <c r="P31" s="1">
        <v>0</v>
      </c>
      <c r="Q31" s="1">
        <v>0</v>
      </c>
      <c r="R31" s="1">
        <v>0</v>
      </c>
      <c r="S31" s="1" t="s">
        <v>251</v>
      </c>
    </row>
    <row r="32" spans="1:19" ht="14.45" customHeight="1" x14ac:dyDescent="0.25">
      <c r="A32" s="6">
        <v>31</v>
      </c>
      <c r="B32" s="6">
        <v>6301001</v>
      </c>
      <c r="C32" t="s">
        <v>742</v>
      </c>
      <c r="D32" s="1" t="s">
        <v>1973</v>
      </c>
      <c r="E32" s="21">
        <v>1333.3333333333333</v>
      </c>
      <c r="F32" s="1" t="s">
        <v>233</v>
      </c>
      <c r="G32" s="1" t="s">
        <v>233</v>
      </c>
      <c r="H32" s="6" t="s">
        <v>1951</v>
      </c>
      <c r="I32" s="6" t="s">
        <v>433</v>
      </c>
      <c r="J32" s="6" t="s">
        <v>1853</v>
      </c>
      <c r="K32" s="1">
        <v>0</v>
      </c>
      <c r="L32" s="6" t="s">
        <v>249</v>
      </c>
      <c r="M32" s="1">
        <v>2008</v>
      </c>
      <c r="N32" s="1" t="s">
        <v>237</v>
      </c>
      <c r="O32" s="1">
        <v>0</v>
      </c>
      <c r="P32" s="1">
        <v>0</v>
      </c>
      <c r="Q32" s="1">
        <v>0</v>
      </c>
      <c r="R32" s="1">
        <v>0</v>
      </c>
      <c r="S32" s="1" t="s">
        <v>235</v>
      </c>
    </row>
    <row r="33" spans="1:19" ht="14.45" customHeight="1" x14ac:dyDescent="0.25">
      <c r="A33" s="6">
        <v>32</v>
      </c>
      <c r="B33" s="6">
        <v>6301001</v>
      </c>
      <c r="C33" t="s">
        <v>742</v>
      </c>
      <c r="D33" s="1" t="s">
        <v>1973</v>
      </c>
      <c r="E33" s="21" t="s">
        <v>237</v>
      </c>
      <c r="F33" s="21">
        <v>1329.7</v>
      </c>
      <c r="G33" s="1" t="s">
        <v>233</v>
      </c>
      <c r="H33" s="6" t="s">
        <v>1951</v>
      </c>
      <c r="I33" s="6" t="s">
        <v>542</v>
      </c>
      <c r="J33" s="6" t="s">
        <v>1852</v>
      </c>
      <c r="K33" s="1">
        <v>0</v>
      </c>
      <c r="L33" s="6" t="s">
        <v>243</v>
      </c>
      <c r="M33" s="1">
        <v>2012</v>
      </c>
      <c r="N33" s="1" t="s">
        <v>237</v>
      </c>
      <c r="O33" s="1">
        <v>0</v>
      </c>
      <c r="P33" s="1">
        <v>0</v>
      </c>
      <c r="Q33" s="1">
        <v>0</v>
      </c>
      <c r="R33" s="1">
        <v>0</v>
      </c>
      <c r="S33" s="1" t="s">
        <v>235</v>
      </c>
    </row>
    <row r="34" spans="1:19" ht="14.45" customHeight="1" x14ac:dyDescent="0.25">
      <c r="A34" s="6">
        <v>33</v>
      </c>
      <c r="B34" s="6">
        <v>6301001</v>
      </c>
      <c r="C34" t="s">
        <v>742</v>
      </c>
      <c r="D34" s="1" t="s">
        <v>1973</v>
      </c>
      <c r="E34" s="21" t="s">
        <v>237</v>
      </c>
      <c r="F34" s="21">
        <v>2792.9857101140992</v>
      </c>
      <c r="G34" s="1" t="s">
        <v>233</v>
      </c>
      <c r="H34" s="6" t="s">
        <v>1951</v>
      </c>
      <c r="I34" s="6" t="s">
        <v>593</v>
      </c>
      <c r="J34" s="6" t="s">
        <v>1853</v>
      </c>
      <c r="K34" s="1">
        <v>0</v>
      </c>
      <c r="L34" s="6" t="s">
        <v>245</v>
      </c>
      <c r="M34" s="1">
        <v>2011</v>
      </c>
      <c r="N34" s="1" t="s">
        <v>237</v>
      </c>
      <c r="O34" s="1">
        <v>0</v>
      </c>
      <c r="P34" s="1">
        <v>0</v>
      </c>
      <c r="Q34" s="1">
        <v>0</v>
      </c>
      <c r="R34" s="1">
        <v>0</v>
      </c>
      <c r="S34" s="1" t="s">
        <v>251</v>
      </c>
    </row>
    <row r="35" spans="1:19" ht="14.45" customHeight="1" x14ac:dyDescent="0.25">
      <c r="A35" s="6">
        <v>34</v>
      </c>
      <c r="B35" s="6">
        <v>6301001</v>
      </c>
      <c r="C35" t="s">
        <v>742</v>
      </c>
      <c r="D35" s="1" t="s">
        <v>1973</v>
      </c>
      <c r="E35" s="21" t="s">
        <v>237</v>
      </c>
      <c r="F35" s="21">
        <v>3989.9795858772854</v>
      </c>
      <c r="G35" s="1" t="s">
        <v>233</v>
      </c>
      <c r="H35" s="6" t="s">
        <v>1951</v>
      </c>
      <c r="I35" s="6" t="s">
        <v>593</v>
      </c>
      <c r="J35" s="6" t="s">
        <v>1853</v>
      </c>
      <c r="K35" s="1">
        <v>0</v>
      </c>
      <c r="L35" s="6" t="s">
        <v>245</v>
      </c>
      <c r="M35" s="1">
        <v>2011</v>
      </c>
      <c r="N35" s="1" t="s">
        <v>237</v>
      </c>
      <c r="O35" s="1">
        <v>0</v>
      </c>
      <c r="P35" s="1">
        <v>0</v>
      </c>
      <c r="Q35" s="1">
        <v>0</v>
      </c>
      <c r="R35" s="1">
        <v>0</v>
      </c>
      <c r="S35" s="1" t="s">
        <v>251</v>
      </c>
    </row>
    <row r="36" spans="1:19" ht="14.45" customHeight="1" x14ac:dyDescent="0.25">
      <c r="A36" s="6">
        <v>35</v>
      </c>
      <c r="B36" s="6">
        <v>6301101</v>
      </c>
      <c r="C36" t="s">
        <v>743</v>
      </c>
      <c r="D36" s="1" t="s">
        <v>744</v>
      </c>
      <c r="E36" s="21">
        <v>680</v>
      </c>
      <c r="F36" s="1" t="s">
        <v>233</v>
      </c>
      <c r="G36" s="1" t="s">
        <v>233</v>
      </c>
      <c r="H36" s="6" t="s">
        <v>1951</v>
      </c>
      <c r="I36" s="6" t="s">
        <v>1972</v>
      </c>
      <c r="J36" s="6" t="s">
        <v>1851</v>
      </c>
      <c r="K36" s="1">
        <v>0</v>
      </c>
      <c r="L36" s="6" t="s">
        <v>239</v>
      </c>
      <c r="M36" s="1">
        <v>1998</v>
      </c>
      <c r="N36" s="1" t="s">
        <v>1855</v>
      </c>
      <c r="O36" s="1">
        <v>0</v>
      </c>
      <c r="P36" s="1">
        <v>0</v>
      </c>
      <c r="Q36" s="1">
        <v>0</v>
      </c>
      <c r="R36" s="1">
        <v>0</v>
      </c>
      <c r="S36" s="1" t="s">
        <v>235</v>
      </c>
    </row>
    <row r="37" spans="1:19" ht="14.45" customHeight="1" x14ac:dyDescent="0.25">
      <c r="A37" s="6">
        <v>36</v>
      </c>
      <c r="B37" s="6">
        <v>6301101</v>
      </c>
      <c r="C37" t="s">
        <v>743</v>
      </c>
      <c r="D37" s="1" t="s">
        <v>744</v>
      </c>
      <c r="E37" s="21">
        <v>490</v>
      </c>
      <c r="F37" s="1" t="s">
        <v>233</v>
      </c>
      <c r="G37" s="1" t="s">
        <v>233</v>
      </c>
      <c r="H37" s="6" t="s">
        <v>1951</v>
      </c>
      <c r="I37" s="6" t="s">
        <v>515</v>
      </c>
      <c r="J37" s="6" t="s">
        <v>1853</v>
      </c>
      <c r="K37" s="1">
        <v>0</v>
      </c>
      <c r="L37" s="6" t="s">
        <v>239</v>
      </c>
      <c r="M37" s="1">
        <v>2011</v>
      </c>
      <c r="N37" s="1" t="s">
        <v>237</v>
      </c>
      <c r="O37" s="1">
        <v>0</v>
      </c>
      <c r="P37" s="1">
        <v>0</v>
      </c>
      <c r="Q37" s="1">
        <v>0</v>
      </c>
      <c r="R37" s="1">
        <v>0</v>
      </c>
      <c r="S37" s="1" t="s">
        <v>235</v>
      </c>
    </row>
    <row r="38" spans="1:19" ht="14.45" customHeight="1" x14ac:dyDescent="0.25">
      <c r="A38" s="6">
        <v>37</v>
      </c>
      <c r="B38" s="6">
        <v>6301101</v>
      </c>
      <c r="C38" t="s">
        <v>743</v>
      </c>
      <c r="D38" s="1" t="s">
        <v>744</v>
      </c>
      <c r="E38" s="21" t="s">
        <v>237</v>
      </c>
      <c r="F38" s="21">
        <v>834.32065121342077</v>
      </c>
      <c r="G38" s="1" t="s">
        <v>233</v>
      </c>
      <c r="H38" s="6" t="s">
        <v>1951</v>
      </c>
      <c r="I38" s="6" t="s">
        <v>593</v>
      </c>
      <c r="J38" s="6" t="s">
        <v>1853</v>
      </c>
      <c r="K38" s="1">
        <v>0</v>
      </c>
      <c r="L38" s="6" t="s">
        <v>245</v>
      </c>
      <c r="M38" s="1">
        <v>2011</v>
      </c>
      <c r="N38" s="1" t="s">
        <v>237</v>
      </c>
      <c r="O38" s="1">
        <v>0</v>
      </c>
      <c r="P38" s="1">
        <v>0</v>
      </c>
      <c r="Q38" s="1">
        <v>0</v>
      </c>
      <c r="R38" s="1">
        <v>0</v>
      </c>
      <c r="S38" s="1" t="s">
        <v>251</v>
      </c>
    </row>
    <row r="39" spans="1:19" ht="14.45" customHeight="1" x14ac:dyDescent="0.25">
      <c r="A39" s="6">
        <v>38</v>
      </c>
      <c r="B39" s="6">
        <v>6301101</v>
      </c>
      <c r="C39" t="s">
        <v>743</v>
      </c>
      <c r="D39" s="1" t="s">
        <v>744</v>
      </c>
      <c r="E39" s="21">
        <v>477</v>
      </c>
      <c r="F39" s="1" t="s">
        <v>233</v>
      </c>
      <c r="G39" s="1" t="s">
        <v>233</v>
      </c>
      <c r="H39" s="6" t="s">
        <v>1951</v>
      </c>
      <c r="I39" s="6" t="s">
        <v>595</v>
      </c>
      <c r="J39" s="6" t="s">
        <v>1849</v>
      </c>
      <c r="K39" s="1">
        <v>0</v>
      </c>
      <c r="L39" s="6" t="s">
        <v>252</v>
      </c>
      <c r="M39" s="1">
        <v>2012</v>
      </c>
      <c r="N39" s="1" t="s">
        <v>237</v>
      </c>
      <c r="O39" s="1">
        <v>0</v>
      </c>
      <c r="P39" s="1">
        <v>0</v>
      </c>
      <c r="Q39" s="1">
        <v>0</v>
      </c>
      <c r="R39" s="1">
        <v>0</v>
      </c>
      <c r="S39" s="1" t="s">
        <v>235</v>
      </c>
    </row>
    <row r="40" spans="1:19" ht="14.45" customHeight="1" x14ac:dyDescent="0.25">
      <c r="A40" s="6">
        <v>39</v>
      </c>
      <c r="B40" s="6">
        <v>6301101</v>
      </c>
      <c r="C40" t="s">
        <v>743</v>
      </c>
      <c r="D40" s="1" t="s">
        <v>744</v>
      </c>
      <c r="E40" s="21">
        <v>370</v>
      </c>
      <c r="F40" s="1" t="s">
        <v>233</v>
      </c>
      <c r="G40" s="1" t="s">
        <v>233</v>
      </c>
      <c r="H40" s="6" t="s">
        <v>1951</v>
      </c>
      <c r="I40" s="6" t="s">
        <v>621</v>
      </c>
      <c r="J40" s="6" t="s">
        <v>1849</v>
      </c>
      <c r="K40" s="1">
        <v>0</v>
      </c>
      <c r="L40" s="6" t="s">
        <v>252</v>
      </c>
      <c r="M40" s="1">
        <v>2012</v>
      </c>
      <c r="N40" s="1" t="s">
        <v>237</v>
      </c>
      <c r="O40" s="1">
        <v>0</v>
      </c>
      <c r="P40" s="1">
        <v>0</v>
      </c>
      <c r="Q40" s="1">
        <v>0</v>
      </c>
      <c r="R40" s="1">
        <v>0</v>
      </c>
      <c r="S40" s="1" t="s">
        <v>235</v>
      </c>
    </row>
    <row r="41" spans="1:19" ht="14.45" customHeight="1" x14ac:dyDescent="0.25">
      <c r="A41" s="6">
        <v>40</v>
      </c>
      <c r="B41" s="6">
        <v>6301101</v>
      </c>
      <c r="C41" t="s">
        <v>743</v>
      </c>
      <c r="D41" s="1" t="s">
        <v>744</v>
      </c>
      <c r="E41" s="21" t="s">
        <v>237</v>
      </c>
      <c r="F41" s="1" t="s">
        <v>233</v>
      </c>
      <c r="G41" s="19">
        <v>26</v>
      </c>
      <c r="H41" s="6" t="s">
        <v>1951</v>
      </c>
      <c r="I41" s="6" t="s">
        <v>720</v>
      </c>
      <c r="J41" s="6" t="s">
        <v>1849</v>
      </c>
      <c r="K41" s="1">
        <v>0</v>
      </c>
      <c r="L41" s="6" t="s">
        <v>255</v>
      </c>
      <c r="M41" s="1">
        <v>2006</v>
      </c>
      <c r="N41" s="1" t="s">
        <v>237</v>
      </c>
      <c r="O41" s="1">
        <v>0</v>
      </c>
      <c r="P41" s="1">
        <v>0</v>
      </c>
      <c r="Q41" s="1">
        <v>0</v>
      </c>
      <c r="R41" s="1">
        <v>0</v>
      </c>
      <c r="S41" s="1" t="s">
        <v>235</v>
      </c>
    </row>
    <row r="42" spans="1:19" ht="14.45" customHeight="1" x14ac:dyDescent="0.25">
      <c r="A42" s="6">
        <v>41</v>
      </c>
      <c r="B42" s="6">
        <v>6301201</v>
      </c>
      <c r="C42" t="s">
        <v>745</v>
      </c>
      <c r="D42" s="1" t="s">
        <v>746</v>
      </c>
      <c r="E42" s="21" t="s">
        <v>237</v>
      </c>
      <c r="F42" s="21">
        <v>5594.2395753975461</v>
      </c>
      <c r="G42" s="1" t="s">
        <v>233</v>
      </c>
      <c r="H42" s="6" t="s">
        <v>1951</v>
      </c>
      <c r="I42" s="6" t="s">
        <v>593</v>
      </c>
      <c r="J42" s="6" t="s">
        <v>1853</v>
      </c>
      <c r="K42" s="1">
        <v>0</v>
      </c>
      <c r="L42" s="6" t="s">
        <v>245</v>
      </c>
      <c r="M42" s="1">
        <v>2011</v>
      </c>
      <c r="N42" s="1" t="s">
        <v>237</v>
      </c>
      <c r="O42" s="1">
        <v>0</v>
      </c>
      <c r="P42" s="1">
        <v>0</v>
      </c>
      <c r="Q42" s="1">
        <v>0</v>
      </c>
      <c r="R42" s="1">
        <v>0</v>
      </c>
      <c r="S42" s="1" t="s">
        <v>251</v>
      </c>
    </row>
    <row r="43" spans="1:19" ht="14.45" customHeight="1" x14ac:dyDescent="0.25">
      <c r="A43" s="6">
        <v>42</v>
      </c>
      <c r="B43" s="6">
        <v>7700201</v>
      </c>
      <c r="C43" t="s">
        <v>749</v>
      </c>
      <c r="D43" s="1" t="s">
        <v>750</v>
      </c>
      <c r="E43" s="21">
        <v>1453.6082474226805</v>
      </c>
      <c r="F43" s="1" t="s">
        <v>233</v>
      </c>
      <c r="G43" s="1" t="s">
        <v>233</v>
      </c>
      <c r="H43" s="6" t="s">
        <v>1951</v>
      </c>
      <c r="I43" s="6" t="s">
        <v>435</v>
      </c>
      <c r="J43" s="6" t="s">
        <v>1853</v>
      </c>
      <c r="K43" s="1">
        <v>0</v>
      </c>
      <c r="L43" s="6" t="s">
        <v>249</v>
      </c>
      <c r="M43" s="1">
        <v>2010</v>
      </c>
      <c r="N43" s="1" t="s">
        <v>1856</v>
      </c>
      <c r="O43" s="1">
        <v>0</v>
      </c>
      <c r="P43" s="1">
        <v>0</v>
      </c>
      <c r="Q43" s="1">
        <v>0</v>
      </c>
      <c r="R43" s="1">
        <v>0</v>
      </c>
      <c r="S43" s="1" t="s">
        <v>235</v>
      </c>
    </row>
    <row r="44" spans="1:19" ht="14.45" customHeight="1" x14ac:dyDescent="0.25">
      <c r="A44" s="6">
        <v>43</v>
      </c>
      <c r="B44" s="6">
        <v>7700201</v>
      </c>
      <c r="C44" t="s">
        <v>749</v>
      </c>
      <c r="D44" s="1" t="s">
        <v>750</v>
      </c>
      <c r="E44" s="21">
        <v>1876.1061946902701</v>
      </c>
      <c r="F44" s="1" t="s">
        <v>233</v>
      </c>
      <c r="G44" s="1" t="s">
        <v>233</v>
      </c>
      <c r="H44" s="6" t="s">
        <v>1951</v>
      </c>
      <c r="I44" s="6" t="s">
        <v>752</v>
      </c>
      <c r="J44" s="6" t="s">
        <v>1854</v>
      </c>
      <c r="K44" s="1">
        <v>1</v>
      </c>
      <c r="L44" s="6" t="s">
        <v>238</v>
      </c>
      <c r="M44" s="1">
        <v>2007</v>
      </c>
      <c r="N44" s="1" t="s">
        <v>1856</v>
      </c>
      <c r="O44" s="1">
        <v>0</v>
      </c>
      <c r="P44" s="1">
        <v>0</v>
      </c>
      <c r="Q44" s="1">
        <v>0</v>
      </c>
      <c r="R44" s="1">
        <v>0</v>
      </c>
      <c r="S44" s="1" t="s">
        <v>235</v>
      </c>
    </row>
    <row r="45" spans="1:19" ht="14.45" customHeight="1" x14ac:dyDescent="0.25">
      <c r="A45" s="6">
        <v>44</v>
      </c>
      <c r="B45" s="6">
        <v>6303102</v>
      </c>
      <c r="C45" t="s">
        <v>753</v>
      </c>
      <c r="D45" s="1" t="s">
        <v>748</v>
      </c>
      <c r="E45" s="21">
        <v>2601.7699115044243</v>
      </c>
      <c r="F45" s="1" t="s">
        <v>233</v>
      </c>
      <c r="G45" s="1" t="s">
        <v>233</v>
      </c>
      <c r="H45" s="6" t="s">
        <v>1951</v>
      </c>
      <c r="I45" s="6" t="s">
        <v>752</v>
      </c>
      <c r="J45" s="6" t="s">
        <v>1853</v>
      </c>
      <c r="K45" s="1">
        <v>0</v>
      </c>
      <c r="L45" s="6" t="s">
        <v>238</v>
      </c>
      <c r="M45" s="1">
        <v>2007</v>
      </c>
      <c r="N45" s="1" t="s">
        <v>1857</v>
      </c>
      <c r="O45" s="1">
        <v>1</v>
      </c>
      <c r="P45" s="1">
        <v>0</v>
      </c>
      <c r="Q45" s="1">
        <v>0</v>
      </c>
      <c r="R45" s="1">
        <v>0</v>
      </c>
      <c r="S45" s="1" t="s">
        <v>235</v>
      </c>
    </row>
    <row r="46" spans="1:19" ht="14.45" customHeight="1" x14ac:dyDescent="0.25">
      <c r="A46" s="6">
        <v>45</v>
      </c>
      <c r="B46" s="6">
        <v>6302001</v>
      </c>
      <c r="C46" t="s">
        <v>754</v>
      </c>
      <c r="D46" s="1" t="s">
        <v>755</v>
      </c>
      <c r="E46" s="21" t="s">
        <v>237</v>
      </c>
      <c r="F46" s="21">
        <v>3791.3373962632795</v>
      </c>
      <c r="G46" s="1" t="s">
        <v>233</v>
      </c>
      <c r="H46" s="6" t="s">
        <v>1951</v>
      </c>
      <c r="I46" s="6" t="s">
        <v>593</v>
      </c>
      <c r="J46" s="6" t="s">
        <v>1853</v>
      </c>
      <c r="K46" s="1">
        <v>0</v>
      </c>
      <c r="L46" s="6" t="s">
        <v>245</v>
      </c>
      <c r="M46" s="1">
        <v>2011</v>
      </c>
      <c r="N46" s="1" t="s">
        <v>237</v>
      </c>
      <c r="O46" s="1">
        <v>0</v>
      </c>
      <c r="P46" s="1">
        <v>0</v>
      </c>
      <c r="Q46" s="1">
        <v>0</v>
      </c>
      <c r="R46" s="1">
        <v>0</v>
      </c>
      <c r="S46" s="1" t="s">
        <v>251</v>
      </c>
    </row>
    <row r="47" spans="1:19" ht="14.45" customHeight="1" x14ac:dyDescent="0.25">
      <c r="A47" s="6">
        <v>46</v>
      </c>
      <c r="B47" s="6">
        <v>6302801</v>
      </c>
      <c r="C47" t="s">
        <v>756</v>
      </c>
      <c r="D47" s="1" t="s">
        <v>757</v>
      </c>
      <c r="E47" s="21">
        <v>2000</v>
      </c>
      <c r="F47" s="1" t="s">
        <v>233</v>
      </c>
      <c r="G47" s="1" t="s">
        <v>233</v>
      </c>
      <c r="H47" s="6" t="s">
        <v>1954</v>
      </c>
      <c r="I47" s="6" t="s">
        <v>313</v>
      </c>
      <c r="J47" s="6" t="s">
        <v>1849</v>
      </c>
      <c r="K47" s="1">
        <v>0</v>
      </c>
      <c r="L47" s="6" t="s">
        <v>234</v>
      </c>
      <c r="M47" s="1">
        <v>2012</v>
      </c>
      <c r="N47" s="1" t="s">
        <v>1955</v>
      </c>
      <c r="O47" s="1">
        <v>0</v>
      </c>
      <c r="P47" s="1">
        <v>0</v>
      </c>
      <c r="Q47" s="1">
        <v>0</v>
      </c>
      <c r="R47" s="1">
        <v>0</v>
      </c>
      <c r="S47" s="1" t="s">
        <v>251</v>
      </c>
    </row>
    <row r="48" spans="1:19" ht="14.45" customHeight="1" x14ac:dyDescent="0.25">
      <c r="A48" s="6">
        <v>47</v>
      </c>
      <c r="B48" s="6">
        <v>6302901</v>
      </c>
      <c r="C48" t="s">
        <v>256</v>
      </c>
      <c r="D48" s="1" t="s">
        <v>758</v>
      </c>
      <c r="E48" s="21">
        <v>2000</v>
      </c>
      <c r="F48" s="1" t="s">
        <v>233</v>
      </c>
      <c r="G48" s="1" t="s">
        <v>233</v>
      </c>
      <c r="H48" s="6" t="s">
        <v>1954</v>
      </c>
      <c r="I48" s="6" t="s">
        <v>313</v>
      </c>
      <c r="J48" s="6" t="s">
        <v>1849</v>
      </c>
      <c r="K48" s="1">
        <v>0</v>
      </c>
      <c r="L48" s="6" t="s">
        <v>234</v>
      </c>
      <c r="M48" s="1">
        <v>2012</v>
      </c>
      <c r="N48" s="1" t="s">
        <v>256</v>
      </c>
      <c r="O48" s="1">
        <v>0</v>
      </c>
      <c r="P48" s="1">
        <v>0</v>
      </c>
      <c r="Q48" s="1">
        <v>0</v>
      </c>
      <c r="R48" s="1">
        <v>0</v>
      </c>
      <c r="S48" s="1" t="s">
        <v>251</v>
      </c>
    </row>
    <row r="49" spans="1:19" ht="14.45" customHeight="1" x14ac:dyDescent="0.25">
      <c r="A49" s="6">
        <v>48</v>
      </c>
      <c r="B49" s="6">
        <v>6303001</v>
      </c>
      <c r="C49" t="s">
        <v>759</v>
      </c>
      <c r="D49" s="1" t="s">
        <v>1974</v>
      </c>
      <c r="E49" s="21">
        <v>735.15000000000009</v>
      </c>
      <c r="F49" s="1" t="s">
        <v>233</v>
      </c>
      <c r="G49" s="1" t="s">
        <v>233</v>
      </c>
      <c r="H49" s="6" t="s">
        <v>1951</v>
      </c>
      <c r="I49" s="6" t="s">
        <v>469</v>
      </c>
      <c r="J49" s="6" t="s">
        <v>1849</v>
      </c>
      <c r="K49" s="1">
        <v>0</v>
      </c>
      <c r="L49" s="6" t="s">
        <v>245</v>
      </c>
      <c r="M49" s="1">
        <v>2010</v>
      </c>
      <c r="N49" s="1" t="s">
        <v>237</v>
      </c>
      <c r="O49" s="1">
        <v>0</v>
      </c>
      <c r="P49" s="1" t="s">
        <v>1952</v>
      </c>
      <c r="Q49" s="1">
        <v>0</v>
      </c>
      <c r="R49" s="1">
        <v>0</v>
      </c>
      <c r="S49" s="1" t="s">
        <v>235</v>
      </c>
    </row>
    <row r="50" spans="1:19" ht="14.45" customHeight="1" x14ac:dyDescent="0.25">
      <c r="A50" s="6">
        <v>49</v>
      </c>
      <c r="B50" s="6">
        <v>6303001</v>
      </c>
      <c r="C50" t="s">
        <v>759</v>
      </c>
      <c r="D50" s="1" t="s">
        <v>1974</v>
      </c>
      <c r="E50" s="21">
        <v>380</v>
      </c>
      <c r="F50" s="1" t="s">
        <v>233</v>
      </c>
      <c r="G50" s="1" t="s">
        <v>233</v>
      </c>
      <c r="H50" s="6" t="s">
        <v>1951</v>
      </c>
      <c r="I50" s="6" t="s">
        <v>515</v>
      </c>
      <c r="J50" s="6" t="s">
        <v>1853</v>
      </c>
      <c r="K50" s="1">
        <v>0</v>
      </c>
      <c r="L50" s="6" t="s">
        <v>245</v>
      </c>
      <c r="M50" s="1">
        <v>2011</v>
      </c>
      <c r="N50" s="1" t="s">
        <v>237</v>
      </c>
      <c r="O50" s="1">
        <v>0</v>
      </c>
      <c r="P50" s="1">
        <v>0</v>
      </c>
      <c r="Q50" s="1">
        <v>0</v>
      </c>
      <c r="R50" s="1">
        <v>0</v>
      </c>
      <c r="S50" s="1" t="s">
        <v>235</v>
      </c>
    </row>
    <row r="51" spans="1:19" ht="14.45" customHeight="1" x14ac:dyDescent="0.25">
      <c r="A51" s="6">
        <v>50</v>
      </c>
      <c r="B51" s="6">
        <v>6303001</v>
      </c>
      <c r="C51" t="s">
        <v>759</v>
      </c>
      <c r="D51" s="1" t="s">
        <v>1974</v>
      </c>
      <c r="E51" s="21">
        <v>460</v>
      </c>
      <c r="F51" s="1" t="s">
        <v>233</v>
      </c>
      <c r="G51" s="1" t="s">
        <v>233</v>
      </c>
      <c r="H51" s="6" t="s">
        <v>1951</v>
      </c>
      <c r="I51" s="6" t="s">
        <v>515</v>
      </c>
      <c r="J51" s="6" t="s">
        <v>1853</v>
      </c>
      <c r="K51" s="1">
        <v>0</v>
      </c>
      <c r="L51" s="6" t="s">
        <v>238</v>
      </c>
      <c r="M51" s="1">
        <v>2011</v>
      </c>
      <c r="N51" s="1" t="s">
        <v>237</v>
      </c>
      <c r="O51" s="1">
        <v>0</v>
      </c>
      <c r="P51" s="1">
        <v>0</v>
      </c>
      <c r="Q51" s="1">
        <v>0</v>
      </c>
      <c r="R51" s="1">
        <v>0</v>
      </c>
      <c r="S51" s="1" t="s">
        <v>235</v>
      </c>
    </row>
    <row r="52" spans="1:19" ht="14.45" customHeight="1" x14ac:dyDescent="0.25">
      <c r="A52" s="6">
        <v>51</v>
      </c>
      <c r="B52" s="6">
        <v>6303001</v>
      </c>
      <c r="C52" t="s">
        <v>759</v>
      </c>
      <c r="D52" s="1" t="s">
        <v>1974</v>
      </c>
      <c r="E52" s="21" t="s">
        <v>237</v>
      </c>
      <c r="F52" s="21">
        <v>1816.4</v>
      </c>
      <c r="G52" s="1" t="s">
        <v>233</v>
      </c>
      <c r="H52" s="6" t="s">
        <v>1951</v>
      </c>
      <c r="I52" s="6" t="s">
        <v>542</v>
      </c>
      <c r="J52" s="6" t="s">
        <v>1852</v>
      </c>
      <c r="K52" s="1">
        <v>0</v>
      </c>
      <c r="L52" s="6" t="s">
        <v>243</v>
      </c>
      <c r="M52" s="1">
        <v>2012</v>
      </c>
      <c r="N52" s="1" t="s">
        <v>237</v>
      </c>
      <c r="O52" s="1">
        <v>0</v>
      </c>
      <c r="P52" s="1">
        <v>0</v>
      </c>
      <c r="Q52" s="1">
        <v>0</v>
      </c>
      <c r="R52" s="1">
        <v>0</v>
      </c>
      <c r="S52" s="1" t="s">
        <v>235</v>
      </c>
    </row>
    <row r="53" spans="1:19" ht="14.45" customHeight="1" x14ac:dyDescent="0.25">
      <c r="A53" s="6">
        <v>52</v>
      </c>
      <c r="B53" s="6">
        <v>6303001</v>
      </c>
      <c r="C53" t="s">
        <v>759</v>
      </c>
      <c r="D53" s="1" t="s">
        <v>1974</v>
      </c>
      <c r="E53" s="21" t="s">
        <v>237</v>
      </c>
      <c r="F53" s="21">
        <v>2197.307855362194</v>
      </c>
      <c r="G53" s="1" t="s">
        <v>233</v>
      </c>
      <c r="H53" s="6" t="s">
        <v>1951</v>
      </c>
      <c r="I53" s="6" t="s">
        <v>593</v>
      </c>
      <c r="J53" s="6" t="s">
        <v>1853</v>
      </c>
      <c r="K53" s="1">
        <v>0</v>
      </c>
      <c r="L53" s="6" t="s">
        <v>245</v>
      </c>
      <c r="M53" s="1">
        <v>2011</v>
      </c>
      <c r="N53" s="1" t="s">
        <v>237</v>
      </c>
      <c r="O53" s="1">
        <v>0</v>
      </c>
      <c r="P53" s="1">
        <v>0</v>
      </c>
      <c r="Q53" s="1">
        <v>0</v>
      </c>
      <c r="R53" s="1">
        <v>0</v>
      </c>
      <c r="S53" s="1" t="s">
        <v>251</v>
      </c>
    </row>
    <row r="54" spans="1:19" ht="14.45" customHeight="1" x14ac:dyDescent="0.25">
      <c r="A54" s="6">
        <v>53</v>
      </c>
      <c r="B54" s="6">
        <v>6303001</v>
      </c>
      <c r="C54" t="s">
        <v>759</v>
      </c>
      <c r="D54" s="1" t="s">
        <v>1974</v>
      </c>
      <c r="E54" s="21">
        <v>186</v>
      </c>
      <c r="F54" s="1" t="s">
        <v>233</v>
      </c>
      <c r="G54" s="1" t="s">
        <v>233</v>
      </c>
      <c r="H54" s="6" t="s">
        <v>1951</v>
      </c>
      <c r="I54" s="6" t="s">
        <v>649</v>
      </c>
      <c r="J54" s="6" t="s">
        <v>1852</v>
      </c>
      <c r="K54" s="1">
        <v>0</v>
      </c>
      <c r="L54" s="6" t="s">
        <v>245</v>
      </c>
      <c r="M54" s="1">
        <v>2015</v>
      </c>
      <c r="N54" s="1" t="s">
        <v>237</v>
      </c>
      <c r="O54" s="1">
        <v>0</v>
      </c>
      <c r="P54" s="1" t="s">
        <v>1952</v>
      </c>
      <c r="Q54" s="1">
        <v>0</v>
      </c>
      <c r="R54" s="1">
        <v>0</v>
      </c>
      <c r="S54" s="1" t="s">
        <v>251</v>
      </c>
    </row>
    <row r="55" spans="1:19" ht="14.45" customHeight="1" x14ac:dyDescent="0.25">
      <c r="A55" s="6">
        <v>54</v>
      </c>
      <c r="B55" s="6">
        <v>6303001</v>
      </c>
      <c r="C55" t="s">
        <v>759</v>
      </c>
      <c r="D55" s="1" t="s">
        <v>1974</v>
      </c>
      <c r="E55" s="21">
        <v>352</v>
      </c>
      <c r="F55" s="1" t="s">
        <v>233</v>
      </c>
      <c r="G55" s="1" t="s">
        <v>233</v>
      </c>
      <c r="H55" s="6" t="s">
        <v>1951</v>
      </c>
      <c r="I55" s="6" t="s">
        <v>585</v>
      </c>
      <c r="J55" s="6" t="s">
        <v>1849</v>
      </c>
      <c r="K55" s="1">
        <v>0</v>
      </c>
      <c r="L55" s="6" t="s">
        <v>245</v>
      </c>
      <c r="M55" s="1">
        <v>2010</v>
      </c>
      <c r="N55" s="1" t="s">
        <v>237</v>
      </c>
      <c r="O55" s="1">
        <v>0</v>
      </c>
      <c r="P55" s="1">
        <v>0</v>
      </c>
      <c r="Q55" s="1">
        <v>0</v>
      </c>
      <c r="R55" s="1">
        <v>0</v>
      </c>
      <c r="S55" s="1" t="s">
        <v>251</v>
      </c>
    </row>
    <row r="56" spans="1:19" ht="14.45" customHeight="1" x14ac:dyDescent="0.25">
      <c r="A56" s="6">
        <v>55</v>
      </c>
      <c r="B56" s="6">
        <v>6303102</v>
      </c>
      <c r="C56" t="s">
        <v>753</v>
      </c>
      <c r="D56" s="1" t="s">
        <v>748</v>
      </c>
      <c r="E56" s="21">
        <v>110.53333333333335</v>
      </c>
      <c r="F56" s="1" t="s">
        <v>233</v>
      </c>
      <c r="G56" s="1" t="s">
        <v>233</v>
      </c>
      <c r="H56" s="6" t="s">
        <v>1951</v>
      </c>
      <c r="I56" s="6" t="s">
        <v>320</v>
      </c>
      <c r="J56" s="6" t="s">
        <v>1852</v>
      </c>
      <c r="K56" s="1">
        <v>0</v>
      </c>
      <c r="L56" s="6" t="s">
        <v>257</v>
      </c>
      <c r="M56" s="1">
        <v>2013</v>
      </c>
      <c r="N56" s="1" t="s">
        <v>1858</v>
      </c>
      <c r="O56" s="1">
        <v>0</v>
      </c>
      <c r="P56" s="1">
        <v>0</v>
      </c>
      <c r="Q56" s="1">
        <v>0</v>
      </c>
      <c r="R56" s="1">
        <v>0</v>
      </c>
      <c r="S56" s="1" t="s">
        <v>235</v>
      </c>
    </row>
    <row r="57" spans="1:19" ht="14.45" customHeight="1" x14ac:dyDescent="0.25">
      <c r="A57" s="6">
        <v>56</v>
      </c>
      <c r="B57" s="6">
        <v>6303102</v>
      </c>
      <c r="C57" t="s">
        <v>753</v>
      </c>
      <c r="D57" s="1" t="s">
        <v>748</v>
      </c>
      <c r="E57" s="21">
        <v>274.5</v>
      </c>
      <c r="F57" s="1" t="s">
        <v>233</v>
      </c>
      <c r="G57" s="1" t="s">
        <v>233</v>
      </c>
      <c r="H57" s="6" t="s">
        <v>1951</v>
      </c>
      <c r="I57" s="6" t="s">
        <v>320</v>
      </c>
      <c r="J57" s="6" t="s">
        <v>1852</v>
      </c>
      <c r="K57" s="1">
        <v>0</v>
      </c>
      <c r="L57" s="6" t="s">
        <v>257</v>
      </c>
      <c r="M57" s="1">
        <v>2013</v>
      </c>
      <c r="N57" s="1" t="s">
        <v>237</v>
      </c>
      <c r="O57" s="1">
        <v>0</v>
      </c>
      <c r="P57" s="1">
        <v>0</v>
      </c>
      <c r="Q57" s="1">
        <v>0</v>
      </c>
      <c r="R57" s="1">
        <v>0</v>
      </c>
      <c r="S57" s="1" t="s">
        <v>235</v>
      </c>
    </row>
    <row r="58" spans="1:19" ht="14.45" customHeight="1" x14ac:dyDescent="0.25">
      <c r="A58" s="6">
        <v>57</v>
      </c>
      <c r="B58" s="6">
        <v>6303102</v>
      </c>
      <c r="C58" t="s">
        <v>753</v>
      </c>
      <c r="D58" s="1" t="s">
        <v>748</v>
      </c>
      <c r="E58" s="21">
        <v>680</v>
      </c>
      <c r="F58" s="1" t="s">
        <v>233</v>
      </c>
      <c r="G58" s="1" t="s">
        <v>233</v>
      </c>
      <c r="H58" s="6" t="s">
        <v>1951</v>
      </c>
      <c r="I58" s="6" t="s">
        <v>515</v>
      </c>
      <c r="J58" s="6" t="s">
        <v>1853</v>
      </c>
      <c r="K58" s="1">
        <v>0</v>
      </c>
      <c r="L58" s="6" t="s">
        <v>239</v>
      </c>
      <c r="M58" s="1">
        <v>2011</v>
      </c>
      <c r="N58" s="1" t="s">
        <v>237</v>
      </c>
      <c r="O58" s="1">
        <v>0</v>
      </c>
      <c r="P58" s="1" t="s">
        <v>1952</v>
      </c>
      <c r="Q58" s="1">
        <v>0</v>
      </c>
      <c r="R58" s="1">
        <v>0</v>
      </c>
      <c r="S58" s="1" t="s">
        <v>235</v>
      </c>
    </row>
    <row r="59" spans="1:19" ht="14.45" customHeight="1" x14ac:dyDescent="0.25">
      <c r="A59" s="6">
        <v>58</v>
      </c>
      <c r="B59" s="6">
        <v>6303102</v>
      </c>
      <c r="C59" t="s">
        <v>753</v>
      </c>
      <c r="D59" s="1" t="s">
        <v>748</v>
      </c>
      <c r="E59" s="21">
        <v>100</v>
      </c>
      <c r="F59" s="1" t="s">
        <v>233</v>
      </c>
      <c r="G59" s="1" t="s">
        <v>233</v>
      </c>
      <c r="H59" s="6" t="s">
        <v>1951</v>
      </c>
      <c r="I59" s="6" t="s">
        <v>562</v>
      </c>
      <c r="J59" s="6" t="s">
        <v>1852</v>
      </c>
      <c r="K59" s="1">
        <v>0</v>
      </c>
      <c r="L59" s="6" t="s">
        <v>249</v>
      </c>
      <c r="M59" s="1">
        <v>1999</v>
      </c>
      <c r="N59" s="1" t="s">
        <v>237</v>
      </c>
      <c r="O59" s="1">
        <v>0</v>
      </c>
      <c r="P59" s="1" t="s">
        <v>1952</v>
      </c>
      <c r="Q59" s="1">
        <v>0</v>
      </c>
      <c r="R59" s="1">
        <v>0</v>
      </c>
      <c r="S59" s="1" t="s">
        <v>235</v>
      </c>
    </row>
    <row r="60" spans="1:19" ht="14.45" customHeight="1" x14ac:dyDescent="0.25">
      <c r="A60" s="6">
        <v>59</v>
      </c>
      <c r="B60" s="6">
        <v>6303102</v>
      </c>
      <c r="C60" t="s">
        <v>753</v>
      </c>
      <c r="D60" s="1" t="s">
        <v>748</v>
      </c>
      <c r="E60" s="21" t="s">
        <v>237</v>
      </c>
      <c r="F60" s="1" t="s">
        <v>233</v>
      </c>
      <c r="G60" s="19">
        <v>5.3898582166145301</v>
      </c>
      <c r="H60" s="6" t="s">
        <v>1951</v>
      </c>
      <c r="I60" s="6" t="s">
        <v>580</v>
      </c>
      <c r="J60" s="6" t="s">
        <v>1851</v>
      </c>
      <c r="K60" s="1">
        <v>0</v>
      </c>
      <c r="L60" s="6" t="s">
        <v>243</v>
      </c>
      <c r="M60" s="1">
        <v>2008</v>
      </c>
      <c r="N60" s="1" t="s">
        <v>237</v>
      </c>
      <c r="O60" s="1">
        <v>0</v>
      </c>
      <c r="P60" s="1">
        <v>0</v>
      </c>
      <c r="Q60" s="1">
        <v>0</v>
      </c>
      <c r="R60" s="1">
        <v>0</v>
      </c>
      <c r="S60" s="1" t="s">
        <v>251</v>
      </c>
    </row>
    <row r="61" spans="1:19" ht="14.45" customHeight="1" x14ac:dyDescent="0.25">
      <c r="A61" s="6">
        <v>60</v>
      </c>
      <c r="B61" s="6">
        <v>6303102</v>
      </c>
      <c r="C61" t="s">
        <v>753</v>
      </c>
      <c r="D61" s="1" t="s">
        <v>748</v>
      </c>
      <c r="E61" s="21" t="s">
        <v>237</v>
      </c>
      <c r="F61" s="21">
        <v>3263.5062840917908</v>
      </c>
      <c r="G61" s="1" t="s">
        <v>233</v>
      </c>
      <c r="H61" s="6" t="s">
        <v>1951</v>
      </c>
      <c r="I61" s="6" t="s">
        <v>593</v>
      </c>
      <c r="J61" s="6" t="s">
        <v>1853</v>
      </c>
      <c r="K61" s="1">
        <v>0</v>
      </c>
      <c r="L61" s="6" t="s">
        <v>245</v>
      </c>
      <c r="M61" s="1">
        <v>2011</v>
      </c>
      <c r="N61" s="1" t="s">
        <v>237</v>
      </c>
      <c r="O61" s="1">
        <v>0</v>
      </c>
      <c r="P61" s="1">
        <v>0</v>
      </c>
      <c r="Q61" s="1">
        <v>0</v>
      </c>
      <c r="R61" s="1">
        <v>0</v>
      </c>
      <c r="S61" s="1" t="s">
        <v>251</v>
      </c>
    </row>
    <row r="62" spans="1:19" ht="14.45" customHeight="1" x14ac:dyDescent="0.25">
      <c r="A62" s="6">
        <v>61</v>
      </c>
      <c r="B62" s="6">
        <v>6303102</v>
      </c>
      <c r="C62" t="s">
        <v>753</v>
      </c>
      <c r="D62" s="1" t="s">
        <v>748</v>
      </c>
      <c r="E62" s="21" t="s">
        <v>237</v>
      </c>
      <c r="F62" s="21">
        <v>3263.5062840917908</v>
      </c>
      <c r="G62" s="1" t="s">
        <v>233</v>
      </c>
      <c r="H62" s="6" t="s">
        <v>1951</v>
      </c>
      <c r="I62" s="6" t="s">
        <v>593</v>
      </c>
      <c r="J62" s="6" t="s">
        <v>1853</v>
      </c>
      <c r="K62" s="1">
        <v>0</v>
      </c>
      <c r="L62" s="6" t="s">
        <v>245</v>
      </c>
      <c r="M62" s="1">
        <v>2011</v>
      </c>
      <c r="N62" s="1" t="s">
        <v>237</v>
      </c>
      <c r="O62" s="1">
        <v>0</v>
      </c>
      <c r="P62" s="1">
        <v>0</v>
      </c>
      <c r="Q62" s="1">
        <v>0</v>
      </c>
      <c r="R62" s="1">
        <v>0</v>
      </c>
      <c r="S62" s="1" t="s">
        <v>251</v>
      </c>
    </row>
    <row r="63" spans="1:19" ht="14.45" customHeight="1" x14ac:dyDescent="0.25">
      <c r="A63" s="6">
        <v>62</v>
      </c>
      <c r="B63" s="6">
        <v>6303102</v>
      </c>
      <c r="C63" t="s">
        <v>753</v>
      </c>
      <c r="D63" s="1" t="s">
        <v>748</v>
      </c>
      <c r="E63" s="21" t="s">
        <v>237</v>
      </c>
      <c r="F63" s="21">
        <v>3263.5062840917908</v>
      </c>
      <c r="G63" s="1" t="s">
        <v>233</v>
      </c>
      <c r="H63" s="6" t="s">
        <v>1951</v>
      </c>
      <c r="I63" s="6" t="s">
        <v>593</v>
      </c>
      <c r="J63" s="6" t="s">
        <v>1853</v>
      </c>
      <c r="K63" s="1">
        <v>0</v>
      </c>
      <c r="L63" s="6" t="s">
        <v>245</v>
      </c>
      <c r="M63" s="1">
        <v>2011</v>
      </c>
      <c r="N63" s="1" t="s">
        <v>237</v>
      </c>
      <c r="O63" s="1">
        <v>0</v>
      </c>
      <c r="P63" s="1">
        <v>0</v>
      </c>
      <c r="Q63" s="1">
        <v>0</v>
      </c>
      <c r="R63" s="1">
        <v>0</v>
      </c>
      <c r="S63" s="1" t="s">
        <v>251</v>
      </c>
    </row>
    <row r="64" spans="1:19" ht="14.45" customHeight="1" x14ac:dyDescent="0.25">
      <c r="A64" s="6">
        <v>63</v>
      </c>
      <c r="B64" s="6">
        <v>6303102</v>
      </c>
      <c r="C64" t="s">
        <v>753</v>
      </c>
      <c r="D64" s="1" t="s">
        <v>748</v>
      </c>
      <c r="E64" s="21">
        <v>207.9</v>
      </c>
      <c r="F64" s="1" t="s">
        <v>233</v>
      </c>
      <c r="G64" s="1" t="s">
        <v>233</v>
      </c>
      <c r="H64" s="6" t="s">
        <v>1951</v>
      </c>
      <c r="I64" s="6" t="s">
        <v>737</v>
      </c>
      <c r="J64" s="6" t="s">
        <v>1854</v>
      </c>
      <c r="K64" s="1">
        <v>1</v>
      </c>
      <c r="L64" s="6" t="s">
        <v>246</v>
      </c>
      <c r="M64" s="1">
        <v>2010</v>
      </c>
      <c r="N64" s="1" t="s">
        <v>237</v>
      </c>
      <c r="O64" s="1">
        <v>0</v>
      </c>
      <c r="P64" s="1">
        <v>0</v>
      </c>
      <c r="Q64" s="1">
        <v>0</v>
      </c>
      <c r="R64" s="1">
        <v>0</v>
      </c>
      <c r="S64" s="1" t="s">
        <v>235</v>
      </c>
    </row>
    <row r="65" spans="1:19" ht="14.45" customHeight="1" x14ac:dyDescent="0.25">
      <c r="A65" s="6">
        <v>64</v>
      </c>
      <c r="B65" s="6">
        <v>6303102</v>
      </c>
      <c r="C65" t="s">
        <v>753</v>
      </c>
      <c r="D65" s="1" t="s">
        <v>748</v>
      </c>
      <c r="E65" s="21">
        <v>246</v>
      </c>
      <c r="F65" s="1" t="s">
        <v>233</v>
      </c>
      <c r="G65" s="1" t="s">
        <v>233</v>
      </c>
      <c r="H65" s="6" t="s">
        <v>1951</v>
      </c>
      <c r="I65" s="6" t="s">
        <v>661</v>
      </c>
      <c r="J65" s="6" t="s">
        <v>1852</v>
      </c>
      <c r="K65" s="1">
        <v>0</v>
      </c>
      <c r="L65" s="6" t="s">
        <v>258</v>
      </c>
      <c r="M65" s="1">
        <v>2012</v>
      </c>
      <c r="N65" s="1" t="s">
        <v>237</v>
      </c>
      <c r="O65" s="1">
        <v>0</v>
      </c>
      <c r="P65" s="1">
        <v>0</v>
      </c>
      <c r="Q65" s="1">
        <v>0</v>
      </c>
      <c r="R65" s="1">
        <v>0</v>
      </c>
      <c r="S65" s="1" t="s">
        <v>235</v>
      </c>
    </row>
    <row r="66" spans="1:19" ht="14.45" customHeight="1" x14ac:dyDescent="0.25">
      <c r="A66" s="6">
        <v>65</v>
      </c>
      <c r="B66" s="6">
        <v>6303102</v>
      </c>
      <c r="C66" t="s">
        <v>753</v>
      </c>
      <c r="D66" s="1" t="s">
        <v>748</v>
      </c>
      <c r="E66" s="21">
        <v>815.5</v>
      </c>
      <c r="F66" s="1" t="s">
        <v>233</v>
      </c>
      <c r="G66" s="1" t="s">
        <v>233</v>
      </c>
      <c r="H66" s="6" t="s">
        <v>1951</v>
      </c>
      <c r="I66" s="6" t="s">
        <v>661</v>
      </c>
      <c r="J66" s="6" t="s">
        <v>1852</v>
      </c>
      <c r="K66" s="1">
        <v>0</v>
      </c>
      <c r="L66" s="6" t="s">
        <v>258</v>
      </c>
      <c r="M66" s="1">
        <v>2012</v>
      </c>
      <c r="N66" s="1" t="s">
        <v>1850</v>
      </c>
      <c r="O66" s="1">
        <v>1</v>
      </c>
      <c r="P66" s="1">
        <v>0</v>
      </c>
      <c r="Q66" s="1">
        <v>0</v>
      </c>
      <c r="R66" s="1">
        <v>0</v>
      </c>
      <c r="S66" s="1" t="s">
        <v>235</v>
      </c>
    </row>
    <row r="67" spans="1:19" ht="14.45" customHeight="1" x14ac:dyDescent="0.25">
      <c r="A67" s="6">
        <v>66</v>
      </c>
      <c r="B67" s="6">
        <v>7700201</v>
      </c>
      <c r="C67" t="s">
        <v>749</v>
      </c>
      <c r="D67" s="1" t="s">
        <v>750</v>
      </c>
      <c r="E67" s="21">
        <v>2800</v>
      </c>
      <c r="F67" s="1" t="s">
        <v>233</v>
      </c>
      <c r="G67" s="1" t="s">
        <v>233</v>
      </c>
      <c r="H67" s="6" t="s">
        <v>1954</v>
      </c>
      <c r="I67" s="6" t="s">
        <v>313</v>
      </c>
      <c r="J67" s="6" t="s">
        <v>1849</v>
      </c>
      <c r="K67" s="1">
        <v>0</v>
      </c>
      <c r="L67" s="6" t="s">
        <v>234</v>
      </c>
      <c r="M67" s="1">
        <v>2012</v>
      </c>
      <c r="N67" s="1" t="s">
        <v>1856</v>
      </c>
      <c r="O67" s="1">
        <v>0</v>
      </c>
      <c r="P67" s="1">
        <v>0</v>
      </c>
      <c r="Q67" s="1">
        <v>0</v>
      </c>
      <c r="R67" s="1">
        <v>0</v>
      </c>
      <c r="S67" s="1" t="s">
        <v>251</v>
      </c>
    </row>
    <row r="68" spans="1:19" ht="14.45" customHeight="1" x14ac:dyDescent="0.25">
      <c r="A68" s="6">
        <v>67</v>
      </c>
      <c r="B68" s="6">
        <v>6304101</v>
      </c>
      <c r="C68" t="s">
        <v>760</v>
      </c>
      <c r="D68" s="1" t="s">
        <v>748</v>
      </c>
      <c r="E68" s="21">
        <v>370.5</v>
      </c>
      <c r="F68" s="1" t="s">
        <v>233</v>
      </c>
      <c r="G68" s="1" t="s">
        <v>233</v>
      </c>
      <c r="H68" s="6" t="s">
        <v>1951</v>
      </c>
      <c r="I68" s="6" t="s">
        <v>320</v>
      </c>
      <c r="J68" s="6" t="s">
        <v>1852</v>
      </c>
      <c r="K68" s="1">
        <v>0</v>
      </c>
      <c r="L68" s="6" t="s">
        <v>257</v>
      </c>
      <c r="M68" s="1">
        <v>2013</v>
      </c>
      <c r="N68" s="1" t="s">
        <v>1859</v>
      </c>
      <c r="O68" s="1">
        <v>0</v>
      </c>
      <c r="P68" s="1">
        <v>0</v>
      </c>
      <c r="Q68" s="1">
        <v>0</v>
      </c>
      <c r="R68" s="1">
        <v>0</v>
      </c>
      <c r="S68" s="1" t="s">
        <v>235</v>
      </c>
    </row>
    <row r="69" spans="1:19" ht="14.45" customHeight="1" x14ac:dyDescent="0.25">
      <c r="A69" s="6">
        <v>68</v>
      </c>
      <c r="B69" s="6">
        <v>6304301</v>
      </c>
      <c r="C69" t="s">
        <v>761</v>
      </c>
      <c r="D69" s="1" t="s">
        <v>736</v>
      </c>
      <c r="E69" s="21">
        <v>1620</v>
      </c>
      <c r="F69" s="1" t="s">
        <v>233</v>
      </c>
      <c r="G69" s="1" t="s">
        <v>233</v>
      </c>
      <c r="H69" s="6" t="s">
        <v>1951</v>
      </c>
      <c r="I69" s="6" t="s">
        <v>539</v>
      </c>
      <c r="J69" s="6" t="s">
        <v>1852</v>
      </c>
      <c r="K69" s="1">
        <v>0</v>
      </c>
      <c r="L69" s="6" t="s">
        <v>242</v>
      </c>
      <c r="M69" s="1">
        <v>2009</v>
      </c>
      <c r="N69" s="1" t="s">
        <v>1859</v>
      </c>
      <c r="O69" s="1">
        <v>0</v>
      </c>
      <c r="P69" s="1">
        <v>0</v>
      </c>
      <c r="Q69" s="1">
        <v>0</v>
      </c>
      <c r="R69" s="1">
        <v>0</v>
      </c>
      <c r="S69" s="1" t="s">
        <v>235</v>
      </c>
    </row>
    <row r="70" spans="1:19" ht="14.45" customHeight="1" x14ac:dyDescent="0.25">
      <c r="A70" s="6">
        <v>69</v>
      </c>
      <c r="B70" s="6">
        <v>6304301</v>
      </c>
      <c r="C70" t="s">
        <v>761</v>
      </c>
      <c r="D70" s="1" t="s">
        <v>736</v>
      </c>
      <c r="E70" s="21">
        <v>3750</v>
      </c>
      <c r="F70" s="1" t="s">
        <v>233</v>
      </c>
      <c r="G70" s="1" t="s">
        <v>233</v>
      </c>
      <c r="H70" s="6" t="s">
        <v>1951</v>
      </c>
      <c r="I70" s="6" t="s">
        <v>553</v>
      </c>
      <c r="J70" s="6" t="s">
        <v>1849</v>
      </c>
      <c r="K70" s="1">
        <v>0</v>
      </c>
      <c r="L70" s="6" t="s">
        <v>236</v>
      </c>
      <c r="M70" s="1">
        <v>2010</v>
      </c>
      <c r="N70" s="1" t="s">
        <v>1859</v>
      </c>
      <c r="O70" s="1">
        <v>0</v>
      </c>
      <c r="P70" s="1">
        <v>0</v>
      </c>
      <c r="Q70" s="1">
        <v>0</v>
      </c>
      <c r="R70" s="1">
        <v>0</v>
      </c>
      <c r="S70" s="1" t="s">
        <v>235</v>
      </c>
    </row>
    <row r="71" spans="1:19" ht="14.45" customHeight="1" x14ac:dyDescent="0.25">
      <c r="A71" s="6">
        <v>70</v>
      </c>
      <c r="B71" s="6">
        <v>6304901</v>
      </c>
      <c r="C71" t="s">
        <v>762</v>
      </c>
      <c r="D71" s="1" t="s">
        <v>763</v>
      </c>
      <c r="E71" s="21">
        <v>1400</v>
      </c>
      <c r="F71" s="1" t="s">
        <v>233</v>
      </c>
      <c r="G71" s="1" t="s">
        <v>233</v>
      </c>
      <c r="H71" s="6" t="s">
        <v>1954</v>
      </c>
      <c r="I71" s="6" t="s">
        <v>324</v>
      </c>
      <c r="J71" s="6" t="s">
        <v>1849</v>
      </c>
      <c r="K71" s="1">
        <v>0</v>
      </c>
      <c r="L71" s="6" t="s">
        <v>240</v>
      </c>
      <c r="M71" s="1">
        <v>2012</v>
      </c>
      <c r="N71" s="1" t="s">
        <v>1860</v>
      </c>
      <c r="O71" s="1">
        <v>0</v>
      </c>
      <c r="P71" s="1">
        <v>0</v>
      </c>
      <c r="Q71" s="1">
        <v>0</v>
      </c>
      <c r="R71" s="1">
        <v>0</v>
      </c>
      <c r="S71" s="1" t="s">
        <v>251</v>
      </c>
    </row>
    <row r="72" spans="1:19" ht="14.45" customHeight="1" x14ac:dyDescent="0.25">
      <c r="A72" s="6">
        <v>71</v>
      </c>
      <c r="B72" s="6">
        <v>6400101</v>
      </c>
      <c r="C72" t="s">
        <v>764</v>
      </c>
      <c r="D72" s="1" t="s">
        <v>765</v>
      </c>
      <c r="E72" s="21">
        <v>360</v>
      </c>
      <c r="F72" s="1" t="s">
        <v>233</v>
      </c>
      <c r="G72" s="1" t="s">
        <v>233</v>
      </c>
      <c r="H72" s="6" t="s">
        <v>1951</v>
      </c>
      <c r="I72" s="6" t="s">
        <v>428</v>
      </c>
      <c r="J72" s="6" t="s">
        <v>1849</v>
      </c>
      <c r="K72" s="1">
        <v>0</v>
      </c>
      <c r="L72" s="6" t="s">
        <v>234</v>
      </c>
      <c r="M72" s="1">
        <v>2012</v>
      </c>
      <c r="N72" s="1" t="s">
        <v>1850</v>
      </c>
      <c r="O72" s="1">
        <v>1</v>
      </c>
      <c r="P72" s="1">
        <v>0</v>
      </c>
      <c r="Q72" s="1">
        <v>0</v>
      </c>
      <c r="R72" s="1">
        <v>0</v>
      </c>
      <c r="S72" s="1" t="s">
        <v>235</v>
      </c>
    </row>
    <row r="73" spans="1:19" ht="14.45" customHeight="1" x14ac:dyDescent="0.25">
      <c r="A73" s="6">
        <v>72</v>
      </c>
      <c r="B73" s="6">
        <v>6400101</v>
      </c>
      <c r="C73" t="s">
        <v>764</v>
      </c>
      <c r="D73" s="1" t="s">
        <v>765</v>
      </c>
      <c r="E73" s="21">
        <v>170</v>
      </c>
      <c r="F73" s="1" t="s">
        <v>233</v>
      </c>
      <c r="G73" s="1" t="s">
        <v>233</v>
      </c>
      <c r="H73" s="6" t="s">
        <v>1951</v>
      </c>
      <c r="I73" s="6" t="s">
        <v>1972</v>
      </c>
      <c r="J73" s="6" t="s">
        <v>1851</v>
      </c>
      <c r="K73" s="1">
        <v>0</v>
      </c>
      <c r="L73" s="6" t="s">
        <v>239</v>
      </c>
      <c r="M73" s="1">
        <v>1998</v>
      </c>
      <c r="N73" s="1" t="s">
        <v>237</v>
      </c>
      <c r="O73" s="1">
        <v>0</v>
      </c>
      <c r="P73" s="1">
        <v>0</v>
      </c>
      <c r="Q73" s="1">
        <v>0</v>
      </c>
      <c r="R73" s="1">
        <v>0</v>
      </c>
      <c r="S73" s="1" t="s">
        <v>235</v>
      </c>
    </row>
    <row r="74" spans="1:19" ht="14.45" customHeight="1" x14ac:dyDescent="0.25">
      <c r="A74" s="6">
        <v>73</v>
      </c>
      <c r="B74" s="6">
        <v>6400101</v>
      </c>
      <c r="C74" t="s">
        <v>764</v>
      </c>
      <c r="D74" s="1" t="s">
        <v>765</v>
      </c>
      <c r="E74" s="21" t="s">
        <v>237</v>
      </c>
      <c r="F74" s="1" t="s">
        <v>233</v>
      </c>
      <c r="G74" s="19">
        <v>2.9850746268656718</v>
      </c>
      <c r="H74" s="6" t="s">
        <v>1951</v>
      </c>
      <c r="I74" s="6" t="s">
        <v>1975</v>
      </c>
      <c r="J74" s="6" t="s">
        <v>1849</v>
      </c>
      <c r="K74" s="1">
        <v>0</v>
      </c>
      <c r="L74" s="6" t="s">
        <v>234</v>
      </c>
      <c r="M74" s="1">
        <v>2005</v>
      </c>
      <c r="N74" s="1" t="s">
        <v>237</v>
      </c>
      <c r="O74" s="1">
        <v>0</v>
      </c>
      <c r="P74" s="1">
        <v>0</v>
      </c>
      <c r="Q74" s="1">
        <v>0</v>
      </c>
      <c r="R74" s="1">
        <v>0</v>
      </c>
      <c r="S74" s="1" t="s">
        <v>235</v>
      </c>
    </row>
    <row r="75" spans="1:19" ht="14.45" customHeight="1" x14ac:dyDescent="0.25">
      <c r="A75" s="6">
        <v>74</v>
      </c>
      <c r="B75" s="6">
        <v>6400101</v>
      </c>
      <c r="C75" t="s">
        <v>764</v>
      </c>
      <c r="D75" s="1" t="s">
        <v>765</v>
      </c>
      <c r="E75" s="21" t="s">
        <v>237</v>
      </c>
      <c r="F75" s="1" t="s">
        <v>233</v>
      </c>
      <c r="G75" s="19">
        <v>2.9999999999999996</v>
      </c>
      <c r="H75" s="6" t="s">
        <v>1951</v>
      </c>
      <c r="I75" s="6" t="s">
        <v>465</v>
      </c>
      <c r="J75" s="6" t="s">
        <v>1849</v>
      </c>
      <c r="K75" s="1">
        <v>0</v>
      </c>
      <c r="L75" s="6" t="s">
        <v>234</v>
      </c>
      <c r="M75" s="1">
        <v>2007</v>
      </c>
      <c r="N75" s="1" t="s">
        <v>237</v>
      </c>
      <c r="O75" s="1">
        <v>0</v>
      </c>
      <c r="P75" s="1">
        <v>0</v>
      </c>
      <c r="Q75" s="1">
        <v>0</v>
      </c>
      <c r="R75" s="1">
        <v>0</v>
      </c>
      <c r="S75" s="1" t="s">
        <v>235</v>
      </c>
    </row>
    <row r="76" spans="1:19" ht="14.45" customHeight="1" x14ac:dyDescent="0.25">
      <c r="A76" s="6">
        <v>75</v>
      </c>
      <c r="B76" s="6">
        <v>6400101</v>
      </c>
      <c r="C76" t="s">
        <v>764</v>
      </c>
      <c r="D76" s="1" t="s">
        <v>765</v>
      </c>
      <c r="E76" s="21">
        <v>90</v>
      </c>
      <c r="F76" s="1" t="s">
        <v>233</v>
      </c>
      <c r="G76" s="1" t="s">
        <v>233</v>
      </c>
      <c r="H76" s="6" t="s">
        <v>1951</v>
      </c>
      <c r="I76" s="6" t="s">
        <v>515</v>
      </c>
      <c r="J76" s="6" t="s">
        <v>1853</v>
      </c>
      <c r="K76" s="1">
        <v>0</v>
      </c>
      <c r="L76" s="6" t="s">
        <v>259</v>
      </c>
      <c r="M76" s="1">
        <v>2011</v>
      </c>
      <c r="N76" s="1" t="s">
        <v>237</v>
      </c>
      <c r="O76" s="1">
        <v>0</v>
      </c>
      <c r="P76" s="1" t="s">
        <v>1952</v>
      </c>
      <c r="Q76" s="1">
        <v>0</v>
      </c>
      <c r="R76" s="1">
        <v>0</v>
      </c>
      <c r="S76" s="1" t="s">
        <v>235</v>
      </c>
    </row>
    <row r="77" spans="1:19" ht="14.45" customHeight="1" x14ac:dyDescent="0.25">
      <c r="A77" s="6">
        <v>76</v>
      </c>
      <c r="B77" s="6">
        <v>6400101</v>
      </c>
      <c r="C77" t="s">
        <v>764</v>
      </c>
      <c r="D77" s="1" t="s">
        <v>765</v>
      </c>
      <c r="E77" s="21">
        <v>140</v>
      </c>
      <c r="F77" s="1" t="s">
        <v>233</v>
      </c>
      <c r="G77" s="1" t="s">
        <v>233</v>
      </c>
      <c r="H77" s="6" t="s">
        <v>1951</v>
      </c>
      <c r="I77" s="6" t="s">
        <v>515</v>
      </c>
      <c r="J77" s="6" t="s">
        <v>1853</v>
      </c>
      <c r="K77" s="1">
        <v>0</v>
      </c>
      <c r="L77" s="6" t="s">
        <v>247</v>
      </c>
      <c r="M77" s="1">
        <v>2011</v>
      </c>
      <c r="N77" s="1" t="s">
        <v>237</v>
      </c>
      <c r="O77" s="1">
        <v>0</v>
      </c>
      <c r="P77" s="1">
        <v>0</v>
      </c>
      <c r="Q77" s="1">
        <v>0</v>
      </c>
      <c r="R77" s="1">
        <v>0</v>
      </c>
      <c r="S77" s="1" t="s">
        <v>235</v>
      </c>
    </row>
    <row r="78" spans="1:19" ht="14.45" customHeight="1" x14ac:dyDescent="0.25">
      <c r="A78" s="6">
        <v>77</v>
      </c>
      <c r="B78" s="6">
        <v>6400101</v>
      </c>
      <c r="C78" t="s">
        <v>764</v>
      </c>
      <c r="D78" s="1" t="s">
        <v>765</v>
      </c>
      <c r="E78" s="21">
        <v>160</v>
      </c>
      <c r="F78" s="1" t="s">
        <v>233</v>
      </c>
      <c r="G78" s="1" t="s">
        <v>233</v>
      </c>
      <c r="H78" s="6" t="s">
        <v>1951</v>
      </c>
      <c r="I78" s="6" t="s">
        <v>515</v>
      </c>
      <c r="J78" s="6" t="s">
        <v>1853</v>
      </c>
      <c r="K78" s="1">
        <v>0</v>
      </c>
      <c r="L78" s="6" t="s">
        <v>239</v>
      </c>
      <c r="M78" s="1">
        <v>2011</v>
      </c>
      <c r="N78" s="1" t="s">
        <v>237</v>
      </c>
      <c r="O78" s="1">
        <v>0</v>
      </c>
      <c r="P78" s="1">
        <v>0</v>
      </c>
      <c r="Q78" s="1">
        <v>0</v>
      </c>
      <c r="R78" s="1">
        <v>0</v>
      </c>
      <c r="S78" s="1" t="s">
        <v>235</v>
      </c>
    </row>
    <row r="79" spans="1:19" ht="14.45" customHeight="1" x14ac:dyDescent="0.25">
      <c r="A79" s="6">
        <v>78</v>
      </c>
      <c r="B79" s="6">
        <v>6400101</v>
      </c>
      <c r="C79" t="s">
        <v>764</v>
      </c>
      <c r="D79" s="1" t="s">
        <v>765</v>
      </c>
      <c r="E79" s="21">
        <v>350</v>
      </c>
      <c r="F79" s="1" t="s">
        <v>233</v>
      </c>
      <c r="G79" s="1" t="s">
        <v>233</v>
      </c>
      <c r="H79" s="6" t="s">
        <v>1951</v>
      </c>
      <c r="I79" s="6" t="s">
        <v>515</v>
      </c>
      <c r="J79" s="6" t="s">
        <v>1853</v>
      </c>
      <c r="K79" s="1">
        <v>0</v>
      </c>
      <c r="L79" s="6" t="s">
        <v>238</v>
      </c>
      <c r="M79" s="1">
        <v>2011</v>
      </c>
      <c r="N79" s="1" t="s">
        <v>237</v>
      </c>
      <c r="O79" s="1">
        <v>0</v>
      </c>
      <c r="P79" s="1">
        <v>0</v>
      </c>
      <c r="Q79" s="1">
        <v>0</v>
      </c>
      <c r="R79" s="1">
        <v>0</v>
      </c>
      <c r="S79" s="1" t="s">
        <v>235</v>
      </c>
    </row>
    <row r="80" spans="1:19" ht="14.45" customHeight="1" x14ac:dyDescent="0.25">
      <c r="A80" s="6">
        <v>79</v>
      </c>
      <c r="B80" s="6">
        <v>6400101</v>
      </c>
      <c r="C80" t="s">
        <v>764</v>
      </c>
      <c r="D80" s="1" t="s">
        <v>765</v>
      </c>
      <c r="E80" s="21" t="s">
        <v>237</v>
      </c>
      <c r="F80" s="21">
        <v>822.6</v>
      </c>
      <c r="G80" s="1" t="s">
        <v>233</v>
      </c>
      <c r="H80" s="6" t="s">
        <v>1951</v>
      </c>
      <c r="I80" s="6" t="s">
        <v>542</v>
      </c>
      <c r="J80" s="6" t="s">
        <v>1852</v>
      </c>
      <c r="K80" s="1">
        <v>0</v>
      </c>
      <c r="L80" s="6" t="s">
        <v>243</v>
      </c>
      <c r="M80" s="1">
        <v>2012</v>
      </c>
      <c r="N80" s="1" t="s">
        <v>237</v>
      </c>
      <c r="O80" s="1">
        <v>0</v>
      </c>
      <c r="P80" s="1">
        <v>0</v>
      </c>
      <c r="Q80" s="1">
        <v>0</v>
      </c>
      <c r="R80" s="1">
        <v>0</v>
      </c>
      <c r="S80" s="1" t="s">
        <v>235</v>
      </c>
    </row>
    <row r="81" spans="1:19" ht="14.45" customHeight="1" x14ac:dyDescent="0.25">
      <c r="A81" s="6">
        <v>80</v>
      </c>
      <c r="B81" s="6">
        <v>6400101</v>
      </c>
      <c r="C81" t="s">
        <v>764</v>
      </c>
      <c r="D81" s="1" t="s">
        <v>765</v>
      </c>
      <c r="E81" s="21">
        <v>261</v>
      </c>
      <c r="F81" s="1" t="s">
        <v>233</v>
      </c>
      <c r="G81" s="1" t="s">
        <v>233</v>
      </c>
      <c r="H81" s="6" t="s">
        <v>1951</v>
      </c>
      <c r="I81" s="6" t="s">
        <v>560</v>
      </c>
      <c r="J81" s="6" t="s">
        <v>1852</v>
      </c>
      <c r="K81" s="1">
        <v>0</v>
      </c>
      <c r="L81" s="6" t="s">
        <v>249</v>
      </c>
      <c r="M81" s="1">
        <v>2001</v>
      </c>
      <c r="N81" s="1" t="s">
        <v>237</v>
      </c>
      <c r="O81" s="1">
        <v>0</v>
      </c>
      <c r="P81" s="1">
        <v>0</v>
      </c>
      <c r="Q81" s="1">
        <v>0</v>
      </c>
      <c r="R81" s="1">
        <v>0</v>
      </c>
      <c r="S81" s="1" t="s">
        <v>235</v>
      </c>
    </row>
    <row r="82" spans="1:19" ht="14.45" customHeight="1" x14ac:dyDescent="0.25">
      <c r="A82" s="6">
        <v>81</v>
      </c>
      <c r="B82" s="6">
        <v>6400101</v>
      </c>
      <c r="C82" t="s">
        <v>764</v>
      </c>
      <c r="D82" s="1" t="s">
        <v>765</v>
      </c>
      <c r="E82" s="21">
        <v>147</v>
      </c>
      <c r="F82" s="1" t="s">
        <v>233</v>
      </c>
      <c r="G82" s="1" t="s">
        <v>233</v>
      </c>
      <c r="H82" s="6" t="s">
        <v>1951</v>
      </c>
      <c r="I82" s="6" t="s">
        <v>562</v>
      </c>
      <c r="J82" s="6" t="s">
        <v>1852</v>
      </c>
      <c r="K82" s="1">
        <v>0</v>
      </c>
      <c r="L82" s="6" t="s">
        <v>249</v>
      </c>
      <c r="M82" s="1">
        <v>1999</v>
      </c>
      <c r="N82" s="1" t="s">
        <v>237</v>
      </c>
      <c r="O82" s="1">
        <v>0</v>
      </c>
      <c r="P82" s="1">
        <v>0</v>
      </c>
      <c r="Q82" s="1">
        <v>0</v>
      </c>
      <c r="R82" s="1">
        <v>0</v>
      </c>
      <c r="S82" s="1" t="s">
        <v>235</v>
      </c>
    </row>
    <row r="83" spans="1:19" ht="14.45" customHeight="1" x14ac:dyDescent="0.25">
      <c r="A83" s="6">
        <v>82</v>
      </c>
      <c r="B83" s="6">
        <v>6400101</v>
      </c>
      <c r="C83" t="s">
        <v>764</v>
      </c>
      <c r="D83" s="1" t="s">
        <v>765</v>
      </c>
      <c r="E83" s="21">
        <v>183.6065573770492</v>
      </c>
      <c r="F83" s="1" t="s">
        <v>233</v>
      </c>
      <c r="G83" s="1" t="s">
        <v>233</v>
      </c>
      <c r="H83" s="6" t="s">
        <v>1951</v>
      </c>
      <c r="I83" s="6" t="s">
        <v>582</v>
      </c>
      <c r="J83" s="6" t="s">
        <v>1849</v>
      </c>
      <c r="K83" s="1">
        <v>0</v>
      </c>
      <c r="L83" s="6" t="s">
        <v>260</v>
      </c>
      <c r="M83" s="1">
        <v>2010</v>
      </c>
      <c r="N83" s="1" t="s">
        <v>237</v>
      </c>
      <c r="O83" s="1">
        <v>0</v>
      </c>
      <c r="P83" s="1">
        <v>0</v>
      </c>
      <c r="Q83" s="1">
        <v>0</v>
      </c>
      <c r="R83" s="1">
        <v>0</v>
      </c>
      <c r="S83" s="1" t="s">
        <v>235</v>
      </c>
    </row>
    <row r="84" spans="1:19" ht="14.45" customHeight="1" x14ac:dyDescent="0.25">
      <c r="A84" s="6">
        <v>83</v>
      </c>
      <c r="B84" s="6">
        <v>6400101</v>
      </c>
      <c r="C84" t="s">
        <v>764</v>
      </c>
      <c r="D84" s="1" t="s">
        <v>765</v>
      </c>
      <c r="E84" s="21" t="s">
        <v>237</v>
      </c>
      <c r="F84" s="21">
        <v>255.81324329224276</v>
      </c>
      <c r="G84" s="1" t="s">
        <v>233</v>
      </c>
      <c r="H84" s="6" t="s">
        <v>1951</v>
      </c>
      <c r="I84" s="6" t="s">
        <v>593</v>
      </c>
      <c r="J84" s="6" t="s">
        <v>1853</v>
      </c>
      <c r="K84" s="1">
        <v>0</v>
      </c>
      <c r="L84" s="6" t="s">
        <v>245</v>
      </c>
      <c r="M84" s="1">
        <v>2011</v>
      </c>
      <c r="N84" s="1" t="s">
        <v>237</v>
      </c>
      <c r="O84" s="1">
        <v>0</v>
      </c>
      <c r="P84" s="1">
        <v>0</v>
      </c>
      <c r="Q84" s="1">
        <v>0</v>
      </c>
      <c r="R84" s="1">
        <v>0</v>
      </c>
      <c r="S84" s="1" t="s">
        <v>251</v>
      </c>
    </row>
    <row r="85" spans="1:19" ht="14.45" customHeight="1" x14ac:dyDescent="0.25">
      <c r="A85" s="6">
        <v>84</v>
      </c>
      <c r="B85" s="6">
        <v>6400101</v>
      </c>
      <c r="C85" t="s">
        <v>764</v>
      </c>
      <c r="D85" s="1" t="s">
        <v>765</v>
      </c>
      <c r="E85" s="21">
        <v>133.47</v>
      </c>
      <c r="F85" s="1" t="s">
        <v>233</v>
      </c>
      <c r="G85" s="1" t="s">
        <v>233</v>
      </c>
      <c r="H85" s="6" t="s">
        <v>1951</v>
      </c>
      <c r="I85" s="6" t="s">
        <v>599</v>
      </c>
      <c r="J85" s="6" t="s">
        <v>1852</v>
      </c>
      <c r="K85" s="1">
        <v>0</v>
      </c>
      <c r="L85" s="6" t="s">
        <v>234</v>
      </c>
      <c r="M85" s="1">
        <v>2008</v>
      </c>
      <c r="N85" s="1" t="s">
        <v>237</v>
      </c>
      <c r="O85" s="1">
        <v>0</v>
      </c>
      <c r="P85" s="1">
        <v>0</v>
      </c>
      <c r="Q85" s="1">
        <v>0</v>
      </c>
      <c r="R85" s="1">
        <v>0</v>
      </c>
      <c r="S85" s="1" t="s">
        <v>235</v>
      </c>
    </row>
    <row r="86" spans="1:19" ht="14.45" customHeight="1" x14ac:dyDescent="0.25">
      <c r="A86" s="6">
        <v>85</v>
      </c>
      <c r="B86" s="6">
        <v>6400101</v>
      </c>
      <c r="C86" t="s">
        <v>764</v>
      </c>
      <c r="D86" s="1" t="s">
        <v>765</v>
      </c>
      <c r="E86" s="21">
        <v>132</v>
      </c>
      <c r="F86" s="1" t="s">
        <v>233</v>
      </c>
      <c r="G86" s="1" t="s">
        <v>233</v>
      </c>
      <c r="H86" s="6" t="s">
        <v>1951</v>
      </c>
      <c r="I86" s="6" t="s">
        <v>737</v>
      </c>
      <c r="J86" s="6" t="s">
        <v>1854</v>
      </c>
      <c r="K86" s="1">
        <v>1</v>
      </c>
      <c r="L86" s="6" t="s">
        <v>246</v>
      </c>
      <c r="M86" s="1">
        <v>2010</v>
      </c>
      <c r="N86" s="1" t="s">
        <v>237</v>
      </c>
      <c r="O86" s="1">
        <v>0</v>
      </c>
      <c r="P86" s="1">
        <v>0</v>
      </c>
      <c r="Q86" s="1">
        <v>0</v>
      </c>
      <c r="R86" s="1">
        <v>0</v>
      </c>
      <c r="S86" s="1" t="s">
        <v>235</v>
      </c>
    </row>
    <row r="87" spans="1:19" ht="14.45" customHeight="1" x14ac:dyDescent="0.25">
      <c r="A87" s="6">
        <v>86</v>
      </c>
      <c r="B87" s="6">
        <v>6400101</v>
      </c>
      <c r="C87" t="s">
        <v>764</v>
      </c>
      <c r="D87" s="1" t="s">
        <v>765</v>
      </c>
      <c r="E87" s="21">
        <v>400</v>
      </c>
      <c r="F87" s="1" t="s">
        <v>233</v>
      </c>
      <c r="G87" s="1" t="s">
        <v>233</v>
      </c>
      <c r="H87" s="6" t="s">
        <v>1951</v>
      </c>
      <c r="I87" s="6" t="s">
        <v>651</v>
      </c>
      <c r="J87" s="6" t="s">
        <v>1853</v>
      </c>
      <c r="K87" s="1">
        <v>0</v>
      </c>
      <c r="L87" s="6" t="s">
        <v>261</v>
      </c>
      <c r="M87" s="1">
        <v>2011</v>
      </c>
      <c r="N87" s="1" t="s">
        <v>237</v>
      </c>
      <c r="O87" s="1">
        <v>0</v>
      </c>
      <c r="P87" s="1">
        <v>0</v>
      </c>
      <c r="Q87" s="1">
        <v>0</v>
      </c>
      <c r="R87" s="1">
        <v>0</v>
      </c>
      <c r="S87" s="1" t="s">
        <v>235</v>
      </c>
    </row>
    <row r="88" spans="1:19" ht="14.45" customHeight="1" x14ac:dyDescent="0.25">
      <c r="A88" s="6">
        <v>87</v>
      </c>
      <c r="B88" s="6">
        <v>6400101</v>
      </c>
      <c r="C88" t="s">
        <v>764</v>
      </c>
      <c r="D88" s="1" t="s">
        <v>765</v>
      </c>
      <c r="E88" s="21">
        <v>120</v>
      </c>
      <c r="F88" s="1" t="s">
        <v>233</v>
      </c>
      <c r="G88" s="1" t="s">
        <v>233</v>
      </c>
      <c r="H88" s="6" t="s">
        <v>1951</v>
      </c>
      <c r="I88" s="6" t="s">
        <v>662</v>
      </c>
      <c r="J88" s="6" t="s">
        <v>1849</v>
      </c>
      <c r="K88" s="1">
        <v>0</v>
      </c>
      <c r="L88" s="6" t="s">
        <v>239</v>
      </c>
      <c r="M88" s="1">
        <v>2011</v>
      </c>
      <c r="N88" s="1" t="s">
        <v>237</v>
      </c>
      <c r="O88" s="1">
        <v>0</v>
      </c>
      <c r="P88" s="1">
        <v>0</v>
      </c>
      <c r="Q88" s="1">
        <v>0</v>
      </c>
      <c r="R88" s="1">
        <v>0</v>
      </c>
      <c r="S88" s="1" t="s">
        <v>235</v>
      </c>
    </row>
    <row r="89" spans="1:19" ht="14.45" customHeight="1" x14ac:dyDescent="0.25">
      <c r="A89" s="6">
        <v>88</v>
      </c>
      <c r="B89" s="6">
        <v>6400101</v>
      </c>
      <c r="C89" t="s">
        <v>764</v>
      </c>
      <c r="D89" s="1" t="s">
        <v>765</v>
      </c>
      <c r="E89" s="21">
        <v>80</v>
      </c>
      <c r="F89" s="1" t="s">
        <v>233</v>
      </c>
      <c r="G89" s="1" t="s">
        <v>233</v>
      </c>
      <c r="H89" s="6" t="s">
        <v>1951</v>
      </c>
      <c r="I89" s="6" t="s">
        <v>739</v>
      </c>
      <c r="J89" s="6" t="s">
        <v>1854</v>
      </c>
      <c r="K89" s="1">
        <v>1</v>
      </c>
      <c r="L89" s="6" t="s">
        <v>250</v>
      </c>
      <c r="M89" s="1">
        <v>2012</v>
      </c>
      <c r="N89" s="1" t="s">
        <v>237</v>
      </c>
      <c r="O89" s="1">
        <v>0</v>
      </c>
      <c r="P89" s="1" t="s">
        <v>1952</v>
      </c>
      <c r="Q89" s="1">
        <v>0</v>
      </c>
      <c r="R89" s="1">
        <v>0</v>
      </c>
      <c r="S89" s="1" t="s">
        <v>235</v>
      </c>
    </row>
    <row r="90" spans="1:19" ht="14.45" customHeight="1" x14ac:dyDescent="0.25">
      <c r="A90" s="6">
        <v>89</v>
      </c>
      <c r="B90" s="6">
        <v>6400101</v>
      </c>
      <c r="C90" t="s">
        <v>764</v>
      </c>
      <c r="D90" s="1" t="s">
        <v>765</v>
      </c>
      <c r="E90" s="21" t="s">
        <v>237</v>
      </c>
      <c r="F90" s="1" t="s">
        <v>233</v>
      </c>
      <c r="G90" s="19">
        <v>1.3</v>
      </c>
      <c r="H90" s="6" t="s">
        <v>1951</v>
      </c>
      <c r="I90" s="6" t="s">
        <v>720</v>
      </c>
      <c r="J90" s="6" t="s">
        <v>1849</v>
      </c>
      <c r="K90" s="1">
        <v>0</v>
      </c>
      <c r="L90" s="6" t="s">
        <v>255</v>
      </c>
      <c r="M90" s="1">
        <v>2006</v>
      </c>
      <c r="N90" s="1" t="s">
        <v>237</v>
      </c>
      <c r="O90" s="1">
        <v>0</v>
      </c>
      <c r="P90" s="1">
        <v>0</v>
      </c>
      <c r="Q90" s="1">
        <v>0</v>
      </c>
      <c r="R90" s="1">
        <v>0</v>
      </c>
      <c r="S90" s="1" t="s">
        <v>235</v>
      </c>
    </row>
    <row r="91" spans="1:19" ht="14.45" customHeight="1" x14ac:dyDescent="0.25">
      <c r="A91" s="6">
        <v>90</v>
      </c>
      <c r="B91" s="6">
        <v>6400101</v>
      </c>
      <c r="C91" t="s">
        <v>764</v>
      </c>
      <c r="D91" s="1" t="s">
        <v>765</v>
      </c>
      <c r="E91" s="21">
        <v>190</v>
      </c>
      <c r="F91" s="1" t="s">
        <v>233</v>
      </c>
      <c r="G91" s="1" t="s">
        <v>233</v>
      </c>
      <c r="H91" s="6" t="s">
        <v>1951</v>
      </c>
      <c r="I91" s="6" t="s">
        <v>727</v>
      </c>
      <c r="J91" s="6" t="s">
        <v>1853</v>
      </c>
      <c r="K91" s="1">
        <v>0</v>
      </c>
      <c r="L91" s="6" t="s">
        <v>234</v>
      </c>
      <c r="M91" s="1">
        <v>2010</v>
      </c>
      <c r="N91" s="1" t="s">
        <v>237</v>
      </c>
      <c r="O91" s="1">
        <v>0</v>
      </c>
      <c r="P91" s="1">
        <v>0</v>
      </c>
      <c r="Q91" s="1">
        <v>0</v>
      </c>
      <c r="R91" s="1">
        <v>0</v>
      </c>
      <c r="S91" s="1" t="s">
        <v>235</v>
      </c>
    </row>
    <row r="92" spans="1:19" ht="14.45" customHeight="1" x14ac:dyDescent="0.25">
      <c r="A92" s="6">
        <v>91</v>
      </c>
      <c r="B92" s="6">
        <v>6400101</v>
      </c>
      <c r="C92" t="s">
        <v>764</v>
      </c>
      <c r="D92" s="1" t="s">
        <v>765</v>
      </c>
      <c r="E92" s="21">
        <v>280</v>
      </c>
      <c r="F92" s="1" t="s">
        <v>233</v>
      </c>
      <c r="G92" s="1" t="s">
        <v>233</v>
      </c>
      <c r="H92" s="6" t="s">
        <v>1951</v>
      </c>
      <c r="I92" s="6" t="s">
        <v>766</v>
      </c>
      <c r="J92" s="6" t="s">
        <v>1854</v>
      </c>
      <c r="K92" s="1">
        <v>1</v>
      </c>
      <c r="L92" s="6" t="s">
        <v>242</v>
      </c>
      <c r="M92" s="1">
        <v>2008</v>
      </c>
      <c r="N92" s="1" t="s">
        <v>237</v>
      </c>
      <c r="O92" s="1">
        <v>0</v>
      </c>
      <c r="P92" s="1">
        <v>0</v>
      </c>
      <c r="Q92" s="1">
        <v>0</v>
      </c>
      <c r="R92" s="1">
        <v>0</v>
      </c>
      <c r="S92" s="1" t="s">
        <v>235</v>
      </c>
    </row>
    <row r="93" spans="1:19" ht="14.45" customHeight="1" x14ac:dyDescent="0.25">
      <c r="A93" s="6">
        <v>92</v>
      </c>
      <c r="B93" s="6">
        <v>6400101</v>
      </c>
      <c r="C93" t="s">
        <v>764</v>
      </c>
      <c r="D93" s="1" t="s">
        <v>765</v>
      </c>
      <c r="E93" s="21">
        <v>518</v>
      </c>
      <c r="F93" s="1">
        <v>540</v>
      </c>
      <c r="G93" s="1" t="s">
        <v>233</v>
      </c>
      <c r="H93" s="6" t="s">
        <v>1951</v>
      </c>
      <c r="I93" s="6" t="s">
        <v>412</v>
      </c>
      <c r="J93" s="6" t="s">
        <v>1852</v>
      </c>
      <c r="K93" s="1">
        <v>0</v>
      </c>
      <c r="L93" s="6" t="s">
        <v>253</v>
      </c>
      <c r="M93" s="1">
        <v>2012</v>
      </c>
      <c r="N93" s="1" t="s">
        <v>237</v>
      </c>
      <c r="O93" s="1">
        <v>0</v>
      </c>
      <c r="P93" s="1" t="s">
        <v>1952</v>
      </c>
      <c r="Q93" s="1">
        <v>0</v>
      </c>
      <c r="R93" s="1">
        <v>0</v>
      </c>
      <c r="S93" s="1" t="s">
        <v>251</v>
      </c>
    </row>
    <row r="94" spans="1:19" ht="14.45" customHeight="1" x14ac:dyDescent="0.25">
      <c r="A94" s="6">
        <v>93</v>
      </c>
      <c r="B94" s="6">
        <v>6400401</v>
      </c>
      <c r="C94" t="s">
        <v>767</v>
      </c>
      <c r="D94" s="1" t="s">
        <v>768</v>
      </c>
      <c r="E94" s="21" t="s">
        <v>237</v>
      </c>
      <c r="F94" s="21">
        <v>454.46120833494564</v>
      </c>
      <c r="G94" s="1" t="s">
        <v>233</v>
      </c>
      <c r="H94" s="6" t="s">
        <v>1951</v>
      </c>
      <c r="I94" s="6" t="s">
        <v>593</v>
      </c>
      <c r="J94" s="6" t="s">
        <v>1853</v>
      </c>
      <c r="K94" s="1">
        <v>0</v>
      </c>
      <c r="L94" s="6" t="s">
        <v>245</v>
      </c>
      <c r="M94" s="1">
        <v>2011</v>
      </c>
      <c r="N94" s="1" t="s">
        <v>237</v>
      </c>
      <c r="O94" s="1">
        <v>0</v>
      </c>
      <c r="P94" s="1">
        <v>0</v>
      </c>
      <c r="Q94" s="1">
        <v>0</v>
      </c>
      <c r="R94" s="1">
        <v>0</v>
      </c>
      <c r="S94" s="1" t="s">
        <v>251</v>
      </c>
    </row>
    <row r="95" spans="1:19" ht="14.45" customHeight="1" x14ac:dyDescent="0.25">
      <c r="A95" s="6">
        <v>94</v>
      </c>
      <c r="B95" s="6">
        <v>6400501</v>
      </c>
      <c r="C95" t="s">
        <v>769</v>
      </c>
      <c r="D95" s="1" t="s">
        <v>770</v>
      </c>
      <c r="E95" s="21" t="s">
        <v>237</v>
      </c>
      <c r="F95" s="21">
        <v>485.74002695702137</v>
      </c>
      <c r="G95" s="1" t="s">
        <v>233</v>
      </c>
      <c r="H95" s="6" t="s">
        <v>1951</v>
      </c>
      <c r="I95" s="6" t="s">
        <v>593</v>
      </c>
      <c r="J95" s="6" t="s">
        <v>1853</v>
      </c>
      <c r="K95" s="1">
        <v>0</v>
      </c>
      <c r="L95" s="6" t="s">
        <v>245</v>
      </c>
      <c r="M95" s="1">
        <v>2011</v>
      </c>
      <c r="N95" s="1" t="s">
        <v>237</v>
      </c>
      <c r="O95" s="1">
        <v>0</v>
      </c>
      <c r="P95" s="1">
        <v>0</v>
      </c>
      <c r="Q95" s="1">
        <v>0</v>
      </c>
      <c r="R95" s="1">
        <v>0</v>
      </c>
      <c r="S95" s="1" t="s">
        <v>251</v>
      </c>
    </row>
    <row r="96" spans="1:19" ht="14.45" customHeight="1" x14ac:dyDescent="0.25">
      <c r="A96" s="6">
        <v>95</v>
      </c>
      <c r="B96" s="6">
        <v>6400601</v>
      </c>
      <c r="C96" t="s">
        <v>771</v>
      </c>
      <c r="D96" s="1" t="s">
        <v>772</v>
      </c>
      <c r="E96" s="21" t="s">
        <v>237</v>
      </c>
      <c r="F96" s="21">
        <v>451.0581751901363</v>
      </c>
      <c r="G96" s="1" t="s">
        <v>233</v>
      </c>
      <c r="H96" s="6" t="s">
        <v>1951</v>
      </c>
      <c r="I96" s="6" t="s">
        <v>593</v>
      </c>
      <c r="J96" s="6" t="s">
        <v>1853</v>
      </c>
      <c r="K96" s="1">
        <v>0</v>
      </c>
      <c r="L96" s="6" t="s">
        <v>245</v>
      </c>
      <c r="M96" s="1">
        <v>2011</v>
      </c>
      <c r="N96" s="1" t="s">
        <v>237</v>
      </c>
      <c r="O96" s="1">
        <v>0</v>
      </c>
      <c r="P96" s="1">
        <v>0</v>
      </c>
      <c r="Q96" s="1">
        <v>0</v>
      </c>
      <c r="R96" s="1">
        <v>0</v>
      </c>
      <c r="S96" s="1" t="s">
        <v>251</v>
      </c>
    </row>
    <row r="97" spans="1:19" ht="14.45" customHeight="1" x14ac:dyDescent="0.25">
      <c r="A97" s="6">
        <v>96</v>
      </c>
      <c r="B97" s="6">
        <v>6400601</v>
      </c>
      <c r="C97" t="s">
        <v>771</v>
      </c>
      <c r="D97" s="1" t="s">
        <v>772</v>
      </c>
      <c r="E97" s="21">
        <v>77</v>
      </c>
      <c r="F97" s="1" t="s">
        <v>233</v>
      </c>
      <c r="G97" s="19" t="s">
        <v>233</v>
      </c>
      <c r="H97" s="6" t="s">
        <v>1951</v>
      </c>
      <c r="I97" s="6" t="s">
        <v>701</v>
      </c>
      <c r="J97" s="6" t="s">
        <v>1849</v>
      </c>
      <c r="K97" s="1">
        <v>0</v>
      </c>
      <c r="L97" s="6" t="s">
        <v>248</v>
      </c>
      <c r="M97" s="1">
        <v>2015</v>
      </c>
      <c r="N97" s="1" t="s">
        <v>237</v>
      </c>
      <c r="O97" s="1">
        <v>0</v>
      </c>
      <c r="P97" s="1">
        <v>0</v>
      </c>
      <c r="Q97" s="1">
        <v>0</v>
      </c>
      <c r="R97" s="1">
        <v>0</v>
      </c>
      <c r="S97" s="1" t="s">
        <v>235</v>
      </c>
    </row>
    <row r="98" spans="1:19" ht="14.45" customHeight="1" x14ac:dyDescent="0.25">
      <c r="A98" s="6">
        <v>97</v>
      </c>
      <c r="B98" s="6">
        <v>6401101</v>
      </c>
      <c r="C98" t="s">
        <v>775</v>
      </c>
      <c r="D98" s="1" t="s">
        <v>774</v>
      </c>
      <c r="E98" s="21">
        <v>110</v>
      </c>
      <c r="F98" s="1" t="s">
        <v>233</v>
      </c>
      <c r="G98" s="1" t="s">
        <v>233</v>
      </c>
      <c r="H98" s="6" t="s">
        <v>1951</v>
      </c>
      <c r="I98" s="6" t="s">
        <v>515</v>
      </c>
      <c r="J98" s="6" t="s">
        <v>1853</v>
      </c>
      <c r="K98" s="1">
        <v>0</v>
      </c>
      <c r="L98" s="6" t="s">
        <v>239</v>
      </c>
      <c r="M98" s="1">
        <v>2011</v>
      </c>
      <c r="N98" s="1" t="s">
        <v>237</v>
      </c>
      <c r="O98" s="1">
        <v>0</v>
      </c>
      <c r="P98" s="1">
        <v>0</v>
      </c>
      <c r="Q98" s="1">
        <v>0</v>
      </c>
      <c r="R98" s="1">
        <v>0</v>
      </c>
      <c r="S98" s="1" t="s">
        <v>235</v>
      </c>
    </row>
    <row r="99" spans="1:19" ht="14.45" customHeight="1" x14ac:dyDescent="0.25">
      <c r="A99" s="6">
        <v>98</v>
      </c>
      <c r="B99" s="6">
        <v>6401101</v>
      </c>
      <c r="C99" t="s">
        <v>775</v>
      </c>
      <c r="D99" s="1" t="s">
        <v>774</v>
      </c>
      <c r="E99" s="21" t="s">
        <v>237</v>
      </c>
      <c r="F99" s="1" t="s">
        <v>233</v>
      </c>
      <c r="G99" s="19">
        <v>0.5</v>
      </c>
      <c r="H99" s="6" t="s">
        <v>1951</v>
      </c>
      <c r="I99" s="6" t="s">
        <v>720</v>
      </c>
      <c r="J99" s="6" t="s">
        <v>1849</v>
      </c>
      <c r="K99" s="1">
        <v>0</v>
      </c>
      <c r="L99" s="6" t="s">
        <v>255</v>
      </c>
      <c r="M99" s="1">
        <v>2006</v>
      </c>
      <c r="N99" s="1" t="s">
        <v>237</v>
      </c>
      <c r="O99" s="1">
        <v>0</v>
      </c>
      <c r="P99" s="1">
        <v>0</v>
      </c>
      <c r="Q99" s="1">
        <v>0</v>
      </c>
      <c r="R99" s="1">
        <v>0</v>
      </c>
      <c r="S99" s="1" t="s">
        <v>235</v>
      </c>
    </row>
    <row r="100" spans="1:19" ht="14.45" customHeight="1" x14ac:dyDescent="0.25">
      <c r="A100" s="6">
        <v>99</v>
      </c>
      <c r="B100" s="6">
        <v>6401201</v>
      </c>
      <c r="C100" t="s">
        <v>776</v>
      </c>
      <c r="D100" s="1" t="s">
        <v>777</v>
      </c>
      <c r="E100" s="21">
        <v>500</v>
      </c>
      <c r="F100" s="1" t="s">
        <v>233</v>
      </c>
      <c r="G100" s="1" t="s">
        <v>233</v>
      </c>
      <c r="H100" s="6" t="s">
        <v>1951</v>
      </c>
      <c r="I100" s="6" t="s">
        <v>1972</v>
      </c>
      <c r="J100" s="6" t="s">
        <v>1851</v>
      </c>
      <c r="K100" s="1">
        <v>0</v>
      </c>
      <c r="L100" s="6" t="s">
        <v>239</v>
      </c>
      <c r="M100" s="1">
        <v>1998</v>
      </c>
      <c r="N100" s="1" t="s">
        <v>237</v>
      </c>
      <c r="O100" s="1">
        <v>0</v>
      </c>
      <c r="P100" s="1">
        <v>0</v>
      </c>
      <c r="Q100" s="1">
        <v>0</v>
      </c>
      <c r="R100" s="1">
        <v>0</v>
      </c>
      <c r="S100" s="1" t="s">
        <v>235</v>
      </c>
    </row>
    <row r="101" spans="1:19" ht="14.45" customHeight="1" x14ac:dyDescent="0.25">
      <c r="A101" s="6">
        <v>100</v>
      </c>
      <c r="B101" s="6">
        <v>6401201</v>
      </c>
      <c r="C101" t="s">
        <v>776</v>
      </c>
      <c r="D101" s="1" t="s">
        <v>777</v>
      </c>
      <c r="E101" s="21">
        <v>90</v>
      </c>
      <c r="F101" s="1" t="s">
        <v>233</v>
      </c>
      <c r="G101" s="1" t="s">
        <v>233</v>
      </c>
      <c r="H101" s="6" t="s">
        <v>1951</v>
      </c>
      <c r="I101" s="6" t="s">
        <v>515</v>
      </c>
      <c r="J101" s="6" t="s">
        <v>1853</v>
      </c>
      <c r="K101" s="1">
        <v>0</v>
      </c>
      <c r="L101" s="6" t="s">
        <v>247</v>
      </c>
      <c r="M101" s="1">
        <v>2011</v>
      </c>
      <c r="N101" s="1" t="s">
        <v>237</v>
      </c>
      <c r="O101" s="1">
        <v>0</v>
      </c>
      <c r="P101" s="1" t="s">
        <v>1952</v>
      </c>
      <c r="Q101" s="1">
        <v>0</v>
      </c>
      <c r="R101" s="1">
        <v>0</v>
      </c>
      <c r="S101" s="1" t="s">
        <v>235</v>
      </c>
    </row>
    <row r="102" spans="1:19" ht="14.45" customHeight="1" x14ac:dyDescent="0.25">
      <c r="A102" s="6">
        <v>101</v>
      </c>
      <c r="B102" s="6">
        <v>6401201</v>
      </c>
      <c r="C102" t="s">
        <v>776</v>
      </c>
      <c r="D102" s="1" t="s">
        <v>777</v>
      </c>
      <c r="E102" s="21">
        <v>140</v>
      </c>
      <c r="F102" s="1" t="s">
        <v>233</v>
      </c>
      <c r="G102" s="1" t="s">
        <v>233</v>
      </c>
      <c r="H102" s="6" t="s">
        <v>1951</v>
      </c>
      <c r="I102" s="6" t="s">
        <v>515</v>
      </c>
      <c r="J102" s="6" t="s">
        <v>1853</v>
      </c>
      <c r="K102" s="1">
        <v>0</v>
      </c>
      <c r="L102" s="6" t="s">
        <v>247</v>
      </c>
      <c r="M102" s="1">
        <v>2011</v>
      </c>
      <c r="N102" s="1" t="s">
        <v>237</v>
      </c>
      <c r="O102" s="1">
        <v>0</v>
      </c>
      <c r="P102" s="1">
        <v>0</v>
      </c>
      <c r="Q102" s="1">
        <v>0</v>
      </c>
      <c r="R102" s="1">
        <v>0</v>
      </c>
      <c r="S102" s="1" t="s">
        <v>235</v>
      </c>
    </row>
    <row r="103" spans="1:19" ht="14.45" customHeight="1" x14ac:dyDescent="0.25">
      <c r="A103" s="6">
        <v>102</v>
      </c>
      <c r="B103" s="6">
        <v>6401201</v>
      </c>
      <c r="C103" t="s">
        <v>776</v>
      </c>
      <c r="D103" s="1" t="s">
        <v>777</v>
      </c>
      <c r="E103" s="21">
        <v>234</v>
      </c>
      <c r="F103" s="1" t="s">
        <v>233</v>
      </c>
      <c r="G103" s="1" t="s">
        <v>233</v>
      </c>
      <c r="H103" s="6" t="s">
        <v>1951</v>
      </c>
      <c r="I103" s="6" t="s">
        <v>778</v>
      </c>
      <c r="J103" s="6" t="s">
        <v>1852</v>
      </c>
      <c r="K103" s="1">
        <v>0</v>
      </c>
      <c r="L103" s="6" t="s">
        <v>259</v>
      </c>
      <c r="M103" s="1">
        <v>2011</v>
      </c>
      <c r="N103" s="1" t="s">
        <v>1859</v>
      </c>
      <c r="O103" s="1">
        <v>0</v>
      </c>
      <c r="P103" s="1">
        <v>0</v>
      </c>
      <c r="Q103" s="1">
        <v>0</v>
      </c>
      <c r="R103" s="1">
        <v>0</v>
      </c>
      <c r="S103" s="1" t="s">
        <v>235</v>
      </c>
    </row>
    <row r="104" spans="1:19" ht="14.45" customHeight="1" x14ac:dyDescent="0.25">
      <c r="A104" s="6">
        <v>103</v>
      </c>
      <c r="B104" s="6">
        <v>6401201</v>
      </c>
      <c r="C104" t="s">
        <v>776</v>
      </c>
      <c r="D104" s="1" t="s">
        <v>777</v>
      </c>
      <c r="E104" s="21">
        <v>122</v>
      </c>
      <c r="F104" s="1" t="s">
        <v>233</v>
      </c>
      <c r="G104" s="1" t="s">
        <v>233</v>
      </c>
      <c r="H104" s="6" t="s">
        <v>1951</v>
      </c>
      <c r="I104" s="6" t="s">
        <v>600</v>
      </c>
      <c r="J104" s="6" t="s">
        <v>1852</v>
      </c>
      <c r="K104" s="1">
        <v>0</v>
      </c>
      <c r="L104" s="6" t="s">
        <v>259</v>
      </c>
      <c r="M104" s="1">
        <v>2006</v>
      </c>
      <c r="N104" s="1" t="s">
        <v>237</v>
      </c>
      <c r="O104" s="1">
        <v>0</v>
      </c>
      <c r="P104" s="1">
        <v>0</v>
      </c>
      <c r="Q104" s="1">
        <v>0</v>
      </c>
      <c r="R104" s="1">
        <v>0</v>
      </c>
      <c r="S104" s="1" t="s">
        <v>235</v>
      </c>
    </row>
    <row r="105" spans="1:19" ht="14.45" customHeight="1" x14ac:dyDescent="0.25">
      <c r="A105" s="6">
        <v>104</v>
      </c>
      <c r="B105" s="6">
        <v>6401201</v>
      </c>
      <c r="C105" t="s">
        <v>776</v>
      </c>
      <c r="D105" s="1" t="s">
        <v>777</v>
      </c>
      <c r="E105" s="21">
        <v>822.22222222222229</v>
      </c>
      <c r="F105" s="1" t="s">
        <v>233</v>
      </c>
      <c r="G105" s="1" t="s">
        <v>233</v>
      </c>
      <c r="H105" s="6" t="s">
        <v>1954</v>
      </c>
      <c r="I105" s="6" t="s">
        <v>313</v>
      </c>
      <c r="J105" s="6" t="s">
        <v>1849</v>
      </c>
      <c r="K105" s="1">
        <v>0</v>
      </c>
      <c r="L105" s="6" t="s">
        <v>234</v>
      </c>
      <c r="M105" s="1">
        <v>2012</v>
      </c>
      <c r="N105" s="1" t="s">
        <v>1861</v>
      </c>
      <c r="O105" s="1">
        <v>0</v>
      </c>
      <c r="P105" s="1" t="s">
        <v>1952</v>
      </c>
      <c r="Q105" s="1">
        <v>0</v>
      </c>
      <c r="R105" s="1">
        <v>0</v>
      </c>
      <c r="S105" s="1" t="s">
        <v>251</v>
      </c>
    </row>
    <row r="106" spans="1:19" ht="14.45" customHeight="1" x14ac:dyDescent="0.25">
      <c r="A106" s="6">
        <v>105</v>
      </c>
      <c r="B106" s="6">
        <v>6401201</v>
      </c>
      <c r="C106" t="s">
        <v>776</v>
      </c>
      <c r="D106" s="1" t="s">
        <v>777</v>
      </c>
      <c r="E106" s="21" t="s">
        <v>237</v>
      </c>
      <c r="F106" s="1" t="s">
        <v>233</v>
      </c>
      <c r="G106" s="19">
        <v>1</v>
      </c>
      <c r="H106" s="6" t="s">
        <v>1951</v>
      </c>
      <c r="I106" s="6" t="s">
        <v>720</v>
      </c>
      <c r="J106" s="6" t="s">
        <v>1849</v>
      </c>
      <c r="K106" s="1">
        <v>0</v>
      </c>
      <c r="L106" s="6" t="s">
        <v>255</v>
      </c>
      <c r="M106" s="1">
        <v>2006</v>
      </c>
      <c r="N106" s="1" t="s">
        <v>237</v>
      </c>
      <c r="O106" s="1">
        <v>0</v>
      </c>
      <c r="P106" s="1">
        <v>0</v>
      </c>
      <c r="Q106" s="1">
        <v>0</v>
      </c>
      <c r="R106" s="1">
        <v>0</v>
      </c>
      <c r="S106" s="1" t="s">
        <v>235</v>
      </c>
    </row>
    <row r="107" spans="1:19" ht="14.45" customHeight="1" x14ac:dyDescent="0.25">
      <c r="A107" s="6">
        <v>106</v>
      </c>
      <c r="B107" s="6">
        <v>6401201</v>
      </c>
      <c r="C107" t="s">
        <v>776</v>
      </c>
      <c r="D107" s="1" t="s">
        <v>777</v>
      </c>
      <c r="E107" s="21">
        <v>370</v>
      </c>
      <c r="F107" s="1" t="s">
        <v>233</v>
      </c>
      <c r="G107" s="1" t="s">
        <v>233</v>
      </c>
      <c r="H107" s="6" t="s">
        <v>1951</v>
      </c>
      <c r="I107" s="6" t="s">
        <v>766</v>
      </c>
      <c r="J107" s="6" t="s">
        <v>1854</v>
      </c>
      <c r="K107" s="1">
        <v>1</v>
      </c>
      <c r="L107" s="6" t="s">
        <v>242</v>
      </c>
      <c r="M107" s="1">
        <v>2008</v>
      </c>
      <c r="N107" s="1" t="s">
        <v>237</v>
      </c>
      <c r="O107" s="1">
        <v>0</v>
      </c>
      <c r="P107" s="1">
        <v>0</v>
      </c>
      <c r="Q107" s="1">
        <v>0</v>
      </c>
      <c r="R107" s="1">
        <v>0</v>
      </c>
      <c r="S107" s="1" t="s">
        <v>235</v>
      </c>
    </row>
    <row r="108" spans="1:19" ht="14.45" customHeight="1" x14ac:dyDescent="0.25">
      <c r="A108" s="6">
        <v>107</v>
      </c>
      <c r="B108" s="6">
        <v>6401801</v>
      </c>
      <c r="C108" t="s">
        <v>1976</v>
      </c>
      <c r="D108" s="1" t="s">
        <v>1935</v>
      </c>
      <c r="E108" s="21">
        <v>274</v>
      </c>
      <c r="F108" s="1" t="s">
        <v>233</v>
      </c>
      <c r="G108" s="1" t="s">
        <v>233</v>
      </c>
      <c r="H108" s="6" t="s">
        <v>1951</v>
      </c>
      <c r="I108" s="6" t="s">
        <v>560</v>
      </c>
      <c r="J108" s="6" t="s">
        <v>1852</v>
      </c>
      <c r="K108" s="1">
        <v>0</v>
      </c>
      <c r="L108" s="6" t="s">
        <v>249</v>
      </c>
      <c r="M108" s="1">
        <v>2001</v>
      </c>
      <c r="N108" s="1" t="s">
        <v>1859</v>
      </c>
      <c r="O108" s="1">
        <v>0</v>
      </c>
      <c r="P108" s="1">
        <v>0</v>
      </c>
      <c r="Q108" s="1">
        <v>0</v>
      </c>
      <c r="R108" s="1">
        <v>0</v>
      </c>
      <c r="S108" s="1" t="s">
        <v>235</v>
      </c>
    </row>
    <row r="109" spans="1:19" ht="14.45" customHeight="1" x14ac:dyDescent="0.25">
      <c r="A109" s="6">
        <v>108</v>
      </c>
      <c r="B109" s="6">
        <v>6401801</v>
      </c>
      <c r="C109" t="s">
        <v>1976</v>
      </c>
      <c r="D109" s="1" t="s">
        <v>1935</v>
      </c>
      <c r="E109" s="21">
        <v>160.65573770491801</v>
      </c>
      <c r="F109" s="1" t="s">
        <v>233</v>
      </c>
      <c r="G109" s="1" t="s">
        <v>233</v>
      </c>
      <c r="H109" s="6" t="s">
        <v>1951</v>
      </c>
      <c r="I109" s="6" t="s">
        <v>582</v>
      </c>
      <c r="J109" s="6" t="s">
        <v>1849</v>
      </c>
      <c r="K109" s="1">
        <v>0</v>
      </c>
      <c r="L109" s="6" t="s">
        <v>260</v>
      </c>
      <c r="M109" s="1">
        <v>2010</v>
      </c>
      <c r="N109" s="1" t="s">
        <v>1859</v>
      </c>
      <c r="O109" s="1">
        <v>0</v>
      </c>
      <c r="P109" s="1">
        <v>0</v>
      </c>
      <c r="Q109" s="1">
        <v>0</v>
      </c>
      <c r="R109" s="1">
        <v>0</v>
      </c>
      <c r="S109" s="1" t="s">
        <v>235</v>
      </c>
    </row>
    <row r="110" spans="1:19" ht="14.45" customHeight="1" x14ac:dyDescent="0.25">
      <c r="A110" s="6">
        <v>109</v>
      </c>
      <c r="B110" s="6">
        <v>6401801</v>
      </c>
      <c r="C110" t="s">
        <v>1976</v>
      </c>
      <c r="D110" s="1" t="s">
        <v>1935</v>
      </c>
      <c r="E110" s="21">
        <v>200</v>
      </c>
      <c r="F110" s="1" t="s">
        <v>233</v>
      </c>
      <c r="G110" s="1" t="s">
        <v>233</v>
      </c>
      <c r="H110" s="6" t="s">
        <v>1951</v>
      </c>
      <c r="I110" s="6" t="s">
        <v>727</v>
      </c>
      <c r="J110" s="6" t="s">
        <v>1853</v>
      </c>
      <c r="K110" s="1">
        <v>0</v>
      </c>
      <c r="L110" s="6" t="s">
        <v>234</v>
      </c>
      <c r="M110" s="1">
        <v>2010</v>
      </c>
      <c r="N110" s="1" t="s">
        <v>1859</v>
      </c>
      <c r="O110" s="1">
        <v>0</v>
      </c>
      <c r="P110" s="1">
        <v>0</v>
      </c>
      <c r="Q110" s="1">
        <v>0</v>
      </c>
      <c r="R110" s="1">
        <v>0</v>
      </c>
      <c r="S110" s="1" t="s">
        <v>235</v>
      </c>
    </row>
    <row r="111" spans="1:19" ht="14.45" customHeight="1" x14ac:dyDescent="0.25">
      <c r="A111" s="6">
        <v>110</v>
      </c>
      <c r="B111" s="6">
        <v>6500401</v>
      </c>
      <c r="C111" t="s">
        <v>779</v>
      </c>
      <c r="D111" s="1" t="s">
        <v>780</v>
      </c>
      <c r="E111" s="21">
        <v>470</v>
      </c>
      <c r="F111" s="1" t="s">
        <v>233</v>
      </c>
      <c r="G111" s="1" t="s">
        <v>233</v>
      </c>
      <c r="H111" s="6" t="s">
        <v>1951</v>
      </c>
      <c r="I111" s="6" t="s">
        <v>515</v>
      </c>
      <c r="J111" s="6" t="s">
        <v>1853</v>
      </c>
      <c r="K111" s="1">
        <v>0</v>
      </c>
      <c r="L111" s="6" t="s">
        <v>239</v>
      </c>
      <c r="M111" s="1">
        <v>2011</v>
      </c>
      <c r="N111" s="1" t="s">
        <v>237</v>
      </c>
      <c r="O111" s="1">
        <v>0</v>
      </c>
      <c r="P111" s="1">
        <v>0</v>
      </c>
      <c r="Q111" s="1">
        <v>0</v>
      </c>
      <c r="R111" s="1">
        <v>0</v>
      </c>
      <c r="S111" s="1" t="s">
        <v>235</v>
      </c>
    </row>
    <row r="112" spans="1:19" ht="14.45" customHeight="1" x14ac:dyDescent="0.25">
      <c r="A112" s="6">
        <v>111</v>
      </c>
      <c r="B112" s="6">
        <v>6500401</v>
      </c>
      <c r="C112" t="s">
        <v>779</v>
      </c>
      <c r="D112" s="1" t="s">
        <v>780</v>
      </c>
      <c r="E112" s="21">
        <v>870</v>
      </c>
      <c r="F112" s="1" t="s">
        <v>233</v>
      </c>
      <c r="G112" s="1" t="s">
        <v>233</v>
      </c>
      <c r="H112" s="6" t="s">
        <v>1954</v>
      </c>
      <c r="I112" s="6" t="s">
        <v>566</v>
      </c>
      <c r="J112" s="6" t="s">
        <v>1849</v>
      </c>
      <c r="K112" s="1">
        <v>0</v>
      </c>
      <c r="L112" s="6" t="s">
        <v>239</v>
      </c>
      <c r="M112" s="1">
        <v>2008</v>
      </c>
      <c r="N112" s="1" t="s">
        <v>237</v>
      </c>
      <c r="O112" s="1">
        <v>0</v>
      </c>
      <c r="P112" s="1">
        <v>0</v>
      </c>
      <c r="Q112" s="1">
        <v>0</v>
      </c>
      <c r="R112" s="1">
        <v>0</v>
      </c>
      <c r="S112" s="1" t="s">
        <v>235</v>
      </c>
    </row>
    <row r="113" spans="1:19" ht="14.45" customHeight="1" x14ac:dyDescent="0.25">
      <c r="A113" s="6">
        <v>112</v>
      </c>
      <c r="B113" s="6">
        <v>6500401</v>
      </c>
      <c r="C113" t="s">
        <v>779</v>
      </c>
      <c r="D113" s="1" t="s">
        <v>780</v>
      </c>
      <c r="E113" s="21">
        <v>870</v>
      </c>
      <c r="F113" s="1" t="s">
        <v>233</v>
      </c>
      <c r="G113" s="1" t="s">
        <v>233</v>
      </c>
      <c r="H113" s="6" t="s">
        <v>1954</v>
      </c>
      <c r="I113" s="6" t="s">
        <v>566</v>
      </c>
      <c r="J113" s="6" t="s">
        <v>1849</v>
      </c>
      <c r="K113" s="1">
        <v>0</v>
      </c>
      <c r="L113" s="6" t="s">
        <v>239</v>
      </c>
      <c r="M113" s="1">
        <v>2008</v>
      </c>
      <c r="N113" s="1" t="s">
        <v>237</v>
      </c>
      <c r="O113" s="1">
        <v>0</v>
      </c>
      <c r="P113" s="1">
        <v>0</v>
      </c>
      <c r="Q113" s="1">
        <v>0</v>
      </c>
      <c r="R113" s="1">
        <v>0</v>
      </c>
      <c r="S113" s="1" t="s">
        <v>235</v>
      </c>
    </row>
    <row r="114" spans="1:19" ht="14.45" customHeight="1" x14ac:dyDescent="0.25">
      <c r="A114" s="6">
        <v>113</v>
      </c>
      <c r="B114" s="6">
        <v>6500401</v>
      </c>
      <c r="C114" t="s">
        <v>779</v>
      </c>
      <c r="D114" s="1" t="s">
        <v>780</v>
      </c>
      <c r="E114" s="21">
        <v>690</v>
      </c>
      <c r="F114" s="1" t="s">
        <v>233</v>
      </c>
      <c r="G114" s="1" t="s">
        <v>233</v>
      </c>
      <c r="H114" s="6" t="s">
        <v>1954</v>
      </c>
      <c r="I114" s="6" t="s">
        <v>570</v>
      </c>
      <c r="J114" s="6" t="s">
        <v>1849</v>
      </c>
      <c r="K114" s="1">
        <v>0</v>
      </c>
      <c r="L114" s="6" t="s">
        <v>239</v>
      </c>
      <c r="M114" s="1">
        <v>2012</v>
      </c>
      <c r="N114" s="1" t="s">
        <v>237</v>
      </c>
      <c r="O114" s="1">
        <v>0</v>
      </c>
      <c r="P114" s="1">
        <v>0</v>
      </c>
      <c r="Q114" s="1">
        <v>0</v>
      </c>
      <c r="R114" s="1">
        <v>0</v>
      </c>
      <c r="S114" s="1" t="s">
        <v>235</v>
      </c>
    </row>
    <row r="115" spans="1:19" ht="14.45" customHeight="1" x14ac:dyDescent="0.25">
      <c r="A115" s="6">
        <v>114</v>
      </c>
      <c r="B115" s="6">
        <v>6500401</v>
      </c>
      <c r="C115" t="s">
        <v>779</v>
      </c>
      <c r="D115" s="1" t="s">
        <v>780</v>
      </c>
      <c r="E115" s="21" t="s">
        <v>237</v>
      </c>
      <c r="F115" s="21">
        <v>5156.7771494751851</v>
      </c>
      <c r="G115" s="1" t="s">
        <v>233</v>
      </c>
      <c r="H115" s="6" t="s">
        <v>1951</v>
      </c>
      <c r="I115" s="6" t="s">
        <v>593</v>
      </c>
      <c r="J115" s="6" t="s">
        <v>1853</v>
      </c>
      <c r="K115" s="1">
        <v>0</v>
      </c>
      <c r="L115" s="6" t="s">
        <v>245</v>
      </c>
      <c r="M115" s="1">
        <v>2011</v>
      </c>
      <c r="N115" s="1" t="s">
        <v>237</v>
      </c>
      <c r="O115" s="1">
        <v>0</v>
      </c>
      <c r="P115" s="1">
        <v>0</v>
      </c>
      <c r="Q115" s="1">
        <v>0</v>
      </c>
      <c r="R115" s="1">
        <v>0</v>
      </c>
      <c r="S115" s="1" t="s">
        <v>251</v>
      </c>
    </row>
    <row r="116" spans="1:19" ht="14.45" customHeight="1" x14ac:dyDescent="0.25">
      <c r="A116" s="6">
        <v>115</v>
      </c>
      <c r="B116" s="6">
        <v>6500401</v>
      </c>
      <c r="C116" t="s">
        <v>779</v>
      </c>
      <c r="D116" s="1" t="s">
        <v>780</v>
      </c>
      <c r="E116" s="21" t="s">
        <v>237</v>
      </c>
      <c r="F116" s="21">
        <v>1788</v>
      </c>
      <c r="G116" s="19" t="s">
        <v>233</v>
      </c>
      <c r="H116" s="6" t="s">
        <v>1951</v>
      </c>
      <c r="I116" s="6" t="s">
        <v>593</v>
      </c>
      <c r="J116" s="6" t="s">
        <v>1853</v>
      </c>
      <c r="K116" s="1">
        <v>0</v>
      </c>
      <c r="L116" s="6" t="s">
        <v>262</v>
      </c>
      <c r="M116" s="1">
        <v>2011</v>
      </c>
      <c r="N116" s="1" t="s">
        <v>237</v>
      </c>
      <c r="O116" s="1">
        <v>0</v>
      </c>
      <c r="P116" s="1">
        <v>0</v>
      </c>
      <c r="Q116" s="1" t="s">
        <v>1953</v>
      </c>
      <c r="R116" s="1">
        <v>0</v>
      </c>
      <c r="S116" s="1" t="s">
        <v>235</v>
      </c>
    </row>
    <row r="117" spans="1:19" ht="14.45" customHeight="1" x14ac:dyDescent="0.25">
      <c r="A117" s="6">
        <v>116</v>
      </c>
      <c r="B117" s="6">
        <v>6500401</v>
      </c>
      <c r="C117" t="s">
        <v>779</v>
      </c>
      <c r="D117" s="1" t="s">
        <v>780</v>
      </c>
      <c r="E117" s="21" t="s">
        <v>237</v>
      </c>
      <c r="F117" s="21">
        <v>3815.6241607191296</v>
      </c>
      <c r="G117" s="1" t="s">
        <v>233</v>
      </c>
      <c r="H117" s="6" t="s">
        <v>1951</v>
      </c>
      <c r="I117" s="6" t="s">
        <v>593</v>
      </c>
      <c r="J117" s="6" t="s">
        <v>1853</v>
      </c>
      <c r="K117" s="1">
        <v>0</v>
      </c>
      <c r="L117" s="6" t="s">
        <v>245</v>
      </c>
      <c r="M117" s="1">
        <v>2011</v>
      </c>
      <c r="N117" s="1" t="s">
        <v>237</v>
      </c>
      <c r="O117" s="1">
        <v>0</v>
      </c>
      <c r="P117" s="1">
        <v>0</v>
      </c>
      <c r="Q117" s="1">
        <v>0</v>
      </c>
      <c r="R117" s="1">
        <v>0</v>
      </c>
      <c r="S117" s="1" t="s">
        <v>251</v>
      </c>
    </row>
    <row r="118" spans="1:19" ht="14.45" customHeight="1" x14ac:dyDescent="0.25">
      <c r="A118" s="6">
        <v>117</v>
      </c>
      <c r="B118" s="6">
        <v>6500401</v>
      </c>
      <c r="C118" t="s">
        <v>779</v>
      </c>
      <c r="D118" s="1" t="s">
        <v>780</v>
      </c>
      <c r="E118" s="21" t="s">
        <v>237</v>
      </c>
      <c r="F118" s="21">
        <v>4699.4604428880966</v>
      </c>
      <c r="G118" s="1" t="s">
        <v>233</v>
      </c>
      <c r="H118" s="6" t="s">
        <v>1951</v>
      </c>
      <c r="I118" s="6" t="s">
        <v>593</v>
      </c>
      <c r="J118" s="6" t="s">
        <v>1853</v>
      </c>
      <c r="K118" s="1">
        <v>0</v>
      </c>
      <c r="L118" s="6" t="s">
        <v>245</v>
      </c>
      <c r="M118" s="1">
        <v>2011</v>
      </c>
      <c r="N118" s="1" t="s">
        <v>237</v>
      </c>
      <c r="O118" s="1">
        <v>0</v>
      </c>
      <c r="P118" s="1">
        <v>0</v>
      </c>
      <c r="Q118" s="1">
        <v>0</v>
      </c>
      <c r="R118" s="1">
        <v>0</v>
      </c>
      <c r="S118" s="1" t="s">
        <v>251</v>
      </c>
    </row>
    <row r="119" spans="1:19" ht="14.45" customHeight="1" x14ac:dyDescent="0.25">
      <c r="A119" s="6">
        <v>118</v>
      </c>
      <c r="B119" s="6">
        <v>6500401</v>
      </c>
      <c r="C119" t="s">
        <v>779</v>
      </c>
      <c r="D119" s="1" t="s">
        <v>780</v>
      </c>
      <c r="E119" s="21" t="s">
        <v>237</v>
      </c>
      <c r="F119" s="21">
        <v>5226.8824119440133</v>
      </c>
      <c r="G119" s="1" t="s">
        <v>233</v>
      </c>
      <c r="H119" s="6" t="s">
        <v>1951</v>
      </c>
      <c r="I119" s="6" t="s">
        <v>593</v>
      </c>
      <c r="J119" s="6" t="s">
        <v>1853</v>
      </c>
      <c r="K119" s="1">
        <v>0</v>
      </c>
      <c r="L119" s="6" t="s">
        <v>245</v>
      </c>
      <c r="M119" s="1">
        <v>2011</v>
      </c>
      <c r="N119" s="1" t="s">
        <v>237</v>
      </c>
      <c r="O119" s="1">
        <v>0</v>
      </c>
      <c r="P119" s="1">
        <v>0</v>
      </c>
      <c r="Q119" s="1" t="s">
        <v>1953</v>
      </c>
      <c r="R119" s="1">
        <v>0</v>
      </c>
      <c r="S119" s="1" t="s">
        <v>251</v>
      </c>
    </row>
    <row r="120" spans="1:19" ht="14.45" customHeight="1" x14ac:dyDescent="0.25">
      <c r="A120" s="6">
        <v>119</v>
      </c>
      <c r="B120" s="6">
        <v>6500401</v>
      </c>
      <c r="C120" t="s">
        <v>779</v>
      </c>
      <c r="D120" s="1" t="s">
        <v>780</v>
      </c>
      <c r="E120" s="21">
        <v>765</v>
      </c>
      <c r="F120" s="1" t="s">
        <v>233</v>
      </c>
      <c r="G120" s="1" t="s">
        <v>233</v>
      </c>
      <c r="H120" s="6" t="s">
        <v>1951</v>
      </c>
      <c r="I120" s="6" t="s">
        <v>658</v>
      </c>
      <c r="J120" s="6" t="s">
        <v>1849</v>
      </c>
      <c r="K120" s="1">
        <v>0</v>
      </c>
      <c r="L120" s="6" t="s">
        <v>261</v>
      </c>
      <c r="M120" s="1">
        <v>2012</v>
      </c>
      <c r="N120" s="1" t="s">
        <v>237</v>
      </c>
      <c r="O120" s="1">
        <v>0</v>
      </c>
      <c r="P120" s="1">
        <v>0</v>
      </c>
      <c r="Q120" s="1">
        <v>0</v>
      </c>
      <c r="R120" s="1">
        <v>0</v>
      </c>
      <c r="S120" s="1" t="s">
        <v>235</v>
      </c>
    </row>
    <row r="121" spans="1:19" ht="14.45" customHeight="1" x14ac:dyDescent="0.25">
      <c r="A121" s="6">
        <v>120</v>
      </c>
      <c r="B121" s="6">
        <v>6500401</v>
      </c>
      <c r="C121" t="s">
        <v>779</v>
      </c>
      <c r="D121" s="1" t="s">
        <v>780</v>
      </c>
      <c r="E121" s="21" t="s">
        <v>237</v>
      </c>
      <c r="F121" s="1" t="s">
        <v>233</v>
      </c>
      <c r="G121" s="19">
        <v>10</v>
      </c>
      <c r="H121" s="6" t="s">
        <v>1951</v>
      </c>
      <c r="I121" s="6" t="s">
        <v>720</v>
      </c>
      <c r="J121" s="6" t="s">
        <v>1849</v>
      </c>
      <c r="K121" s="1">
        <v>0</v>
      </c>
      <c r="L121" s="6" t="s">
        <v>255</v>
      </c>
      <c r="M121" s="1">
        <v>2006</v>
      </c>
      <c r="N121" s="1" t="s">
        <v>237</v>
      </c>
      <c r="O121" s="1">
        <v>0</v>
      </c>
      <c r="P121" s="1">
        <v>0</v>
      </c>
      <c r="Q121" s="1">
        <v>0</v>
      </c>
      <c r="R121" s="1">
        <v>0</v>
      </c>
      <c r="S121" s="1" t="s">
        <v>235</v>
      </c>
    </row>
    <row r="122" spans="1:19" ht="14.45" customHeight="1" x14ac:dyDescent="0.25">
      <c r="A122" s="6">
        <v>121</v>
      </c>
      <c r="B122" s="6">
        <v>6500601</v>
      </c>
      <c r="C122" t="s">
        <v>781</v>
      </c>
      <c r="D122" s="1" t="s">
        <v>782</v>
      </c>
      <c r="E122" s="21" t="s">
        <v>237</v>
      </c>
      <c r="F122" s="21">
        <v>1543.426167959507</v>
      </c>
      <c r="G122" s="1" t="s">
        <v>233</v>
      </c>
      <c r="H122" s="6" t="s">
        <v>1951</v>
      </c>
      <c r="I122" s="6" t="s">
        <v>593</v>
      </c>
      <c r="J122" s="6" t="s">
        <v>1853</v>
      </c>
      <c r="K122" s="1">
        <v>0</v>
      </c>
      <c r="L122" s="6" t="s">
        <v>245</v>
      </c>
      <c r="M122" s="1">
        <v>2011</v>
      </c>
      <c r="N122" s="1" t="s">
        <v>237</v>
      </c>
      <c r="O122" s="1">
        <v>0</v>
      </c>
      <c r="P122" s="1">
        <v>0</v>
      </c>
      <c r="Q122" s="1">
        <v>0</v>
      </c>
      <c r="R122" s="1">
        <v>0</v>
      </c>
      <c r="S122" s="1" t="s">
        <v>251</v>
      </c>
    </row>
    <row r="123" spans="1:19" ht="14.45" customHeight="1" x14ac:dyDescent="0.25">
      <c r="A123" s="6">
        <v>122</v>
      </c>
      <c r="B123" s="6">
        <v>6500603</v>
      </c>
      <c r="C123" t="s">
        <v>783</v>
      </c>
      <c r="D123" s="1" t="s">
        <v>784</v>
      </c>
      <c r="E123" s="21" t="s">
        <v>237</v>
      </c>
      <c r="F123" s="21">
        <v>1790.3895718579688</v>
      </c>
      <c r="G123" s="1" t="s">
        <v>233</v>
      </c>
      <c r="H123" s="6" t="s">
        <v>1951</v>
      </c>
      <c r="I123" s="6" t="s">
        <v>593</v>
      </c>
      <c r="J123" s="6" t="s">
        <v>1853</v>
      </c>
      <c r="K123" s="1">
        <v>0</v>
      </c>
      <c r="L123" s="6" t="s">
        <v>245</v>
      </c>
      <c r="M123" s="1">
        <v>2011</v>
      </c>
      <c r="N123" s="1" t="s">
        <v>237</v>
      </c>
      <c r="O123" s="1">
        <v>0</v>
      </c>
      <c r="P123" s="1">
        <v>0</v>
      </c>
      <c r="Q123" s="1">
        <v>0</v>
      </c>
      <c r="R123" s="1">
        <v>0</v>
      </c>
      <c r="S123" s="1" t="s">
        <v>251</v>
      </c>
    </row>
    <row r="124" spans="1:19" ht="14.45" customHeight="1" x14ac:dyDescent="0.25">
      <c r="A124" s="6">
        <v>123</v>
      </c>
      <c r="B124" s="6">
        <v>6500609</v>
      </c>
      <c r="C124" t="s">
        <v>785</v>
      </c>
      <c r="D124" s="1">
        <v>190520</v>
      </c>
      <c r="E124" s="21">
        <v>2610</v>
      </c>
      <c r="F124" s="1" t="s">
        <v>233</v>
      </c>
      <c r="G124" s="1" t="s">
        <v>233</v>
      </c>
      <c r="H124" s="6" t="s">
        <v>1951</v>
      </c>
      <c r="I124" s="6" t="s">
        <v>428</v>
      </c>
      <c r="J124" s="6" t="s">
        <v>1849</v>
      </c>
      <c r="K124" s="1">
        <v>0</v>
      </c>
      <c r="L124" s="6" t="s">
        <v>234</v>
      </c>
      <c r="M124" s="1">
        <v>2012</v>
      </c>
      <c r="N124" s="1" t="s">
        <v>237</v>
      </c>
      <c r="O124" s="1">
        <v>0</v>
      </c>
      <c r="P124" s="1">
        <v>0</v>
      </c>
      <c r="Q124" s="1">
        <v>0</v>
      </c>
      <c r="R124" s="1">
        <v>0</v>
      </c>
      <c r="S124" s="1" t="s">
        <v>235</v>
      </c>
    </row>
    <row r="125" spans="1:19" ht="14.45" customHeight="1" x14ac:dyDescent="0.25">
      <c r="A125" s="6">
        <v>124</v>
      </c>
      <c r="B125" s="6">
        <v>6500609</v>
      </c>
      <c r="C125" t="s">
        <v>785</v>
      </c>
      <c r="D125" s="1">
        <v>190520</v>
      </c>
      <c r="E125" s="21" t="s">
        <v>237</v>
      </c>
      <c r="F125" s="1" t="s">
        <v>233</v>
      </c>
      <c r="G125" s="19">
        <v>16</v>
      </c>
      <c r="H125" s="6" t="s">
        <v>1951</v>
      </c>
      <c r="I125" s="6" t="s">
        <v>465</v>
      </c>
      <c r="J125" s="6" t="s">
        <v>1849</v>
      </c>
      <c r="K125" s="1">
        <v>0</v>
      </c>
      <c r="L125" s="6" t="s">
        <v>234</v>
      </c>
      <c r="M125" s="1">
        <v>2007</v>
      </c>
      <c r="N125" s="1" t="s">
        <v>237</v>
      </c>
      <c r="O125" s="1">
        <v>0</v>
      </c>
      <c r="P125" s="1">
        <v>0</v>
      </c>
      <c r="Q125" s="1">
        <v>0</v>
      </c>
      <c r="R125" s="1">
        <v>0</v>
      </c>
      <c r="S125" s="1" t="s">
        <v>235</v>
      </c>
    </row>
    <row r="126" spans="1:19" ht="14.45" customHeight="1" x14ac:dyDescent="0.25">
      <c r="A126" s="6">
        <v>125</v>
      </c>
      <c r="B126" s="6">
        <v>6500609</v>
      </c>
      <c r="C126" t="s">
        <v>785</v>
      </c>
      <c r="D126" s="1">
        <v>190520</v>
      </c>
      <c r="E126" s="21" t="s">
        <v>237</v>
      </c>
      <c r="F126" s="1" t="s">
        <v>233</v>
      </c>
      <c r="G126" s="19">
        <v>6</v>
      </c>
      <c r="H126" s="6" t="s">
        <v>1951</v>
      </c>
      <c r="I126" s="6" t="s">
        <v>681</v>
      </c>
      <c r="J126" s="6" t="s">
        <v>1849</v>
      </c>
      <c r="K126" s="1">
        <v>0</v>
      </c>
      <c r="L126" s="6" t="s">
        <v>236</v>
      </c>
      <c r="M126" s="1">
        <v>2009</v>
      </c>
      <c r="N126" s="1" t="s">
        <v>237</v>
      </c>
      <c r="O126" s="1">
        <v>0</v>
      </c>
      <c r="P126" s="1">
        <v>0</v>
      </c>
      <c r="Q126" s="1">
        <v>0</v>
      </c>
      <c r="R126" s="1">
        <v>0</v>
      </c>
      <c r="S126" s="1" t="s">
        <v>251</v>
      </c>
    </row>
    <row r="127" spans="1:19" ht="14.45" customHeight="1" x14ac:dyDescent="0.25">
      <c r="A127" s="6">
        <v>126</v>
      </c>
      <c r="B127" s="6">
        <v>6500702</v>
      </c>
      <c r="C127" t="s">
        <v>786</v>
      </c>
      <c r="D127" s="1" t="s">
        <v>787</v>
      </c>
      <c r="E127" s="21" t="s">
        <v>237</v>
      </c>
      <c r="F127" s="21">
        <v>2387.1860958106249</v>
      </c>
      <c r="G127" s="1" t="s">
        <v>233</v>
      </c>
      <c r="H127" s="6" t="s">
        <v>1951</v>
      </c>
      <c r="I127" s="6" t="s">
        <v>593</v>
      </c>
      <c r="J127" s="6" t="s">
        <v>1853</v>
      </c>
      <c r="K127" s="1">
        <v>0</v>
      </c>
      <c r="L127" s="6" t="s">
        <v>245</v>
      </c>
      <c r="M127" s="1">
        <v>2011</v>
      </c>
      <c r="N127" s="1" t="s">
        <v>237</v>
      </c>
      <c r="O127" s="1">
        <v>0</v>
      </c>
      <c r="P127" s="1">
        <v>0</v>
      </c>
      <c r="Q127" s="1">
        <v>0</v>
      </c>
      <c r="R127" s="1">
        <v>0</v>
      </c>
      <c r="S127" s="1" t="s">
        <v>251</v>
      </c>
    </row>
    <row r="128" spans="1:19" ht="14.45" customHeight="1" x14ac:dyDescent="0.25">
      <c r="A128" s="6">
        <v>127</v>
      </c>
      <c r="B128" s="6">
        <v>6500902</v>
      </c>
      <c r="C128" t="s">
        <v>788</v>
      </c>
      <c r="D128" s="1">
        <v>190410</v>
      </c>
      <c r="E128" s="21">
        <v>3166</v>
      </c>
      <c r="F128" s="1" t="s">
        <v>233</v>
      </c>
      <c r="G128" s="1" t="s">
        <v>233</v>
      </c>
      <c r="H128" s="6" t="s">
        <v>1954</v>
      </c>
      <c r="I128" s="6" t="s">
        <v>313</v>
      </c>
      <c r="J128" s="6" t="s">
        <v>1849</v>
      </c>
      <c r="K128" s="1">
        <v>0</v>
      </c>
      <c r="L128" s="6" t="s">
        <v>234</v>
      </c>
      <c r="M128" s="1">
        <v>2012</v>
      </c>
      <c r="N128" s="1" t="s">
        <v>237</v>
      </c>
      <c r="O128" s="1">
        <v>0</v>
      </c>
      <c r="P128" s="1">
        <v>0</v>
      </c>
      <c r="Q128" s="1">
        <v>0</v>
      </c>
      <c r="R128" s="1">
        <v>0</v>
      </c>
      <c r="S128" s="1" t="s">
        <v>251</v>
      </c>
    </row>
    <row r="129" spans="1:19" ht="14.45" customHeight="1" x14ac:dyDescent="0.25">
      <c r="A129" s="6">
        <v>128</v>
      </c>
      <c r="B129" s="6">
        <v>65010</v>
      </c>
      <c r="C129" t="s">
        <v>789</v>
      </c>
      <c r="D129" s="1" t="s">
        <v>790</v>
      </c>
      <c r="E129" s="21" t="s">
        <v>237</v>
      </c>
      <c r="F129" s="1" t="s">
        <v>233</v>
      </c>
      <c r="G129" s="19">
        <v>7</v>
      </c>
      <c r="H129" s="6" t="s">
        <v>1951</v>
      </c>
      <c r="I129" s="6" t="s">
        <v>465</v>
      </c>
      <c r="J129" s="6" t="s">
        <v>1849</v>
      </c>
      <c r="K129" s="1">
        <v>0</v>
      </c>
      <c r="L129" s="6" t="s">
        <v>234</v>
      </c>
      <c r="M129" s="1">
        <v>2007</v>
      </c>
      <c r="N129" s="1" t="s">
        <v>237</v>
      </c>
      <c r="O129" s="1">
        <v>0</v>
      </c>
      <c r="P129" s="1">
        <v>0</v>
      </c>
      <c r="Q129" s="1">
        <v>0</v>
      </c>
      <c r="R129" s="1">
        <v>0</v>
      </c>
      <c r="S129" s="1" t="s">
        <v>235</v>
      </c>
    </row>
    <row r="130" spans="1:19" ht="14.45" customHeight="1" x14ac:dyDescent="0.25">
      <c r="A130" s="6">
        <v>129</v>
      </c>
      <c r="B130" s="6">
        <v>65010</v>
      </c>
      <c r="C130" t="s">
        <v>789</v>
      </c>
      <c r="D130" s="1" t="s">
        <v>790</v>
      </c>
      <c r="E130" s="21">
        <v>470</v>
      </c>
      <c r="F130" s="1" t="s">
        <v>233</v>
      </c>
      <c r="G130" s="1" t="s">
        <v>233</v>
      </c>
      <c r="H130" s="6" t="s">
        <v>1954</v>
      </c>
      <c r="I130" s="6" t="s">
        <v>571</v>
      </c>
      <c r="J130" s="6" t="s">
        <v>1849</v>
      </c>
      <c r="K130" s="1">
        <v>0</v>
      </c>
      <c r="L130" s="6" t="s">
        <v>239</v>
      </c>
      <c r="M130" s="1">
        <v>2012</v>
      </c>
      <c r="N130" s="1" t="s">
        <v>237</v>
      </c>
      <c r="O130" s="1">
        <v>0</v>
      </c>
      <c r="P130" s="1">
        <v>0</v>
      </c>
      <c r="Q130" s="1">
        <v>0</v>
      </c>
      <c r="R130" s="1">
        <v>0</v>
      </c>
      <c r="S130" s="1" t="s">
        <v>235</v>
      </c>
    </row>
    <row r="131" spans="1:19" ht="14.45" customHeight="1" x14ac:dyDescent="0.25">
      <c r="A131" s="6">
        <v>130</v>
      </c>
      <c r="B131" s="6">
        <v>65010</v>
      </c>
      <c r="C131" t="s">
        <v>789</v>
      </c>
      <c r="D131" s="1" t="s">
        <v>790</v>
      </c>
      <c r="E131" s="21">
        <v>366</v>
      </c>
      <c r="F131" s="1" t="s">
        <v>233</v>
      </c>
      <c r="G131" s="19">
        <v>10</v>
      </c>
      <c r="H131" s="6" t="s">
        <v>1951</v>
      </c>
      <c r="I131" s="6" t="s">
        <v>591</v>
      </c>
      <c r="J131" s="6" t="s">
        <v>1849</v>
      </c>
      <c r="K131" s="1">
        <v>0</v>
      </c>
      <c r="L131" s="6" t="s">
        <v>238</v>
      </c>
      <c r="M131" s="1">
        <v>2009</v>
      </c>
      <c r="N131" s="1" t="s">
        <v>1859</v>
      </c>
      <c r="O131" s="1">
        <v>0</v>
      </c>
      <c r="P131" s="1">
        <v>0</v>
      </c>
      <c r="Q131" s="1">
        <v>0</v>
      </c>
      <c r="R131" s="1">
        <v>0</v>
      </c>
      <c r="S131" s="1" t="s">
        <v>235</v>
      </c>
    </row>
    <row r="132" spans="1:19" ht="14.45" customHeight="1" x14ac:dyDescent="0.25">
      <c r="A132" s="6">
        <v>131</v>
      </c>
      <c r="B132" s="6">
        <v>65010</v>
      </c>
      <c r="C132" t="s">
        <v>789</v>
      </c>
      <c r="D132" s="1" t="s">
        <v>790</v>
      </c>
      <c r="E132" s="21">
        <v>411</v>
      </c>
      <c r="F132" s="1" t="s">
        <v>233</v>
      </c>
      <c r="G132" s="19">
        <v>10</v>
      </c>
      <c r="H132" s="6" t="s">
        <v>1951</v>
      </c>
      <c r="I132" s="6" t="s">
        <v>591</v>
      </c>
      <c r="J132" s="6" t="s">
        <v>1849</v>
      </c>
      <c r="K132" s="1">
        <v>0</v>
      </c>
      <c r="L132" s="6" t="s">
        <v>238</v>
      </c>
      <c r="M132" s="1">
        <v>2009</v>
      </c>
      <c r="N132" s="1" t="s">
        <v>237</v>
      </c>
      <c r="O132" s="1">
        <v>0</v>
      </c>
      <c r="P132" s="1">
        <v>0</v>
      </c>
      <c r="Q132" s="1">
        <v>0</v>
      </c>
      <c r="R132" s="1">
        <v>0</v>
      </c>
      <c r="S132" s="1" t="s">
        <v>235</v>
      </c>
    </row>
    <row r="133" spans="1:19" ht="14.45" customHeight="1" x14ac:dyDescent="0.25">
      <c r="A133" s="6">
        <v>132</v>
      </c>
      <c r="B133" s="6">
        <v>65010</v>
      </c>
      <c r="C133" t="s">
        <v>789</v>
      </c>
      <c r="D133" s="1" t="s">
        <v>790</v>
      </c>
      <c r="E133" s="21" t="s">
        <v>237</v>
      </c>
      <c r="F133" s="21">
        <v>2150.6263952387503</v>
      </c>
      <c r="G133" s="1" t="s">
        <v>233</v>
      </c>
      <c r="H133" s="6" t="s">
        <v>1951</v>
      </c>
      <c r="I133" s="6" t="s">
        <v>593</v>
      </c>
      <c r="J133" s="6" t="s">
        <v>1853</v>
      </c>
      <c r="K133" s="1">
        <v>0</v>
      </c>
      <c r="L133" s="6" t="s">
        <v>245</v>
      </c>
      <c r="M133" s="1">
        <v>2011</v>
      </c>
      <c r="N133" s="1" t="s">
        <v>237</v>
      </c>
      <c r="O133" s="1">
        <v>0</v>
      </c>
      <c r="P133" s="1">
        <v>0</v>
      </c>
      <c r="Q133" s="40" t="s">
        <v>1953</v>
      </c>
      <c r="R133" s="1">
        <v>0</v>
      </c>
      <c r="S133" s="1" t="s">
        <v>251</v>
      </c>
    </row>
    <row r="134" spans="1:19" ht="14.45" customHeight="1" x14ac:dyDescent="0.25">
      <c r="A134" s="6">
        <v>133</v>
      </c>
      <c r="B134" s="6">
        <v>65010</v>
      </c>
      <c r="C134" t="s">
        <v>789</v>
      </c>
      <c r="D134" s="1" t="s">
        <v>790</v>
      </c>
      <c r="E134" s="21" t="s">
        <v>237</v>
      </c>
      <c r="F134" s="21">
        <v>1670.32900980922</v>
      </c>
      <c r="G134" s="1" t="s">
        <v>233</v>
      </c>
      <c r="H134" s="6" t="s">
        <v>1951</v>
      </c>
      <c r="I134" s="6" t="s">
        <v>593</v>
      </c>
      <c r="J134" s="6" t="s">
        <v>1853</v>
      </c>
      <c r="K134" s="1">
        <v>0</v>
      </c>
      <c r="L134" s="6" t="s">
        <v>245</v>
      </c>
      <c r="M134" s="1">
        <v>2011</v>
      </c>
      <c r="N134" s="1" t="s">
        <v>237</v>
      </c>
      <c r="O134" s="1">
        <v>0</v>
      </c>
      <c r="P134" s="1">
        <v>0</v>
      </c>
      <c r="Q134" s="1">
        <v>0</v>
      </c>
      <c r="R134" s="1">
        <v>0</v>
      </c>
      <c r="S134" s="1" t="s">
        <v>251</v>
      </c>
    </row>
    <row r="135" spans="1:19" ht="14.45" customHeight="1" x14ac:dyDescent="0.25">
      <c r="A135" s="6">
        <v>134</v>
      </c>
      <c r="B135" s="6">
        <v>65010</v>
      </c>
      <c r="C135" t="s">
        <v>789</v>
      </c>
      <c r="D135" s="1" t="s">
        <v>790</v>
      </c>
      <c r="E135" s="21">
        <v>1130</v>
      </c>
      <c r="F135" s="1" t="s">
        <v>233</v>
      </c>
      <c r="G135" s="1" t="s">
        <v>233</v>
      </c>
      <c r="H135" s="6" t="s">
        <v>1951</v>
      </c>
      <c r="I135" s="6" t="s">
        <v>596</v>
      </c>
      <c r="J135" s="6" t="s">
        <v>1849</v>
      </c>
      <c r="K135" s="1">
        <v>0</v>
      </c>
      <c r="L135" s="6" t="s">
        <v>240</v>
      </c>
      <c r="M135" s="1">
        <v>2008</v>
      </c>
      <c r="N135" s="1" t="s">
        <v>237</v>
      </c>
      <c r="O135" s="1">
        <v>0</v>
      </c>
      <c r="P135" s="1" t="s">
        <v>1952</v>
      </c>
      <c r="Q135" s="1">
        <v>0</v>
      </c>
      <c r="R135" s="1">
        <v>0</v>
      </c>
      <c r="S135" s="1" t="s">
        <v>235</v>
      </c>
    </row>
    <row r="136" spans="1:19" ht="14.45" customHeight="1" x14ac:dyDescent="0.25">
      <c r="A136" s="6">
        <v>135</v>
      </c>
      <c r="B136" s="6">
        <v>65010</v>
      </c>
      <c r="C136" t="s">
        <v>789</v>
      </c>
      <c r="D136" s="1" t="s">
        <v>790</v>
      </c>
      <c r="E136" s="21">
        <v>360</v>
      </c>
      <c r="F136" s="1" t="s">
        <v>233</v>
      </c>
      <c r="G136" s="1" t="s">
        <v>233</v>
      </c>
      <c r="H136" s="6" t="s">
        <v>1954</v>
      </c>
      <c r="I136" s="6" t="s">
        <v>791</v>
      </c>
      <c r="J136" s="6" t="s">
        <v>1849</v>
      </c>
      <c r="K136" s="1">
        <v>0</v>
      </c>
      <c r="L136" s="6" t="s">
        <v>236</v>
      </c>
      <c r="M136" s="1">
        <v>2010</v>
      </c>
      <c r="N136" s="1" t="s">
        <v>1859</v>
      </c>
      <c r="O136" s="1">
        <v>0</v>
      </c>
      <c r="P136" s="1" t="s">
        <v>1952</v>
      </c>
      <c r="Q136" s="1">
        <v>0</v>
      </c>
      <c r="R136" s="1">
        <v>0</v>
      </c>
      <c r="S136" s="1" t="s">
        <v>235</v>
      </c>
    </row>
    <row r="137" spans="1:19" ht="14.45" customHeight="1" x14ac:dyDescent="0.25">
      <c r="A137" s="6">
        <v>136</v>
      </c>
      <c r="B137" s="6">
        <v>65010</v>
      </c>
      <c r="C137" t="s">
        <v>789</v>
      </c>
      <c r="D137" s="1" t="s">
        <v>790</v>
      </c>
      <c r="E137" s="21">
        <v>400</v>
      </c>
      <c r="F137" s="1" t="s">
        <v>233</v>
      </c>
      <c r="G137" s="1" t="s">
        <v>233</v>
      </c>
      <c r="H137" s="6" t="s">
        <v>1954</v>
      </c>
      <c r="I137" s="6" t="s">
        <v>792</v>
      </c>
      <c r="J137" s="6" t="s">
        <v>1849</v>
      </c>
      <c r="K137" s="1">
        <v>0</v>
      </c>
      <c r="L137" s="6" t="s">
        <v>236</v>
      </c>
      <c r="M137" s="1">
        <v>2010</v>
      </c>
      <c r="N137" s="1" t="s">
        <v>1859</v>
      </c>
      <c r="O137" s="1">
        <v>0</v>
      </c>
      <c r="P137" s="1">
        <v>0</v>
      </c>
      <c r="Q137" s="1">
        <v>0</v>
      </c>
      <c r="R137" s="1">
        <v>0</v>
      </c>
      <c r="S137" s="1" t="s">
        <v>235</v>
      </c>
    </row>
    <row r="138" spans="1:19" ht="14.45" customHeight="1" x14ac:dyDescent="0.25">
      <c r="A138" s="6">
        <v>137</v>
      </c>
      <c r="B138" s="6">
        <v>65010</v>
      </c>
      <c r="C138" t="s">
        <v>789</v>
      </c>
      <c r="D138" s="1" t="s">
        <v>790</v>
      </c>
      <c r="E138" s="21">
        <v>570</v>
      </c>
      <c r="F138" s="1" t="s">
        <v>233</v>
      </c>
      <c r="G138" s="1" t="s">
        <v>233</v>
      </c>
      <c r="H138" s="6" t="s">
        <v>1954</v>
      </c>
      <c r="I138" s="6" t="s">
        <v>602</v>
      </c>
      <c r="J138" s="6" t="s">
        <v>1849</v>
      </c>
      <c r="K138" s="1">
        <v>0</v>
      </c>
      <c r="L138" s="6" t="s">
        <v>236</v>
      </c>
      <c r="M138" s="1">
        <v>2010</v>
      </c>
      <c r="N138" s="1" t="s">
        <v>237</v>
      </c>
      <c r="O138" s="1">
        <v>0</v>
      </c>
      <c r="P138" s="1">
        <v>0</v>
      </c>
      <c r="Q138" s="1">
        <v>0</v>
      </c>
      <c r="R138" s="1">
        <v>0</v>
      </c>
      <c r="S138" s="1" t="s">
        <v>235</v>
      </c>
    </row>
    <row r="139" spans="1:19" ht="14.45" customHeight="1" x14ac:dyDescent="0.25">
      <c r="A139" s="6">
        <v>138</v>
      </c>
      <c r="B139" s="6">
        <v>6501401</v>
      </c>
      <c r="C139" t="s">
        <v>793</v>
      </c>
      <c r="D139" s="1" t="s">
        <v>794</v>
      </c>
      <c r="E139" s="21" t="s">
        <v>237</v>
      </c>
      <c r="F139" s="21">
        <v>1503.5272506337878</v>
      </c>
      <c r="G139" s="1" t="s">
        <v>233</v>
      </c>
      <c r="H139" s="6" t="s">
        <v>1951</v>
      </c>
      <c r="I139" s="6" t="s">
        <v>593</v>
      </c>
      <c r="J139" s="6" t="s">
        <v>1853</v>
      </c>
      <c r="K139" s="1">
        <v>0</v>
      </c>
      <c r="L139" s="6" t="s">
        <v>245</v>
      </c>
      <c r="M139" s="1">
        <v>2011</v>
      </c>
      <c r="N139" s="1" t="s">
        <v>237</v>
      </c>
      <c r="O139" s="1">
        <v>0</v>
      </c>
      <c r="P139" s="1">
        <v>0</v>
      </c>
      <c r="Q139" s="1">
        <v>0</v>
      </c>
      <c r="R139" s="1">
        <v>0</v>
      </c>
      <c r="S139" s="1" t="s">
        <v>251</v>
      </c>
    </row>
    <row r="140" spans="1:19" ht="14.45" customHeight="1" x14ac:dyDescent="0.25">
      <c r="A140" s="6">
        <v>139</v>
      </c>
      <c r="B140" s="6">
        <v>6501401</v>
      </c>
      <c r="C140" t="s">
        <v>793</v>
      </c>
      <c r="D140" s="1" t="s">
        <v>794</v>
      </c>
      <c r="E140" s="21" t="s">
        <v>237</v>
      </c>
      <c r="F140" s="21">
        <v>1804.2327007605452</v>
      </c>
      <c r="G140" s="1" t="s">
        <v>233</v>
      </c>
      <c r="H140" s="6" t="s">
        <v>1951</v>
      </c>
      <c r="I140" s="6" t="s">
        <v>593</v>
      </c>
      <c r="J140" s="6" t="s">
        <v>1853</v>
      </c>
      <c r="K140" s="1">
        <v>0</v>
      </c>
      <c r="L140" s="6" t="s">
        <v>245</v>
      </c>
      <c r="M140" s="1">
        <v>2011</v>
      </c>
      <c r="N140" s="1" t="s">
        <v>237</v>
      </c>
      <c r="O140" s="1">
        <v>0</v>
      </c>
      <c r="P140" s="1">
        <v>0</v>
      </c>
      <c r="Q140" s="1">
        <v>0</v>
      </c>
      <c r="R140" s="1">
        <v>0</v>
      </c>
      <c r="S140" s="1" t="s">
        <v>251</v>
      </c>
    </row>
    <row r="141" spans="1:19" ht="14.45" customHeight="1" x14ac:dyDescent="0.25">
      <c r="A141" s="6">
        <v>140</v>
      </c>
      <c r="B141" s="6">
        <v>6501401</v>
      </c>
      <c r="C141" t="s">
        <v>793</v>
      </c>
      <c r="D141" s="1" t="s">
        <v>794</v>
      </c>
      <c r="E141" s="21">
        <v>594</v>
      </c>
      <c r="F141" s="1" t="s">
        <v>233</v>
      </c>
      <c r="G141" s="19" t="s">
        <v>233</v>
      </c>
      <c r="H141" s="6" t="s">
        <v>1951</v>
      </c>
      <c r="I141" s="6" t="s">
        <v>701</v>
      </c>
      <c r="J141" s="6" t="s">
        <v>1849</v>
      </c>
      <c r="K141" s="1">
        <v>0</v>
      </c>
      <c r="L141" s="6" t="s">
        <v>248</v>
      </c>
      <c r="M141" s="1">
        <v>2015</v>
      </c>
      <c r="N141" s="1" t="s">
        <v>237</v>
      </c>
      <c r="O141" s="1">
        <v>0</v>
      </c>
      <c r="P141" s="1">
        <v>0</v>
      </c>
      <c r="Q141" s="1">
        <v>0</v>
      </c>
      <c r="R141" s="1">
        <v>0</v>
      </c>
      <c r="S141" s="1" t="s">
        <v>235</v>
      </c>
    </row>
    <row r="142" spans="1:19" ht="14.45" customHeight="1" x14ac:dyDescent="0.25">
      <c r="A142" s="6">
        <v>141</v>
      </c>
      <c r="B142" s="6">
        <v>6501510</v>
      </c>
      <c r="C142" t="s">
        <v>795</v>
      </c>
      <c r="D142" s="1" t="s">
        <v>794</v>
      </c>
      <c r="E142" s="21" t="s">
        <v>237</v>
      </c>
      <c r="F142" s="21">
        <v>2255.2908759506818</v>
      </c>
      <c r="G142" s="1" t="s">
        <v>233</v>
      </c>
      <c r="H142" s="6" t="s">
        <v>1951</v>
      </c>
      <c r="I142" s="6" t="s">
        <v>593</v>
      </c>
      <c r="J142" s="6" t="s">
        <v>1853</v>
      </c>
      <c r="K142" s="1">
        <v>0</v>
      </c>
      <c r="L142" s="6" t="s">
        <v>245</v>
      </c>
      <c r="M142" s="1">
        <v>2011</v>
      </c>
      <c r="N142" s="1" t="s">
        <v>237</v>
      </c>
      <c r="O142" s="1">
        <v>0</v>
      </c>
      <c r="P142" s="1">
        <v>0</v>
      </c>
      <c r="Q142" s="1">
        <v>0</v>
      </c>
      <c r="R142" s="1">
        <v>0</v>
      </c>
      <c r="S142" s="1" t="s">
        <v>251</v>
      </c>
    </row>
    <row r="143" spans="1:19" ht="14.45" customHeight="1" x14ac:dyDescent="0.25">
      <c r="A143" s="6">
        <v>142</v>
      </c>
      <c r="B143" s="6">
        <v>6502403</v>
      </c>
      <c r="C143" t="s">
        <v>796</v>
      </c>
      <c r="D143" s="1" t="s">
        <v>797</v>
      </c>
      <c r="E143" s="21">
        <v>5600</v>
      </c>
      <c r="F143" s="1" t="s">
        <v>233</v>
      </c>
      <c r="G143" s="1" t="s">
        <v>233</v>
      </c>
      <c r="H143" s="6" t="s">
        <v>1954</v>
      </c>
      <c r="I143" s="6" t="s">
        <v>313</v>
      </c>
      <c r="J143" s="6" t="s">
        <v>1849</v>
      </c>
      <c r="K143" s="1">
        <v>0</v>
      </c>
      <c r="L143" s="6" t="s">
        <v>234</v>
      </c>
      <c r="M143" s="1">
        <v>2012</v>
      </c>
      <c r="N143" s="1" t="s">
        <v>237</v>
      </c>
      <c r="O143" s="1">
        <v>0</v>
      </c>
      <c r="P143" s="1">
        <v>0</v>
      </c>
      <c r="Q143" s="1">
        <v>0</v>
      </c>
      <c r="R143" s="1">
        <v>0</v>
      </c>
      <c r="S143" s="1" t="s">
        <v>251</v>
      </c>
    </row>
    <row r="144" spans="1:19" ht="14.45" customHeight="1" x14ac:dyDescent="0.25">
      <c r="A144" s="6">
        <v>143</v>
      </c>
      <c r="B144" s="6">
        <v>6503401</v>
      </c>
      <c r="C144" t="s">
        <v>798</v>
      </c>
      <c r="D144" s="1">
        <v>190211</v>
      </c>
      <c r="E144" s="21">
        <v>1121</v>
      </c>
      <c r="F144" s="21">
        <v>1532</v>
      </c>
      <c r="G144" s="19">
        <v>11.4</v>
      </c>
      <c r="H144" s="6" t="s">
        <v>1954</v>
      </c>
      <c r="I144" s="6" t="s">
        <v>347</v>
      </c>
      <c r="J144" s="6" t="s">
        <v>1849</v>
      </c>
      <c r="K144" s="1">
        <v>0</v>
      </c>
      <c r="L144" s="6" t="s">
        <v>263</v>
      </c>
      <c r="M144" s="1">
        <v>2011</v>
      </c>
      <c r="N144" s="1" t="s">
        <v>237</v>
      </c>
      <c r="O144" s="1">
        <v>0</v>
      </c>
      <c r="P144" s="1">
        <v>0</v>
      </c>
      <c r="Q144" s="1">
        <v>0</v>
      </c>
      <c r="R144" s="1">
        <v>0</v>
      </c>
      <c r="S144" s="1" t="s">
        <v>235</v>
      </c>
    </row>
    <row r="145" spans="1:19" ht="14.45" customHeight="1" x14ac:dyDescent="0.25">
      <c r="A145" s="6">
        <v>144</v>
      </c>
      <c r="B145" s="6">
        <v>6503401</v>
      </c>
      <c r="C145" t="s">
        <v>798</v>
      </c>
      <c r="D145" s="1">
        <v>190211</v>
      </c>
      <c r="E145" s="21">
        <v>1332</v>
      </c>
      <c r="F145" s="21">
        <v>1592</v>
      </c>
      <c r="G145" s="19">
        <v>10.9</v>
      </c>
      <c r="H145" s="6" t="s">
        <v>1954</v>
      </c>
      <c r="I145" s="6" t="s">
        <v>347</v>
      </c>
      <c r="J145" s="6" t="s">
        <v>1849</v>
      </c>
      <c r="K145" s="1">
        <v>0</v>
      </c>
      <c r="L145" s="6" t="s">
        <v>236</v>
      </c>
      <c r="M145" s="1">
        <v>2011</v>
      </c>
      <c r="N145" s="1" t="s">
        <v>237</v>
      </c>
      <c r="O145" s="1">
        <v>0</v>
      </c>
      <c r="P145" s="1">
        <v>0</v>
      </c>
      <c r="Q145" s="1">
        <v>0</v>
      </c>
      <c r="R145" s="1">
        <v>0</v>
      </c>
      <c r="S145" s="1" t="s">
        <v>235</v>
      </c>
    </row>
    <row r="146" spans="1:19" ht="14.45" customHeight="1" x14ac:dyDescent="0.25">
      <c r="A146" s="6">
        <v>145</v>
      </c>
      <c r="B146" s="6">
        <v>6503401</v>
      </c>
      <c r="C146" t="s">
        <v>798</v>
      </c>
      <c r="D146" s="1">
        <v>190211</v>
      </c>
      <c r="E146" s="21">
        <v>1377</v>
      </c>
      <c r="F146" s="21">
        <v>2232</v>
      </c>
      <c r="G146" s="19">
        <v>13.8</v>
      </c>
      <c r="H146" s="6" t="s">
        <v>1954</v>
      </c>
      <c r="I146" s="6" t="s">
        <v>347</v>
      </c>
      <c r="J146" s="6" t="s">
        <v>1849</v>
      </c>
      <c r="K146" s="1">
        <v>0</v>
      </c>
      <c r="L146" s="6" t="s">
        <v>257</v>
      </c>
      <c r="M146" s="1">
        <v>2011</v>
      </c>
      <c r="N146" s="1" t="s">
        <v>237</v>
      </c>
      <c r="O146" s="1">
        <v>0</v>
      </c>
      <c r="P146" s="1">
        <v>0</v>
      </c>
      <c r="Q146" s="1">
        <v>0</v>
      </c>
      <c r="R146" s="1">
        <v>0</v>
      </c>
      <c r="S146" s="1" t="s">
        <v>235</v>
      </c>
    </row>
    <row r="147" spans="1:19" ht="14.45" customHeight="1" x14ac:dyDescent="0.25">
      <c r="A147" s="6">
        <v>146</v>
      </c>
      <c r="B147" s="6">
        <v>6503401</v>
      </c>
      <c r="C147" t="s">
        <v>798</v>
      </c>
      <c r="D147" s="1">
        <v>190211</v>
      </c>
      <c r="E147" s="21">
        <v>1708</v>
      </c>
      <c r="F147" s="21">
        <v>2202</v>
      </c>
      <c r="G147" s="19">
        <v>12.5</v>
      </c>
      <c r="H147" s="6" t="s">
        <v>1954</v>
      </c>
      <c r="I147" s="6" t="s">
        <v>347</v>
      </c>
      <c r="J147" s="6" t="s">
        <v>1849</v>
      </c>
      <c r="K147" s="1">
        <v>0</v>
      </c>
      <c r="L147" s="6" t="s">
        <v>238</v>
      </c>
      <c r="M147" s="1">
        <v>2011</v>
      </c>
      <c r="N147" s="1" t="s">
        <v>237</v>
      </c>
      <c r="O147" s="1">
        <v>0</v>
      </c>
      <c r="P147" s="1">
        <v>0</v>
      </c>
      <c r="Q147" s="1">
        <v>0</v>
      </c>
      <c r="R147" s="1">
        <v>0</v>
      </c>
      <c r="S147" s="1" t="s">
        <v>235</v>
      </c>
    </row>
    <row r="148" spans="1:19" ht="14.45" customHeight="1" x14ac:dyDescent="0.25">
      <c r="A148" s="6">
        <v>147</v>
      </c>
      <c r="B148" s="6">
        <v>6503401</v>
      </c>
      <c r="C148" t="s">
        <v>798</v>
      </c>
      <c r="D148" s="1">
        <v>190211</v>
      </c>
      <c r="E148" s="21">
        <v>835</v>
      </c>
      <c r="F148" s="21">
        <v>2138</v>
      </c>
      <c r="G148" s="19">
        <v>8.5</v>
      </c>
      <c r="H148" s="6" t="s">
        <v>1954</v>
      </c>
      <c r="I148" s="6" t="s">
        <v>372</v>
      </c>
      <c r="J148" s="6" t="s">
        <v>1849</v>
      </c>
      <c r="K148" s="1">
        <v>0</v>
      </c>
      <c r="L148" s="6" t="s">
        <v>263</v>
      </c>
      <c r="M148" s="1">
        <v>2013</v>
      </c>
      <c r="N148" s="1" t="s">
        <v>237</v>
      </c>
      <c r="O148" s="1">
        <v>0</v>
      </c>
      <c r="P148" s="1">
        <v>0</v>
      </c>
      <c r="Q148" s="1">
        <v>0</v>
      </c>
      <c r="R148" s="1">
        <v>0</v>
      </c>
      <c r="S148" s="1" t="s">
        <v>235</v>
      </c>
    </row>
    <row r="149" spans="1:19" ht="14.45" customHeight="1" x14ac:dyDescent="0.25">
      <c r="A149" s="6">
        <v>148</v>
      </c>
      <c r="B149" s="6">
        <v>6503401</v>
      </c>
      <c r="C149" t="s">
        <v>798</v>
      </c>
      <c r="D149" s="1">
        <v>190211</v>
      </c>
      <c r="E149" s="21">
        <v>1403</v>
      </c>
      <c r="F149" s="21">
        <v>1978</v>
      </c>
      <c r="G149" s="19">
        <v>15.1</v>
      </c>
      <c r="H149" s="6" t="s">
        <v>1954</v>
      </c>
      <c r="I149" s="6" t="s">
        <v>374</v>
      </c>
      <c r="J149" s="6" t="s">
        <v>1849</v>
      </c>
      <c r="K149" s="1">
        <v>0</v>
      </c>
      <c r="L149" s="6" t="s">
        <v>257</v>
      </c>
      <c r="M149" s="1">
        <v>2013</v>
      </c>
      <c r="N149" s="1" t="s">
        <v>237</v>
      </c>
      <c r="O149" s="1">
        <v>0</v>
      </c>
      <c r="P149" s="1">
        <v>0</v>
      </c>
      <c r="Q149" s="1">
        <v>0</v>
      </c>
      <c r="R149" s="1">
        <v>0</v>
      </c>
      <c r="S149" s="1" t="s">
        <v>235</v>
      </c>
    </row>
    <row r="150" spans="1:19" ht="14.45" customHeight="1" x14ac:dyDescent="0.25">
      <c r="A150" s="6">
        <v>149</v>
      </c>
      <c r="B150" s="6">
        <v>6503401</v>
      </c>
      <c r="C150" t="s">
        <v>798</v>
      </c>
      <c r="D150" s="1">
        <v>190211</v>
      </c>
      <c r="E150" s="21">
        <v>898</v>
      </c>
      <c r="F150" s="21">
        <v>1394</v>
      </c>
      <c r="G150" s="19">
        <v>8.1</v>
      </c>
      <c r="H150" s="6" t="s">
        <v>1954</v>
      </c>
      <c r="I150" s="6" t="s">
        <v>395</v>
      </c>
      <c r="J150" s="6" t="s">
        <v>1849</v>
      </c>
      <c r="K150" s="1">
        <v>0</v>
      </c>
      <c r="L150" s="6" t="s">
        <v>236</v>
      </c>
      <c r="M150" s="1">
        <v>2013</v>
      </c>
      <c r="N150" s="1" t="s">
        <v>1862</v>
      </c>
      <c r="O150" s="1">
        <v>0</v>
      </c>
      <c r="P150" s="1">
        <v>0</v>
      </c>
      <c r="Q150" s="1">
        <v>0</v>
      </c>
      <c r="R150" s="1">
        <v>0</v>
      </c>
      <c r="S150" s="1" t="s">
        <v>235</v>
      </c>
    </row>
    <row r="151" spans="1:19" ht="14.45" customHeight="1" x14ac:dyDescent="0.25">
      <c r="A151" s="6">
        <v>150</v>
      </c>
      <c r="B151" s="6">
        <v>6503401</v>
      </c>
      <c r="C151" t="s">
        <v>798</v>
      </c>
      <c r="D151" s="1">
        <v>190211</v>
      </c>
      <c r="E151" s="21">
        <v>1701</v>
      </c>
      <c r="F151" s="21">
        <v>1777</v>
      </c>
      <c r="G151" s="19">
        <v>16.100000000000001</v>
      </c>
      <c r="H151" s="6" t="s">
        <v>1954</v>
      </c>
      <c r="I151" s="6" t="s">
        <v>401</v>
      </c>
      <c r="J151" s="6" t="s">
        <v>1849</v>
      </c>
      <c r="K151" s="1">
        <v>0</v>
      </c>
      <c r="L151" s="6" t="s">
        <v>257</v>
      </c>
      <c r="M151" s="1">
        <v>2014</v>
      </c>
      <c r="N151" s="1" t="s">
        <v>237</v>
      </c>
      <c r="O151" s="1">
        <v>0</v>
      </c>
      <c r="P151" s="1">
        <v>0</v>
      </c>
      <c r="Q151" s="1">
        <v>0</v>
      </c>
      <c r="R151" s="1" t="s">
        <v>1956</v>
      </c>
      <c r="S151" s="1" t="s">
        <v>235</v>
      </c>
    </row>
    <row r="152" spans="1:19" ht="14.45" customHeight="1" x14ac:dyDescent="0.25">
      <c r="A152" s="6">
        <v>151</v>
      </c>
      <c r="B152" s="6">
        <v>6503401</v>
      </c>
      <c r="C152" t="s">
        <v>798</v>
      </c>
      <c r="D152" s="1">
        <v>190211</v>
      </c>
      <c r="E152" s="21">
        <v>848</v>
      </c>
      <c r="F152" s="21">
        <v>1292</v>
      </c>
      <c r="G152" s="19">
        <v>7.2</v>
      </c>
      <c r="H152" s="6" t="s">
        <v>1954</v>
      </c>
      <c r="I152" s="6" t="s">
        <v>401</v>
      </c>
      <c r="J152" s="6" t="s">
        <v>1849</v>
      </c>
      <c r="K152" s="1">
        <v>0</v>
      </c>
      <c r="L152" s="6" t="s">
        <v>236</v>
      </c>
      <c r="M152" s="1">
        <v>2014</v>
      </c>
      <c r="N152" s="1" t="s">
        <v>237</v>
      </c>
      <c r="O152" s="1">
        <v>0</v>
      </c>
      <c r="P152" s="1">
        <v>0</v>
      </c>
      <c r="Q152" s="1">
        <v>0</v>
      </c>
      <c r="R152" s="1">
        <v>0</v>
      </c>
      <c r="S152" s="1" t="s">
        <v>235</v>
      </c>
    </row>
    <row r="153" spans="1:19" ht="14.45" customHeight="1" x14ac:dyDescent="0.25">
      <c r="A153" s="6">
        <v>152</v>
      </c>
      <c r="B153" s="6">
        <v>6503401</v>
      </c>
      <c r="C153" t="s">
        <v>798</v>
      </c>
      <c r="D153" s="1">
        <v>190211</v>
      </c>
      <c r="E153" s="21">
        <v>936</v>
      </c>
      <c r="F153" s="21">
        <v>2517</v>
      </c>
      <c r="G153" s="19">
        <v>10.1</v>
      </c>
      <c r="H153" s="6" t="s">
        <v>1954</v>
      </c>
      <c r="I153" s="6" t="s">
        <v>401</v>
      </c>
      <c r="J153" s="6" t="s">
        <v>1849</v>
      </c>
      <c r="K153" s="1">
        <v>0</v>
      </c>
      <c r="L153" s="6" t="s">
        <v>263</v>
      </c>
      <c r="M153" s="1">
        <v>2014</v>
      </c>
      <c r="N153" s="1" t="s">
        <v>237</v>
      </c>
      <c r="O153" s="1">
        <v>0</v>
      </c>
      <c r="P153" s="1">
        <v>0</v>
      </c>
      <c r="Q153" s="1" t="s">
        <v>1953</v>
      </c>
      <c r="R153" s="1">
        <v>0</v>
      </c>
      <c r="S153" s="1" t="s">
        <v>235</v>
      </c>
    </row>
    <row r="154" spans="1:19" ht="14.45" customHeight="1" x14ac:dyDescent="0.25">
      <c r="A154" s="6">
        <v>153</v>
      </c>
      <c r="B154" s="6">
        <v>6503401</v>
      </c>
      <c r="C154" t="s">
        <v>798</v>
      </c>
      <c r="D154" s="1">
        <v>190211</v>
      </c>
      <c r="E154" s="21">
        <v>1317</v>
      </c>
      <c r="F154" s="21">
        <v>1327</v>
      </c>
      <c r="G154" s="19">
        <v>10.8</v>
      </c>
      <c r="H154" s="6" t="s">
        <v>1954</v>
      </c>
      <c r="I154" s="6" t="s">
        <v>401</v>
      </c>
      <c r="J154" s="6" t="s">
        <v>1849</v>
      </c>
      <c r="K154" s="1">
        <v>0</v>
      </c>
      <c r="L154" s="6" t="s">
        <v>238</v>
      </c>
      <c r="M154" s="1">
        <v>2014</v>
      </c>
      <c r="N154" s="1" t="s">
        <v>237</v>
      </c>
      <c r="O154" s="1">
        <v>0</v>
      </c>
      <c r="P154" s="1">
        <v>0</v>
      </c>
      <c r="Q154" s="1">
        <v>0</v>
      </c>
      <c r="R154" s="1">
        <v>0</v>
      </c>
      <c r="S154" s="1" t="s">
        <v>235</v>
      </c>
    </row>
    <row r="155" spans="1:19" ht="14.45" customHeight="1" x14ac:dyDescent="0.25">
      <c r="A155" s="6">
        <v>154</v>
      </c>
      <c r="B155" s="6">
        <v>6503401</v>
      </c>
      <c r="C155" t="s">
        <v>798</v>
      </c>
      <c r="D155" s="1">
        <v>190211</v>
      </c>
      <c r="E155" s="21">
        <v>1013</v>
      </c>
      <c r="F155" s="21">
        <v>1328</v>
      </c>
      <c r="G155" s="19">
        <v>8.4</v>
      </c>
      <c r="H155" s="6" t="s">
        <v>1954</v>
      </c>
      <c r="I155" s="6" t="s">
        <v>401</v>
      </c>
      <c r="J155" s="6" t="s">
        <v>1849</v>
      </c>
      <c r="K155" s="1">
        <v>0</v>
      </c>
      <c r="L155" s="6" t="s">
        <v>233</v>
      </c>
      <c r="M155" s="1">
        <v>2014</v>
      </c>
      <c r="N155" s="1" t="s">
        <v>237</v>
      </c>
      <c r="O155" s="1">
        <v>0</v>
      </c>
      <c r="P155" s="1">
        <v>0</v>
      </c>
      <c r="Q155" s="1">
        <v>0</v>
      </c>
      <c r="R155" s="1">
        <v>0</v>
      </c>
      <c r="S155" s="1" t="s">
        <v>235</v>
      </c>
    </row>
    <row r="156" spans="1:19" ht="14.45" customHeight="1" x14ac:dyDescent="0.25">
      <c r="A156" s="6">
        <v>155</v>
      </c>
      <c r="B156" s="6">
        <v>6503401</v>
      </c>
      <c r="C156" t="s">
        <v>798</v>
      </c>
      <c r="D156" s="1">
        <v>190211</v>
      </c>
      <c r="E156" s="21">
        <v>810</v>
      </c>
      <c r="F156" s="21">
        <v>1215</v>
      </c>
      <c r="G156" s="19">
        <v>6.7</v>
      </c>
      <c r="H156" s="6" t="s">
        <v>1954</v>
      </c>
      <c r="I156" s="6" t="s">
        <v>402</v>
      </c>
      <c r="J156" s="6" t="s">
        <v>1849</v>
      </c>
      <c r="K156" s="1">
        <v>0</v>
      </c>
      <c r="L156" s="6" t="s">
        <v>236</v>
      </c>
      <c r="M156" s="1">
        <v>2014</v>
      </c>
      <c r="N156" s="1" t="s">
        <v>1862</v>
      </c>
      <c r="O156" s="1">
        <v>0</v>
      </c>
      <c r="P156" s="1">
        <v>0</v>
      </c>
      <c r="Q156" s="1" t="s">
        <v>1953</v>
      </c>
      <c r="R156" s="1" t="s">
        <v>1956</v>
      </c>
      <c r="S156" s="1" t="s">
        <v>235</v>
      </c>
    </row>
    <row r="157" spans="1:19" ht="14.45" customHeight="1" x14ac:dyDescent="0.25">
      <c r="A157" s="6">
        <v>156</v>
      </c>
      <c r="B157" s="6">
        <v>6503401</v>
      </c>
      <c r="C157" t="s">
        <v>798</v>
      </c>
      <c r="D157" s="1">
        <v>190211</v>
      </c>
      <c r="E157" s="21">
        <v>1449.5</v>
      </c>
      <c r="F157" s="1" t="s">
        <v>233</v>
      </c>
      <c r="G157" s="1" t="s">
        <v>233</v>
      </c>
      <c r="H157" s="6" t="s">
        <v>1954</v>
      </c>
      <c r="I157" s="6" t="s">
        <v>454</v>
      </c>
      <c r="J157" s="6" t="s">
        <v>1849</v>
      </c>
      <c r="K157" s="1">
        <v>0</v>
      </c>
      <c r="L157" s="6" t="s">
        <v>236</v>
      </c>
      <c r="M157" s="1">
        <v>2014</v>
      </c>
      <c r="N157" s="1" t="s">
        <v>237</v>
      </c>
      <c r="O157" s="1">
        <v>0</v>
      </c>
      <c r="P157" s="1">
        <v>0</v>
      </c>
      <c r="Q157" s="1">
        <v>0</v>
      </c>
      <c r="R157" s="1">
        <v>0</v>
      </c>
      <c r="S157" s="1" t="s">
        <v>235</v>
      </c>
    </row>
    <row r="158" spans="1:19" ht="14.45" customHeight="1" x14ac:dyDescent="0.25">
      <c r="A158" s="6">
        <v>157</v>
      </c>
      <c r="B158" s="6">
        <v>6503401</v>
      </c>
      <c r="C158" t="s">
        <v>798</v>
      </c>
      <c r="D158" s="1">
        <v>190211</v>
      </c>
      <c r="E158" s="21">
        <v>1490.6</v>
      </c>
      <c r="F158" s="1" t="s">
        <v>233</v>
      </c>
      <c r="G158" s="1" t="s">
        <v>233</v>
      </c>
      <c r="H158" s="6" t="s">
        <v>1954</v>
      </c>
      <c r="I158" s="6" t="s">
        <v>478</v>
      </c>
      <c r="J158" s="6" t="s">
        <v>1849</v>
      </c>
      <c r="K158" s="1">
        <v>0</v>
      </c>
      <c r="L158" s="6" t="s">
        <v>236</v>
      </c>
      <c r="M158" s="1">
        <v>2011</v>
      </c>
      <c r="N158" s="1" t="s">
        <v>237</v>
      </c>
      <c r="O158" s="1">
        <v>0</v>
      </c>
      <c r="P158" s="1">
        <v>0</v>
      </c>
      <c r="Q158" s="1">
        <v>0</v>
      </c>
      <c r="R158" s="1">
        <v>0</v>
      </c>
      <c r="S158" s="1" t="s">
        <v>235</v>
      </c>
    </row>
    <row r="159" spans="1:19" ht="14.45" customHeight="1" x14ac:dyDescent="0.25">
      <c r="A159" s="6">
        <v>158</v>
      </c>
      <c r="B159" s="6">
        <v>6503401</v>
      </c>
      <c r="C159" t="s">
        <v>798</v>
      </c>
      <c r="D159" s="1">
        <v>190211</v>
      </c>
      <c r="E159" s="21">
        <v>1657.9</v>
      </c>
      <c r="F159" s="1" t="s">
        <v>233</v>
      </c>
      <c r="G159" s="1" t="s">
        <v>233</v>
      </c>
      <c r="H159" s="6" t="s">
        <v>1954</v>
      </c>
      <c r="I159" s="6" t="s">
        <v>478</v>
      </c>
      <c r="J159" s="6" t="s">
        <v>1849</v>
      </c>
      <c r="K159" s="1">
        <v>0</v>
      </c>
      <c r="L159" s="6" t="s">
        <v>238</v>
      </c>
      <c r="M159" s="1">
        <v>2011</v>
      </c>
      <c r="N159" s="1" t="s">
        <v>237</v>
      </c>
      <c r="O159" s="1">
        <v>0</v>
      </c>
      <c r="P159" s="1">
        <v>0</v>
      </c>
      <c r="Q159" s="1">
        <v>0</v>
      </c>
      <c r="R159" s="1">
        <v>0</v>
      </c>
      <c r="S159" s="1" t="s">
        <v>235</v>
      </c>
    </row>
    <row r="160" spans="1:19" ht="14.45" customHeight="1" x14ac:dyDescent="0.25">
      <c r="A160" s="6">
        <v>159</v>
      </c>
      <c r="B160" s="6">
        <v>6503401</v>
      </c>
      <c r="C160" t="s">
        <v>798</v>
      </c>
      <c r="D160" s="1">
        <v>190211</v>
      </c>
      <c r="E160" s="21">
        <v>1038.4000000000001</v>
      </c>
      <c r="F160" s="1" t="s">
        <v>233</v>
      </c>
      <c r="G160" s="1" t="s">
        <v>233</v>
      </c>
      <c r="H160" s="6" t="s">
        <v>1954</v>
      </c>
      <c r="I160" s="6" t="s">
        <v>478</v>
      </c>
      <c r="J160" s="6" t="s">
        <v>1849</v>
      </c>
      <c r="K160" s="1">
        <v>0</v>
      </c>
      <c r="L160" s="6" t="s">
        <v>236</v>
      </c>
      <c r="M160" s="1">
        <v>2011</v>
      </c>
      <c r="N160" s="1" t="s">
        <v>237</v>
      </c>
      <c r="O160" s="1">
        <v>0</v>
      </c>
      <c r="P160" s="1">
        <v>0</v>
      </c>
      <c r="Q160" s="1">
        <v>0</v>
      </c>
      <c r="R160" s="1">
        <v>0</v>
      </c>
      <c r="S160" s="1" t="s">
        <v>235</v>
      </c>
    </row>
    <row r="161" spans="1:19" ht="14.45" customHeight="1" x14ac:dyDescent="0.25">
      <c r="A161" s="6">
        <v>160</v>
      </c>
      <c r="B161" s="6">
        <v>6503401</v>
      </c>
      <c r="C161" t="s">
        <v>798</v>
      </c>
      <c r="D161" s="1">
        <v>190211</v>
      </c>
      <c r="E161" s="21">
        <v>1191</v>
      </c>
      <c r="F161" s="1" t="s">
        <v>233</v>
      </c>
      <c r="G161" s="1" t="s">
        <v>233</v>
      </c>
      <c r="H161" s="6" t="s">
        <v>1954</v>
      </c>
      <c r="I161" s="6" t="s">
        <v>478</v>
      </c>
      <c r="J161" s="6" t="s">
        <v>1849</v>
      </c>
      <c r="K161" s="1">
        <v>0</v>
      </c>
      <c r="L161" s="6" t="s">
        <v>238</v>
      </c>
      <c r="M161" s="1">
        <v>2011</v>
      </c>
      <c r="N161" s="1" t="s">
        <v>237</v>
      </c>
      <c r="O161" s="1">
        <v>0</v>
      </c>
      <c r="P161" s="1">
        <v>0</v>
      </c>
      <c r="Q161" s="1">
        <v>0</v>
      </c>
      <c r="R161" s="1">
        <v>0</v>
      </c>
      <c r="S161" s="1" t="s">
        <v>235</v>
      </c>
    </row>
    <row r="162" spans="1:19" ht="14.45" customHeight="1" x14ac:dyDescent="0.25">
      <c r="A162" s="6">
        <v>161</v>
      </c>
      <c r="B162" s="6">
        <v>6503401</v>
      </c>
      <c r="C162" t="s">
        <v>798</v>
      </c>
      <c r="D162" s="1">
        <v>190211</v>
      </c>
      <c r="E162" s="21">
        <v>3151.1</v>
      </c>
      <c r="F162" s="1" t="s">
        <v>233</v>
      </c>
      <c r="G162" s="1" t="s">
        <v>233</v>
      </c>
      <c r="H162" s="6" t="s">
        <v>1954</v>
      </c>
      <c r="I162" s="6" t="s">
        <v>480</v>
      </c>
      <c r="J162" s="6" t="s">
        <v>1849</v>
      </c>
      <c r="K162" s="1">
        <v>0</v>
      </c>
      <c r="L162" s="6" t="s">
        <v>236</v>
      </c>
      <c r="M162" s="1">
        <v>2014</v>
      </c>
      <c r="N162" s="1" t="s">
        <v>237</v>
      </c>
      <c r="O162" s="1">
        <v>0</v>
      </c>
      <c r="P162" s="1">
        <v>0</v>
      </c>
      <c r="Q162" s="1">
        <v>0</v>
      </c>
      <c r="R162" s="1">
        <v>0</v>
      </c>
      <c r="S162" s="1" t="s">
        <v>235</v>
      </c>
    </row>
    <row r="163" spans="1:19" ht="14.45" customHeight="1" x14ac:dyDescent="0.25">
      <c r="A163" s="6">
        <v>162</v>
      </c>
      <c r="B163" s="6">
        <v>6503401</v>
      </c>
      <c r="C163" t="s">
        <v>798</v>
      </c>
      <c r="D163" s="1">
        <v>190211</v>
      </c>
      <c r="E163" s="21">
        <v>4546.6000000000004</v>
      </c>
      <c r="F163" s="1" t="s">
        <v>233</v>
      </c>
      <c r="G163" s="1" t="s">
        <v>233</v>
      </c>
      <c r="H163" s="6" t="s">
        <v>1954</v>
      </c>
      <c r="I163" s="6" t="s">
        <v>480</v>
      </c>
      <c r="J163" s="6" t="s">
        <v>1849</v>
      </c>
      <c r="K163" s="1">
        <v>0</v>
      </c>
      <c r="L163" s="6" t="s">
        <v>238</v>
      </c>
      <c r="M163" s="1">
        <v>2014</v>
      </c>
      <c r="N163" s="1" t="s">
        <v>237</v>
      </c>
      <c r="O163" s="1">
        <v>0</v>
      </c>
      <c r="P163" s="1" t="s">
        <v>1952</v>
      </c>
      <c r="Q163" s="1">
        <v>0</v>
      </c>
      <c r="R163" s="1">
        <v>0</v>
      </c>
      <c r="S163" s="1" t="s">
        <v>235</v>
      </c>
    </row>
    <row r="164" spans="1:19" ht="14.45" customHeight="1" x14ac:dyDescent="0.25">
      <c r="A164" s="6">
        <v>163</v>
      </c>
      <c r="B164" s="6">
        <v>6503401</v>
      </c>
      <c r="C164" t="s">
        <v>798</v>
      </c>
      <c r="D164" s="1">
        <v>190211</v>
      </c>
      <c r="E164" s="21">
        <v>970</v>
      </c>
      <c r="F164" s="1" t="s">
        <v>233</v>
      </c>
      <c r="G164" s="1" t="s">
        <v>233</v>
      </c>
      <c r="H164" s="6" t="s">
        <v>1954</v>
      </c>
      <c r="I164" s="6" t="s">
        <v>572</v>
      </c>
      <c r="J164" s="6" t="s">
        <v>1849</v>
      </c>
      <c r="K164" s="1">
        <v>0</v>
      </c>
      <c r="L164" s="6" t="s">
        <v>239</v>
      </c>
      <c r="M164" s="1">
        <v>2012</v>
      </c>
      <c r="N164" s="1" t="s">
        <v>1863</v>
      </c>
      <c r="O164" s="1">
        <v>0</v>
      </c>
      <c r="P164" s="1">
        <v>0</v>
      </c>
      <c r="Q164" s="1">
        <v>0</v>
      </c>
      <c r="R164" s="1">
        <v>0</v>
      </c>
      <c r="S164" s="1" t="s">
        <v>235</v>
      </c>
    </row>
    <row r="165" spans="1:19" ht="14.45" customHeight="1" x14ac:dyDescent="0.25">
      <c r="A165" s="6">
        <v>164</v>
      </c>
      <c r="B165" s="6">
        <v>6503401</v>
      </c>
      <c r="C165" t="s">
        <v>798</v>
      </c>
      <c r="D165" s="1">
        <v>190211</v>
      </c>
      <c r="E165" s="21">
        <v>860</v>
      </c>
      <c r="F165" s="1" t="s">
        <v>233</v>
      </c>
      <c r="G165" s="1" t="s">
        <v>233</v>
      </c>
      <c r="H165" s="6" t="s">
        <v>1954</v>
      </c>
      <c r="I165" s="6" t="s">
        <v>573</v>
      </c>
      <c r="J165" s="6" t="s">
        <v>1849</v>
      </c>
      <c r="K165" s="1">
        <v>0</v>
      </c>
      <c r="L165" s="6" t="s">
        <v>239</v>
      </c>
      <c r="M165" s="1">
        <v>2012</v>
      </c>
      <c r="N165" s="1" t="s">
        <v>237</v>
      </c>
      <c r="O165" s="1">
        <v>0</v>
      </c>
      <c r="P165" s="1">
        <v>0</v>
      </c>
      <c r="Q165" s="1">
        <v>0</v>
      </c>
      <c r="R165" s="1">
        <v>0</v>
      </c>
      <c r="S165" s="1" t="s">
        <v>235</v>
      </c>
    </row>
    <row r="166" spans="1:19" ht="14.45" customHeight="1" x14ac:dyDescent="0.25">
      <c r="A166" s="6">
        <v>165</v>
      </c>
      <c r="B166" s="6">
        <v>6503401</v>
      </c>
      <c r="C166" t="s">
        <v>798</v>
      </c>
      <c r="D166" s="1">
        <v>190211</v>
      </c>
      <c r="E166" s="21">
        <v>870</v>
      </c>
      <c r="F166" s="1" t="s">
        <v>233</v>
      </c>
      <c r="G166" s="1" t="s">
        <v>233</v>
      </c>
      <c r="H166" s="6" t="s">
        <v>1954</v>
      </c>
      <c r="I166" s="6" t="s">
        <v>574</v>
      </c>
      <c r="J166" s="6" t="s">
        <v>1849</v>
      </c>
      <c r="K166" s="1">
        <v>0</v>
      </c>
      <c r="L166" s="6" t="s">
        <v>239</v>
      </c>
      <c r="M166" s="1">
        <v>2012</v>
      </c>
      <c r="N166" s="1" t="s">
        <v>237</v>
      </c>
      <c r="O166" s="1">
        <v>0</v>
      </c>
      <c r="P166" s="1">
        <v>0</v>
      </c>
      <c r="Q166" s="1">
        <v>0</v>
      </c>
      <c r="R166" s="1">
        <v>0</v>
      </c>
      <c r="S166" s="1" t="s">
        <v>235</v>
      </c>
    </row>
    <row r="167" spans="1:19" ht="14.45" customHeight="1" x14ac:dyDescent="0.25">
      <c r="A167" s="6">
        <v>166</v>
      </c>
      <c r="B167" s="6">
        <v>6503401</v>
      </c>
      <c r="C167" t="s">
        <v>798</v>
      </c>
      <c r="D167" s="1">
        <v>190211</v>
      </c>
      <c r="E167" s="21">
        <v>860</v>
      </c>
      <c r="F167" s="1" t="s">
        <v>233</v>
      </c>
      <c r="G167" s="1" t="s">
        <v>233</v>
      </c>
      <c r="H167" s="6" t="s">
        <v>1954</v>
      </c>
      <c r="I167" s="6" t="s">
        <v>575</v>
      </c>
      <c r="J167" s="6" t="s">
        <v>1849</v>
      </c>
      <c r="K167" s="1">
        <v>0</v>
      </c>
      <c r="L167" s="6" t="s">
        <v>239</v>
      </c>
      <c r="M167" s="1">
        <v>2012</v>
      </c>
      <c r="N167" s="1" t="s">
        <v>237</v>
      </c>
      <c r="O167" s="1">
        <v>0</v>
      </c>
      <c r="P167" s="1">
        <v>0</v>
      </c>
      <c r="Q167" s="1">
        <v>0</v>
      </c>
      <c r="R167" s="1">
        <v>0</v>
      </c>
      <c r="S167" s="1" t="s">
        <v>235</v>
      </c>
    </row>
    <row r="168" spans="1:19" ht="14.45" customHeight="1" x14ac:dyDescent="0.25">
      <c r="A168" s="6">
        <v>167</v>
      </c>
      <c r="B168" s="6">
        <v>6503401</v>
      </c>
      <c r="C168" t="s">
        <v>798</v>
      </c>
      <c r="D168" s="1">
        <v>190211</v>
      </c>
      <c r="E168" s="21" t="s">
        <v>237</v>
      </c>
      <c r="F168" s="21">
        <v>2150.6263952387503</v>
      </c>
      <c r="G168" s="1" t="s">
        <v>233</v>
      </c>
      <c r="H168" s="6" t="s">
        <v>1951</v>
      </c>
      <c r="I168" s="6" t="s">
        <v>593</v>
      </c>
      <c r="J168" s="6" t="s">
        <v>1853</v>
      </c>
      <c r="K168" s="1">
        <v>0</v>
      </c>
      <c r="L168" s="6" t="s">
        <v>245</v>
      </c>
      <c r="M168" s="1">
        <v>2011</v>
      </c>
      <c r="N168" s="1" t="s">
        <v>237</v>
      </c>
      <c r="O168" s="1">
        <v>0</v>
      </c>
      <c r="P168" s="1">
        <v>0</v>
      </c>
      <c r="Q168" s="1">
        <v>0</v>
      </c>
      <c r="R168" s="1">
        <v>0</v>
      </c>
      <c r="S168" s="1" t="s">
        <v>251</v>
      </c>
    </row>
    <row r="169" spans="1:19" ht="14.45" customHeight="1" x14ac:dyDescent="0.25">
      <c r="A169" s="6">
        <v>168</v>
      </c>
      <c r="B169" s="6">
        <v>6503401</v>
      </c>
      <c r="C169" t="s">
        <v>798</v>
      </c>
      <c r="D169" s="1">
        <v>190211</v>
      </c>
      <c r="E169" s="21">
        <v>500</v>
      </c>
      <c r="F169" s="1" t="s">
        <v>233</v>
      </c>
      <c r="G169" s="1" t="s">
        <v>233</v>
      </c>
      <c r="H169" s="6" t="s">
        <v>1951</v>
      </c>
      <c r="I169" s="6" t="s">
        <v>662</v>
      </c>
      <c r="J169" s="6" t="s">
        <v>1849</v>
      </c>
      <c r="K169" s="1">
        <v>0</v>
      </c>
      <c r="L169" s="6" t="s">
        <v>239</v>
      </c>
      <c r="M169" s="1">
        <v>2011</v>
      </c>
      <c r="N169" s="1" t="s">
        <v>237</v>
      </c>
      <c r="O169" s="1">
        <v>0</v>
      </c>
      <c r="P169" s="1" t="s">
        <v>1952</v>
      </c>
      <c r="Q169" s="1">
        <v>0</v>
      </c>
      <c r="R169" s="1">
        <v>0</v>
      </c>
      <c r="S169" s="1" t="s">
        <v>235</v>
      </c>
    </row>
    <row r="170" spans="1:19" ht="14.45" customHeight="1" x14ac:dyDescent="0.25">
      <c r="A170" s="6">
        <v>169</v>
      </c>
      <c r="B170" s="6">
        <v>6503401</v>
      </c>
      <c r="C170" t="s">
        <v>798</v>
      </c>
      <c r="D170" s="1">
        <v>190211</v>
      </c>
      <c r="E170" s="21">
        <v>1100</v>
      </c>
      <c r="F170" s="1" t="s">
        <v>233</v>
      </c>
      <c r="G170" s="1" t="s">
        <v>233</v>
      </c>
      <c r="H170" s="6" t="s">
        <v>1951</v>
      </c>
      <c r="I170" s="6" t="s">
        <v>739</v>
      </c>
      <c r="J170" s="6" t="s">
        <v>1854</v>
      </c>
      <c r="K170" s="1">
        <v>1</v>
      </c>
      <c r="L170" s="6" t="s">
        <v>250</v>
      </c>
      <c r="M170" s="1">
        <v>2012</v>
      </c>
      <c r="N170" s="1" t="s">
        <v>237</v>
      </c>
      <c r="O170" s="1">
        <v>0</v>
      </c>
      <c r="P170" s="1">
        <v>0</v>
      </c>
      <c r="Q170" s="1">
        <v>0</v>
      </c>
      <c r="R170" s="1">
        <v>0</v>
      </c>
      <c r="S170" s="1" t="s">
        <v>235</v>
      </c>
    </row>
    <row r="171" spans="1:19" ht="14.45" customHeight="1" x14ac:dyDescent="0.25">
      <c r="A171" s="6">
        <v>170</v>
      </c>
      <c r="B171" s="6">
        <v>6503401</v>
      </c>
      <c r="C171" t="s">
        <v>798</v>
      </c>
      <c r="D171" s="1">
        <v>190211</v>
      </c>
      <c r="E171" s="21">
        <v>800</v>
      </c>
      <c r="F171" s="1" t="s">
        <v>233</v>
      </c>
      <c r="G171" s="1" t="s">
        <v>233</v>
      </c>
      <c r="H171" s="6" t="s">
        <v>1954</v>
      </c>
      <c r="I171" s="6" t="s">
        <v>682</v>
      </c>
      <c r="J171" s="6" t="s">
        <v>1849</v>
      </c>
      <c r="K171" s="1">
        <v>0</v>
      </c>
      <c r="L171" s="6" t="s">
        <v>236</v>
      </c>
      <c r="M171" s="1">
        <v>2013</v>
      </c>
      <c r="N171" s="1" t="s">
        <v>237</v>
      </c>
      <c r="O171" s="1">
        <v>0</v>
      </c>
      <c r="P171" s="1" t="s">
        <v>1952</v>
      </c>
      <c r="Q171" s="1">
        <v>0</v>
      </c>
      <c r="R171" s="1">
        <v>0</v>
      </c>
      <c r="S171" s="1" t="s">
        <v>235</v>
      </c>
    </row>
    <row r="172" spans="1:19" ht="14.45" customHeight="1" x14ac:dyDescent="0.25">
      <c r="A172" s="6">
        <v>171</v>
      </c>
      <c r="B172" s="6">
        <v>6503401</v>
      </c>
      <c r="C172" t="s">
        <v>798</v>
      </c>
      <c r="D172" s="1">
        <v>190211</v>
      </c>
      <c r="E172" s="21">
        <v>898</v>
      </c>
      <c r="F172" s="1" t="s">
        <v>233</v>
      </c>
      <c r="G172" s="1" t="s">
        <v>233</v>
      </c>
      <c r="H172" s="6" t="s">
        <v>1954</v>
      </c>
      <c r="I172" s="6" t="s">
        <v>683</v>
      </c>
      <c r="J172" s="6" t="s">
        <v>1849</v>
      </c>
      <c r="K172" s="1">
        <v>0</v>
      </c>
      <c r="L172" s="6" t="s">
        <v>236</v>
      </c>
      <c r="M172" s="1">
        <v>2014</v>
      </c>
      <c r="N172" s="1" t="s">
        <v>237</v>
      </c>
      <c r="O172" s="1">
        <v>0</v>
      </c>
      <c r="P172" s="1">
        <v>0</v>
      </c>
      <c r="Q172" s="1">
        <v>0</v>
      </c>
      <c r="R172" s="1">
        <v>0</v>
      </c>
      <c r="S172" s="1" t="s">
        <v>235</v>
      </c>
    </row>
    <row r="173" spans="1:19" ht="14.45" customHeight="1" x14ac:dyDescent="0.25">
      <c r="A173" s="6">
        <v>172</v>
      </c>
      <c r="B173" s="6">
        <v>6503401</v>
      </c>
      <c r="C173" t="s">
        <v>798</v>
      </c>
      <c r="D173" s="1">
        <v>190211</v>
      </c>
      <c r="E173" s="21">
        <v>3333.3333333333335</v>
      </c>
      <c r="F173" s="1" t="s">
        <v>233</v>
      </c>
      <c r="G173" s="1" t="s">
        <v>233</v>
      </c>
      <c r="H173" s="6" t="s">
        <v>1954</v>
      </c>
      <c r="I173" s="6" t="s">
        <v>313</v>
      </c>
      <c r="J173" s="6" t="s">
        <v>1849</v>
      </c>
      <c r="K173" s="1">
        <v>0</v>
      </c>
      <c r="L173" s="6" t="s">
        <v>234</v>
      </c>
      <c r="M173" s="1">
        <v>2012</v>
      </c>
      <c r="N173" s="1" t="s">
        <v>237</v>
      </c>
      <c r="O173" s="1">
        <v>0</v>
      </c>
      <c r="P173" s="1" t="s">
        <v>1952</v>
      </c>
      <c r="Q173" s="1">
        <v>0</v>
      </c>
      <c r="R173" s="1">
        <v>0</v>
      </c>
      <c r="S173" s="1" t="s">
        <v>251</v>
      </c>
    </row>
    <row r="174" spans="1:19" ht="14.45" customHeight="1" x14ac:dyDescent="0.25">
      <c r="A174" s="6">
        <v>173</v>
      </c>
      <c r="B174" s="6">
        <v>6503401</v>
      </c>
      <c r="C174" t="s">
        <v>798</v>
      </c>
      <c r="D174" s="1">
        <v>190211</v>
      </c>
      <c r="E174" s="21">
        <v>3066.666666666667</v>
      </c>
      <c r="F174" s="1" t="s">
        <v>233</v>
      </c>
      <c r="G174" s="1" t="s">
        <v>233</v>
      </c>
      <c r="H174" s="6" t="s">
        <v>1954</v>
      </c>
      <c r="I174" s="6" t="s">
        <v>313</v>
      </c>
      <c r="J174" s="6" t="s">
        <v>1849</v>
      </c>
      <c r="K174" s="1">
        <v>0</v>
      </c>
      <c r="L174" s="6" t="s">
        <v>234</v>
      </c>
      <c r="M174" s="1">
        <v>2012</v>
      </c>
      <c r="N174" s="1" t="s">
        <v>1859</v>
      </c>
      <c r="O174" s="1">
        <v>0</v>
      </c>
      <c r="P174" s="1">
        <v>0</v>
      </c>
      <c r="Q174" s="1">
        <v>0</v>
      </c>
      <c r="R174" s="1">
        <v>0</v>
      </c>
      <c r="S174" s="1" t="s">
        <v>251</v>
      </c>
    </row>
    <row r="175" spans="1:19" ht="14.45" customHeight="1" x14ac:dyDescent="0.25">
      <c r="A175" s="6">
        <v>174</v>
      </c>
      <c r="B175" s="6">
        <v>6503401</v>
      </c>
      <c r="C175" t="s">
        <v>798</v>
      </c>
      <c r="D175" s="1">
        <v>190211</v>
      </c>
      <c r="E175" s="21">
        <v>3191.4893617021276</v>
      </c>
      <c r="F175" s="1" t="s">
        <v>233</v>
      </c>
      <c r="G175" s="1" t="s">
        <v>233</v>
      </c>
      <c r="H175" s="6" t="s">
        <v>1954</v>
      </c>
      <c r="I175" s="6" t="s">
        <v>313</v>
      </c>
      <c r="J175" s="6" t="s">
        <v>1849</v>
      </c>
      <c r="K175" s="1">
        <v>0</v>
      </c>
      <c r="L175" s="6" t="s">
        <v>234</v>
      </c>
      <c r="M175" s="1">
        <v>2012</v>
      </c>
      <c r="N175" s="1" t="s">
        <v>237</v>
      </c>
      <c r="O175" s="1">
        <v>0</v>
      </c>
      <c r="P175" s="1">
        <v>0</v>
      </c>
      <c r="Q175" s="1">
        <v>0</v>
      </c>
      <c r="R175" s="1">
        <v>0</v>
      </c>
      <c r="S175" s="1" t="s">
        <v>251</v>
      </c>
    </row>
    <row r="176" spans="1:19" ht="14.45" customHeight="1" x14ac:dyDescent="0.25">
      <c r="A176" s="6">
        <v>175</v>
      </c>
      <c r="B176" s="6">
        <v>6503401</v>
      </c>
      <c r="C176" t="s">
        <v>798</v>
      </c>
      <c r="D176" s="1">
        <v>190211</v>
      </c>
      <c r="E176" s="21">
        <v>950</v>
      </c>
      <c r="F176" s="21">
        <v>1550</v>
      </c>
      <c r="G176" s="19">
        <v>9.1999999999999993</v>
      </c>
      <c r="H176" s="6" t="s">
        <v>1954</v>
      </c>
      <c r="I176" s="6" t="s">
        <v>719</v>
      </c>
      <c r="J176" s="6" t="s">
        <v>1849</v>
      </c>
      <c r="K176" s="1">
        <v>0</v>
      </c>
      <c r="L176" s="6" t="s">
        <v>264</v>
      </c>
      <c r="M176" s="1">
        <v>2014</v>
      </c>
      <c r="N176" s="1" t="s">
        <v>237</v>
      </c>
      <c r="O176" s="1">
        <v>0</v>
      </c>
      <c r="P176" s="1">
        <v>0</v>
      </c>
      <c r="Q176" s="1">
        <v>0</v>
      </c>
      <c r="R176" s="1">
        <v>0</v>
      </c>
      <c r="S176" s="1" t="s">
        <v>235</v>
      </c>
    </row>
    <row r="177" spans="1:19" ht="14.45" customHeight="1" x14ac:dyDescent="0.25">
      <c r="A177" s="6">
        <v>176</v>
      </c>
      <c r="B177" s="6">
        <v>6503601</v>
      </c>
      <c r="C177" t="s">
        <v>799</v>
      </c>
      <c r="D177" s="1">
        <v>120810</v>
      </c>
      <c r="E177" s="21" t="s">
        <v>237</v>
      </c>
      <c r="F177" s="1">
        <v>2000</v>
      </c>
      <c r="G177" s="1" t="s">
        <v>233</v>
      </c>
      <c r="H177" s="6" t="s">
        <v>1951</v>
      </c>
      <c r="I177" s="6" t="s">
        <v>593</v>
      </c>
      <c r="J177" s="6" t="s">
        <v>1853</v>
      </c>
      <c r="K177" s="1">
        <v>0</v>
      </c>
      <c r="L177" s="6" t="s">
        <v>238</v>
      </c>
      <c r="M177" s="1">
        <v>2016</v>
      </c>
      <c r="N177" s="1" t="s">
        <v>237</v>
      </c>
      <c r="O177" s="1">
        <v>0</v>
      </c>
      <c r="P177" s="1">
        <v>0</v>
      </c>
      <c r="Q177" s="1">
        <v>0</v>
      </c>
      <c r="R177" s="1">
        <v>0</v>
      </c>
      <c r="S177" s="1" t="s">
        <v>251</v>
      </c>
    </row>
    <row r="178" spans="1:19" ht="14.45" customHeight="1" x14ac:dyDescent="0.25">
      <c r="A178" s="6">
        <v>177</v>
      </c>
      <c r="B178" s="6">
        <v>6501510</v>
      </c>
      <c r="C178" t="s">
        <v>795</v>
      </c>
      <c r="D178" s="1" t="s">
        <v>794</v>
      </c>
      <c r="E178" s="21" t="s">
        <v>237</v>
      </c>
      <c r="F178" s="1">
        <v>2300</v>
      </c>
      <c r="G178" s="1" t="s">
        <v>233</v>
      </c>
      <c r="H178" s="6" t="s">
        <v>1951</v>
      </c>
      <c r="I178" s="6" t="s">
        <v>593</v>
      </c>
      <c r="J178" s="6" t="s">
        <v>1853</v>
      </c>
      <c r="K178" s="1">
        <v>0</v>
      </c>
      <c r="L178" s="6" t="s">
        <v>238</v>
      </c>
      <c r="M178" s="1">
        <v>2016</v>
      </c>
      <c r="N178" s="1" t="s">
        <v>237</v>
      </c>
      <c r="O178" s="1">
        <v>0</v>
      </c>
      <c r="P178" s="1">
        <v>0</v>
      </c>
      <c r="Q178" s="1">
        <v>0</v>
      </c>
      <c r="R178" s="1">
        <v>0</v>
      </c>
      <c r="S178" s="1" t="s">
        <v>251</v>
      </c>
    </row>
    <row r="179" spans="1:19" ht="14.45" customHeight="1" x14ac:dyDescent="0.25">
      <c r="A179" s="6">
        <v>178</v>
      </c>
      <c r="B179" s="6">
        <v>6503604</v>
      </c>
      <c r="C179" t="s">
        <v>801</v>
      </c>
      <c r="D179" s="1">
        <v>120810</v>
      </c>
      <c r="E179" s="21" t="s">
        <v>237</v>
      </c>
      <c r="F179" s="21">
        <v>585.94876142991836</v>
      </c>
      <c r="G179" s="1" t="s">
        <v>233</v>
      </c>
      <c r="H179" s="6" t="s">
        <v>1951</v>
      </c>
      <c r="I179" s="6" t="s">
        <v>593</v>
      </c>
      <c r="J179" s="6" t="s">
        <v>1853</v>
      </c>
      <c r="K179" s="1">
        <v>0</v>
      </c>
      <c r="L179" s="6" t="s">
        <v>245</v>
      </c>
      <c r="M179" s="1">
        <v>2011</v>
      </c>
      <c r="N179" s="1" t="s">
        <v>237</v>
      </c>
      <c r="O179" s="1">
        <v>0</v>
      </c>
      <c r="P179" s="1">
        <v>0</v>
      </c>
      <c r="Q179" s="1">
        <v>0</v>
      </c>
      <c r="R179" s="1">
        <v>0</v>
      </c>
      <c r="S179" s="1" t="s">
        <v>251</v>
      </c>
    </row>
    <row r="180" spans="1:19" ht="14.45" customHeight="1" x14ac:dyDescent="0.25">
      <c r="A180" s="6">
        <v>179</v>
      </c>
      <c r="B180" s="6">
        <v>6503605</v>
      </c>
      <c r="C180" t="s">
        <v>802</v>
      </c>
      <c r="D180" s="1">
        <v>120810</v>
      </c>
      <c r="E180" s="21" t="s">
        <v>237</v>
      </c>
      <c r="F180" s="21">
        <v>3854.9260620389368</v>
      </c>
      <c r="G180" s="1" t="s">
        <v>233</v>
      </c>
      <c r="H180" s="6" t="s">
        <v>1951</v>
      </c>
      <c r="I180" s="6" t="s">
        <v>593</v>
      </c>
      <c r="J180" s="6" t="s">
        <v>1853</v>
      </c>
      <c r="K180" s="1">
        <v>0</v>
      </c>
      <c r="L180" s="6" t="s">
        <v>245</v>
      </c>
      <c r="M180" s="1">
        <v>2011</v>
      </c>
      <c r="N180" s="1" t="s">
        <v>237</v>
      </c>
      <c r="O180" s="1">
        <v>0</v>
      </c>
      <c r="P180" s="1">
        <v>0</v>
      </c>
      <c r="Q180" s="1">
        <v>0</v>
      </c>
      <c r="R180" s="1">
        <v>0</v>
      </c>
      <c r="S180" s="1" t="s">
        <v>251</v>
      </c>
    </row>
    <row r="181" spans="1:19" ht="14.45" customHeight="1" x14ac:dyDescent="0.25">
      <c r="A181" s="6">
        <v>180</v>
      </c>
      <c r="B181" s="6">
        <v>7803301</v>
      </c>
      <c r="C181" t="s">
        <v>1009</v>
      </c>
      <c r="D181" s="1" t="s">
        <v>1010</v>
      </c>
      <c r="E181" s="21">
        <v>4100</v>
      </c>
      <c r="F181" s="1" t="s">
        <v>233</v>
      </c>
      <c r="G181" s="1" t="s">
        <v>233</v>
      </c>
      <c r="H181" s="6" t="s">
        <v>1951</v>
      </c>
      <c r="I181" s="6" t="s">
        <v>603</v>
      </c>
      <c r="J181" s="6" t="s">
        <v>1853</v>
      </c>
      <c r="K181" s="1">
        <v>0</v>
      </c>
      <c r="L181" s="6" t="s">
        <v>238</v>
      </c>
      <c r="M181" s="1">
        <v>2016</v>
      </c>
      <c r="N181" s="1" t="s">
        <v>237</v>
      </c>
      <c r="O181" s="1">
        <v>0</v>
      </c>
      <c r="P181" s="1">
        <v>0</v>
      </c>
      <c r="Q181" s="1">
        <v>0</v>
      </c>
      <c r="R181" s="1">
        <v>0</v>
      </c>
      <c r="S181" s="1" t="s">
        <v>251</v>
      </c>
    </row>
    <row r="182" spans="1:19" ht="14.45" customHeight="1" x14ac:dyDescent="0.25">
      <c r="A182" s="6">
        <v>181</v>
      </c>
      <c r="B182" s="6">
        <v>6503605</v>
      </c>
      <c r="C182" t="s">
        <v>802</v>
      </c>
      <c r="D182" s="1">
        <v>120810</v>
      </c>
      <c r="E182" s="21" t="s">
        <v>237</v>
      </c>
      <c r="F182" s="21">
        <v>1053</v>
      </c>
      <c r="G182" s="1" t="s">
        <v>233</v>
      </c>
      <c r="H182" s="6" t="s">
        <v>1951</v>
      </c>
      <c r="I182" s="6" t="s">
        <v>265</v>
      </c>
      <c r="J182" s="6" t="s">
        <v>1854</v>
      </c>
      <c r="K182" s="1">
        <v>1</v>
      </c>
      <c r="L182" s="6" t="s">
        <v>240</v>
      </c>
      <c r="M182" s="1">
        <v>2012</v>
      </c>
      <c r="N182" s="1" t="s">
        <v>237</v>
      </c>
      <c r="O182" s="1">
        <v>0</v>
      </c>
      <c r="P182" s="1">
        <v>0</v>
      </c>
      <c r="Q182" s="1">
        <v>0</v>
      </c>
      <c r="R182" s="1">
        <v>0</v>
      </c>
      <c r="S182" s="1" t="s">
        <v>251</v>
      </c>
    </row>
    <row r="183" spans="1:19" ht="14.45" customHeight="1" x14ac:dyDescent="0.25">
      <c r="A183" s="6">
        <v>182</v>
      </c>
      <c r="B183" s="6">
        <v>6503605</v>
      </c>
      <c r="C183" t="s">
        <v>802</v>
      </c>
      <c r="D183" s="1">
        <v>120810</v>
      </c>
      <c r="E183" s="21">
        <v>4900</v>
      </c>
      <c r="F183" s="1" t="s">
        <v>233</v>
      </c>
      <c r="G183" s="1" t="s">
        <v>233</v>
      </c>
      <c r="H183" s="6" t="s">
        <v>1954</v>
      </c>
      <c r="I183" s="6" t="s">
        <v>429</v>
      </c>
      <c r="J183" s="6" t="s">
        <v>1849</v>
      </c>
      <c r="K183" s="1">
        <v>0</v>
      </c>
      <c r="L183" s="6" t="s">
        <v>234</v>
      </c>
      <c r="M183" s="1">
        <v>2015</v>
      </c>
      <c r="N183" s="1" t="s">
        <v>1864</v>
      </c>
      <c r="O183" s="1">
        <v>0</v>
      </c>
      <c r="P183" s="1">
        <v>0</v>
      </c>
      <c r="Q183" s="1">
        <v>0</v>
      </c>
      <c r="R183" s="1">
        <v>0</v>
      </c>
      <c r="S183" s="1" t="s">
        <v>251</v>
      </c>
    </row>
    <row r="184" spans="1:19" ht="14.45" customHeight="1" x14ac:dyDescent="0.25">
      <c r="A184" s="6">
        <v>183</v>
      </c>
      <c r="B184" s="6">
        <v>6505601</v>
      </c>
      <c r="C184" t="s">
        <v>803</v>
      </c>
      <c r="D184" s="1">
        <v>120810</v>
      </c>
      <c r="E184" s="21">
        <v>2400</v>
      </c>
      <c r="F184" s="1" t="s">
        <v>233</v>
      </c>
      <c r="G184" s="1" t="s">
        <v>233</v>
      </c>
      <c r="H184" s="6" t="s">
        <v>1951</v>
      </c>
      <c r="I184" s="6" t="s">
        <v>438</v>
      </c>
      <c r="J184" s="6" t="s">
        <v>1849</v>
      </c>
      <c r="K184" s="1">
        <v>0</v>
      </c>
      <c r="L184" s="6" t="s">
        <v>259</v>
      </c>
      <c r="M184" s="1">
        <v>2016</v>
      </c>
      <c r="N184" s="1" t="s">
        <v>237</v>
      </c>
      <c r="O184" s="1">
        <v>0</v>
      </c>
      <c r="P184" s="1">
        <v>0</v>
      </c>
      <c r="Q184" s="1">
        <v>0</v>
      </c>
      <c r="R184" s="1">
        <v>0</v>
      </c>
      <c r="S184" s="1" t="s">
        <v>251</v>
      </c>
    </row>
    <row r="185" spans="1:19" ht="14.45" customHeight="1" x14ac:dyDescent="0.25">
      <c r="A185" s="6">
        <v>184</v>
      </c>
      <c r="B185" s="6">
        <v>6506003</v>
      </c>
      <c r="C185" t="s">
        <v>804</v>
      </c>
      <c r="D185" s="1" t="s">
        <v>797</v>
      </c>
      <c r="E185" s="21">
        <v>3800</v>
      </c>
      <c r="F185" s="1" t="s">
        <v>233</v>
      </c>
      <c r="G185" s="1" t="s">
        <v>233</v>
      </c>
      <c r="H185" s="6" t="s">
        <v>1954</v>
      </c>
      <c r="I185" s="6" t="s">
        <v>313</v>
      </c>
      <c r="J185" s="6" t="s">
        <v>1849</v>
      </c>
      <c r="K185" s="1">
        <v>0</v>
      </c>
      <c r="L185" s="6" t="s">
        <v>234</v>
      </c>
      <c r="M185" s="1">
        <v>2012</v>
      </c>
      <c r="N185" s="1" t="s">
        <v>237</v>
      </c>
      <c r="O185" s="1">
        <v>0</v>
      </c>
      <c r="P185" s="1">
        <v>0</v>
      </c>
      <c r="Q185" s="1">
        <v>0</v>
      </c>
      <c r="R185" s="1">
        <v>0</v>
      </c>
      <c r="S185" s="1" t="s">
        <v>251</v>
      </c>
    </row>
    <row r="186" spans="1:19" ht="14.45" customHeight="1" x14ac:dyDescent="0.25">
      <c r="A186" s="6">
        <v>185</v>
      </c>
      <c r="B186" s="6">
        <v>6600501</v>
      </c>
      <c r="C186" t="s">
        <v>806</v>
      </c>
      <c r="D186" s="1" t="s">
        <v>807</v>
      </c>
      <c r="E186" s="21">
        <v>1760</v>
      </c>
      <c r="F186" s="1" t="s">
        <v>233</v>
      </c>
      <c r="G186" s="1" t="s">
        <v>233</v>
      </c>
      <c r="H186" s="6" t="s">
        <v>1951</v>
      </c>
      <c r="I186" s="6" t="s">
        <v>587</v>
      </c>
      <c r="J186" s="6" t="s">
        <v>1852</v>
      </c>
      <c r="K186" s="1">
        <v>0</v>
      </c>
      <c r="L186" s="6" t="s">
        <v>266</v>
      </c>
      <c r="M186" s="1">
        <v>2014</v>
      </c>
      <c r="N186" s="1" t="s">
        <v>237</v>
      </c>
      <c r="O186" s="1">
        <v>0</v>
      </c>
      <c r="P186" s="1">
        <v>0</v>
      </c>
      <c r="Q186" s="1">
        <v>0</v>
      </c>
      <c r="R186" s="1">
        <v>0</v>
      </c>
      <c r="S186" s="1" t="s">
        <v>235</v>
      </c>
    </row>
    <row r="187" spans="1:19" ht="14.45" customHeight="1" x14ac:dyDescent="0.25">
      <c r="A187" s="6">
        <v>186</v>
      </c>
      <c r="B187" s="6">
        <v>6600501</v>
      </c>
      <c r="C187" t="s">
        <v>806</v>
      </c>
      <c r="D187" s="1" t="s">
        <v>807</v>
      </c>
      <c r="E187" s="21">
        <v>2479</v>
      </c>
      <c r="F187" s="1" t="s">
        <v>233</v>
      </c>
      <c r="G187" s="1" t="s">
        <v>233</v>
      </c>
      <c r="H187" s="6" t="s">
        <v>1951</v>
      </c>
      <c r="I187" s="6" t="s">
        <v>713</v>
      </c>
      <c r="J187" s="6" t="s">
        <v>1852</v>
      </c>
      <c r="K187" s="1">
        <v>0</v>
      </c>
      <c r="L187" s="6" t="s">
        <v>238</v>
      </c>
      <c r="M187" s="1">
        <v>2012</v>
      </c>
      <c r="N187" s="1" t="s">
        <v>237</v>
      </c>
      <c r="O187" s="1">
        <v>0</v>
      </c>
      <c r="P187" s="1">
        <v>0</v>
      </c>
      <c r="Q187" s="1">
        <v>0</v>
      </c>
      <c r="R187" s="1">
        <v>0</v>
      </c>
      <c r="S187" s="1" t="s">
        <v>235</v>
      </c>
    </row>
    <row r="188" spans="1:19" ht="14.45" customHeight="1" x14ac:dyDescent="0.25">
      <c r="A188" s="6">
        <v>187</v>
      </c>
      <c r="B188" s="6">
        <v>6600501</v>
      </c>
      <c r="C188" t="s">
        <v>806</v>
      </c>
      <c r="D188" s="1" t="s">
        <v>807</v>
      </c>
      <c r="E188" s="21">
        <v>3771</v>
      </c>
      <c r="F188" s="1" t="s">
        <v>233</v>
      </c>
      <c r="G188" s="1" t="s">
        <v>233</v>
      </c>
      <c r="H188" s="6" t="s">
        <v>1951</v>
      </c>
      <c r="I188" s="6" t="s">
        <v>713</v>
      </c>
      <c r="J188" s="6" t="s">
        <v>1852</v>
      </c>
      <c r="K188" s="1">
        <v>0</v>
      </c>
      <c r="L188" s="6" t="s">
        <v>238</v>
      </c>
      <c r="M188" s="1">
        <v>2012</v>
      </c>
      <c r="N188" s="1" t="s">
        <v>1859</v>
      </c>
      <c r="O188" s="1">
        <v>0</v>
      </c>
      <c r="P188" s="1">
        <v>0</v>
      </c>
      <c r="Q188" s="1">
        <v>0</v>
      </c>
      <c r="R188" s="1">
        <v>0</v>
      </c>
      <c r="S188" s="1" t="s">
        <v>235</v>
      </c>
    </row>
    <row r="189" spans="1:19" ht="14.45" customHeight="1" x14ac:dyDescent="0.25">
      <c r="A189" s="6">
        <v>188</v>
      </c>
      <c r="B189" s="6">
        <v>6600601</v>
      </c>
      <c r="C189" t="s">
        <v>808</v>
      </c>
      <c r="D189" s="1" t="s">
        <v>809</v>
      </c>
      <c r="E189" s="21" t="s">
        <v>237</v>
      </c>
      <c r="F189" s="1" t="s">
        <v>233</v>
      </c>
      <c r="G189" s="19">
        <v>19.065420560747665</v>
      </c>
      <c r="H189" s="6" t="s">
        <v>1951</v>
      </c>
      <c r="I189" s="6" t="s">
        <v>457</v>
      </c>
      <c r="J189" s="6" t="s">
        <v>1852</v>
      </c>
      <c r="K189" s="1">
        <v>0</v>
      </c>
      <c r="L189" s="6" t="s">
        <v>236</v>
      </c>
      <c r="M189" s="1">
        <v>2013</v>
      </c>
      <c r="N189" s="1" t="s">
        <v>237</v>
      </c>
      <c r="O189" s="1">
        <v>0</v>
      </c>
      <c r="P189" s="1">
        <v>0</v>
      </c>
      <c r="Q189" s="1">
        <v>0</v>
      </c>
      <c r="R189" s="1">
        <v>0</v>
      </c>
      <c r="S189" s="1" t="s">
        <v>235</v>
      </c>
    </row>
    <row r="190" spans="1:19" ht="14.45" customHeight="1" x14ac:dyDescent="0.25">
      <c r="A190" s="6">
        <v>189</v>
      </c>
      <c r="B190" s="6">
        <v>6600801</v>
      </c>
      <c r="C190" t="s">
        <v>811</v>
      </c>
      <c r="D190" s="1" t="s">
        <v>812</v>
      </c>
      <c r="E190" s="21">
        <v>2266.6666666666665</v>
      </c>
      <c r="F190" s="1" t="s">
        <v>233</v>
      </c>
      <c r="G190" s="1" t="s">
        <v>233</v>
      </c>
      <c r="H190" s="6" t="s">
        <v>1951</v>
      </c>
      <c r="I190" s="6" t="s">
        <v>433</v>
      </c>
      <c r="J190" s="6" t="s">
        <v>1853</v>
      </c>
      <c r="K190" s="1">
        <v>0</v>
      </c>
      <c r="L190" s="6" t="s">
        <v>249</v>
      </c>
      <c r="M190" s="1">
        <v>2008</v>
      </c>
      <c r="N190" s="1" t="s">
        <v>237</v>
      </c>
      <c r="O190" s="1">
        <v>0</v>
      </c>
      <c r="P190" s="1">
        <v>0</v>
      </c>
      <c r="Q190" s="1">
        <v>0</v>
      </c>
      <c r="R190" s="1">
        <v>0</v>
      </c>
      <c r="S190" s="1" t="s">
        <v>235</v>
      </c>
    </row>
    <row r="191" spans="1:19" ht="14.45" customHeight="1" x14ac:dyDescent="0.25">
      <c r="A191" s="6">
        <v>190</v>
      </c>
      <c r="B191" s="6">
        <v>6600801</v>
      </c>
      <c r="C191" t="s">
        <v>811</v>
      </c>
      <c r="D191" s="1" t="s">
        <v>812</v>
      </c>
      <c r="E191" s="21">
        <v>1440</v>
      </c>
      <c r="F191" s="1" t="s">
        <v>233</v>
      </c>
      <c r="G191" s="1" t="s">
        <v>233</v>
      </c>
      <c r="H191" s="6" t="s">
        <v>1951</v>
      </c>
      <c r="I191" s="6" t="s">
        <v>504</v>
      </c>
      <c r="J191" s="6" t="s">
        <v>1852</v>
      </c>
      <c r="K191" s="1">
        <v>0</v>
      </c>
      <c r="L191" s="6" t="s">
        <v>245</v>
      </c>
      <c r="M191" s="1">
        <v>2014</v>
      </c>
      <c r="N191" s="1" t="s">
        <v>237</v>
      </c>
      <c r="O191" s="1">
        <v>0</v>
      </c>
      <c r="P191" s="1">
        <v>0</v>
      </c>
      <c r="Q191" s="1">
        <v>0</v>
      </c>
      <c r="R191" s="1">
        <v>0</v>
      </c>
      <c r="S191" s="1" t="s">
        <v>235</v>
      </c>
    </row>
    <row r="192" spans="1:19" ht="14.45" customHeight="1" x14ac:dyDescent="0.25">
      <c r="A192" s="6">
        <v>191</v>
      </c>
      <c r="B192" s="6">
        <v>6600801</v>
      </c>
      <c r="C192" t="s">
        <v>811</v>
      </c>
      <c r="D192" s="1" t="s">
        <v>812</v>
      </c>
      <c r="E192" s="21" t="s">
        <v>237</v>
      </c>
      <c r="F192" s="21">
        <v>33495.408300043062</v>
      </c>
      <c r="G192" s="1" t="s">
        <v>233</v>
      </c>
      <c r="H192" s="6" t="s">
        <v>1951</v>
      </c>
      <c r="I192" s="6" t="s">
        <v>593</v>
      </c>
      <c r="J192" s="6" t="s">
        <v>1853</v>
      </c>
      <c r="K192" s="1">
        <v>0</v>
      </c>
      <c r="L192" s="6" t="s">
        <v>245</v>
      </c>
      <c r="M192" s="1">
        <v>2011</v>
      </c>
      <c r="N192" s="1" t="s">
        <v>237</v>
      </c>
      <c r="O192" s="1">
        <v>0</v>
      </c>
      <c r="P192" s="1">
        <v>0</v>
      </c>
      <c r="Q192" s="1">
        <v>0</v>
      </c>
      <c r="R192" s="1">
        <v>0</v>
      </c>
      <c r="S192" s="1" t="s">
        <v>251</v>
      </c>
    </row>
    <row r="193" spans="1:19" ht="14.45" customHeight="1" x14ac:dyDescent="0.25">
      <c r="A193" s="6">
        <v>192</v>
      </c>
      <c r="B193" s="6">
        <v>6601501</v>
      </c>
      <c r="C193" t="s">
        <v>813</v>
      </c>
      <c r="D193" s="1" t="s">
        <v>814</v>
      </c>
      <c r="E193" s="21">
        <v>1800</v>
      </c>
      <c r="F193" s="1" t="s">
        <v>233</v>
      </c>
      <c r="G193" s="1" t="s">
        <v>233</v>
      </c>
      <c r="H193" s="6" t="s">
        <v>1951</v>
      </c>
      <c r="I193" s="6" t="s">
        <v>428</v>
      </c>
      <c r="J193" s="6" t="s">
        <v>1849</v>
      </c>
      <c r="K193" s="1">
        <v>0</v>
      </c>
      <c r="L193" s="6" t="s">
        <v>234</v>
      </c>
      <c r="M193" s="1">
        <v>2012</v>
      </c>
      <c r="N193" s="1" t="s">
        <v>1850</v>
      </c>
      <c r="O193" s="1">
        <v>1</v>
      </c>
      <c r="P193" s="1">
        <v>0</v>
      </c>
      <c r="Q193" s="1">
        <v>0</v>
      </c>
      <c r="R193" s="1">
        <v>0</v>
      </c>
      <c r="S193" s="1" t="s">
        <v>235</v>
      </c>
    </row>
    <row r="194" spans="1:19" ht="14.45" customHeight="1" x14ac:dyDescent="0.25">
      <c r="A194" s="6">
        <v>193</v>
      </c>
      <c r="B194" s="6">
        <v>6601501</v>
      </c>
      <c r="C194" t="s">
        <v>813</v>
      </c>
      <c r="D194" s="1" t="s">
        <v>814</v>
      </c>
      <c r="E194" s="21">
        <v>2133.3333333333335</v>
      </c>
      <c r="F194" s="1" t="s">
        <v>233</v>
      </c>
      <c r="G194" s="1" t="s">
        <v>233</v>
      </c>
      <c r="H194" s="6" t="s">
        <v>1951</v>
      </c>
      <c r="I194" s="6" t="s">
        <v>433</v>
      </c>
      <c r="J194" s="6" t="s">
        <v>1853</v>
      </c>
      <c r="K194" s="1">
        <v>0</v>
      </c>
      <c r="L194" s="6" t="s">
        <v>249</v>
      </c>
      <c r="M194" s="1">
        <v>2008</v>
      </c>
      <c r="N194" s="1" t="s">
        <v>237</v>
      </c>
      <c r="O194" s="1">
        <v>0</v>
      </c>
      <c r="P194" s="1">
        <v>0</v>
      </c>
      <c r="Q194" s="1">
        <v>0</v>
      </c>
      <c r="R194" s="1">
        <v>0</v>
      </c>
      <c r="S194" s="1" t="s">
        <v>235</v>
      </c>
    </row>
    <row r="195" spans="1:19" ht="14.45" customHeight="1" x14ac:dyDescent="0.25">
      <c r="A195" s="6">
        <v>194</v>
      </c>
      <c r="B195" s="6">
        <v>6601501</v>
      </c>
      <c r="C195" t="s">
        <v>813</v>
      </c>
      <c r="D195" s="1" t="s">
        <v>814</v>
      </c>
      <c r="E195" s="21">
        <v>950</v>
      </c>
      <c r="F195" s="1" t="s">
        <v>233</v>
      </c>
      <c r="G195" s="1" t="s">
        <v>233</v>
      </c>
      <c r="H195" s="6" t="s">
        <v>1951</v>
      </c>
      <c r="I195" s="6" t="s">
        <v>587</v>
      </c>
      <c r="J195" s="6" t="s">
        <v>1852</v>
      </c>
      <c r="K195" s="1">
        <v>0</v>
      </c>
      <c r="L195" s="6" t="s">
        <v>266</v>
      </c>
      <c r="M195" s="1">
        <v>2014</v>
      </c>
      <c r="N195" s="1" t="s">
        <v>237</v>
      </c>
      <c r="O195" s="1">
        <v>0</v>
      </c>
      <c r="P195" s="1">
        <v>0</v>
      </c>
      <c r="Q195" s="1">
        <v>0</v>
      </c>
      <c r="R195" s="1">
        <v>0</v>
      </c>
      <c r="S195" s="1" t="s">
        <v>235</v>
      </c>
    </row>
    <row r="196" spans="1:19" ht="14.45" customHeight="1" x14ac:dyDescent="0.25">
      <c r="A196" s="6">
        <v>195</v>
      </c>
      <c r="B196" s="6">
        <v>6601501</v>
      </c>
      <c r="C196" t="s">
        <v>813</v>
      </c>
      <c r="D196" s="1" t="s">
        <v>814</v>
      </c>
      <c r="E196" s="21" t="s">
        <v>237</v>
      </c>
      <c r="F196" s="21">
        <v>7510.7372115706312</v>
      </c>
      <c r="G196" s="1" t="s">
        <v>233</v>
      </c>
      <c r="H196" s="6" t="s">
        <v>1951</v>
      </c>
      <c r="I196" s="6" t="s">
        <v>593</v>
      </c>
      <c r="J196" s="6" t="s">
        <v>1853</v>
      </c>
      <c r="K196" s="1">
        <v>0</v>
      </c>
      <c r="L196" s="6" t="s">
        <v>245</v>
      </c>
      <c r="M196" s="1">
        <v>2011</v>
      </c>
      <c r="N196" s="1" t="s">
        <v>237</v>
      </c>
      <c r="O196" s="1">
        <v>0</v>
      </c>
      <c r="P196" s="1">
        <v>0</v>
      </c>
      <c r="Q196" s="1">
        <v>0</v>
      </c>
      <c r="R196" s="1">
        <v>0</v>
      </c>
      <c r="S196" s="1" t="s">
        <v>251</v>
      </c>
    </row>
    <row r="197" spans="1:19" ht="14.45" customHeight="1" x14ac:dyDescent="0.25">
      <c r="A197" s="6">
        <v>196</v>
      </c>
      <c r="B197" s="6">
        <v>6601501</v>
      </c>
      <c r="C197" t="s">
        <v>813</v>
      </c>
      <c r="D197" s="1" t="s">
        <v>814</v>
      </c>
      <c r="E197" s="21" t="s">
        <v>237</v>
      </c>
      <c r="F197" s="21">
        <v>14171.202285982323</v>
      </c>
      <c r="G197" s="1" t="s">
        <v>233</v>
      </c>
      <c r="H197" s="6" t="s">
        <v>1951</v>
      </c>
      <c r="I197" s="6" t="s">
        <v>593</v>
      </c>
      <c r="J197" s="6" t="s">
        <v>1853</v>
      </c>
      <c r="K197" s="1">
        <v>0</v>
      </c>
      <c r="L197" s="6" t="s">
        <v>245</v>
      </c>
      <c r="M197" s="1">
        <v>2011</v>
      </c>
      <c r="N197" s="1" t="s">
        <v>237</v>
      </c>
      <c r="O197" s="1">
        <v>0</v>
      </c>
      <c r="P197" s="1">
        <v>0</v>
      </c>
      <c r="Q197" s="1">
        <v>0</v>
      </c>
      <c r="R197" s="1">
        <v>0</v>
      </c>
      <c r="S197" s="1" t="s">
        <v>251</v>
      </c>
    </row>
    <row r="198" spans="1:19" ht="14.45" customHeight="1" x14ac:dyDescent="0.25">
      <c r="A198" s="6">
        <v>197</v>
      </c>
      <c r="B198" s="6">
        <v>6601501</v>
      </c>
      <c r="C198" t="s">
        <v>813</v>
      </c>
      <c r="D198" s="1" t="s">
        <v>814</v>
      </c>
      <c r="E198" s="21">
        <v>499</v>
      </c>
      <c r="F198" s="1" t="s">
        <v>233</v>
      </c>
      <c r="G198" s="1" t="s">
        <v>233</v>
      </c>
      <c r="H198" s="6" t="s">
        <v>1951</v>
      </c>
      <c r="I198" s="6" t="s">
        <v>713</v>
      </c>
      <c r="J198" s="6" t="s">
        <v>1852</v>
      </c>
      <c r="K198" s="1">
        <v>0</v>
      </c>
      <c r="L198" s="6" t="s">
        <v>238</v>
      </c>
      <c r="M198" s="1">
        <v>2012</v>
      </c>
      <c r="N198" s="1" t="s">
        <v>237</v>
      </c>
      <c r="O198" s="1">
        <v>0</v>
      </c>
      <c r="P198" s="1">
        <v>0</v>
      </c>
      <c r="Q198" s="1">
        <v>0</v>
      </c>
      <c r="R198" s="1">
        <v>0</v>
      </c>
      <c r="S198" s="1" t="s">
        <v>235</v>
      </c>
    </row>
    <row r="199" spans="1:19" ht="14.45" customHeight="1" x14ac:dyDescent="0.25">
      <c r="A199" s="6">
        <v>198</v>
      </c>
      <c r="B199" s="6">
        <v>6601501</v>
      </c>
      <c r="C199" t="s">
        <v>813</v>
      </c>
      <c r="D199" s="1" t="s">
        <v>814</v>
      </c>
      <c r="E199" s="21">
        <v>2942</v>
      </c>
      <c r="F199" s="1" t="s">
        <v>233</v>
      </c>
      <c r="G199" s="1" t="s">
        <v>233</v>
      </c>
      <c r="H199" s="6" t="s">
        <v>1951</v>
      </c>
      <c r="I199" s="6" t="s">
        <v>713</v>
      </c>
      <c r="J199" s="6" t="s">
        <v>1852</v>
      </c>
      <c r="K199" s="1">
        <v>0</v>
      </c>
      <c r="L199" s="6" t="s">
        <v>238</v>
      </c>
      <c r="M199" s="1">
        <v>2012</v>
      </c>
      <c r="N199" s="1" t="s">
        <v>1859</v>
      </c>
      <c r="O199" s="1">
        <v>0</v>
      </c>
      <c r="P199" s="1">
        <v>0</v>
      </c>
      <c r="Q199" s="1">
        <v>0</v>
      </c>
      <c r="R199" s="1">
        <v>0</v>
      </c>
      <c r="S199" s="1" t="s">
        <v>235</v>
      </c>
    </row>
    <row r="200" spans="1:19" ht="14.45" customHeight="1" x14ac:dyDescent="0.25">
      <c r="A200" s="6">
        <v>199</v>
      </c>
      <c r="B200" s="6">
        <v>6602201</v>
      </c>
      <c r="C200" t="s">
        <v>815</v>
      </c>
      <c r="D200" s="1" t="s">
        <v>816</v>
      </c>
      <c r="E200" s="21">
        <v>3830</v>
      </c>
      <c r="F200" s="1" t="s">
        <v>233</v>
      </c>
      <c r="G200" s="1" t="s">
        <v>233</v>
      </c>
      <c r="H200" s="6" t="s">
        <v>1951</v>
      </c>
      <c r="I200" s="6" t="s">
        <v>587</v>
      </c>
      <c r="J200" s="6" t="s">
        <v>1852</v>
      </c>
      <c r="K200" s="1">
        <v>0</v>
      </c>
      <c r="L200" s="6" t="s">
        <v>266</v>
      </c>
      <c r="M200" s="1">
        <v>2014</v>
      </c>
      <c r="N200" s="1" t="s">
        <v>237</v>
      </c>
      <c r="O200" s="1">
        <v>0</v>
      </c>
      <c r="P200" s="1">
        <v>0</v>
      </c>
      <c r="Q200" s="1">
        <v>0</v>
      </c>
      <c r="R200" s="1">
        <v>0</v>
      </c>
      <c r="S200" s="1" t="s">
        <v>235</v>
      </c>
    </row>
    <row r="201" spans="1:19" ht="14.45" customHeight="1" x14ac:dyDescent="0.25">
      <c r="A201" s="6">
        <v>200</v>
      </c>
      <c r="B201" s="6">
        <v>6602401</v>
      </c>
      <c r="C201" t="s">
        <v>817</v>
      </c>
      <c r="D201" s="1" t="s">
        <v>818</v>
      </c>
      <c r="E201" s="21" t="s">
        <v>237</v>
      </c>
      <c r="F201" s="21">
        <v>1239.6019494991156</v>
      </c>
      <c r="G201" s="1" t="s">
        <v>233</v>
      </c>
      <c r="H201" s="6" t="s">
        <v>1951</v>
      </c>
      <c r="I201" s="6" t="s">
        <v>593</v>
      </c>
      <c r="J201" s="6" t="s">
        <v>1853</v>
      </c>
      <c r="K201" s="1">
        <v>0</v>
      </c>
      <c r="L201" s="6" t="s">
        <v>245</v>
      </c>
      <c r="M201" s="1">
        <v>2011</v>
      </c>
      <c r="N201" s="1" t="s">
        <v>237</v>
      </c>
      <c r="O201" s="1">
        <v>0</v>
      </c>
      <c r="P201" s="1">
        <v>0</v>
      </c>
      <c r="Q201" s="1">
        <v>0</v>
      </c>
      <c r="R201" s="1">
        <v>0</v>
      </c>
      <c r="S201" s="1" t="s">
        <v>251</v>
      </c>
    </row>
    <row r="202" spans="1:19" ht="14.45" customHeight="1" x14ac:dyDescent="0.25">
      <c r="A202" s="6">
        <v>201</v>
      </c>
      <c r="B202" s="6">
        <v>6602401</v>
      </c>
      <c r="C202" t="s">
        <v>817</v>
      </c>
      <c r="D202" s="1" t="s">
        <v>818</v>
      </c>
      <c r="E202" s="21" t="s">
        <v>237</v>
      </c>
      <c r="F202" s="21">
        <v>965.58737967566265</v>
      </c>
      <c r="G202" s="1" t="s">
        <v>233</v>
      </c>
      <c r="H202" s="6" t="s">
        <v>1951</v>
      </c>
      <c r="I202" s="6" t="s">
        <v>593</v>
      </c>
      <c r="J202" s="6" t="s">
        <v>1853</v>
      </c>
      <c r="K202" s="1">
        <v>0</v>
      </c>
      <c r="L202" s="6" t="s">
        <v>245</v>
      </c>
      <c r="M202" s="1">
        <v>2011</v>
      </c>
      <c r="N202" s="1" t="s">
        <v>237</v>
      </c>
      <c r="O202" s="1">
        <v>0</v>
      </c>
      <c r="P202" s="1">
        <v>0</v>
      </c>
      <c r="Q202" s="1">
        <v>0</v>
      </c>
      <c r="R202" s="1">
        <v>0</v>
      </c>
      <c r="S202" s="1" t="s">
        <v>251</v>
      </c>
    </row>
    <row r="203" spans="1:19" ht="14.45" customHeight="1" x14ac:dyDescent="0.25">
      <c r="A203" s="6">
        <v>202</v>
      </c>
      <c r="B203" s="6">
        <v>6602401</v>
      </c>
      <c r="C203" t="s">
        <v>817</v>
      </c>
      <c r="D203" s="1" t="s">
        <v>818</v>
      </c>
      <c r="E203" s="21" t="s">
        <v>237</v>
      </c>
      <c r="F203" s="21">
        <v>579.3524278053975</v>
      </c>
      <c r="G203" s="1" t="s">
        <v>233</v>
      </c>
      <c r="H203" s="6" t="s">
        <v>1951</v>
      </c>
      <c r="I203" s="6" t="s">
        <v>593</v>
      </c>
      <c r="J203" s="6" t="s">
        <v>1853</v>
      </c>
      <c r="K203" s="1">
        <v>0</v>
      </c>
      <c r="L203" s="6" t="s">
        <v>245</v>
      </c>
      <c r="M203" s="1">
        <v>2011</v>
      </c>
      <c r="N203" s="1" t="s">
        <v>237</v>
      </c>
      <c r="O203" s="1">
        <v>0</v>
      </c>
      <c r="P203" s="1">
        <v>0</v>
      </c>
      <c r="Q203" s="1">
        <v>0</v>
      </c>
      <c r="R203" s="1">
        <v>0</v>
      </c>
      <c r="S203" s="1" t="s">
        <v>251</v>
      </c>
    </row>
    <row r="204" spans="1:19" ht="14.45" customHeight="1" x14ac:dyDescent="0.25">
      <c r="A204" s="6">
        <v>203</v>
      </c>
      <c r="B204" s="6">
        <v>6700101</v>
      </c>
      <c r="C204" t="s">
        <v>819</v>
      </c>
      <c r="D204" s="1" t="s">
        <v>820</v>
      </c>
      <c r="E204" s="21">
        <v>130</v>
      </c>
      <c r="F204" s="1" t="s">
        <v>233</v>
      </c>
      <c r="G204" s="1" t="s">
        <v>233</v>
      </c>
      <c r="H204" s="6" t="s">
        <v>1951</v>
      </c>
      <c r="I204" s="6" t="s">
        <v>515</v>
      </c>
      <c r="J204" s="6" t="s">
        <v>1853</v>
      </c>
      <c r="K204" s="1">
        <v>0</v>
      </c>
      <c r="L204" s="6" t="s">
        <v>239</v>
      </c>
      <c r="M204" s="1">
        <v>2011</v>
      </c>
      <c r="N204" s="1" t="s">
        <v>237</v>
      </c>
      <c r="O204" s="1">
        <v>0</v>
      </c>
      <c r="P204" s="1" t="s">
        <v>1952</v>
      </c>
      <c r="Q204" s="1">
        <v>0</v>
      </c>
      <c r="R204" s="1">
        <v>0</v>
      </c>
      <c r="S204" s="1" t="s">
        <v>235</v>
      </c>
    </row>
    <row r="205" spans="1:19" ht="14.45" customHeight="1" x14ac:dyDescent="0.25">
      <c r="A205" s="6">
        <v>204</v>
      </c>
      <c r="B205" s="6">
        <v>6700101</v>
      </c>
      <c r="C205" t="s">
        <v>819</v>
      </c>
      <c r="D205" s="1" t="s">
        <v>820</v>
      </c>
      <c r="E205" s="21">
        <v>140</v>
      </c>
      <c r="F205" s="1" t="s">
        <v>233</v>
      </c>
      <c r="G205" s="1" t="s">
        <v>233</v>
      </c>
      <c r="H205" s="6" t="s">
        <v>1951</v>
      </c>
      <c r="I205" s="6" t="s">
        <v>515</v>
      </c>
      <c r="J205" s="6" t="s">
        <v>1853</v>
      </c>
      <c r="K205" s="1">
        <v>0</v>
      </c>
      <c r="L205" s="6" t="s">
        <v>267</v>
      </c>
      <c r="M205" s="1">
        <v>2011</v>
      </c>
      <c r="N205" s="1" t="s">
        <v>237</v>
      </c>
      <c r="O205" s="1">
        <v>0</v>
      </c>
      <c r="P205" s="1">
        <v>0</v>
      </c>
      <c r="Q205" s="1">
        <v>0</v>
      </c>
      <c r="R205" s="1">
        <v>0</v>
      </c>
      <c r="S205" s="1" t="s">
        <v>235</v>
      </c>
    </row>
    <row r="206" spans="1:19" ht="14.45" customHeight="1" x14ac:dyDescent="0.25">
      <c r="A206" s="6">
        <v>205</v>
      </c>
      <c r="B206" s="6">
        <v>6700101</v>
      </c>
      <c r="C206" t="s">
        <v>819</v>
      </c>
      <c r="D206" s="1" t="s">
        <v>820</v>
      </c>
      <c r="E206" s="21">
        <v>320</v>
      </c>
      <c r="F206" s="1" t="s">
        <v>233</v>
      </c>
      <c r="G206" s="1" t="s">
        <v>233</v>
      </c>
      <c r="H206" s="6" t="s">
        <v>1951</v>
      </c>
      <c r="I206" s="6" t="s">
        <v>515</v>
      </c>
      <c r="J206" s="6" t="s">
        <v>1853</v>
      </c>
      <c r="K206" s="1">
        <v>0</v>
      </c>
      <c r="L206" s="6" t="s">
        <v>238</v>
      </c>
      <c r="M206" s="1">
        <v>2011</v>
      </c>
      <c r="N206" s="1" t="s">
        <v>237</v>
      </c>
      <c r="O206" s="1">
        <v>0</v>
      </c>
      <c r="P206" s="1">
        <v>0</v>
      </c>
      <c r="Q206" s="1">
        <v>0</v>
      </c>
      <c r="R206" s="1">
        <v>0</v>
      </c>
      <c r="S206" s="1" t="s">
        <v>235</v>
      </c>
    </row>
    <row r="207" spans="1:19" ht="14.45" customHeight="1" x14ac:dyDescent="0.25">
      <c r="A207" s="6">
        <v>206</v>
      </c>
      <c r="B207" s="6">
        <v>6700101</v>
      </c>
      <c r="C207" t="s">
        <v>819</v>
      </c>
      <c r="D207" s="1" t="s">
        <v>820</v>
      </c>
      <c r="E207" s="21">
        <v>216.67</v>
      </c>
      <c r="F207" s="1" t="s">
        <v>233</v>
      </c>
      <c r="G207" s="1" t="s">
        <v>233</v>
      </c>
      <c r="H207" s="6" t="s">
        <v>1951</v>
      </c>
      <c r="I207" s="6" t="s">
        <v>533</v>
      </c>
      <c r="J207" s="6" t="s">
        <v>1849</v>
      </c>
      <c r="K207" s="1">
        <v>0</v>
      </c>
      <c r="L207" s="6" t="s">
        <v>268</v>
      </c>
      <c r="M207" s="1">
        <v>2012</v>
      </c>
      <c r="N207" s="1" t="s">
        <v>237</v>
      </c>
      <c r="O207" s="1">
        <v>0</v>
      </c>
      <c r="P207" s="1">
        <v>0</v>
      </c>
      <c r="Q207" s="1">
        <v>0</v>
      </c>
      <c r="R207" s="1">
        <v>0</v>
      </c>
      <c r="S207" s="1" t="s">
        <v>235</v>
      </c>
    </row>
    <row r="208" spans="1:19" ht="14.45" customHeight="1" x14ac:dyDescent="0.25">
      <c r="A208" s="6">
        <v>207</v>
      </c>
      <c r="B208" s="6">
        <v>6700101</v>
      </c>
      <c r="C208" t="s">
        <v>819</v>
      </c>
      <c r="D208" s="1" t="s">
        <v>820</v>
      </c>
      <c r="E208" s="21">
        <v>330</v>
      </c>
      <c r="F208" s="1" t="s">
        <v>233</v>
      </c>
      <c r="G208" s="1" t="s">
        <v>233</v>
      </c>
      <c r="H208" s="6" t="s">
        <v>1951</v>
      </c>
      <c r="I208" s="6" t="s">
        <v>541</v>
      </c>
      <c r="J208" s="6" t="s">
        <v>1849</v>
      </c>
      <c r="K208" s="1">
        <v>0</v>
      </c>
      <c r="L208" s="6" t="s">
        <v>234</v>
      </c>
      <c r="M208" s="1">
        <v>2009</v>
      </c>
      <c r="N208" s="1" t="s">
        <v>1865</v>
      </c>
      <c r="O208" s="1">
        <v>0</v>
      </c>
      <c r="P208" s="1">
        <v>0</v>
      </c>
      <c r="Q208" s="1">
        <v>0</v>
      </c>
      <c r="R208" s="1">
        <v>0</v>
      </c>
      <c r="S208" s="1" t="s">
        <v>235</v>
      </c>
    </row>
    <row r="209" spans="1:19" ht="14.45" customHeight="1" x14ac:dyDescent="0.25">
      <c r="A209" s="6">
        <v>208</v>
      </c>
      <c r="B209" s="6">
        <v>6700101</v>
      </c>
      <c r="C209" t="s">
        <v>819</v>
      </c>
      <c r="D209" s="1" t="s">
        <v>820</v>
      </c>
      <c r="E209" s="21">
        <v>450</v>
      </c>
      <c r="F209" s="1" t="s">
        <v>233</v>
      </c>
      <c r="G209" s="1" t="s">
        <v>233</v>
      </c>
      <c r="H209" s="6" t="s">
        <v>1951</v>
      </c>
      <c r="I209" s="6" t="s">
        <v>541</v>
      </c>
      <c r="J209" s="6" t="s">
        <v>1849</v>
      </c>
      <c r="K209" s="1">
        <v>0</v>
      </c>
      <c r="L209" s="6" t="s">
        <v>258</v>
      </c>
      <c r="M209" s="1">
        <v>2009</v>
      </c>
      <c r="N209" s="1" t="s">
        <v>1865</v>
      </c>
      <c r="O209" s="1">
        <v>0</v>
      </c>
      <c r="P209" s="1">
        <v>0</v>
      </c>
      <c r="Q209" s="1">
        <v>0</v>
      </c>
      <c r="R209" s="1">
        <v>0</v>
      </c>
      <c r="S209" s="1" t="s">
        <v>235</v>
      </c>
    </row>
    <row r="210" spans="1:19" ht="14.45" customHeight="1" x14ac:dyDescent="0.25">
      <c r="A210" s="6">
        <v>209</v>
      </c>
      <c r="B210" s="6">
        <v>6700101</v>
      </c>
      <c r="C210" t="s">
        <v>819</v>
      </c>
      <c r="D210" s="1" t="s">
        <v>820</v>
      </c>
      <c r="E210" s="21">
        <v>2620</v>
      </c>
      <c r="F210" s="1" t="s">
        <v>233</v>
      </c>
      <c r="G210" s="1" t="s">
        <v>233</v>
      </c>
      <c r="H210" s="6" t="s">
        <v>1951</v>
      </c>
      <c r="I210" s="6" t="s">
        <v>541</v>
      </c>
      <c r="J210" s="6" t="s">
        <v>1849</v>
      </c>
      <c r="K210" s="1">
        <v>0</v>
      </c>
      <c r="L210" s="6" t="s">
        <v>234</v>
      </c>
      <c r="M210" s="1">
        <v>2009</v>
      </c>
      <c r="N210" s="1" t="s">
        <v>1850</v>
      </c>
      <c r="O210" s="1">
        <v>1</v>
      </c>
      <c r="P210" s="1">
        <v>0</v>
      </c>
      <c r="Q210" s="1">
        <v>0</v>
      </c>
      <c r="R210" s="1">
        <v>0</v>
      </c>
      <c r="S210" s="1" t="s">
        <v>235</v>
      </c>
    </row>
    <row r="211" spans="1:19" ht="14.45" customHeight="1" x14ac:dyDescent="0.25">
      <c r="A211" s="6">
        <v>210</v>
      </c>
      <c r="B211" s="6">
        <v>6700101</v>
      </c>
      <c r="C211" t="s">
        <v>819</v>
      </c>
      <c r="D211" s="1" t="s">
        <v>820</v>
      </c>
      <c r="E211" s="21">
        <v>4507</v>
      </c>
      <c r="F211" s="1" t="s">
        <v>233</v>
      </c>
      <c r="G211" s="1" t="s">
        <v>233</v>
      </c>
      <c r="H211" s="6" t="s">
        <v>1951</v>
      </c>
      <c r="I211" s="6" t="s">
        <v>821</v>
      </c>
      <c r="J211" s="6" t="s">
        <v>1849</v>
      </c>
      <c r="K211" s="1">
        <v>0</v>
      </c>
      <c r="L211" s="6" t="s">
        <v>247</v>
      </c>
      <c r="M211" s="1">
        <v>2010</v>
      </c>
      <c r="N211" s="1" t="s">
        <v>1850</v>
      </c>
      <c r="O211" s="1">
        <v>1</v>
      </c>
      <c r="P211" s="1">
        <v>0</v>
      </c>
      <c r="Q211" s="1">
        <v>0</v>
      </c>
      <c r="R211" s="1">
        <v>0</v>
      </c>
      <c r="S211" s="1" t="s">
        <v>235</v>
      </c>
    </row>
    <row r="212" spans="1:19" ht="14.45" customHeight="1" x14ac:dyDescent="0.25">
      <c r="A212" s="6">
        <v>211</v>
      </c>
      <c r="B212" s="6">
        <v>6700101</v>
      </c>
      <c r="C212" t="s">
        <v>819</v>
      </c>
      <c r="D212" s="1" t="s">
        <v>820</v>
      </c>
      <c r="E212" s="21">
        <v>370.1</v>
      </c>
      <c r="F212" s="1" t="s">
        <v>233</v>
      </c>
      <c r="G212" s="1" t="s">
        <v>233</v>
      </c>
      <c r="H212" s="6" t="s">
        <v>1951</v>
      </c>
      <c r="I212" s="6" t="s">
        <v>599</v>
      </c>
      <c r="J212" s="6" t="s">
        <v>1852</v>
      </c>
      <c r="K212" s="1">
        <v>0</v>
      </c>
      <c r="L212" s="6" t="s">
        <v>234</v>
      </c>
      <c r="M212" s="1">
        <v>2008</v>
      </c>
      <c r="N212" s="1" t="s">
        <v>237</v>
      </c>
      <c r="O212" s="1">
        <v>0</v>
      </c>
      <c r="P212" s="1">
        <v>0</v>
      </c>
      <c r="Q212" s="1">
        <v>0</v>
      </c>
      <c r="R212" s="1">
        <v>0</v>
      </c>
      <c r="S212" s="1" t="s">
        <v>235</v>
      </c>
    </row>
    <row r="213" spans="1:19" ht="14.45" customHeight="1" x14ac:dyDescent="0.25">
      <c r="A213" s="6">
        <v>212</v>
      </c>
      <c r="B213" s="6">
        <v>6700101</v>
      </c>
      <c r="C213" t="s">
        <v>819</v>
      </c>
      <c r="D213" s="1" t="s">
        <v>820</v>
      </c>
      <c r="E213" s="21">
        <v>192</v>
      </c>
      <c r="F213" s="1" t="s">
        <v>233</v>
      </c>
      <c r="G213" s="1" t="s">
        <v>233</v>
      </c>
      <c r="H213" s="6" t="s">
        <v>1951</v>
      </c>
      <c r="I213" s="6" t="s">
        <v>713</v>
      </c>
      <c r="J213" s="6" t="s">
        <v>1852</v>
      </c>
      <c r="K213" s="1">
        <v>0</v>
      </c>
      <c r="L213" s="6" t="s">
        <v>238</v>
      </c>
      <c r="M213" s="1">
        <v>2012</v>
      </c>
      <c r="N213" s="1" t="s">
        <v>237</v>
      </c>
      <c r="O213" s="1">
        <v>0</v>
      </c>
      <c r="P213" s="1">
        <v>0</v>
      </c>
      <c r="Q213" s="1">
        <v>0</v>
      </c>
      <c r="R213" s="1">
        <v>0</v>
      </c>
      <c r="S213" s="1" t="s">
        <v>235</v>
      </c>
    </row>
    <row r="214" spans="1:19" ht="14.45" customHeight="1" x14ac:dyDescent="0.25">
      <c r="A214" s="6">
        <v>213</v>
      </c>
      <c r="B214" s="6">
        <v>6700101</v>
      </c>
      <c r="C214" t="s">
        <v>819</v>
      </c>
      <c r="D214" s="1" t="s">
        <v>820</v>
      </c>
      <c r="E214" s="21">
        <v>268</v>
      </c>
      <c r="F214" s="1" t="s">
        <v>233</v>
      </c>
      <c r="G214" s="1" t="s">
        <v>233</v>
      </c>
      <c r="H214" s="6" t="s">
        <v>1951</v>
      </c>
      <c r="I214" s="6" t="s">
        <v>713</v>
      </c>
      <c r="J214" s="6" t="s">
        <v>1852</v>
      </c>
      <c r="K214" s="1">
        <v>0</v>
      </c>
      <c r="L214" s="6" t="s">
        <v>238</v>
      </c>
      <c r="M214" s="1">
        <v>2012</v>
      </c>
      <c r="N214" s="1" t="s">
        <v>1859</v>
      </c>
      <c r="O214" s="1">
        <v>0</v>
      </c>
      <c r="P214" s="1">
        <v>0</v>
      </c>
      <c r="Q214" s="1">
        <v>0</v>
      </c>
      <c r="R214" s="1">
        <v>0</v>
      </c>
      <c r="S214" s="1" t="s">
        <v>235</v>
      </c>
    </row>
    <row r="215" spans="1:19" ht="14.45" customHeight="1" x14ac:dyDescent="0.25">
      <c r="A215" s="6">
        <v>214</v>
      </c>
      <c r="B215" s="6">
        <v>6700101</v>
      </c>
      <c r="C215" t="s">
        <v>819</v>
      </c>
      <c r="D215" s="1" t="s">
        <v>820</v>
      </c>
      <c r="E215" s="21" t="s">
        <v>237</v>
      </c>
      <c r="F215" s="1" t="s">
        <v>233</v>
      </c>
      <c r="G215" s="19">
        <v>1</v>
      </c>
      <c r="H215" s="6" t="s">
        <v>1951</v>
      </c>
      <c r="I215" s="6" t="s">
        <v>720</v>
      </c>
      <c r="J215" s="6" t="s">
        <v>1849</v>
      </c>
      <c r="K215" s="1">
        <v>0</v>
      </c>
      <c r="L215" s="6" t="s">
        <v>255</v>
      </c>
      <c r="M215" s="1">
        <v>2006</v>
      </c>
      <c r="N215" s="1" t="s">
        <v>237</v>
      </c>
      <c r="O215" s="1">
        <v>0</v>
      </c>
      <c r="P215" s="1">
        <v>0</v>
      </c>
      <c r="Q215" s="1">
        <v>0</v>
      </c>
      <c r="R215" s="1">
        <v>0</v>
      </c>
      <c r="S215" s="1" t="s">
        <v>235</v>
      </c>
    </row>
    <row r="216" spans="1:19" ht="14.45" customHeight="1" x14ac:dyDescent="0.25">
      <c r="A216" s="6">
        <v>215</v>
      </c>
      <c r="B216" s="6">
        <v>6700101</v>
      </c>
      <c r="C216" t="s">
        <v>819</v>
      </c>
      <c r="D216" s="1" t="s">
        <v>820</v>
      </c>
      <c r="E216" s="21">
        <v>550</v>
      </c>
      <c r="F216" s="1" t="s">
        <v>233</v>
      </c>
      <c r="G216" s="1" t="s">
        <v>233</v>
      </c>
      <c r="H216" s="6" t="s">
        <v>1951</v>
      </c>
      <c r="I216" s="6" t="s">
        <v>766</v>
      </c>
      <c r="J216" s="6" t="s">
        <v>1854</v>
      </c>
      <c r="K216" s="1">
        <v>1</v>
      </c>
      <c r="L216" s="6" t="s">
        <v>242</v>
      </c>
      <c r="M216" s="1">
        <v>2008</v>
      </c>
      <c r="N216" s="1" t="s">
        <v>237</v>
      </c>
      <c r="O216" s="1">
        <v>0</v>
      </c>
      <c r="P216" s="1">
        <v>0</v>
      </c>
      <c r="Q216" s="1">
        <v>0</v>
      </c>
      <c r="R216" s="1">
        <v>0</v>
      </c>
      <c r="S216" s="1" t="s">
        <v>235</v>
      </c>
    </row>
    <row r="217" spans="1:19" ht="14.45" customHeight="1" x14ac:dyDescent="0.25">
      <c r="A217" s="6">
        <v>216</v>
      </c>
      <c r="B217" s="6">
        <v>6700601</v>
      </c>
      <c r="C217" t="s">
        <v>822</v>
      </c>
      <c r="D217" s="1" t="s">
        <v>823</v>
      </c>
      <c r="E217" s="21">
        <v>277.5</v>
      </c>
      <c r="F217" s="1" t="s">
        <v>233</v>
      </c>
      <c r="G217" s="1" t="s">
        <v>233</v>
      </c>
      <c r="H217" s="6" t="s">
        <v>1951</v>
      </c>
      <c r="I217" s="6" t="s">
        <v>435</v>
      </c>
      <c r="J217" s="6" t="s">
        <v>1853</v>
      </c>
      <c r="K217" s="1">
        <v>0</v>
      </c>
      <c r="L217" s="6" t="s">
        <v>249</v>
      </c>
      <c r="M217" s="1">
        <v>2010</v>
      </c>
      <c r="N217" s="1" t="s">
        <v>237</v>
      </c>
      <c r="O217" s="1">
        <v>0</v>
      </c>
      <c r="P217" s="1">
        <v>0</v>
      </c>
      <c r="Q217" s="1">
        <v>0</v>
      </c>
      <c r="R217" s="1">
        <v>0</v>
      </c>
      <c r="S217" s="1" t="s">
        <v>235</v>
      </c>
    </row>
    <row r="218" spans="1:19" ht="14.45" customHeight="1" x14ac:dyDescent="0.25">
      <c r="A218" s="6">
        <v>217</v>
      </c>
      <c r="B218" s="6">
        <v>6700601</v>
      </c>
      <c r="C218" t="s">
        <v>822</v>
      </c>
      <c r="D218" s="1" t="s">
        <v>823</v>
      </c>
      <c r="E218" s="21">
        <v>337.5</v>
      </c>
      <c r="F218" s="1" t="s">
        <v>233</v>
      </c>
      <c r="G218" s="1" t="s">
        <v>233</v>
      </c>
      <c r="H218" s="6" t="s">
        <v>1951</v>
      </c>
      <c r="I218" s="6" t="s">
        <v>435</v>
      </c>
      <c r="J218" s="6" t="s">
        <v>1853</v>
      </c>
      <c r="K218" s="1">
        <v>0</v>
      </c>
      <c r="L218" s="6" t="s">
        <v>249</v>
      </c>
      <c r="M218" s="1">
        <v>2010</v>
      </c>
      <c r="N218" s="1" t="s">
        <v>1859</v>
      </c>
      <c r="O218" s="1">
        <v>0</v>
      </c>
      <c r="P218" s="1">
        <v>0</v>
      </c>
      <c r="Q218" s="1">
        <v>0</v>
      </c>
      <c r="R218" s="1">
        <v>0</v>
      </c>
      <c r="S218" s="1" t="s">
        <v>235</v>
      </c>
    </row>
    <row r="219" spans="1:19" ht="14.45" customHeight="1" x14ac:dyDescent="0.25">
      <c r="A219" s="6">
        <v>218</v>
      </c>
      <c r="B219" s="6">
        <v>6700601</v>
      </c>
      <c r="C219" t="s">
        <v>822</v>
      </c>
      <c r="D219" s="1" t="s">
        <v>823</v>
      </c>
      <c r="E219" s="21">
        <v>132</v>
      </c>
      <c r="F219" s="1" t="s">
        <v>233</v>
      </c>
      <c r="G219" s="1" t="s">
        <v>233</v>
      </c>
      <c r="H219" s="6" t="s">
        <v>1951</v>
      </c>
      <c r="I219" s="6" t="s">
        <v>737</v>
      </c>
      <c r="J219" s="6" t="s">
        <v>1854</v>
      </c>
      <c r="K219" s="1">
        <v>1</v>
      </c>
      <c r="L219" s="6" t="s">
        <v>246</v>
      </c>
      <c r="M219" s="1">
        <v>2010</v>
      </c>
      <c r="N219" s="1" t="s">
        <v>237</v>
      </c>
      <c r="O219" s="1">
        <v>0</v>
      </c>
      <c r="P219" s="1">
        <v>0</v>
      </c>
      <c r="Q219" s="1">
        <v>0</v>
      </c>
      <c r="R219" s="1">
        <v>0</v>
      </c>
      <c r="S219" s="1" t="s">
        <v>235</v>
      </c>
    </row>
    <row r="220" spans="1:19" ht="14.45" customHeight="1" x14ac:dyDescent="0.25">
      <c r="A220" s="6">
        <v>219</v>
      </c>
      <c r="B220" s="6">
        <v>6700601</v>
      </c>
      <c r="C220" t="s">
        <v>822</v>
      </c>
      <c r="D220" s="1" t="s">
        <v>823</v>
      </c>
      <c r="E220" s="21" t="s">
        <v>237</v>
      </c>
      <c r="F220" s="1" t="s">
        <v>233</v>
      </c>
      <c r="G220" s="19">
        <v>1.2</v>
      </c>
      <c r="H220" s="6" t="s">
        <v>1951</v>
      </c>
      <c r="I220" s="6" t="s">
        <v>720</v>
      </c>
      <c r="J220" s="6" t="s">
        <v>1849</v>
      </c>
      <c r="K220" s="1">
        <v>0</v>
      </c>
      <c r="L220" s="6" t="s">
        <v>255</v>
      </c>
      <c r="M220" s="1">
        <v>2006</v>
      </c>
      <c r="N220" s="1" t="s">
        <v>237</v>
      </c>
      <c r="O220" s="1">
        <v>0</v>
      </c>
      <c r="P220" s="1">
        <v>0</v>
      </c>
      <c r="Q220" s="1">
        <v>0</v>
      </c>
      <c r="R220" s="1">
        <v>0</v>
      </c>
      <c r="S220" s="1" t="s">
        <v>235</v>
      </c>
    </row>
    <row r="221" spans="1:19" ht="14.45" customHeight="1" x14ac:dyDescent="0.25">
      <c r="A221" s="6">
        <v>220</v>
      </c>
      <c r="B221" s="6">
        <v>6700701</v>
      </c>
      <c r="C221" t="s">
        <v>824</v>
      </c>
      <c r="D221" s="1" t="s">
        <v>825</v>
      </c>
      <c r="E221" s="21">
        <v>198</v>
      </c>
      <c r="F221" s="1" t="s">
        <v>233</v>
      </c>
      <c r="G221" s="1" t="s">
        <v>233</v>
      </c>
      <c r="H221" s="6" t="s">
        <v>1951</v>
      </c>
      <c r="I221" s="6" t="s">
        <v>562</v>
      </c>
      <c r="J221" s="6" t="s">
        <v>1852</v>
      </c>
      <c r="K221" s="1">
        <v>0</v>
      </c>
      <c r="L221" s="6" t="s">
        <v>249</v>
      </c>
      <c r="M221" s="1">
        <v>1999</v>
      </c>
      <c r="N221" s="1" t="s">
        <v>237</v>
      </c>
      <c r="O221" s="1">
        <v>0</v>
      </c>
      <c r="P221" s="1">
        <v>0</v>
      </c>
      <c r="Q221" s="1">
        <v>0</v>
      </c>
      <c r="R221" s="1">
        <v>0</v>
      </c>
      <c r="S221" s="1" t="s">
        <v>235</v>
      </c>
    </row>
    <row r="222" spans="1:19" ht="14.45" customHeight="1" x14ac:dyDescent="0.25">
      <c r="A222" s="6">
        <v>221</v>
      </c>
      <c r="B222" s="6">
        <v>6700701</v>
      </c>
      <c r="C222" t="s">
        <v>824</v>
      </c>
      <c r="D222" s="1" t="s">
        <v>825</v>
      </c>
      <c r="E222" s="21" t="s">
        <v>237</v>
      </c>
      <c r="F222" s="1" t="s">
        <v>233</v>
      </c>
      <c r="G222" s="19">
        <v>1.4</v>
      </c>
      <c r="H222" s="6" t="s">
        <v>1951</v>
      </c>
      <c r="I222" s="6" t="s">
        <v>720</v>
      </c>
      <c r="J222" s="6" t="s">
        <v>1849</v>
      </c>
      <c r="K222" s="1">
        <v>0</v>
      </c>
      <c r="L222" s="6" t="s">
        <v>255</v>
      </c>
      <c r="M222" s="1">
        <v>2006</v>
      </c>
      <c r="N222" s="1" t="s">
        <v>237</v>
      </c>
      <c r="O222" s="1">
        <v>0</v>
      </c>
      <c r="P222" s="1">
        <v>0</v>
      </c>
      <c r="Q222" s="1">
        <v>0</v>
      </c>
      <c r="R222" s="1">
        <v>0</v>
      </c>
      <c r="S222" s="1" t="s">
        <v>235</v>
      </c>
    </row>
    <row r="223" spans="1:19" ht="14.45" customHeight="1" x14ac:dyDescent="0.25">
      <c r="A223" s="6">
        <v>222</v>
      </c>
      <c r="B223" s="6">
        <v>6700701</v>
      </c>
      <c r="C223" t="s">
        <v>824</v>
      </c>
      <c r="D223" s="1" t="s">
        <v>825</v>
      </c>
      <c r="E223" s="21">
        <v>880</v>
      </c>
      <c r="F223" s="1" t="s">
        <v>233</v>
      </c>
      <c r="G223" s="1" t="s">
        <v>233</v>
      </c>
      <c r="H223" s="6" t="s">
        <v>1951</v>
      </c>
      <c r="I223" s="6" t="s">
        <v>766</v>
      </c>
      <c r="J223" s="6" t="s">
        <v>1854</v>
      </c>
      <c r="K223" s="1">
        <v>1</v>
      </c>
      <c r="L223" s="6" t="s">
        <v>242</v>
      </c>
      <c r="M223" s="1">
        <v>2008</v>
      </c>
      <c r="N223" s="1" t="s">
        <v>237</v>
      </c>
      <c r="O223" s="1">
        <v>0</v>
      </c>
      <c r="P223" s="1">
        <v>0</v>
      </c>
      <c r="Q223" s="1">
        <v>0</v>
      </c>
      <c r="R223" s="1">
        <v>0</v>
      </c>
      <c r="S223" s="1" t="s">
        <v>235</v>
      </c>
    </row>
    <row r="224" spans="1:19" ht="14.45" customHeight="1" x14ac:dyDescent="0.25">
      <c r="A224" s="6">
        <v>223</v>
      </c>
      <c r="B224" s="6">
        <v>6700901</v>
      </c>
      <c r="C224" t="s">
        <v>826</v>
      </c>
      <c r="D224" s="1" t="s">
        <v>827</v>
      </c>
      <c r="E224" s="21">
        <v>120</v>
      </c>
      <c r="F224" s="1" t="s">
        <v>233</v>
      </c>
      <c r="G224" s="1" t="s">
        <v>233</v>
      </c>
      <c r="H224" s="6" t="s">
        <v>1951</v>
      </c>
      <c r="I224" s="6" t="s">
        <v>515</v>
      </c>
      <c r="J224" s="6" t="s">
        <v>1853</v>
      </c>
      <c r="K224" s="1">
        <v>0</v>
      </c>
      <c r="L224" s="6" t="s">
        <v>239</v>
      </c>
      <c r="M224" s="1">
        <v>2011</v>
      </c>
      <c r="N224" s="1" t="s">
        <v>237</v>
      </c>
      <c r="O224" s="1">
        <v>0</v>
      </c>
      <c r="P224" s="1">
        <v>0</v>
      </c>
      <c r="Q224" s="1">
        <v>0</v>
      </c>
      <c r="R224" s="1">
        <v>0</v>
      </c>
      <c r="S224" s="1" t="s">
        <v>235</v>
      </c>
    </row>
    <row r="225" spans="1:19" ht="14.45" customHeight="1" x14ac:dyDescent="0.25">
      <c r="A225" s="6">
        <v>224</v>
      </c>
      <c r="B225" s="6">
        <v>6700901</v>
      </c>
      <c r="C225" t="s">
        <v>826</v>
      </c>
      <c r="D225" s="1" t="s">
        <v>827</v>
      </c>
      <c r="E225" s="21">
        <v>94</v>
      </c>
      <c r="F225" s="1" t="s">
        <v>233</v>
      </c>
      <c r="G225" s="1" t="s">
        <v>233</v>
      </c>
      <c r="H225" s="6" t="s">
        <v>1951</v>
      </c>
      <c r="I225" s="6" t="s">
        <v>562</v>
      </c>
      <c r="J225" s="6" t="s">
        <v>1852</v>
      </c>
      <c r="K225" s="1">
        <v>0</v>
      </c>
      <c r="L225" s="6" t="s">
        <v>249</v>
      </c>
      <c r="M225" s="1">
        <v>1999</v>
      </c>
      <c r="N225" s="1" t="s">
        <v>237</v>
      </c>
      <c r="O225" s="1">
        <v>0</v>
      </c>
      <c r="P225" s="1">
        <v>0</v>
      </c>
      <c r="Q225" s="1">
        <v>0</v>
      </c>
      <c r="R225" s="1">
        <v>0</v>
      </c>
      <c r="S225" s="1" t="s">
        <v>235</v>
      </c>
    </row>
    <row r="226" spans="1:19" ht="14.45" customHeight="1" x14ac:dyDescent="0.25">
      <c r="A226" s="6">
        <v>225</v>
      </c>
      <c r="B226" s="6">
        <v>6700901</v>
      </c>
      <c r="C226" t="s">
        <v>826</v>
      </c>
      <c r="D226" s="1" t="s">
        <v>827</v>
      </c>
      <c r="E226" s="21" t="s">
        <v>237</v>
      </c>
      <c r="F226" s="1" t="s">
        <v>233</v>
      </c>
      <c r="G226" s="19">
        <v>1.5</v>
      </c>
      <c r="H226" s="6" t="s">
        <v>1951</v>
      </c>
      <c r="I226" s="6" t="s">
        <v>720</v>
      </c>
      <c r="J226" s="6" t="s">
        <v>1849</v>
      </c>
      <c r="K226" s="1">
        <v>0</v>
      </c>
      <c r="L226" s="6" t="s">
        <v>255</v>
      </c>
      <c r="M226" s="1">
        <v>2006</v>
      </c>
      <c r="N226" s="1" t="s">
        <v>237</v>
      </c>
      <c r="O226" s="1">
        <v>0</v>
      </c>
      <c r="P226" s="1">
        <v>0</v>
      </c>
      <c r="Q226" s="1">
        <v>0</v>
      </c>
      <c r="R226" s="1">
        <v>0</v>
      </c>
      <c r="S226" s="1" t="s">
        <v>235</v>
      </c>
    </row>
    <row r="227" spans="1:19" ht="14.45" customHeight="1" x14ac:dyDescent="0.25">
      <c r="A227" s="6">
        <v>226</v>
      </c>
      <c r="B227" s="6">
        <v>6700901</v>
      </c>
      <c r="C227" t="s">
        <v>826</v>
      </c>
      <c r="D227" s="1" t="s">
        <v>827</v>
      </c>
      <c r="E227" s="21" t="s">
        <v>237</v>
      </c>
      <c r="F227" s="1" t="s">
        <v>233</v>
      </c>
      <c r="G227" s="19">
        <v>1</v>
      </c>
      <c r="H227" s="6" t="s">
        <v>1951</v>
      </c>
      <c r="I227" s="6" t="s">
        <v>720</v>
      </c>
      <c r="J227" s="6" t="s">
        <v>1849</v>
      </c>
      <c r="K227" s="1">
        <v>0</v>
      </c>
      <c r="L227" s="6" t="s">
        <v>255</v>
      </c>
      <c r="M227" s="1">
        <v>2006</v>
      </c>
      <c r="N227" s="1" t="s">
        <v>237</v>
      </c>
      <c r="O227" s="1">
        <v>0</v>
      </c>
      <c r="P227" s="1">
        <v>0</v>
      </c>
      <c r="Q227" s="1">
        <v>0</v>
      </c>
      <c r="R227" s="1">
        <v>0</v>
      </c>
      <c r="S227" s="1" t="s">
        <v>235</v>
      </c>
    </row>
    <row r="228" spans="1:19" ht="14.45" customHeight="1" x14ac:dyDescent="0.25">
      <c r="A228" s="6">
        <v>227</v>
      </c>
      <c r="B228" s="6">
        <v>6700901</v>
      </c>
      <c r="C228" t="s">
        <v>826</v>
      </c>
      <c r="D228" s="1" t="s">
        <v>827</v>
      </c>
      <c r="E228" s="21">
        <v>320</v>
      </c>
      <c r="F228" s="1" t="s">
        <v>233</v>
      </c>
      <c r="G228" s="1" t="s">
        <v>233</v>
      </c>
      <c r="H228" s="6" t="s">
        <v>1951</v>
      </c>
      <c r="I228" s="6" t="s">
        <v>766</v>
      </c>
      <c r="J228" s="6" t="s">
        <v>1854</v>
      </c>
      <c r="K228" s="1">
        <v>1</v>
      </c>
      <c r="L228" s="6" t="s">
        <v>242</v>
      </c>
      <c r="M228" s="1">
        <v>2008</v>
      </c>
      <c r="N228" s="1" t="s">
        <v>237</v>
      </c>
      <c r="O228" s="1">
        <v>0</v>
      </c>
      <c r="P228" s="1">
        <v>0</v>
      </c>
      <c r="Q228" s="1">
        <v>0</v>
      </c>
      <c r="R228" s="1">
        <v>0</v>
      </c>
      <c r="S228" s="1" t="s">
        <v>235</v>
      </c>
    </row>
    <row r="229" spans="1:19" ht="14.45" customHeight="1" x14ac:dyDescent="0.25">
      <c r="A229" s="6">
        <v>228</v>
      </c>
      <c r="B229" s="6">
        <v>6701101</v>
      </c>
      <c r="C229" t="s">
        <v>828</v>
      </c>
      <c r="D229" s="1" t="s">
        <v>829</v>
      </c>
      <c r="E229" s="21" t="s">
        <v>237</v>
      </c>
      <c r="F229" s="1" t="s">
        <v>233</v>
      </c>
      <c r="G229" s="19">
        <v>1.2</v>
      </c>
      <c r="H229" s="6" t="s">
        <v>1951</v>
      </c>
      <c r="I229" s="6" t="s">
        <v>720</v>
      </c>
      <c r="J229" s="6" t="s">
        <v>1849</v>
      </c>
      <c r="K229" s="1">
        <v>0</v>
      </c>
      <c r="L229" s="6" t="s">
        <v>255</v>
      </c>
      <c r="M229" s="1">
        <v>2006</v>
      </c>
      <c r="N229" s="1" t="s">
        <v>237</v>
      </c>
      <c r="O229" s="1">
        <v>0</v>
      </c>
      <c r="P229" s="1">
        <v>0</v>
      </c>
      <c r="Q229" s="1">
        <v>0</v>
      </c>
      <c r="R229" s="1">
        <v>0</v>
      </c>
      <c r="S229" s="1" t="s">
        <v>235</v>
      </c>
    </row>
    <row r="230" spans="1:19" ht="14.45" customHeight="1" x14ac:dyDescent="0.25">
      <c r="A230" s="6">
        <v>229</v>
      </c>
      <c r="B230" s="6">
        <v>6701704</v>
      </c>
      <c r="C230" t="s">
        <v>831</v>
      </c>
      <c r="D230" s="1" t="s">
        <v>823</v>
      </c>
      <c r="E230" s="21">
        <v>370</v>
      </c>
      <c r="F230" s="1" t="s">
        <v>233</v>
      </c>
      <c r="G230" s="1" t="s">
        <v>233</v>
      </c>
      <c r="H230" s="6" t="s">
        <v>1951</v>
      </c>
      <c r="I230" s="6" t="s">
        <v>515</v>
      </c>
      <c r="J230" s="6" t="s">
        <v>1853</v>
      </c>
      <c r="K230" s="1">
        <v>0</v>
      </c>
      <c r="L230" s="6" t="s">
        <v>239</v>
      </c>
      <c r="M230" s="1">
        <v>2011</v>
      </c>
      <c r="N230" s="1" t="s">
        <v>237</v>
      </c>
      <c r="O230" s="1">
        <v>0</v>
      </c>
      <c r="P230" s="1">
        <v>0</v>
      </c>
      <c r="Q230" s="1">
        <v>0</v>
      </c>
      <c r="R230" s="1">
        <v>0</v>
      </c>
      <c r="S230" s="1" t="s">
        <v>235</v>
      </c>
    </row>
    <row r="231" spans="1:19" ht="14.45" customHeight="1" x14ac:dyDescent="0.25">
      <c r="A231" s="6">
        <v>230</v>
      </c>
      <c r="B231" s="6">
        <v>6701704</v>
      </c>
      <c r="C231" t="s">
        <v>831</v>
      </c>
      <c r="D231" s="1" t="s">
        <v>823</v>
      </c>
      <c r="E231" s="21">
        <v>2000</v>
      </c>
      <c r="F231" s="21">
        <v>288.25</v>
      </c>
      <c r="G231" s="1" t="s">
        <v>233</v>
      </c>
      <c r="H231" s="6" t="s">
        <v>1951</v>
      </c>
      <c r="I231" s="6" t="s">
        <v>832</v>
      </c>
      <c r="J231" s="6" t="s">
        <v>1854</v>
      </c>
      <c r="K231" s="1">
        <v>1</v>
      </c>
      <c r="L231" s="6" t="s">
        <v>234</v>
      </c>
      <c r="M231" s="1">
        <v>2010</v>
      </c>
      <c r="N231" s="1" t="s">
        <v>237</v>
      </c>
      <c r="O231" s="1">
        <v>0</v>
      </c>
      <c r="P231" s="1">
        <v>0</v>
      </c>
      <c r="Q231" s="1">
        <v>0</v>
      </c>
      <c r="R231" s="1">
        <v>0</v>
      </c>
      <c r="S231" s="1" t="s">
        <v>235</v>
      </c>
    </row>
    <row r="232" spans="1:19" ht="14.45" customHeight="1" x14ac:dyDescent="0.25">
      <c r="A232" s="6">
        <v>231</v>
      </c>
      <c r="B232" s="6">
        <v>6701704</v>
      </c>
      <c r="C232" t="s">
        <v>831</v>
      </c>
      <c r="D232" s="1" t="s">
        <v>823</v>
      </c>
      <c r="E232" s="21">
        <v>2400</v>
      </c>
      <c r="F232" s="21">
        <v>368.5</v>
      </c>
      <c r="G232" s="1" t="s">
        <v>233</v>
      </c>
      <c r="H232" s="6" t="s">
        <v>1951</v>
      </c>
      <c r="I232" s="6" t="s">
        <v>832</v>
      </c>
      <c r="J232" s="6" t="s">
        <v>1854</v>
      </c>
      <c r="K232" s="1">
        <v>1</v>
      </c>
      <c r="L232" s="6" t="s">
        <v>258</v>
      </c>
      <c r="M232" s="1">
        <v>2010</v>
      </c>
      <c r="N232" s="1" t="s">
        <v>237</v>
      </c>
      <c r="O232" s="1">
        <v>0</v>
      </c>
      <c r="P232" s="1">
        <v>0</v>
      </c>
      <c r="Q232" s="1">
        <v>0</v>
      </c>
      <c r="R232" s="1">
        <v>0</v>
      </c>
      <c r="S232" s="1" t="s">
        <v>235</v>
      </c>
    </row>
    <row r="233" spans="1:19" ht="14.45" customHeight="1" x14ac:dyDescent="0.25">
      <c r="A233" s="6">
        <v>232</v>
      </c>
      <c r="B233" s="6">
        <v>6701704</v>
      </c>
      <c r="C233" t="s">
        <v>831</v>
      </c>
      <c r="D233" s="1" t="s">
        <v>823</v>
      </c>
      <c r="E233" s="21">
        <v>2700</v>
      </c>
      <c r="F233" s="21">
        <v>325</v>
      </c>
      <c r="G233" s="1" t="s">
        <v>233</v>
      </c>
      <c r="H233" s="6" t="s">
        <v>1951</v>
      </c>
      <c r="I233" s="6" t="s">
        <v>832</v>
      </c>
      <c r="J233" s="6" t="s">
        <v>1854</v>
      </c>
      <c r="K233" s="1">
        <v>1</v>
      </c>
      <c r="L233" s="6" t="s">
        <v>234</v>
      </c>
      <c r="M233" s="1">
        <v>2010</v>
      </c>
      <c r="N233" s="1" t="s">
        <v>1857</v>
      </c>
      <c r="O233" s="1">
        <v>1</v>
      </c>
      <c r="P233" s="1">
        <v>0</v>
      </c>
      <c r="Q233" s="1">
        <v>0</v>
      </c>
      <c r="R233" s="1">
        <v>0</v>
      </c>
      <c r="S233" s="1" t="s">
        <v>235</v>
      </c>
    </row>
    <row r="234" spans="1:19" ht="14.45" customHeight="1" x14ac:dyDescent="0.25">
      <c r="A234" s="6">
        <v>233</v>
      </c>
      <c r="B234" s="6">
        <v>6701704</v>
      </c>
      <c r="C234" t="s">
        <v>831</v>
      </c>
      <c r="D234" s="1" t="s">
        <v>823</v>
      </c>
      <c r="E234" s="21">
        <v>353</v>
      </c>
      <c r="F234" s="1" t="s">
        <v>233</v>
      </c>
      <c r="G234" s="1" t="s">
        <v>233</v>
      </c>
      <c r="H234" s="6" t="s">
        <v>1951</v>
      </c>
      <c r="I234" s="6" t="s">
        <v>713</v>
      </c>
      <c r="J234" s="6" t="s">
        <v>1852</v>
      </c>
      <c r="K234" s="1">
        <v>0</v>
      </c>
      <c r="L234" s="6" t="s">
        <v>238</v>
      </c>
      <c r="M234" s="1">
        <v>2012</v>
      </c>
      <c r="N234" s="1" t="s">
        <v>237</v>
      </c>
      <c r="O234" s="1">
        <v>0</v>
      </c>
      <c r="P234" s="1">
        <v>0</v>
      </c>
      <c r="Q234" s="1">
        <v>0</v>
      </c>
      <c r="R234" s="1">
        <v>0</v>
      </c>
      <c r="S234" s="1" t="s">
        <v>235</v>
      </c>
    </row>
    <row r="235" spans="1:19" ht="14.45" customHeight="1" x14ac:dyDescent="0.25">
      <c r="A235" s="6">
        <v>234</v>
      </c>
      <c r="B235" s="6">
        <v>6701704</v>
      </c>
      <c r="C235" t="s">
        <v>831</v>
      </c>
      <c r="D235" s="1" t="s">
        <v>823</v>
      </c>
      <c r="E235" s="21">
        <v>409</v>
      </c>
      <c r="F235" s="1" t="s">
        <v>233</v>
      </c>
      <c r="G235" s="1" t="s">
        <v>233</v>
      </c>
      <c r="H235" s="6" t="s">
        <v>1951</v>
      </c>
      <c r="I235" s="6" t="s">
        <v>713</v>
      </c>
      <c r="J235" s="6" t="s">
        <v>1852</v>
      </c>
      <c r="K235" s="1">
        <v>0</v>
      </c>
      <c r="L235" s="6" t="s">
        <v>238</v>
      </c>
      <c r="M235" s="1">
        <v>2012</v>
      </c>
      <c r="N235" s="1" t="s">
        <v>1859</v>
      </c>
      <c r="O235" s="1">
        <v>0</v>
      </c>
      <c r="P235" s="1">
        <v>0</v>
      </c>
      <c r="Q235" s="1">
        <v>0</v>
      </c>
      <c r="R235" s="1">
        <v>0</v>
      </c>
      <c r="S235" s="1" t="s">
        <v>235</v>
      </c>
    </row>
    <row r="236" spans="1:19" ht="14.45" customHeight="1" x14ac:dyDescent="0.25">
      <c r="A236" s="6">
        <v>235</v>
      </c>
      <c r="B236" s="6">
        <v>6701704</v>
      </c>
      <c r="C236" t="s">
        <v>831</v>
      </c>
      <c r="D236" s="1" t="s">
        <v>823</v>
      </c>
      <c r="E236" s="21" t="s">
        <v>237</v>
      </c>
      <c r="F236" s="1" t="s">
        <v>233</v>
      </c>
      <c r="G236" s="19">
        <v>1.5</v>
      </c>
      <c r="H236" s="6" t="s">
        <v>1951</v>
      </c>
      <c r="I236" s="6" t="s">
        <v>720</v>
      </c>
      <c r="J236" s="6" t="s">
        <v>1849</v>
      </c>
      <c r="K236" s="1">
        <v>0</v>
      </c>
      <c r="L236" s="6" t="s">
        <v>255</v>
      </c>
      <c r="M236" s="1">
        <v>2006</v>
      </c>
      <c r="N236" s="1" t="s">
        <v>237</v>
      </c>
      <c r="O236" s="1">
        <v>0</v>
      </c>
      <c r="P236" s="1">
        <v>0</v>
      </c>
      <c r="Q236" s="1">
        <v>0</v>
      </c>
      <c r="R236" s="1">
        <v>0</v>
      </c>
      <c r="S236" s="1" t="s">
        <v>235</v>
      </c>
    </row>
    <row r="237" spans="1:19" ht="14.45" customHeight="1" x14ac:dyDescent="0.25">
      <c r="A237" s="6">
        <v>236</v>
      </c>
      <c r="B237" s="6">
        <v>6702301</v>
      </c>
      <c r="C237" t="s">
        <v>833</v>
      </c>
      <c r="D237" s="1" t="s">
        <v>834</v>
      </c>
      <c r="E237" s="21">
        <v>480</v>
      </c>
      <c r="F237" s="1" t="s">
        <v>233</v>
      </c>
      <c r="G237" s="1" t="s">
        <v>233</v>
      </c>
      <c r="H237" s="6" t="s">
        <v>1951</v>
      </c>
      <c r="I237" s="6" t="s">
        <v>336</v>
      </c>
      <c r="J237" s="6" t="s">
        <v>1849</v>
      </c>
      <c r="K237" s="1">
        <v>0</v>
      </c>
      <c r="L237" s="6" t="s">
        <v>234</v>
      </c>
      <c r="M237" s="1">
        <v>2009</v>
      </c>
      <c r="N237" s="1" t="s">
        <v>237</v>
      </c>
      <c r="O237" s="1">
        <v>0</v>
      </c>
      <c r="P237" s="1">
        <v>0</v>
      </c>
      <c r="Q237" s="1">
        <v>0</v>
      </c>
      <c r="R237" s="1">
        <v>0</v>
      </c>
      <c r="S237" s="1" t="s">
        <v>251</v>
      </c>
    </row>
    <row r="238" spans="1:19" ht="14.45" customHeight="1" x14ac:dyDescent="0.25">
      <c r="A238" s="6">
        <v>237</v>
      </c>
      <c r="B238" s="6">
        <v>6702604</v>
      </c>
      <c r="C238" t="s">
        <v>835</v>
      </c>
      <c r="D238" s="1" t="s">
        <v>820</v>
      </c>
      <c r="E238" s="21" t="s">
        <v>237</v>
      </c>
      <c r="F238" s="1" t="s">
        <v>233</v>
      </c>
      <c r="G238" s="19">
        <v>1.5</v>
      </c>
      <c r="H238" s="6" t="s">
        <v>1951</v>
      </c>
      <c r="I238" s="6" t="s">
        <v>720</v>
      </c>
      <c r="J238" s="6" t="s">
        <v>1849</v>
      </c>
      <c r="K238" s="1">
        <v>0</v>
      </c>
      <c r="L238" s="6" t="s">
        <v>255</v>
      </c>
      <c r="M238" s="1">
        <v>2006</v>
      </c>
      <c r="N238" s="1" t="s">
        <v>237</v>
      </c>
      <c r="O238" s="1">
        <v>0</v>
      </c>
      <c r="P238" s="1">
        <v>0</v>
      </c>
      <c r="Q238" s="1">
        <v>0</v>
      </c>
      <c r="R238" s="1">
        <v>0</v>
      </c>
      <c r="S238" s="1" t="s">
        <v>235</v>
      </c>
    </row>
    <row r="239" spans="1:19" ht="14.45" customHeight="1" x14ac:dyDescent="0.25">
      <c r="A239" s="6">
        <v>238</v>
      </c>
      <c r="B239" s="6">
        <v>6703306</v>
      </c>
      <c r="C239" t="s">
        <v>836</v>
      </c>
      <c r="D239" s="1" t="s">
        <v>837</v>
      </c>
      <c r="E239" s="21">
        <v>146</v>
      </c>
      <c r="F239" s="1" t="s">
        <v>233</v>
      </c>
      <c r="G239" s="1" t="s">
        <v>233</v>
      </c>
      <c r="H239" s="6" t="s">
        <v>1951</v>
      </c>
      <c r="I239" s="6" t="s">
        <v>431</v>
      </c>
      <c r="J239" s="6" t="s">
        <v>1849</v>
      </c>
      <c r="K239" s="1">
        <v>0</v>
      </c>
      <c r="L239" s="6" t="s">
        <v>269</v>
      </c>
      <c r="M239" s="1">
        <v>2012</v>
      </c>
      <c r="N239" s="1" t="s">
        <v>237</v>
      </c>
      <c r="O239" s="1">
        <v>0</v>
      </c>
      <c r="P239" s="1">
        <v>0</v>
      </c>
      <c r="Q239" s="1">
        <v>0</v>
      </c>
      <c r="R239" s="1">
        <v>0</v>
      </c>
      <c r="S239" s="1" t="s">
        <v>235</v>
      </c>
    </row>
    <row r="240" spans="1:19" ht="14.45" customHeight="1" x14ac:dyDescent="0.25">
      <c r="A240" s="6">
        <v>239</v>
      </c>
      <c r="B240" s="6">
        <v>6703306</v>
      </c>
      <c r="C240" t="s">
        <v>836</v>
      </c>
      <c r="D240" s="1" t="s">
        <v>837</v>
      </c>
      <c r="E240" s="21">
        <v>247</v>
      </c>
      <c r="F240" s="1" t="s">
        <v>233</v>
      </c>
      <c r="G240" s="1" t="s">
        <v>233</v>
      </c>
      <c r="H240" s="6" t="s">
        <v>1951</v>
      </c>
      <c r="I240" s="6" t="s">
        <v>431</v>
      </c>
      <c r="J240" s="6" t="s">
        <v>1849</v>
      </c>
      <c r="K240" s="1">
        <v>0</v>
      </c>
      <c r="L240" s="6" t="s">
        <v>270</v>
      </c>
      <c r="M240" s="1">
        <v>2012</v>
      </c>
      <c r="N240" s="1" t="s">
        <v>1859</v>
      </c>
      <c r="O240" s="1">
        <v>0</v>
      </c>
      <c r="P240" s="1">
        <v>0</v>
      </c>
      <c r="Q240" s="1">
        <v>0</v>
      </c>
      <c r="R240" s="1">
        <v>0</v>
      </c>
      <c r="S240" s="1" t="s">
        <v>235</v>
      </c>
    </row>
    <row r="241" spans="1:19" ht="14.45" customHeight="1" x14ac:dyDescent="0.25">
      <c r="A241" s="6">
        <v>240</v>
      </c>
      <c r="B241" s="6">
        <v>6703306</v>
      </c>
      <c r="C241" t="s">
        <v>836</v>
      </c>
      <c r="D241" s="1" t="s">
        <v>837</v>
      </c>
      <c r="E241" s="21">
        <v>723</v>
      </c>
      <c r="F241" s="1" t="s">
        <v>233</v>
      </c>
      <c r="G241" s="1" t="s">
        <v>233</v>
      </c>
      <c r="H241" s="6" t="s">
        <v>1951</v>
      </c>
      <c r="I241" s="6" t="s">
        <v>431</v>
      </c>
      <c r="J241" s="6" t="s">
        <v>1849</v>
      </c>
      <c r="K241" s="1">
        <v>0</v>
      </c>
      <c r="L241" s="6" t="s">
        <v>269</v>
      </c>
      <c r="M241" s="1">
        <v>2012</v>
      </c>
      <c r="N241" s="1" t="s">
        <v>1858</v>
      </c>
      <c r="O241" s="1">
        <v>0</v>
      </c>
      <c r="P241" s="1">
        <v>0</v>
      </c>
      <c r="Q241" s="1">
        <v>0</v>
      </c>
      <c r="R241" s="1">
        <v>0</v>
      </c>
      <c r="S241" s="1" t="s">
        <v>235</v>
      </c>
    </row>
    <row r="242" spans="1:19" ht="14.45" customHeight="1" x14ac:dyDescent="0.25">
      <c r="A242" s="6">
        <v>241</v>
      </c>
      <c r="B242" s="6">
        <v>6703306</v>
      </c>
      <c r="C242" t="s">
        <v>836</v>
      </c>
      <c r="D242" s="1" t="s">
        <v>837</v>
      </c>
      <c r="E242" s="21">
        <v>728</v>
      </c>
      <c r="F242" s="1" t="s">
        <v>233</v>
      </c>
      <c r="G242" s="1" t="s">
        <v>233</v>
      </c>
      <c r="H242" s="6" t="s">
        <v>1951</v>
      </c>
      <c r="I242" s="6" t="s">
        <v>431</v>
      </c>
      <c r="J242" s="6" t="s">
        <v>1849</v>
      </c>
      <c r="K242" s="1">
        <v>0</v>
      </c>
      <c r="L242" s="6" t="s">
        <v>269</v>
      </c>
      <c r="M242" s="1">
        <v>2012</v>
      </c>
      <c r="N242" s="1" t="s">
        <v>1859</v>
      </c>
      <c r="O242" s="1">
        <v>0</v>
      </c>
      <c r="P242" s="1">
        <v>0</v>
      </c>
      <c r="Q242" s="1">
        <v>0</v>
      </c>
      <c r="R242" s="1">
        <v>0</v>
      </c>
      <c r="S242" s="1" t="s">
        <v>235</v>
      </c>
    </row>
    <row r="243" spans="1:19" ht="14.45" customHeight="1" x14ac:dyDescent="0.25">
      <c r="A243" s="6">
        <v>242</v>
      </c>
      <c r="B243" s="6">
        <v>6703306</v>
      </c>
      <c r="C243" t="s">
        <v>836</v>
      </c>
      <c r="D243" s="1" t="s">
        <v>837</v>
      </c>
      <c r="E243" s="21">
        <v>710</v>
      </c>
      <c r="F243" s="21">
        <v>400</v>
      </c>
      <c r="G243" s="1" t="s">
        <v>233</v>
      </c>
      <c r="H243" s="6" t="s">
        <v>1951</v>
      </c>
      <c r="I243" s="6" t="s">
        <v>838</v>
      </c>
      <c r="J243" s="6" t="s">
        <v>1854</v>
      </c>
      <c r="K243" s="1">
        <v>1</v>
      </c>
      <c r="L243" s="6" t="s">
        <v>269</v>
      </c>
      <c r="M243" s="1">
        <v>2012</v>
      </c>
      <c r="N243" s="1" t="s">
        <v>237</v>
      </c>
      <c r="O243" s="1">
        <v>0</v>
      </c>
      <c r="P243" s="1">
        <v>0</v>
      </c>
      <c r="Q243" s="1">
        <v>0</v>
      </c>
      <c r="R243" s="1">
        <v>0</v>
      </c>
      <c r="S243" s="1" t="s">
        <v>235</v>
      </c>
    </row>
    <row r="244" spans="1:19" ht="14.45" customHeight="1" x14ac:dyDescent="0.25">
      <c r="A244" s="6">
        <v>243</v>
      </c>
      <c r="B244" s="6">
        <v>6703306</v>
      </c>
      <c r="C244" t="s">
        <v>836</v>
      </c>
      <c r="D244" s="1" t="s">
        <v>837</v>
      </c>
      <c r="E244" s="21">
        <v>716</v>
      </c>
      <c r="F244" s="21">
        <v>700</v>
      </c>
      <c r="G244" s="1" t="s">
        <v>233</v>
      </c>
      <c r="H244" s="6" t="s">
        <v>1951</v>
      </c>
      <c r="I244" s="6" t="s">
        <v>838</v>
      </c>
      <c r="J244" s="6" t="s">
        <v>1854</v>
      </c>
      <c r="K244" s="1">
        <v>1</v>
      </c>
      <c r="L244" s="6" t="s">
        <v>269</v>
      </c>
      <c r="M244" s="1">
        <v>2012</v>
      </c>
      <c r="N244" s="1" t="s">
        <v>1859</v>
      </c>
      <c r="O244" s="1">
        <v>0</v>
      </c>
      <c r="P244" s="1">
        <v>0</v>
      </c>
      <c r="Q244" s="1">
        <v>0</v>
      </c>
      <c r="R244" s="1">
        <v>0</v>
      </c>
      <c r="S244" s="1" t="s">
        <v>235</v>
      </c>
    </row>
    <row r="245" spans="1:19" ht="14.45" customHeight="1" x14ac:dyDescent="0.25">
      <c r="A245" s="6">
        <v>244</v>
      </c>
      <c r="B245" s="6">
        <v>6703701</v>
      </c>
      <c r="C245" t="s">
        <v>839</v>
      </c>
      <c r="D245" s="1" t="s">
        <v>837</v>
      </c>
      <c r="E245" s="21">
        <v>1602.8</v>
      </c>
      <c r="F245" s="1" t="s">
        <v>233</v>
      </c>
      <c r="G245" s="1" t="s">
        <v>233</v>
      </c>
      <c r="H245" s="6" t="s">
        <v>1951</v>
      </c>
      <c r="I245" s="6" t="s">
        <v>840</v>
      </c>
      <c r="J245" s="6" t="s">
        <v>1851</v>
      </c>
      <c r="K245" s="1">
        <v>0</v>
      </c>
      <c r="L245" s="6" t="s">
        <v>236</v>
      </c>
      <c r="M245" s="1">
        <v>2012</v>
      </c>
      <c r="N245" s="1" t="s">
        <v>1850</v>
      </c>
      <c r="O245" s="1">
        <v>1</v>
      </c>
      <c r="P245" s="1">
        <v>0</v>
      </c>
      <c r="Q245" s="1">
        <v>0</v>
      </c>
      <c r="R245" s="1">
        <v>0</v>
      </c>
      <c r="S245" s="1" t="s">
        <v>235</v>
      </c>
    </row>
    <row r="246" spans="1:19" ht="14.45" customHeight="1" x14ac:dyDescent="0.25">
      <c r="A246" s="6">
        <v>245</v>
      </c>
      <c r="B246" s="6">
        <v>6703701</v>
      </c>
      <c r="C246" t="s">
        <v>839</v>
      </c>
      <c r="D246" s="1" t="s">
        <v>837</v>
      </c>
      <c r="E246" s="21">
        <v>90</v>
      </c>
      <c r="F246" s="1" t="s">
        <v>233</v>
      </c>
      <c r="G246" s="1" t="s">
        <v>233</v>
      </c>
      <c r="H246" s="6" t="s">
        <v>1951</v>
      </c>
      <c r="I246" s="6" t="s">
        <v>515</v>
      </c>
      <c r="J246" s="6" t="s">
        <v>1853</v>
      </c>
      <c r="K246" s="1">
        <v>0</v>
      </c>
      <c r="L246" s="6" t="s">
        <v>239</v>
      </c>
      <c r="M246" s="1">
        <v>2011</v>
      </c>
      <c r="N246" s="1" t="s">
        <v>237</v>
      </c>
      <c r="O246" s="1">
        <v>0</v>
      </c>
      <c r="P246" s="1">
        <v>0</v>
      </c>
      <c r="Q246" s="1">
        <v>0</v>
      </c>
      <c r="R246" s="1">
        <v>0</v>
      </c>
      <c r="S246" s="1" t="s">
        <v>235</v>
      </c>
    </row>
    <row r="247" spans="1:19" ht="14.45" customHeight="1" x14ac:dyDescent="0.25">
      <c r="A247" s="6">
        <v>246</v>
      </c>
      <c r="B247" s="6">
        <v>6703701</v>
      </c>
      <c r="C247" t="s">
        <v>839</v>
      </c>
      <c r="D247" s="1" t="s">
        <v>837</v>
      </c>
      <c r="E247" s="21">
        <v>183.6065573770492</v>
      </c>
      <c r="F247" s="1" t="s">
        <v>233</v>
      </c>
      <c r="G247" s="1" t="s">
        <v>233</v>
      </c>
      <c r="H247" s="6" t="s">
        <v>1951</v>
      </c>
      <c r="I247" s="6" t="s">
        <v>582</v>
      </c>
      <c r="J247" s="6" t="s">
        <v>1849</v>
      </c>
      <c r="K247" s="1">
        <v>0</v>
      </c>
      <c r="L247" s="6" t="s">
        <v>260</v>
      </c>
      <c r="M247" s="1">
        <v>2010</v>
      </c>
      <c r="N247" s="1" t="s">
        <v>1859</v>
      </c>
      <c r="O247" s="1">
        <v>0</v>
      </c>
      <c r="P247" s="1">
        <v>0</v>
      </c>
      <c r="Q247" s="1">
        <v>0</v>
      </c>
      <c r="R247" s="1">
        <v>0</v>
      </c>
      <c r="S247" s="1" t="s">
        <v>235</v>
      </c>
    </row>
    <row r="248" spans="1:19" ht="14.45" customHeight="1" x14ac:dyDescent="0.25">
      <c r="A248" s="6">
        <v>247</v>
      </c>
      <c r="B248" s="6">
        <v>6703701</v>
      </c>
      <c r="C248" t="s">
        <v>839</v>
      </c>
      <c r="D248" s="1" t="s">
        <v>837</v>
      </c>
      <c r="E248" s="21">
        <v>229.50819672131149</v>
      </c>
      <c r="F248" s="1" t="s">
        <v>233</v>
      </c>
      <c r="G248" s="1" t="s">
        <v>233</v>
      </c>
      <c r="H248" s="6" t="s">
        <v>1951</v>
      </c>
      <c r="I248" s="6" t="s">
        <v>582</v>
      </c>
      <c r="J248" s="6" t="s">
        <v>1849</v>
      </c>
      <c r="K248" s="1">
        <v>0</v>
      </c>
      <c r="L248" s="6" t="s">
        <v>260</v>
      </c>
      <c r="M248" s="1">
        <v>2010</v>
      </c>
      <c r="N248" s="1" t="s">
        <v>237</v>
      </c>
      <c r="O248" s="1">
        <v>0</v>
      </c>
      <c r="P248" s="1">
        <v>0</v>
      </c>
      <c r="Q248" s="1">
        <v>0</v>
      </c>
      <c r="R248" s="1">
        <v>0</v>
      </c>
      <c r="S248" s="1" t="s">
        <v>235</v>
      </c>
    </row>
    <row r="249" spans="1:19" ht="14.45" customHeight="1" x14ac:dyDescent="0.25">
      <c r="A249" s="6">
        <v>248</v>
      </c>
      <c r="B249" s="6">
        <v>6703701</v>
      </c>
      <c r="C249" t="s">
        <v>839</v>
      </c>
      <c r="D249" s="1" t="s">
        <v>837</v>
      </c>
      <c r="E249" s="21" t="s">
        <v>237</v>
      </c>
      <c r="F249" s="1" t="s">
        <v>233</v>
      </c>
      <c r="G249" s="19">
        <v>1.5</v>
      </c>
      <c r="H249" s="6" t="s">
        <v>1951</v>
      </c>
      <c r="I249" s="6" t="s">
        <v>720</v>
      </c>
      <c r="J249" s="6" t="s">
        <v>1849</v>
      </c>
      <c r="K249" s="1">
        <v>0</v>
      </c>
      <c r="L249" s="6" t="s">
        <v>255</v>
      </c>
      <c r="M249" s="1">
        <v>2006</v>
      </c>
      <c r="N249" s="1" t="s">
        <v>237</v>
      </c>
      <c r="O249" s="1">
        <v>0</v>
      </c>
      <c r="P249" s="1">
        <v>0</v>
      </c>
      <c r="Q249" s="1">
        <v>0</v>
      </c>
      <c r="R249" s="1">
        <v>0</v>
      </c>
      <c r="S249" s="1" t="s">
        <v>235</v>
      </c>
    </row>
    <row r="250" spans="1:19" ht="14.45" customHeight="1" x14ac:dyDescent="0.25">
      <c r="A250" s="6">
        <v>249</v>
      </c>
      <c r="B250" s="6">
        <v>6704001</v>
      </c>
      <c r="C250" t="s">
        <v>841</v>
      </c>
      <c r="D250" s="1" t="s">
        <v>842</v>
      </c>
      <c r="E250" s="21">
        <v>80</v>
      </c>
      <c r="F250" s="1" t="s">
        <v>233</v>
      </c>
      <c r="G250" s="1" t="s">
        <v>233</v>
      </c>
      <c r="H250" s="6" t="s">
        <v>1951</v>
      </c>
      <c r="I250" s="6" t="s">
        <v>515</v>
      </c>
      <c r="J250" s="6" t="s">
        <v>1853</v>
      </c>
      <c r="K250" s="1">
        <v>0</v>
      </c>
      <c r="L250" s="6" t="s">
        <v>239</v>
      </c>
      <c r="M250" s="1">
        <v>2011</v>
      </c>
      <c r="N250" s="1" t="s">
        <v>237</v>
      </c>
      <c r="O250" s="1">
        <v>0</v>
      </c>
      <c r="P250" s="1">
        <v>0</v>
      </c>
      <c r="Q250" s="1">
        <v>0</v>
      </c>
      <c r="R250" s="1">
        <v>0</v>
      </c>
      <c r="S250" s="1" t="s">
        <v>235</v>
      </c>
    </row>
    <row r="251" spans="1:19" ht="14.45" customHeight="1" x14ac:dyDescent="0.25">
      <c r="A251" s="6">
        <v>250</v>
      </c>
      <c r="B251" s="6">
        <v>6704001</v>
      </c>
      <c r="C251" t="s">
        <v>841</v>
      </c>
      <c r="D251" s="1" t="s">
        <v>842</v>
      </c>
      <c r="E251" s="21">
        <v>1675</v>
      </c>
      <c r="F251" s="1" t="s">
        <v>233</v>
      </c>
      <c r="G251" s="1" t="s">
        <v>233</v>
      </c>
      <c r="H251" s="6" t="s">
        <v>1951</v>
      </c>
      <c r="I251" s="6" t="s">
        <v>515</v>
      </c>
      <c r="J251" s="6" t="s">
        <v>1853</v>
      </c>
      <c r="K251" s="1">
        <v>0</v>
      </c>
      <c r="L251" s="6" t="s">
        <v>239</v>
      </c>
      <c r="M251" s="1">
        <v>2011</v>
      </c>
      <c r="N251" s="1" t="s">
        <v>1850</v>
      </c>
      <c r="O251" s="1">
        <v>1</v>
      </c>
      <c r="P251" s="1">
        <v>0</v>
      </c>
      <c r="Q251" s="1">
        <v>0</v>
      </c>
      <c r="R251" s="1">
        <v>0</v>
      </c>
      <c r="S251" s="1" t="s">
        <v>235</v>
      </c>
    </row>
    <row r="252" spans="1:19" ht="14.45" customHeight="1" x14ac:dyDescent="0.25">
      <c r="A252" s="6">
        <v>251</v>
      </c>
      <c r="B252" s="6">
        <v>6704001</v>
      </c>
      <c r="C252" t="s">
        <v>841</v>
      </c>
      <c r="D252" s="1" t="s">
        <v>842</v>
      </c>
      <c r="E252" s="21">
        <v>195</v>
      </c>
      <c r="F252" s="1" t="s">
        <v>233</v>
      </c>
      <c r="G252" s="1" t="s">
        <v>233</v>
      </c>
      <c r="H252" s="6" t="s">
        <v>1951</v>
      </c>
      <c r="I252" s="6" t="s">
        <v>582</v>
      </c>
      <c r="J252" s="6" t="s">
        <v>1849</v>
      </c>
      <c r="K252" s="1">
        <v>0</v>
      </c>
      <c r="L252" s="6" t="s">
        <v>260</v>
      </c>
      <c r="M252" s="1">
        <v>2010</v>
      </c>
      <c r="N252" s="1" t="s">
        <v>1859</v>
      </c>
      <c r="O252" s="1">
        <v>0</v>
      </c>
      <c r="P252" s="1">
        <v>0</v>
      </c>
      <c r="Q252" s="1">
        <v>0</v>
      </c>
      <c r="R252" s="1">
        <v>0</v>
      </c>
      <c r="S252" s="1" t="s">
        <v>235</v>
      </c>
    </row>
    <row r="253" spans="1:19" ht="14.45" customHeight="1" x14ac:dyDescent="0.25">
      <c r="A253" s="6">
        <v>252</v>
      </c>
      <c r="B253" s="6">
        <v>6704001</v>
      </c>
      <c r="C253" t="s">
        <v>841</v>
      </c>
      <c r="D253" s="1" t="s">
        <v>842</v>
      </c>
      <c r="E253" s="21">
        <v>229.50819672131149</v>
      </c>
      <c r="F253" s="1" t="s">
        <v>233</v>
      </c>
      <c r="G253" s="1" t="s">
        <v>233</v>
      </c>
      <c r="H253" s="6" t="s">
        <v>1951</v>
      </c>
      <c r="I253" s="6" t="s">
        <v>582</v>
      </c>
      <c r="J253" s="6" t="s">
        <v>1849</v>
      </c>
      <c r="K253" s="1">
        <v>0</v>
      </c>
      <c r="L253" s="6" t="s">
        <v>260</v>
      </c>
      <c r="M253" s="1">
        <v>2010</v>
      </c>
      <c r="N253" s="1" t="s">
        <v>237</v>
      </c>
      <c r="O253" s="1">
        <v>0</v>
      </c>
      <c r="P253" s="1">
        <v>0</v>
      </c>
      <c r="Q253" s="1">
        <v>0</v>
      </c>
      <c r="R253" s="1">
        <v>0</v>
      </c>
      <c r="S253" s="1" t="s">
        <v>235</v>
      </c>
    </row>
    <row r="254" spans="1:19" ht="14.45" customHeight="1" x14ac:dyDescent="0.25">
      <c r="A254" s="6">
        <v>253</v>
      </c>
      <c r="B254" s="6">
        <v>6704001</v>
      </c>
      <c r="C254" t="s">
        <v>841</v>
      </c>
      <c r="D254" s="1" t="s">
        <v>842</v>
      </c>
      <c r="E254" s="21">
        <v>1741</v>
      </c>
      <c r="F254" s="1" t="s">
        <v>233</v>
      </c>
      <c r="G254" s="1" t="s">
        <v>233</v>
      </c>
      <c r="H254" s="6" t="s">
        <v>1951</v>
      </c>
      <c r="I254" s="6" t="s">
        <v>821</v>
      </c>
      <c r="J254" s="6" t="s">
        <v>1849</v>
      </c>
      <c r="K254" s="1">
        <v>0</v>
      </c>
      <c r="L254" s="6" t="s">
        <v>247</v>
      </c>
      <c r="M254" s="1">
        <v>2010</v>
      </c>
      <c r="N254" s="1" t="s">
        <v>1850</v>
      </c>
      <c r="O254" s="1">
        <v>1</v>
      </c>
      <c r="P254" s="1">
        <v>0</v>
      </c>
      <c r="Q254" s="1">
        <v>0</v>
      </c>
      <c r="R254" s="1">
        <v>0</v>
      </c>
      <c r="S254" s="1" t="s">
        <v>235</v>
      </c>
    </row>
    <row r="255" spans="1:19" ht="14.45" customHeight="1" x14ac:dyDescent="0.25">
      <c r="A255" s="6">
        <v>254</v>
      </c>
      <c r="B255" s="6">
        <v>6704001</v>
      </c>
      <c r="C255" t="s">
        <v>841</v>
      </c>
      <c r="D255" s="1" t="s">
        <v>842</v>
      </c>
      <c r="E255" s="21">
        <v>4370</v>
      </c>
      <c r="F255" s="1" t="s">
        <v>233</v>
      </c>
      <c r="G255" s="1" t="s">
        <v>233</v>
      </c>
      <c r="H255" s="6" t="s">
        <v>1951</v>
      </c>
      <c r="I255" s="6" t="s">
        <v>600</v>
      </c>
      <c r="J255" s="6" t="s">
        <v>1852</v>
      </c>
      <c r="K255" s="1">
        <v>0</v>
      </c>
      <c r="L255" s="6" t="s">
        <v>259</v>
      </c>
      <c r="M255" s="1">
        <v>2006</v>
      </c>
      <c r="N255" s="1" t="s">
        <v>1850</v>
      </c>
      <c r="O255" s="1">
        <v>1</v>
      </c>
      <c r="P255" s="1">
        <v>0</v>
      </c>
      <c r="Q255" s="1">
        <v>0</v>
      </c>
      <c r="R255" s="1">
        <v>0</v>
      </c>
      <c r="S255" s="1" t="s">
        <v>235</v>
      </c>
    </row>
    <row r="256" spans="1:19" ht="14.45" customHeight="1" x14ac:dyDescent="0.25">
      <c r="A256" s="6">
        <v>255</v>
      </c>
      <c r="B256" s="6">
        <v>6704001</v>
      </c>
      <c r="C256" t="s">
        <v>841</v>
      </c>
      <c r="D256" s="1" t="s">
        <v>842</v>
      </c>
      <c r="E256" s="21">
        <v>804</v>
      </c>
      <c r="F256" s="1" t="s">
        <v>233</v>
      </c>
      <c r="G256" s="1" t="s">
        <v>233</v>
      </c>
      <c r="H256" s="6" t="s">
        <v>1954</v>
      </c>
      <c r="I256" s="6" t="s">
        <v>313</v>
      </c>
      <c r="J256" s="6" t="s">
        <v>1849</v>
      </c>
      <c r="K256" s="1">
        <v>0</v>
      </c>
      <c r="L256" s="6" t="s">
        <v>234</v>
      </c>
      <c r="M256" s="1">
        <v>2012</v>
      </c>
      <c r="N256" s="1" t="s">
        <v>237</v>
      </c>
      <c r="O256" s="1">
        <v>0</v>
      </c>
      <c r="P256" s="1">
        <v>0</v>
      </c>
      <c r="Q256" s="1">
        <v>0</v>
      </c>
      <c r="R256" s="1">
        <v>0</v>
      </c>
      <c r="S256" s="1" t="s">
        <v>251</v>
      </c>
    </row>
    <row r="257" spans="1:19" ht="14.45" customHeight="1" x14ac:dyDescent="0.25">
      <c r="A257" s="6">
        <v>256</v>
      </c>
      <c r="B257" s="6">
        <v>6704001</v>
      </c>
      <c r="C257" t="s">
        <v>841</v>
      </c>
      <c r="D257" s="1" t="s">
        <v>842</v>
      </c>
      <c r="E257" s="21" t="s">
        <v>237</v>
      </c>
      <c r="F257" s="1" t="s">
        <v>233</v>
      </c>
      <c r="G257" s="19">
        <v>1.3</v>
      </c>
      <c r="H257" s="6" t="s">
        <v>1951</v>
      </c>
      <c r="I257" s="6" t="s">
        <v>720</v>
      </c>
      <c r="J257" s="6" t="s">
        <v>1849</v>
      </c>
      <c r="K257" s="1">
        <v>0</v>
      </c>
      <c r="L257" s="6" t="s">
        <v>255</v>
      </c>
      <c r="M257" s="1">
        <v>2006</v>
      </c>
      <c r="N257" s="1" t="s">
        <v>1850</v>
      </c>
      <c r="O257" s="1">
        <v>1</v>
      </c>
      <c r="P257" s="1">
        <v>0</v>
      </c>
      <c r="Q257" s="1">
        <v>0</v>
      </c>
      <c r="R257" s="1">
        <v>0</v>
      </c>
      <c r="S257" s="1" t="s">
        <v>235</v>
      </c>
    </row>
    <row r="258" spans="1:19" ht="14.45" customHeight="1" x14ac:dyDescent="0.25">
      <c r="A258" s="6">
        <v>257</v>
      </c>
      <c r="B258" s="6">
        <v>6705101</v>
      </c>
      <c r="C258" t="s">
        <v>844</v>
      </c>
      <c r="D258" s="1" t="s">
        <v>845</v>
      </c>
      <c r="E258" s="21">
        <v>2330</v>
      </c>
      <c r="F258" s="1" t="s">
        <v>233</v>
      </c>
      <c r="G258" s="1" t="s">
        <v>233</v>
      </c>
      <c r="H258" s="6" t="s">
        <v>1951</v>
      </c>
      <c r="I258" s="6" t="s">
        <v>846</v>
      </c>
      <c r="J258" s="6" t="s">
        <v>1849</v>
      </c>
      <c r="K258" s="1">
        <v>0</v>
      </c>
      <c r="L258" s="6" t="s">
        <v>236</v>
      </c>
      <c r="M258" s="1">
        <v>2012</v>
      </c>
      <c r="N258" s="1" t="s">
        <v>1850</v>
      </c>
      <c r="O258" s="1">
        <v>1</v>
      </c>
      <c r="P258" s="1">
        <v>0</v>
      </c>
      <c r="Q258" s="1">
        <v>0</v>
      </c>
      <c r="R258" s="1">
        <v>0</v>
      </c>
      <c r="S258" s="1" t="s">
        <v>235</v>
      </c>
    </row>
    <row r="259" spans="1:19" ht="14.45" customHeight="1" x14ac:dyDescent="0.25">
      <c r="A259" s="6">
        <v>258</v>
      </c>
      <c r="B259" s="6">
        <v>6705101</v>
      </c>
      <c r="C259" t="s">
        <v>844</v>
      </c>
      <c r="D259" s="1" t="s">
        <v>845</v>
      </c>
      <c r="E259" s="21">
        <v>154</v>
      </c>
      <c r="F259" s="1" t="s">
        <v>233</v>
      </c>
      <c r="G259" s="1" t="s">
        <v>233</v>
      </c>
      <c r="H259" s="6" t="s">
        <v>1951</v>
      </c>
      <c r="I259" s="6" t="s">
        <v>327</v>
      </c>
      <c r="J259" s="6" t="s">
        <v>1849</v>
      </c>
      <c r="K259" s="1">
        <v>0</v>
      </c>
      <c r="L259" s="6" t="s">
        <v>262</v>
      </c>
      <c r="M259" s="1">
        <v>2000</v>
      </c>
      <c r="N259" s="1" t="s">
        <v>237</v>
      </c>
      <c r="O259" s="1">
        <v>0</v>
      </c>
      <c r="P259" s="1" t="s">
        <v>1952</v>
      </c>
      <c r="Q259" s="1">
        <v>0</v>
      </c>
      <c r="R259" s="1">
        <v>0</v>
      </c>
      <c r="S259" s="1" t="s">
        <v>235</v>
      </c>
    </row>
    <row r="260" spans="1:19" ht="14.45" customHeight="1" x14ac:dyDescent="0.25">
      <c r="A260" s="6">
        <v>259</v>
      </c>
      <c r="B260" s="6">
        <v>6705101</v>
      </c>
      <c r="C260" t="s">
        <v>844</v>
      </c>
      <c r="D260" s="1" t="s">
        <v>845</v>
      </c>
      <c r="E260" s="21">
        <v>81.400000000000006</v>
      </c>
      <c r="F260" s="1" t="s">
        <v>233</v>
      </c>
      <c r="G260" s="1" t="s">
        <v>233</v>
      </c>
      <c r="H260" s="6" t="s">
        <v>1951</v>
      </c>
      <c r="I260" s="6" t="s">
        <v>847</v>
      </c>
      <c r="J260" s="6" t="s">
        <v>1852</v>
      </c>
      <c r="K260" s="1">
        <v>0</v>
      </c>
      <c r="L260" s="6" t="s">
        <v>258</v>
      </c>
      <c r="M260" s="1">
        <v>2005</v>
      </c>
      <c r="N260" s="1" t="s">
        <v>1850</v>
      </c>
      <c r="O260" s="1">
        <v>1</v>
      </c>
      <c r="P260" s="1">
        <v>0</v>
      </c>
      <c r="Q260" s="1">
        <v>0</v>
      </c>
      <c r="R260" s="1">
        <v>0</v>
      </c>
      <c r="S260" s="1" t="s">
        <v>235</v>
      </c>
    </row>
    <row r="261" spans="1:19" ht="14.45" customHeight="1" x14ac:dyDescent="0.25">
      <c r="A261" s="6">
        <v>260</v>
      </c>
      <c r="B261" s="6">
        <v>6705101</v>
      </c>
      <c r="C261" t="s">
        <v>844</v>
      </c>
      <c r="D261" s="1" t="s">
        <v>845</v>
      </c>
      <c r="E261" s="21">
        <v>6119.9999999999991</v>
      </c>
      <c r="F261" s="1" t="s">
        <v>233</v>
      </c>
      <c r="G261" s="1" t="s">
        <v>233</v>
      </c>
      <c r="H261" s="6" t="s">
        <v>1951</v>
      </c>
      <c r="I261" s="6" t="s">
        <v>428</v>
      </c>
      <c r="J261" s="6" t="s">
        <v>1849</v>
      </c>
      <c r="K261" s="1">
        <v>0</v>
      </c>
      <c r="L261" s="6" t="s">
        <v>234</v>
      </c>
      <c r="M261" s="1">
        <v>2012</v>
      </c>
      <c r="N261" s="1" t="s">
        <v>1850</v>
      </c>
      <c r="O261" s="1">
        <v>1</v>
      </c>
      <c r="P261" s="1">
        <v>0</v>
      </c>
      <c r="Q261" s="1">
        <v>0</v>
      </c>
      <c r="R261" s="1">
        <v>0</v>
      </c>
      <c r="S261" s="1" t="s">
        <v>235</v>
      </c>
    </row>
    <row r="262" spans="1:19" ht="14.45" customHeight="1" x14ac:dyDescent="0.25">
      <c r="A262" s="6">
        <v>261</v>
      </c>
      <c r="B262" s="6">
        <v>6705101</v>
      </c>
      <c r="C262" t="s">
        <v>844</v>
      </c>
      <c r="D262" s="1" t="s">
        <v>845</v>
      </c>
      <c r="E262" s="21">
        <v>1159.7938144329898</v>
      </c>
      <c r="F262" s="1" t="s">
        <v>233</v>
      </c>
      <c r="G262" s="1" t="s">
        <v>233</v>
      </c>
      <c r="H262" s="6" t="s">
        <v>1951</v>
      </c>
      <c r="I262" s="6" t="s">
        <v>435</v>
      </c>
      <c r="J262" s="6" t="s">
        <v>1853</v>
      </c>
      <c r="K262" s="1">
        <v>0</v>
      </c>
      <c r="L262" s="6" t="s">
        <v>258</v>
      </c>
      <c r="M262" s="1">
        <v>2010</v>
      </c>
      <c r="N262" s="1" t="s">
        <v>237</v>
      </c>
      <c r="O262" s="1">
        <v>0</v>
      </c>
      <c r="P262" s="1">
        <v>0</v>
      </c>
      <c r="Q262" s="1">
        <v>0</v>
      </c>
      <c r="R262" s="1">
        <v>0</v>
      </c>
      <c r="S262" s="1" t="s">
        <v>235</v>
      </c>
    </row>
    <row r="263" spans="1:19" ht="14.45" customHeight="1" x14ac:dyDescent="0.25">
      <c r="A263" s="6">
        <v>262</v>
      </c>
      <c r="B263" s="6">
        <v>6705101</v>
      </c>
      <c r="C263" t="s">
        <v>844</v>
      </c>
      <c r="D263" s="1" t="s">
        <v>845</v>
      </c>
      <c r="E263" s="21">
        <v>1376.2886597938148</v>
      </c>
      <c r="F263" s="1" t="s">
        <v>233</v>
      </c>
      <c r="G263" s="1" t="s">
        <v>233</v>
      </c>
      <c r="H263" s="6" t="s">
        <v>1951</v>
      </c>
      <c r="I263" s="6" t="s">
        <v>435</v>
      </c>
      <c r="J263" s="6" t="s">
        <v>1853</v>
      </c>
      <c r="K263" s="1">
        <v>0</v>
      </c>
      <c r="L263" s="6" t="s">
        <v>249</v>
      </c>
      <c r="M263" s="1">
        <v>2010</v>
      </c>
      <c r="N263" s="1" t="s">
        <v>237</v>
      </c>
      <c r="O263" s="1">
        <v>0</v>
      </c>
      <c r="P263" s="1">
        <v>0</v>
      </c>
      <c r="Q263" s="1">
        <v>0</v>
      </c>
      <c r="R263" s="1">
        <v>0</v>
      </c>
      <c r="S263" s="1" t="s">
        <v>235</v>
      </c>
    </row>
    <row r="264" spans="1:19" ht="14.45" customHeight="1" x14ac:dyDescent="0.25">
      <c r="A264" s="6">
        <v>263</v>
      </c>
      <c r="B264" s="6">
        <v>6707901</v>
      </c>
      <c r="C264" t="s">
        <v>1352</v>
      </c>
      <c r="D264" s="1" t="s">
        <v>845</v>
      </c>
      <c r="E264" s="21">
        <v>2134.0206185567013</v>
      </c>
      <c r="F264" s="1" t="s">
        <v>233</v>
      </c>
      <c r="G264" s="1" t="s">
        <v>233</v>
      </c>
      <c r="H264" s="6" t="s">
        <v>1951</v>
      </c>
      <c r="I264" s="6" t="s">
        <v>435</v>
      </c>
      <c r="J264" s="6" t="s">
        <v>1853</v>
      </c>
      <c r="K264" s="1">
        <v>0</v>
      </c>
      <c r="L264" s="6" t="s">
        <v>249</v>
      </c>
      <c r="M264" s="1">
        <v>2010</v>
      </c>
      <c r="N264" s="1" t="s">
        <v>1859</v>
      </c>
      <c r="O264" s="1">
        <v>0</v>
      </c>
      <c r="P264" s="1">
        <v>0</v>
      </c>
      <c r="Q264" s="1">
        <v>0</v>
      </c>
      <c r="R264" s="1">
        <v>0</v>
      </c>
      <c r="S264" s="1" t="s">
        <v>235</v>
      </c>
    </row>
    <row r="265" spans="1:19" ht="14.45" customHeight="1" x14ac:dyDescent="0.25">
      <c r="A265" s="6">
        <v>264</v>
      </c>
      <c r="B265" s="6">
        <v>6705101</v>
      </c>
      <c r="C265" t="s">
        <v>844</v>
      </c>
      <c r="D265" s="1" t="s">
        <v>845</v>
      </c>
      <c r="E265" s="21">
        <v>145</v>
      </c>
      <c r="F265" s="1" t="s">
        <v>233</v>
      </c>
      <c r="G265" s="1" t="s">
        <v>233</v>
      </c>
      <c r="H265" s="6" t="s">
        <v>1951</v>
      </c>
      <c r="I265" s="6" t="s">
        <v>848</v>
      </c>
      <c r="J265" s="6" t="s">
        <v>1849</v>
      </c>
      <c r="K265" s="1">
        <v>0</v>
      </c>
      <c r="L265" s="6" t="s">
        <v>236</v>
      </c>
      <c r="M265" s="1">
        <v>2011</v>
      </c>
      <c r="N265" s="1" t="s">
        <v>1850</v>
      </c>
      <c r="O265" s="1">
        <v>1</v>
      </c>
      <c r="P265" s="1">
        <v>0</v>
      </c>
      <c r="Q265" s="1">
        <v>0</v>
      </c>
      <c r="R265" s="1">
        <v>0</v>
      </c>
      <c r="S265" s="1" t="s">
        <v>235</v>
      </c>
    </row>
    <row r="266" spans="1:19" ht="14.45" customHeight="1" x14ac:dyDescent="0.25">
      <c r="A266" s="6">
        <v>265</v>
      </c>
      <c r="B266" s="6">
        <v>6705101</v>
      </c>
      <c r="C266" t="s">
        <v>844</v>
      </c>
      <c r="D266" s="1" t="s">
        <v>845</v>
      </c>
      <c r="E266" s="21">
        <v>3300</v>
      </c>
      <c r="F266" s="1" t="s">
        <v>233</v>
      </c>
      <c r="G266" s="1" t="s">
        <v>233</v>
      </c>
      <c r="H266" s="6" t="s">
        <v>1951</v>
      </c>
      <c r="I266" s="6" t="s">
        <v>1972</v>
      </c>
      <c r="J266" s="6" t="s">
        <v>1851</v>
      </c>
      <c r="K266" s="1">
        <v>0</v>
      </c>
      <c r="L266" s="6" t="s">
        <v>239</v>
      </c>
      <c r="M266" s="1">
        <v>1998</v>
      </c>
      <c r="N266" s="1" t="s">
        <v>237</v>
      </c>
      <c r="O266" s="1">
        <v>0</v>
      </c>
      <c r="P266" s="1" t="s">
        <v>1952</v>
      </c>
      <c r="Q266" s="1">
        <v>0</v>
      </c>
      <c r="R266" s="1">
        <v>0</v>
      </c>
      <c r="S266" s="1" t="s">
        <v>235</v>
      </c>
    </row>
    <row r="267" spans="1:19" ht="14.45" customHeight="1" x14ac:dyDescent="0.25">
      <c r="A267" s="6">
        <v>266</v>
      </c>
      <c r="B267" s="6">
        <v>6705101</v>
      </c>
      <c r="C267" t="s">
        <v>844</v>
      </c>
      <c r="D267" s="1" t="s">
        <v>845</v>
      </c>
      <c r="E267" s="21">
        <v>897.1</v>
      </c>
      <c r="F267" s="1" t="s">
        <v>233</v>
      </c>
      <c r="G267" s="1" t="s">
        <v>233</v>
      </c>
      <c r="H267" s="6" t="s">
        <v>1951</v>
      </c>
      <c r="I267" s="6" t="s">
        <v>840</v>
      </c>
      <c r="J267" s="6" t="s">
        <v>1851</v>
      </c>
      <c r="K267" s="1">
        <v>0</v>
      </c>
      <c r="L267" s="6" t="s">
        <v>236</v>
      </c>
      <c r="M267" s="1">
        <v>2012</v>
      </c>
      <c r="N267" s="1" t="s">
        <v>1850</v>
      </c>
      <c r="O267" s="1">
        <v>1</v>
      </c>
      <c r="P267" s="1">
        <v>0</v>
      </c>
      <c r="Q267" s="1">
        <v>0</v>
      </c>
      <c r="R267" s="1">
        <v>0</v>
      </c>
      <c r="S267" s="1" t="s">
        <v>235</v>
      </c>
    </row>
    <row r="268" spans="1:19" ht="14.45" customHeight="1" x14ac:dyDescent="0.25">
      <c r="A268" s="6">
        <v>267</v>
      </c>
      <c r="B268" s="6">
        <v>6705101</v>
      </c>
      <c r="C268" t="s">
        <v>844</v>
      </c>
      <c r="D268" s="1" t="s">
        <v>845</v>
      </c>
      <c r="E268" s="21">
        <v>1278</v>
      </c>
      <c r="F268" s="1" t="s">
        <v>233</v>
      </c>
      <c r="G268" s="1" t="s">
        <v>233</v>
      </c>
      <c r="H268" s="6" t="s">
        <v>1951</v>
      </c>
      <c r="I268" s="6" t="s">
        <v>840</v>
      </c>
      <c r="J268" s="6" t="s">
        <v>1851</v>
      </c>
      <c r="K268" s="1">
        <v>0</v>
      </c>
      <c r="L268" s="6" t="s">
        <v>236</v>
      </c>
      <c r="M268" s="1">
        <v>2012</v>
      </c>
      <c r="N268" s="1" t="s">
        <v>1850</v>
      </c>
      <c r="O268" s="1">
        <v>1</v>
      </c>
      <c r="P268" s="1">
        <v>0</v>
      </c>
      <c r="Q268" s="1">
        <v>0</v>
      </c>
      <c r="R268" s="1">
        <v>0</v>
      </c>
      <c r="S268" s="1" t="s">
        <v>235</v>
      </c>
    </row>
    <row r="269" spans="1:19" ht="14.45" customHeight="1" x14ac:dyDescent="0.25">
      <c r="A269" s="6">
        <v>268</v>
      </c>
      <c r="B269" s="6">
        <v>6705101</v>
      </c>
      <c r="C269" t="s">
        <v>844</v>
      </c>
      <c r="D269" s="1" t="s">
        <v>845</v>
      </c>
      <c r="E269" s="21" t="s">
        <v>237</v>
      </c>
      <c r="F269" s="21">
        <v>96</v>
      </c>
      <c r="G269" s="1" t="s">
        <v>233</v>
      </c>
      <c r="H269" s="6" t="s">
        <v>1951</v>
      </c>
      <c r="I269" s="6" t="s">
        <v>459</v>
      </c>
      <c r="J269" s="6" t="s">
        <v>1852</v>
      </c>
      <c r="K269" s="1">
        <v>0</v>
      </c>
      <c r="L269" s="6" t="s">
        <v>258</v>
      </c>
      <c r="M269" s="1">
        <v>2009</v>
      </c>
      <c r="N269" s="1" t="s">
        <v>237</v>
      </c>
      <c r="O269" s="1">
        <v>0</v>
      </c>
      <c r="P269" s="1">
        <v>0</v>
      </c>
      <c r="Q269" s="1">
        <v>0</v>
      </c>
      <c r="R269" s="1">
        <v>0</v>
      </c>
      <c r="S269" s="1" t="s">
        <v>235</v>
      </c>
    </row>
    <row r="270" spans="1:19" ht="14.45" customHeight="1" x14ac:dyDescent="0.25">
      <c r="A270" s="6">
        <v>269</v>
      </c>
      <c r="B270" s="6">
        <v>6705101</v>
      </c>
      <c r="C270" t="s">
        <v>844</v>
      </c>
      <c r="D270" s="1" t="s">
        <v>845</v>
      </c>
      <c r="E270" s="21" t="s">
        <v>237</v>
      </c>
      <c r="F270" s="21">
        <v>50</v>
      </c>
      <c r="G270" s="1" t="s">
        <v>233</v>
      </c>
      <c r="H270" s="6" t="s">
        <v>1951</v>
      </c>
      <c r="I270" s="6" t="s">
        <v>459</v>
      </c>
      <c r="J270" s="6" t="s">
        <v>1852</v>
      </c>
      <c r="K270" s="1">
        <v>0</v>
      </c>
      <c r="L270" s="6" t="s">
        <v>258</v>
      </c>
      <c r="M270" s="1">
        <v>2009</v>
      </c>
      <c r="N270" s="1" t="s">
        <v>1850</v>
      </c>
      <c r="O270" s="1">
        <v>1</v>
      </c>
      <c r="P270" s="1">
        <v>0</v>
      </c>
      <c r="Q270" s="1">
        <v>0</v>
      </c>
      <c r="R270" s="1">
        <v>0</v>
      </c>
      <c r="S270" s="1" t="s">
        <v>235</v>
      </c>
    </row>
    <row r="271" spans="1:19" ht="14.45" customHeight="1" x14ac:dyDescent="0.25">
      <c r="A271" s="6">
        <v>270</v>
      </c>
      <c r="B271" s="6">
        <v>6705101</v>
      </c>
      <c r="C271" t="s">
        <v>844</v>
      </c>
      <c r="D271" s="1" t="s">
        <v>845</v>
      </c>
      <c r="E271" s="21">
        <v>540</v>
      </c>
      <c r="F271" s="1" t="s">
        <v>233</v>
      </c>
      <c r="G271" s="1" t="s">
        <v>233</v>
      </c>
      <c r="H271" s="6" t="s">
        <v>1954</v>
      </c>
      <c r="I271" s="6" t="s">
        <v>468</v>
      </c>
      <c r="J271" s="6" t="s">
        <v>1849</v>
      </c>
      <c r="K271" s="1">
        <v>0</v>
      </c>
      <c r="L271" s="6" t="s">
        <v>236</v>
      </c>
      <c r="M271" s="1">
        <v>2014</v>
      </c>
      <c r="N271" s="1" t="s">
        <v>237</v>
      </c>
      <c r="O271" s="1">
        <v>0</v>
      </c>
      <c r="P271" s="1">
        <v>0</v>
      </c>
      <c r="Q271" s="1">
        <v>0</v>
      </c>
      <c r="R271" s="1">
        <v>0</v>
      </c>
      <c r="S271" s="1" t="s">
        <v>235</v>
      </c>
    </row>
    <row r="272" spans="1:19" ht="14.45" customHeight="1" x14ac:dyDescent="0.25">
      <c r="A272" s="6">
        <v>271</v>
      </c>
      <c r="B272" s="6">
        <v>6705101</v>
      </c>
      <c r="C272" t="s">
        <v>844</v>
      </c>
      <c r="D272" s="1" t="s">
        <v>845</v>
      </c>
      <c r="E272" s="21">
        <v>280</v>
      </c>
      <c r="F272" s="1" t="s">
        <v>233</v>
      </c>
      <c r="G272" s="1" t="s">
        <v>233</v>
      </c>
      <c r="H272" s="6" t="s">
        <v>1951</v>
      </c>
      <c r="I272" s="6" t="s">
        <v>515</v>
      </c>
      <c r="J272" s="6" t="s">
        <v>1853</v>
      </c>
      <c r="K272" s="1">
        <v>0</v>
      </c>
      <c r="L272" s="6" t="s">
        <v>238</v>
      </c>
      <c r="M272" s="1">
        <v>2011</v>
      </c>
      <c r="N272" s="1" t="s">
        <v>237</v>
      </c>
      <c r="O272" s="1">
        <v>0</v>
      </c>
      <c r="P272" s="1">
        <v>0</v>
      </c>
      <c r="Q272" s="1">
        <v>0</v>
      </c>
      <c r="R272" s="1">
        <v>0</v>
      </c>
      <c r="S272" s="1" t="s">
        <v>235</v>
      </c>
    </row>
    <row r="273" spans="1:19" ht="14.45" customHeight="1" x14ac:dyDescent="0.25">
      <c r="A273" s="6">
        <v>272</v>
      </c>
      <c r="B273" s="6">
        <v>6705101</v>
      </c>
      <c r="C273" t="s">
        <v>844</v>
      </c>
      <c r="D273" s="1" t="s">
        <v>845</v>
      </c>
      <c r="E273" s="21">
        <v>370</v>
      </c>
      <c r="F273" s="1" t="s">
        <v>233</v>
      </c>
      <c r="G273" s="1" t="s">
        <v>233</v>
      </c>
      <c r="H273" s="6" t="s">
        <v>1951</v>
      </c>
      <c r="I273" s="6" t="s">
        <v>515</v>
      </c>
      <c r="J273" s="6" t="s">
        <v>1853</v>
      </c>
      <c r="K273" s="1">
        <v>0</v>
      </c>
      <c r="L273" s="6" t="s">
        <v>258</v>
      </c>
      <c r="M273" s="1">
        <v>2011</v>
      </c>
      <c r="N273" s="1" t="s">
        <v>237</v>
      </c>
      <c r="O273" s="1">
        <v>0</v>
      </c>
      <c r="P273" s="1">
        <v>0</v>
      </c>
      <c r="Q273" s="1">
        <v>0</v>
      </c>
      <c r="R273" s="1">
        <v>0</v>
      </c>
      <c r="S273" s="1" t="s">
        <v>235</v>
      </c>
    </row>
    <row r="274" spans="1:19" ht="14.45" customHeight="1" x14ac:dyDescent="0.25">
      <c r="A274" s="6">
        <v>273</v>
      </c>
      <c r="B274" s="6">
        <v>6705101</v>
      </c>
      <c r="C274" t="s">
        <v>844</v>
      </c>
      <c r="D274" s="1" t="s">
        <v>845</v>
      </c>
      <c r="E274" s="21">
        <v>2800</v>
      </c>
      <c r="F274" s="1" t="s">
        <v>233</v>
      </c>
      <c r="G274" s="1" t="s">
        <v>233</v>
      </c>
      <c r="H274" s="6" t="s">
        <v>1951</v>
      </c>
      <c r="I274" s="6" t="s">
        <v>515</v>
      </c>
      <c r="J274" s="6" t="s">
        <v>1853</v>
      </c>
      <c r="K274" s="1">
        <v>0</v>
      </c>
      <c r="L274" s="6" t="s">
        <v>267</v>
      </c>
      <c r="M274" s="1">
        <v>2011</v>
      </c>
      <c r="N274" s="1" t="s">
        <v>1850</v>
      </c>
      <c r="O274" s="1">
        <v>1</v>
      </c>
      <c r="P274" s="1">
        <v>0</v>
      </c>
      <c r="Q274" s="1">
        <v>0</v>
      </c>
      <c r="R274" s="1">
        <v>0</v>
      </c>
      <c r="S274" s="1" t="s">
        <v>235</v>
      </c>
    </row>
    <row r="275" spans="1:19" ht="14.45" customHeight="1" x14ac:dyDescent="0.25">
      <c r="A275" s="6">
        <v>274</v>
      </c>
      <c r="B275" s="6">
        <v>6705101</v>
      </c>
      <c r="C275" t="s">
        <v>844</v>
      </c>
      <c r="D275" s="1" t="s">
        <v>845</v>
      </c>
      <c r="E275" s="21">
        <v>3700</v>
      </c>
      <c r="F275" s="1" t="s">
        <v>233</v>
      </c>
      <c r="G275" s="1" t="s">
        <v>233</v>
      </c>
      <c r="H275" s="6" t="s">
        <v>1951</v>
      </c>
      <c r="I275" s="6" t="s">
        <v>515</v>
      </c>
      <c r="J275" s="6" t="s">
        <v>1853</v>
      </c>
      <c r="K275" s="1">
        <v>0</v>
      </c>
      <c r="L275" s="6" t="s">
        <v>239</v>
      </c>
      <c r="M275" s="1">
        <v>2011</v>
      </c>
      <c r="N275" s="1" t="s">
        <v>1850</v>
      </c>
      <c r="O275" s="1">
        <v>1</v>
      </c>
      <c r="P275" s="1">
        <v>0</v>
      </c>
      <c r="Q275" s="1">
        <v>0</v>
      </c>
      <c r="R275" s="1">
        <v>0</v>
      </c>
      <c r="S275" s="1" t="s">
        <v>235</v>
      </c>
    </row>
    <row r="276" spans="1:19" ht="14.45" customHeight="1" x14ac:dyDescent="0.25">
      <c r="A276" s="6">
        <v>275</v>
      </c>
      <c r="B276" s="6">
        <v>6705101</v>
      </c>
      <c r="C276" t="s">
        <v>844</v>
      </c>
      <c r="D276" s="1" t="s">
        <v>845</v>
      </c>
      <c r="E276" s="21">
        <v>2881</v>
      </c>
      <c r="F276" s="1" t="s">
        <v>233</v>
      </c>
      <c r="G276" s="1" t="s">
        <v>233</v>
      </c>
      <c r="H276" s="6" t="s">
        <v>1951</v>
      </c>
      <c r="I276" s="6" t="s">
        <v>849</v>
      </c>
      <c r="J276" s="6" t="s">
        <v>1852</v>
      </c>
      <c r="K276" s="1">
        <v>0</v>
      </c>
      <c r="L276" s="6" t="s">
        <v>271</v>
      </c>
      <c r="M276" s="1">
        <v>2012</v>
      </c>
      <c r="N276" s="1" t="s">
        <v>1850</v>
      </c>
      <c r="O276" s="1">
        <v>1</v>
      </c>
      <c r="P276" s="1">
        <v>0</v>
      </c>
      <c r="Q276" s="1">
        <v>0</v>
      </c>
      <c r="R276" s="1">
        <v>0</v>
      </c>
      <c r="S276" s="1" t="s">
        <v>235</v>
      </c>
    </row>
    <row r="277" spans="1:19" ht="14.45" customHeight="1" x14ac:dyDescent="0.25">
      <c r="A277" s="6">
        <v>276</v>
      </c>
      <c r="B277" s="6">
        <v>6707901</v>
      </c>
      <c r="C277" t="s">
        <v>1352</v>
      </c>
      <c r="D277" s="1" t="s">
        <v>845</v>
      </c>
      <c r="E277" s="21">
        <v>172.13114754098362</v>
      </c>
      <c r="F277" s="1" t="s">
        <v>233</v>
      </c>
      <c r="G277" s="1" t="s">
        <v>233</v>
      </c>
      <c r="H277" s="6" t="s">
        <v>1951</v>
      </c>
      <c r="I277" s="6" t="s">
        <v>582</v>
      </c>
      <c r="J277" s="6" t="s">
        <v>1849</v>
      </c>
      <c r="K277" s="1">
        <v>0</v>
      </c>
      <c r="L277" s="6" t="s">
        <v>260</v>
      </c>
      <c r="M277" s="1">
        <v>2010</v>
      </c>
      <c r="N277" s="1" t="s">
        <v>1859</v>
      </c>
      <c r="O277" s="1">
        <v>0</v>
      </c>
      <c r="P277" s="1">
        <v>0</v>
      </c>
      <c r="Q277" s="1">
        <v>0</v>
      </c>
      <c r="R277" s="1">
        <v>0</v>
      </c>
      <c r="S277" s="1" t="s">
        <v>235</v>
      </c>
    </row>
    <row r="278" spans="1:19" ht="14.45" customHeight="1" x14ac:dyDescent="0.25">
      <c r="A278" s="6">
        <v>277</v>
      </c>
      <c r="B278" s="6">
        <v>6705101</v>
      </c>
      <c r="C278" t="s">
        <v>844</v>
      </c>
      <c r="D278" s="1" t="s">
        <v>845</v>
      </c>
      <c r="E278" s="21">
        <v>206.55737704918033</v>
      </c>
      <c r="F278" s="1" t="s">
        <v>233</v>
      </c>
      <c r="G278" s="1" t="s">
        <v>233</v>
      </c>
      <c r="H278" s="6" t="s">
        <v>1951</v>
      </c>
      <c r="I278" s="6" t="s">
        <v>582</v>
      </c>
      <c r="J278" s="6" t="s">
        <v>1849</v>
      </c>
      <c r="K278" s="1">
        <v>0</v>
      </c>
      <c r="L278" s="6" t="s">
        <v>260</v>
      </c>
      <c r="M278" s="1">
        <v>2010</v>
      </c>
      <c r="N278" s="1" t="s">
        <v>237</v>
      </c>
      <c r="O278" s="1">
        <v>0</v>
      </c>
      <c r="P278" s="1">
        <v>0</v>
      </c>
      <c r="Q278" s="1">
        <v>0</v>
      </c>
      <c r="R278" s="1">
        <v>0</v>
      </c>
      <c r="S278" s="1" t="s">
        <v>235</v>
      </c>
    </row>
    <row r="279" spans="1:19" ht="14.45" customHeight="1" x14ac:dyDescent="0.25">
      <c r="A279" s="6">
        <v>278</v>
      </c>
      <c r="B279" s="6">
        <v>6705101</v>
      </c>
      <c r="C279" t="s">
        <v>844</v>
      </c>
      <c r="D279" s="1" t="s">
        <v>845</v>
      </c>
      <c r="E279" s="21" t="s">
        <v>237</v>
      </c>
      <c r="F279" s="21">
        <v>94.369475987211146</v>
      </c>
      <c r="G279" s="1" t="s">
        <v>233</v>
      </c>
      <c r="H279" s="6" t="s">
        <v>1951</v>
      </c>
      <c r="I279" s="6" t="s">
        <v>593</v>
      </c>
      <c r="J279" s="6" t="s">
        <v>1853</v>
      </c>
      <c r="K279" s="1">
        <v>0</v>
      </c>
      <c r="L279" s="6" t="s">
        <v>245</v>
      </c>
      <c r="M279" s="1">
        <v>2011</v>
      </c>
      <c r="N279" s="1" t="s">
        <v>237</v>
      </c>
      <c r="O279" s="1">
        <v>0</v>
      </c>
      <c r="P279" s="1">
        <v>0</v>
      </c>
      <c r="Q279" s="1">
        <v>0</v>
      </c>
      <c r="R279" s="1">
        <v>0</v>
      </c>
      <c r="S279" s="1" t="s">
        <v>251</v>
      </c>
    </row>
    <row r="280" spans="1:19" ht="14.45" customHeight="1" x14ac:dyDescent="0.25">
      <c r="A280" s="6">
        <v>279</v>
      </c>
      <c r="B280" s="6">
        <v>6705101</v>
      </c>
      <c r="C280" t="s">
        <v>844</v>
      </c>
      <c r="D280" s="1" t="s">
        <v>845</v>
      </c>
      <c r="E280" s="21">
        <v>3450</v>
      </c>
      <c r="F280" s="1" t="s">
        <v>233</v>
      </c>
      <c r="G280" s="1" t="s">
        <v>233</v>
      </c>
      <c r="H280" s="6" t="s">
        <v>1951</v>
      </c>
      <c r="I280" s="6" t="s">
        <v>600</v>
      </c>
      <c r="J280" s="6" t="s">
        <v>1852</v>
      </c>
      <c r="K280" s="1">
        <v>0</v>
      </c>
      <c r="L280" s="6" t="s">
        <v>259</v>
      </c>
      <c r="M280" s="1">
        <v>2006</v>
      </c>
      <c r="N280" s="1" t="s">
        <v>1850</v>
      </c>
      <c r="O280" s="1">
        <v>1</v>
      </c>
      <c r="P280" s="1">
        <v>0</v>
      </c>
      <c r="Q280" s="1">
        <v>0</v>
      </c>
      <c r="R280" s="1">
        <v>0</v>
      </c>
      <c r="S280" s="1" t="s">
        <v>235</v>
      </c>
    </row>
    <row r="281" spans="1:19" ht="14.45" customHeight="1" x14ac:dyDescent="0.25">
      <c r="A281" s="6">
        <v>280</v>
      </c>
      <c r="B281" s="6">
        <v>6707901</v>
      </c>
      <c r="C281" t="s">
        <v>1352</v>
      </c>
      <c r="D281" s="1" t="s">
        <v>845</v>
      </c>
      <c r="E281" s="21">
        <v>4920</v>
      </c>
      <c r="F281" s="1" t="s">
        <v>233</v>
      </c>
      <c r="G281" s="1" t="s">
        <v>233</v>
      </c>
      <c r="H281" s="6" t="s">
        <v>1951</v>
      </c>
      <c r="I281" s="6" t="s">
        <v>600</v>
      </c>
      <c r="J281" s="6" t="s">
        <v>1852</v>
      </c>
      <c r="K281" s="1">
        <v>0</v>
      </c>
      <c r="L281" s="6" t="s">
        <v>259</v>
      </c>
      <c r="M281" s="1">
        <v>2006</v>
      </c>
      <c r="N281" s="1" t="s">
        <v>1866</v>
      </c>
      <c r="O281" s="1">
        <v>1</v>
      </c>
      <c r="P281" s="1">
        <v>0</v>
      </c>
      <c r="Q281" s="1">
        <v>0</v>
      </c>
      <c r="R281" s="1">
        <v>0</v>
      </c>
      <c r="S281" s="1" t="s">
        <v>235</v>
      </c>
    </row>
    <row r="282" spans="1:19" ht="14.45" customHeight="1" x14ac:dyDescent="0.25">
      <c r="A282" s="6">
        <v>281</v>
      </c>
      <c r="B282" s="6">
        <v>6705101</v>
      </c>
      <c r="C282" t="s">
        <v>844</v>
      </c>
      <c r="D282" s="1" t="s">
        <v>845</v>
      </c>
      <c r="E282" s="21" t="s">
        <v>237</v>
      </c>
      <c r="F282" s="21">
        <v>16</v>
      </c>
      <c r="G282" s="1" t="s">
        <v>233</v>
      </c>
      <c r="H282" s="6" t="s">
        <v>1951</v>
      </c>
      <c r="I282" s="6" t="s">
        <v>630</v>
      </c>
      <c r="J282" s="6" t="s">
        <v>1849</v>
      </c>
      <c r="K282" s="1">
        <v>0</v>
      </c>
      <c r="L282" s="6" t="s">
        <v>268</v>
      </c>
      <c r="M282" s="1">
        <v>2011</v>
      </c>
      <c r="N282" s="1" t="s">
        <v>237</v>
      </c>
      <c r="O282" s="1">
        <v>0</v>
      </c>
      <c r="P282" s="1">
        <v>0</v>
      </c>
      <c r="Q282" s="1">
        <v>0</v>
      </c>
      <c r="R282" s="1">
        <v>0</v>
      </c>
      <c r="S282" s="1" t="s">
        <v>235</v>
      </c>
    </row>
    <row r="283" spans="1:19" ht="14.45" customHeight="1" x14ac:dyDescent="0.25">
      <c r="A283" s="6">
        <v>282</v>
      </c>
      <c r="B283" s="6">
        <v>6705101</v>
      </c>
      <c r="C283" t="s">
        <v>844</v>
      </c>
      <c r="D283" s="1" t="s">
        <v>845</v>
      </c>
      <c r="E283" s="21">
        <v>660</v>
      </c>
      <c r="F283" s="21">
        <v>5</v>
      </c>
      <c r="G283" s="1" t="s">
        <v>233</v>
      </c>
      <c r="H283" s="6" t="s">
        <v>1951</v>
      </c>
      <c r="I283" s="6" t="s">
        <v>631</v>
      </c>
      <c r="J283" s="6" t="s">
        <v>1849</v>
      </c>
      <c r="K283" s="1">
        <v>0</v>
      </c>
      <c r="L283" s="6" t="s">
        <v>268</v>
      </c>
      <c r="M283" s="1">
        <v>2012</v>
      </c>
      <c r="N283" s="1" t="s">
        <v>237</v>
      </c>
      <c r="O283" s="1">
        <v>0</v>
      </c>
      <c r="P283" s="1">
        <v>0</v>
      </c>
      <c r="Q283" s="1" t="s">
        <v>1953</v>
      </c>
      <c r="R283" s="1">
        <v>0</v>
      </c>
      <c r="S283" s="1" t="s">
        <v>235</v>
      </c>
    </row>
    <row r="284" spans="1:19" ht="14.45" customHeight="1" x14ac:dyDescent="0.25">
      <c r="A284" s="6">
        <v>283</v>
      </c>
      <c r="B284" s="6">
        <v>6705101</v>
      </c>
      <c r="C284" t="s">
        <v>844</v>
      </c>
      <c r="D284" s="1" t="s">
        <v>845</v>
      </c>
      <c r="E284" s="21">
        <v>1376.6666666666667</v>
      </c>
      <c r="F284" s="21">
        <v>32.723333333333336</v>
      </c>
      <c r="G284" s="1" t="s">
        <v>233</v>
      </c>
      <c r="H284" s="6" t="s">
        <v>1951</v>
      </c>
      <c r="I284" s="6" t="s">
        <v>631</v>
      </c>
      <c r="J284" s="6" t="s">
        <v>1849</v>
      </c>
      <c r="K284" s="1">
        <v>0</v>
      </c>
      <c r="L284" s="6" t="s">
        <v>268</v>
      </c>
      <c r="M284" s="1">
        <v>2012</v>
      </c>
      <c r="N284" s="1" t="s">
        <v>1850</v>
      </c>
      <c r="O284" s="1">
        <v>1</v>
      </c>
      <c r="P284" s="1">
        <v>0</v>
      </c>
      <c r="Q284" s="1">
        <v>0</v>
      </c>
      <c r="R284" s="1">
        <v>0</v>
      </c>
      <c r="S284" s="1" t="s">
        <v>235</v>
      </c>
    </row>
    <row r="285" spans="1:19" ht="14.45" customHeight="1" x14ac:dyDescent="0.25">
      <c r="A285" s="6">
        <v>284</v>
      </c>
      <c r="B285" s="6">
        <v>6705101</v>
      </c>
      <c r="C285" t="s">
        <v>844</v>
      </c>
      <c r="D285" s="1" t="s">
        <v>845</v>
      </c>
      <c r="E285" s="21">
        <v>1420</v>
      </c>
      <c r="F285" s="1" t="s">
        <v>233</v>
      </c>
      <c r="G285" s="19">
        <v>0.8</v>
      </c>
      <c r="H285" s="6" t="s">
        <v>1951</v>
      </c>
      <c r="I285" s="6" t="s">
        <v>850</v>
      </c>
      <c r="J285" s="6" t="s">
        <v>1849</v>
      </c>
      <c r="K285" s="1">
        <v>0</v>
      </c>
      <c r="L285" s="6" t="s">
        <v>258</v>
      </c>
      <c r="M285" s="1">
        <v>2010</v>
      </c>
      <c r="N285" s="1" t="s">
        <v>237</v>
      </c>
      <c r="O285" s="1">
        <v>0</v>
      </c>
      <c r="P285" s="1">
        <v>0</v>
      </c>
      <c r="Q285" s="1">
        <v>0</v>
      </c>
      <c r="R285" s="1">
        <v>0</v>
      </c>
      <c r="S285" s="1" t="s">
        <v>235</v>
      </c>
    </row>
    <row r="286" spans="1:19" ht="14.45" customHeight="1" x14ac:dyDescent="0.25">
      <c r="A286" s="6">
        <v>285</v>
      </c>
      <c r="B286" s="6">
        <v>6705101</v>
      </c>
      <c r="C286" t="s">
        <v>844</v>
      </c>
      <c r="D286" s="1" t="s">
        <v>845</v>
      </c>
      <c r="E286" s="21">
        <v>1440</v>
      </c>
      <c r="F286" s="1" t="s">
        <v>233</v>
      </c>
      <c r="G286" s="19">
        <v>0.8</v>
      </c>
      <c r="H286" s="6" t="s">
        <v>1951</v>
      </c>
      <c r="I286" s="6" t="s">
        <v>850</v>
      </c>
      <c r="J286" s="6" t="s">
        <v>1849</v>
      </c>
      <c r="K286" s="1">
        <v>0</v>
      </c>
      <c r="L286" s="6" t="s">
        <v>258</v>
      </c>
      <c r="M286" s="1">
        <v>2010</v>
      </c>
      <c r="N286" s="1" t="s">
        <v>1850</v>
      </c>
      <c r="O286" s="1">
        <v>1</v>
      </c>
      <c r="P286" s="1">
        <v>0</v>
      </c>
      <c r="Q286" s="1">
        <v>0</v>
      </c>
      <c r="R286" s="1">
        <v>0</v>
      </c>
      <c r="S286" s="1" t="s">
        <v>235</v>
      </c>
    </row>
    <row r="287" spans="1:19" ht="14.45" customHeight="1" x14ac:dyDescent="0.25">
      <c r="A287" s="6">
        <v>286</v>
      </c>
      <c r="B287" s="6">
        <v>6707901</v>
      </c>
      <c r="C287" t="s">
        <v>1352</v>
      </c>
      <c r="D287" s="1" t="s">
        <v>845</v>
      </c>
      <c r="E287" s="21">
        <v>172.4</v>
      </c>
      <c r="F287" s="1" t="s">
        <v>233</v>
      </c>
      <c r="G287" s="1" t="s">
        <v>233</v>
      </c>
      <c r="H287" s="6" t="s">
        <v>1951</v>
      </c>
      <c r="I287" s="6" t="s">
        <v>644</v>
      </c>
      <c r="J287" s="6" t="s">
        <v>1849</v>
      </c>
      <c r="K287" s="1">
        <v>0</v>
      </c>
      <c r="L287" s="6" t="s">
        <v>258</v>
      </c>
      <c r="M287" s="1">
        <v>2010</v>
      </c>
      <c r="N287" s="1" t="s">
        <v>1859</v>
      </c>
      <c r="O287" s="1">
        <v>0</v>
      </c>
      <c r="P287" s="1">
        <v>0</v>
      </c>
      <c r="Q287" s="1">
        <v>0</v>
      </c>
      <c r="R287" s="1">
        <v>0</v>
      </c>
      <c r="S287" s="1" t="s">
        <v>235</v>
      </c>
    </row>
    <row r="288" spans="1:19" ht="14.45" customHeight="1" x14ac:dyDescent="0.25">
      <c r="A288" s="6">
        <v>287</v>
      </c>
      <c r="B288" s="6">
        <v>6705101</v>
      </c>
      <c r="C288" t="s">
        <v>844</v>
      </c>
      <c r="D288" s="1" t="s">
        <v>845</v>
      </c>
      <c r="E288" s="21">
        <v>250</v>
      </c>
      <c r="F288" s="1" t="s">
        <v>233</v>
      </c>
      <c r="G288" s="1" t="s">
        <v>233</v>
      </c>
      <c r="H288" s="6" t="s">
        <v>1951</v>
      </c>
      <c r="I288" s="6" t="s">
        <v>851</v>
      </c>
      <c r="J288" s="6" t="s">
        <v>1852</v>
      </c>
      <c r="K288" s="1">
        <v>0</v>
      </c>
      <c r="L288" s="6" t="s">
        <v>258</v>
      </c>
      <c r="M288" s="1">
        <v>2012</v>
      </c>
      <c r="N288" s="1" t="s">
        <v>1850</v>
      </c>
      <c r="O288" s="1">
        <v>1</v>
      </c>
      <c r="P288" s="1">
        <v>0</v>
      </c>
      <c r="Q288" s="1">
        <v>0</v>
      </c>
      <c r="R288" s="1">
        <v>0</v>
      </c>
      <c r="S288" s="1" t="s">
        <v>235</v>
      </c>
    </row>
    <row r="289" spans="1:19" ht="14.45" customHeight="1" x14ac:dyDescent="0.25">
      <c r="A289" s="6">
        <v>288</v>
      </c>
      <c r="B289" s="6">
        <v>6705101</v>
      </c>
      <c r="C289" t="s">
        <v>844</v>
      </c>
      <c r="D289" s="1" t="s">
        <v>845</v>
      </c>
      <c r="E289" s="21">
        <v>250</v>
      </c>
      <c r="F289" s="1" t="s">
        <v>233</v>
      </c>
      <c r="G289" s="1" t="s">
        <v>233</v>
      </c>
      <c r="H289" s="6" t="s">
        <v>1951</v>
      </c>
      <c r="I289" s="6" t="s">
        <v>852</v>
      </c>
      <c r="J289" s="6" t="s">
        <v>1852</v>
      </c>
      <c r="K289" s="1">
        <v>0</v>
      </c>
      <c r="L289" s="6" t="s">
        <v>258</v>
      </c>
      <c r="M289" s="1">
        <v>2012</v>
      </c>
      <c r="N289" s="1" t="s">
        <v>1850</v>
      </c>
      <c r="O289" s="1">
        <v>1</v>
      </c>
      <c r="P289" s="1">
        <v>0</v>
      </c>
      <c r="Q289" s="1">
        <v>0</v>
      </c>
      <c r="R289" s="1">
        <v>0</v>
      </c>
      <c r="S289" s="1" t="s">
        <v>235</v>
      </c>
    </row>
    <row r="290" spans="1:19" ht="14.45" customHeight="1" x14ac:dyDescent="0.25">
      <c r="A290" s="6">
        <v>289</v>
      </c>
      <c r="B290" s="6">
        <v>6705101</v>
      </c>
      <c r="C290" t="s">
        <v>844</v>
      </c>
      <c r="D290" s="1" t="s">
        <v>845</v>
      </c>
      <c r="E290" s="21">
        <v>293</v>
      </c>
      <c r="F290" s="1" t="s">
        <v>233</v>
      </c>
      <c r="G290" s="1" t="s">
        <v>233</v>
      </c>
      <c r="H290" s="6" t="s">
        <v>1951</v>
      </c>
      <c r="I290" s="6" t="s">
        <v>698</v>
      </c>
      <c r="J290" s="6" t="s">
        <v>1849</v>
      </c>
      <c r="K290" s="1">
        <v>0</v>
      </c>
      <c r="L290" s="6" t="s">
        <v>258</v>
      </c>
      <c r="M290" s="1">
        <v>2014</v>
      </c>
      <c r="N290" s="1" t="s">
        <v>1850</v>
      </c>
      <c r="O290" s="1">
        <v>1</v>
      </c>
      <c r="P290" s="1">
        <v>0</v>
      </c>
      <c r="Q290" s="1">
        <v>0</v>
      </c>
      <c r="R290" s="1">
        <v>0</v>
      </c>
      <c r="S290" s="1" t="s">
        <v>235</v>
      </c>
    </row>
    <row r="291" spans="1:19" ht="14.45" customHeight="1" x14ac:dyDescent="0.25">
      <c r="A291" s="6">
        <v>290</v>
      </c>
      <c r="B291" s="6">
        <v>6705101</v>
      </c>
      <c r="C291" t="s">
        <v>844</v>
      </c>
      <c r="D291" s="1" t="s">
        <v>845</v>
      </c>
      <c r="E291" s="21" t="s">
        <v>237</v>
      </c>
      <c r="F291" s="1" t="s">
        <v>233</v>
      </c>
      <c r="G291" s="19">
        <v>0.8</v>
      </c>
      <c r="H291" s="6" t="s">
        <v>1951</v>
      </c>
      <c r="I291" s="6" t="s">
        <v>720</v>
      </c>
      <c r="J291" s="6" t="s">
        <v>1849</v>
      </c>
      <c r="K291" s="1">
        <v>0</v>
      </c>
      <c r="L291" s="6" t="s">
        <v>255</v>
      </c>
      <c r="M291" s="1">
        <v>2006</v>
      </c>
      <c r="N291" s="1" t="s">
        <v>1850</v>
      </c>
      <c r="O291" s="1">
        <v>1</v>
      </c>
      <c r="P291" s="1">
        <v>0</v>
      </c>
      <c r="Q291" s="1">
        <v>0</v>
      </c>
      <c r="R291" s="1">
        <v>0</v>
      </c>
      <c r="S291" s="1" t="s">
        <v>235</v>
      </c>
    </row>
    <row r="292" spans="1:19" ht="14.45" customHeight="1" x14ac:dyDescent="0.25">
      <c r="A292" s="6">
        <v>291</v>
      </c>
      <c r="B292" s="6">
        <v>6705101</v>
      </c>
      <c r="C292" t="s">
        <v>844</v>
      </c>
      <c r="D292" s="1" t="s">
        <v>845</v>
      </c>
      <c r="E292" s="21">
        <v>740</v>
      </c>
      <c r="F292" s="1" t="s">
        <v>233</v>
      </c>
      <c r="G292" s="1" t="s">
        <v>233</v>
      </c>
      <c r="H292" s="6" t="s">
        <v>1951</v>
      </c>
      <c r="I292" s="6" t="s">
        <v>766</v>
      </c>
      <c r="J292" s="6" t="s">
        <v>1854</v>
      </c>
      <c r="K292" s="1">
        <v>1</v>
      </c>
      <c r="L292" s="6" t="s">
        <v>242</v>
      </c>
      <c r="M292" s="1">
        <v>2008</v>
      </c>
      <c r="N292" s="1" t="s">
        <v>237</v>
      </c>
      <c r="O292" s="1">
        <v>0</v>
      </c>
      <c r="P292" s="1">
        <v>0</v>
      </c>
      <c r="Q292" s="1">
        <v>0</v>
      </c>
      <c r="R292" s="1">
        <v>0</v>
      </c>
      <c r="S292" s="1" t="s">
        <v>235</v>
      </c>
    </row>
    <row r="293" spans="1:19" ht="14.45" customHeight="1" x14ac:dyDescent="0.25">
      <c r="A293" s="6">
        <v>292</v>
      </c>
      <c r="B293" s="6">
        <v>6705101</v>
      </c>
      <c r="C293" t="s">
        <v>844</v>
      </c>
      <c r="D293" s="1" t="s">
        <v>845</v>
      </c>
      <c r="E293" s="21">
        <v>1708</v>
      </c>
      <c r="F293" s="1" t="s">
        <v>233</v>
      </c>
      <c r="G293" s="1" t="s">
        <v>233</v>
      </c>
      <c r="H293" s="6" t="s">
        <v>1951</v>
      </c>
      <c r="I293" s="6" t="s">
        <v>766</v>
      </c>
      <c r="J293" s="6" t="s">
        <v>1854</v>
      </c>
      <c r="K293" s="1">
        <v>1</v>
      </c>
      <c r="L293" s="6" t="s">
        <v>242</v>
      </c>
      <c r="M293" s="1">
        <v>2008</v>
      </c>
      <c r="N293" s="1" t="s">
        <v>1850</v>
      </c>
      <c r="O293" s="1">
        <v>1</v>
      </c>
      <c r="P293" s="1">
        <v>0</v>
      </c>
      <c r="Q293" s="1">
        <v>0</v>
      </c>
      <c r="R293" s="1">
        <v>0</v>
      </c>
      <c r="S293" s="1" t="s">
        <v>235</v>
      </c>
    </row>
    <row r="294" spans="1:19" ht="14.45" customHeight="1" x14ac:dyDescent="0.25">
      <c r="A294" s="6">
        <v>293</v>
      </c>
      <c r="B294" s="6">
        <v>6705301</v>
      </c>
      <c r="C294" t="s">
        <v>854</v>
      </c>
      <c r="D294" s="1" t="s">
        <v>855</v>
      </c>
      <c r="E294" s="21">
        <v>475.23</v>
      </c>
      <c r="F294" s="1" t="s">
        <v>233</v>
      </c>
      <c r="G294" s="1" t="s">
        <v>233</v>
      </c>
      <c r="H294" s="6" t="s">
        <v>1951</v>
      </c>
      <c r="I294" s="6" t="s">
        <v>533</v>
      </c>
      <c r="J294" s="6" t="s">
        <v>1849</v>
      </c>
      <c r="K294" s="1">
        <v>0</v>
      </c>
      <c r="L294" s="6" t="s">
        <v>268</v>
      </c>
      <c r="M294" s="1">
        <v>2012</v>
      </c>
      <c r="N294" s="1" t="s">
        <v>237</v>
      </c>
      <c r="O294" s="1">
        <v>0</v>
      </c>
      <c r="P294" s="1">
        <v>0</v>
      </c>
      <c r="Q294" s="1">
        <v>0</v>
      </c>
      <c r="R294" s="1">
        <v>0</v>
      </c>
      <c r="S294" s="1" t="s">
        <v>235</v>
      </c>
    </row>
    <row r="295" spans="1:19" ht="14.45" customHeight="1" x14ac:dyDescent="0.25">
      <c r="A295" s="6">
        <v>294</v>
      </c>
      <c r="B295" s="6">
        <v>6705401</v>
      </c>
      <c r="C295" t="s">
        <v>856</v>
      </c>
      <c r="D295" s="1" t="s">
        <v>857</v>
      </c>
      <c r="E295" s="21">
        <v>141</v>
      </c>
      <c r="F295" s="1" t="s">
        <v>233</v>
      </c>
      <c r="G295" s="1" t="s">
        <v>233</v>
      </c>
      <c r="H295" s="6" t="s">
        <v>1951</v>
      </c>
      <c r="I295" s="6" t="s">
        <v>737</v>
      </c>
      <c r="J295" s="6" t="s">
        <v>1854</v>
      </c>
      <c r="K295" s="1">
        <v>1</v>
      </c>
      <c r="L295" s="6" t="s">
        <v>246</v>
      </c>
      <c r="M295" s="1">
        <v>2010</v>
      </c>
      <c r="N295" s="1" t="s">
        <v>237</v>
      </c>
      <c r="O295" s="1">
        <v>0</v>
      </c>
      <c r="P295" s="1">
        <v>0</v>
      </c>
      <c r="Q295" s="1">
        <v>0</v>
      </c>
      <c r="R295" s="1">
        <v>0</v>
      </c>
      <c r="S295" s="1" t="s">
        <v>235</v>
      </c>
    </row>
    <row r="296" spans="1:19" ht="14.45" customHeight="1" x14ac:dyDescent="0.25">
      <c r="A296" s="6">
        <v>295</v>
      </c>
      <c r="B296" s="6">
        <v>6705701</v>
      </c>
      <c r="C296" t="s">
        <v>858</v>
      </c>
      <c r="D296" s="1" t="s">
        <v>859</v>
      </c>
      <c r="E296" s="21">
        <v>100</v>
      </c>
      <c r="F296" s="1" t="s">
        <v>233</v>
      </c>
      <c r="G296" s="1" t="s">
        <v>233</v>
      </c>
      <c r="H296" s="6" t="s">
        <v>1951</v>
      </c>
      <c r="I296" s="6" t="s">
        <v>515</v>
      </c>
      <c r="J296" s="6" t="s">
        <v>1853</v>
      </c>
      <c r="K296" s="1">
        <v>0</v>
      </c>
      <c r="L296" s="6" t="s">
        <v>239</v>
      </c>
      <c r="M296" s="1">
        <v>2011</v>
      </c>
      <c r="N296" s="1" t="s">
        <v>237</v>
      </c>
      <c r="O296" s="1">
        <v>0</v>
      </c>
      <c r="P296" s="1">
        <v>0</v>
      </c>
      <c r="Q296" s="1">
        <v>0</v>
      </c>
      <c r="R296" s="1">
        <v>0</v>
      </c>
      <c r="S296" s="1" t="s">
        <v>235</v>
      </c>
    </row>
    <row r="297" spans="1:19" ht="14.45" customHeight="1" x14ac:dyDescent="0.25">
      <c r="A297" s="6">
        <v>296</v>
      </c>
      <c r="B297" s="6">
        <v>6705701</v>
      </c>
      <c r="C297" t="s">
        <v>858</v>
      </c>
      <c r="D297" s="1" t="s">
        <v>859</v>
      </c>
      <c r="E297" s="21" t="s">
        <v>237</v>
      </c>
      <c r="F297" s="21">
        <v>465.48330790858756</v>
      </c>
      <c r="G297" s="1" t="s">
        <v>233</v>
      </c>
      <c r="H297" s="6" t="s">
        <v>1951</v>
      </c>
      <c r="I297" s="6" t="s">
        <v>593</v>
      </c>
      <c r="J297" s="6" t="s">
        <v>1853</v>
      </c>
      <c r="K297" s="1">
        <v>0</v>
      </c>
      <c r="L297" s="6" t="s">
        <v>245</v>
      </c>
      <c r="M297" s="1">
        <v>2011</v>
      </c>
      <c r="N297" s="1" t="s">
        <v>237</v>
      </c>
      <c r="O297" s="1">
        <v>0</v>
      </c>
      <c r="P297" s="1">
        <v>0</v>
      </c>
      <c r="Q297" s="1">
        <v>0</v>
      </c>
      <c r="R297" s="1">
        <v>0</v>
      </c>
      <c r="S297" s="1" t="s">
        <v>251</v>
      </c>
    </row>
    <row r="298" spans="1:19" ht="14.45" customHeight="1" x14ac:dyDescent="0.25">
      <c r="A298" s="6">
        <v>297</v>
      </c>
      <c r="B298" s="6">
        <v>6705701</v>
      </c>
      <c r="C298" t="s">
        <v>858</v>
      </c>
      <c r="D298" s="1" t="s">
        <v>859</v>
      </c>
      <c r="E298" s="21" t="s">
        <v>237</v>
      </c>
      <c r="F298" s="21">
        <v>465.48330790858756</v>
      </c>
      <c r="G298" s="1" t="s">
        <v>233</v>
      </c>
      <c r="H298" s="6" t="s">
        <v>1951</v>
      </c>
      <c r="I298" s="6" t="s">
        <v>593</v>
      </c>
      <c r="J298" s="6" t="s">
        <v>1853</v>
      </c>
      <c r="K298" s="1">
        <v>0</v>
      </c>
      <c r="L298" s="6" t="s">
        <v>245</v>
      </c>
      <c r="M298" s="1">
        <v>2011</v>
      </c>
      <c r="N298" s="1" t="s">
        <v>237</v>
      </c>
      <c r="O298" s="1">
        <v>0</v>
      </c>
      <c r="P298" s="1">
        <v>0</v>
      </c>
      <c r="Q298" s="1">
        <v>0</v>
      </c>
      <c r="R298" s="1">
        <v>0</v>
      </c>
      <c r="S298" s="1" t="s">
        <v>251</v>
      </c>
    </row>
    <row r="299" spans="1:19" ht="14.45" customHeight="1" x14ac:dyDescent="0.25">
      <c r="A299" s="6">
        <v>298</v>
      </c>
      <c r="B299" s="6">
        <v>6705701</v>
      </c>
      <c r="C299" t="s">
        <v>858</v>
      </c>
      <c r="D299" s="1" t="s">
        <v>859</v>
      </c>
      <c r="E299" s="21">
        <v>382</v>
      </c>
      <c r="F299" s="1" t="s">
        <v>233</v>
      </c>
      <c r="G299" s="1" t="s">
        <v>233</v>
      </c>
      <c r="H299" s="6" t="s">
        <v>1951</v>
      </c>
      <c r="I299" s="6" t="s">
        <v>600</v>
      </c>
      <c r="J299" s="6" t="s">
        <v>1852</v>
      </c>
      <c r="K299" s="1">
        <v>0</v>
      </c>
      <c r="L299" s="6" t="s">
        <v>259</v>
      </c>
      <c r="M299" s="1">
        <v>2006</v>
      </c>
      <c r="N299" s="1" t="s">
        <v>237</v>
      </c>
      <c r="O299" s="1">
        <v>0</v>
      </c>
      <c r="P299" s="1">
        <v>0</v>
      </c>
      <c r="Q299" s="1">
        <v>0</v>
      </c>
      <c r="R299" s="1">
        <v>0</v>
      </c>
      <c r="S299" s="1" t="s">
        <v>235</v>
      </c>
    </row>
    <row r="300" spans="1:19" ht="14.45" customHeight="1" x14ac:dyDescent="0.25">
      <c r="A300" s="6">
        <v>299</v>
      </c>
      <c r="B300" s="6">
        <v>6705701</v>
      </c>
      <c r="C300" t="s">
        <v>858</v>
      </c>
      <c r="D300" s="1" t="s">
        <v>859</v>
      </c>
      <c r="E300" s="21">
        <v>170</v>
      </c>
      <c r="F300" s="1" t="s">
        <v>233</v>
      </c>
      <c r="G300" s="1" t="s">
        <v>233</v>
      </c>
      <c r="H300" s="6" t="s">
        <v>1951</v>
      </c>
      <c r="I300" s="6" t="s">
        <v>672</v>
      </c>
      <c r="J300" s="6" t="s">
        <v>1849</v>
      </c>
      <c r="K300" s="1">
        <v>0</v>
      </c>
      <c r="L300" s="6" t="s">
        <v>234</v>
      </c>
      <c r="M300" s="1">
        <v>2006</v>
      </c>
      <c r="N300" s="1" t="s">
        <v>237</v>
      </c>
      <c r="O300" s="1">
        <v>0</v>
      </c>
      <c r="P300" s="1">
        <v>0</v>
      </c>
      <c r="Q300" s="1">
        <v>0</v>
      </c>
      <c r="R300" s="1">
        <v>0</v>
      </c>
      <c r="S300" s="1" t="s">
        <v>235</v>
      </c>
    </row>
    <row r="301" spans="1:19" ht="14.45" customHeight="1" x14ac:dyDescent="0.25">
      <c r="A301" s="6">
        <v>300</v>
      </c>
      <c r="B301" s="6">
        <v>6705701</v>
      </c>
      <c r="C301" t="s">
        <v>858</v>
      </c>
      <c r="D301" s="1" t="s">
        <v>859</v>
      </c>
      <c r="E301" s="21">
        <v>184.6</v>
      </c>
      <c r="F301" s="1" t="s">
        <v>233</v>
      </c>
      <c r="G301" s="1" t="s">
        <v>233</v>
      </c>
      <c r="H301" s="6" t="s">
        <v>1951</v>
      </c>
      <c r="I301" s="6" t="s">
        <v>672</v>
      </c>
      <c r="J301" s="6" t="s">
        <v>1849</v>
      </c>
      <c r="K301" s="1">
        <v>0</v>
      </c>
      <c r="L301" s="6" t="s">
        <v>272</v>
      </c>
      <c r="M301" s="1">
        <v>2006</v>
      </c>
      <c r="N301" s="1" t="s">
        <v>237</v>
      </c>
      <c r="O301" s="1">
        <v>0</v>
      </c>
      <c r="P301" s="1">
        <v>0</v>
      </c>
      <c r="Q301" s="1">
        <v>0</v>
      </c>
      <c r="R301" s="1">
        <v>0</v>
      </c>
      <c r="S301" s="1" t="s">
        <v>235</v>
      </c>
    </row>
    <row r="302" spans="1:19" ht="14.45" customHeight="1" x14ac:dyDescent="0.25">
      <c r="A302" s="6">
        <v>301</v>
      </c>
      <c r="B302" s="6">
        <v>6705701</v>
      </c>
      <c r="C302" t="s">
        <v>858</v>
      </c>
      <c r="D302" s="1" t="s">
        <v>859</v>
      </c>
      <c r="E302" s="21" t="s">
        <v>237</v>
      </c>
      <c r="F302" s="1" t="s">
        <v>233</v>
      </c>
      <c r="G302" s="19">
        <v>1.2</v>
      </c>
      <c r="H302" s="6" t="s">
        <v>1951</v>
      </c>
      <c r="I302" s="6" t="s">
        <v>720</v>
      </c>
      <c r="J302" s="6" t="s">
        <v>1849</v>
      </c>
      <c r="K302" s="1">
        <v>0</v>
      </c>
      <c r="L302" s="6" t="s">
        <v>255</v>
      </c>
      <c r="M302" s="1">
        <v>2006</v>
      </c>
      <c r="N302" s="1" t="s">
        <v>237</v>
      </c>
      <c r="O302" s="1">
        <v>0</v>
      </c>
      <c r="P302" s="1">
        <v>0</v>
      </c>
      <c r="Q302" s="1">
        <v>0</v>
      </c>
      <c r="R302" s="1">
        <v>0</v>
      </c>
      <c r="S302" s="1" t="s">
        <v>235</v>
      </c>
    </row>
    <row r="303" spans="1:19" ht="14.45" customHeight="1" x14ac:dyDescent="0.25">
      <c r="A303" s="6">
        <v>302</v>
      </c>
      <c r="B303" s="6">
        <v>6705701</v>
      </c>
      <c r="C303" t="s">
        <v>858</v>
      </c>
      <c r="D303" s="1" t="s">
        <v>859</v>
      </c>
      <c r="E303" s="21">
        <v>280</v>
      </c>
      <c r="F303" s="1" t="s">
        <v>233</v>
      </c>
      <c r="G303" s="1" t="s">
        <v>233</v>
      </c>
      <c r="H303" s="6" t="s">
        <v>1951</v>
      </c>
      <c r="I303" s="6" t="s">
        <v>766</v>
      </c>
      <c r="J303" s="6" t="s">
        <v>1854</v>
      </c>
      <c r="K303" s="1">
        <v>1</v>
      </c>
      <c r="L303" s="6" t="s">
        <v>242</v>
      </c>
      <c r="M303" s="1">
        <v>2008</v>
      </c>
      <c r="N303" s="1" t="s">
        <v>237</v>
      </c>
      <c r="O303" s="1">
        <v>0</v>
      </c>
      <c r="P303" s="1">
        <v>0</v>
      </c>
      <c r="Q303" s="1">
        <v>0</v>
      </c>
      <c r="R303" s="1">
        <v>0</v>
      </c>
      <c r="S303" s="1" t="s">
        <v>235</v>
      </c>
    </row>
    <row r="304" spans="1:19" ht="14.45" customHeight="1" x14ac:dyDescent="0.25">
      <c r="A304" s="6">
        <v>303</v>
      </c>
      <c r="B304" s="6">
        <v>6706102</v>
      </c>
      <c r="C304" t="s">
        <v>860</v>
      </c>
      <c r="D304" s="1" t="s">
        <v>861</v>
      </c>
      <c r="E304" s="21" t="s">
        <v>237</v>
      </c>
      <c r="F304" s="1" t="s">
        <v>233</v>
      </c>
      <c r="G304" s="19">
        <v>5</v>
      </c>
      <c r="H304" s="6" t="s">
        <v>1951</v>
      </c>
      <c r="I304" s="6" t="s">
        <v>465</v>
      </c>
      <c r="J304" s="6" t="s">
        <v>1849</v>
      </c>
      <c r="K304" s="1">
        <v>0</v>
      </c>
      <c r="L304" s="6" t="s">
        <v>234</v>
      </c>
      <c r="M304" s="1">
        <v>2007</v>
      </c>
      <c r="N304" s="1" t="s">
        <v>1867</v>
      </c>
      <c r="O304" s="1">
        <v>0</v>
      </c>
      <c r="P304" s="1">
        <v>0</v>
      </c>
      <c r="Q304" s="1">
        <v>0</v>
      </c>
      <c r="R304" s="1">
        <v>0</v>
      </c>
      <c r="S304" s="1" t="s">
        <v>235</v>
      </c>
    </row>
    <row r="305" spans="1:19" ht="14.45" customHeight="1" x14ac:dyDescent="0.25">
      <c r="A305" s="6">
        <v>304</v>
      </c>
      <c r="B305" s="6">
        <v>6706102</v>
      </c>
      <c r="C305" t="s">
        <v>860</v>
      </c>
      <c r="D305" s="1" t="s">
        <v>861</v>
      </c>
      <c r="E305" s="21" t="s">
        <v>237</v>
      </c>
      <c r="F305" s="21">
        <v>452.24841777751669</v>
      </c>
      <c r="G305" s="1" t="s">
        <v>233</v>
      </c>
      <c r="H305" s="6" t="s">
        <v>1951</v>
      </c>
      <c r="I305" s="6" t="s">
        <v>593</v>
      </c>
      <c r="J305" s="6" t="s">
        <v>1853</v>
      </c>
      <c r="K305" s="1">
        <v>0</v>
      </c>
      <c r="L305" s="6" t="s">
        <v>245</v>
      </c>
      <c r="M305" s="1">
        <v>2011</v>
      </c>
      <c r="N305" s="1" t="s">
        <v>1857</v>
      </c>
      <c r="O305" s="1">
        <v>1</v>
      </c>
      <c r="P305" s="1">
        <v>0</v>
      </c>
      <c r="Q305" s="1">
        <v>0</v>
      </c>
      <c r="R305" s="1">
        <v>0</v>
      </c>
      <c r="S305" s="1" t="s">
        <v>251</v>
      </c>
    </row>
    <row r="306" spans="1:19" ht="14.45" customHeight="1" x14ac:dyDescent="0.25">
      <c r="A306" s="6">
        <v>305</v>
      </c>
      <c r="B306" s="6">
        <v>6706201</v>
      </c>
      <c r="C306" t="s">
        <v>862</v>
      </c>
      <c r="D306" s="1" t="s">
        <v>863</v>
      </c>
      <c r="E306" s="21" t="s">
        <v>237</v>
      </c>
      <c r="F306" s="21">
        <v>1147.8781046936263</v>
      </c>
      <c r="G306" s="1" t="s">
        <v>233</v>
      </c>
      <c r="H306" s="6" t="s">
        <v>1951</v>
      </c>
      <c r="I306" s="6" t="s">
        <v>593</v>
      </c>
      <c r="J306" s="6" t="s">
        <v>1853</v>
      </c>
      <c r="K306" s="1">
        <v>0</v>
      </c>
      <c r="L306" s="6" t="s">
        <v>245</v>
      </c>
      <c r="M306" s="1">
        <v>2011</v>
      </c>
      <c r="N306" s="1" t="s">
        <v>237</v>
      </c>
      <c r="O306" s="1">
        <v>0</v>
      </c>
      <c r="P306" s="1">
        <v>0</v>
      </c>
      <c r="Q306" s="1">
        <v>0</v>
      </c>
      <c r="R306" s="1">
        <v>0</v>
      </c>
      <c r="S306" s="1" t="s">
        <v>251</v>
      </c>
    </row>
    <row r="307" spans="1:19" ht="14.45" customHeight="1" x14ac:dyDescent="0.25">
      <c r="A307" s="6">
        <v>306</v>
      </c>
      <c r="B307" s="6">
        <v>6706201</v>
      </c>
      <c r="C307" t="s">
        <v>862</v>
      </c>
      <c r="D307" s="1" t="s">
        <v>863</v>
      </c>
      <c r="E307" s="21" t="s">
        <v>237</v>
      </c>
      <c r="F307" s="21">
        <v>4414.9157872831775</v>
      </c>
      <c r="G307" s="1" t="s">
        <v>233</v>
      </c>
      <c r="H307" s="6" t="s">
        <v>1951</v>
      </c>
      <c r="I307" s="6" t="s">
        <v>593</v>
      </c>
      <c r="J307" s="6" t="s">
        <v>1853</v>
      </c>
      <c r="K307" s="1">
        <v>0</v>
      </c>
      <c r="L307" s="6" t="s">
        <v>245</v>
      </c>
      <c r="M307" s="1">
        <v>2011</v>
      </c>
      <c r="N307" s="1" t="s">
        <v>237</v>
      </c>
      <c r="O307" s="1">
        <v>0</v>
      </c>
      <c r="P307" s="1">
        <v>0</v>
      </c>
      <c r="Q307" s="1">
        <v>0</v>
      </c>
      <c r="R307" s="1">
        <v>0</v>
      </c>
      <c r="S307" s="1" t="s">
        <v>251</v>
      </c>
    </row>
    <row r="308" spans="1:19" ht="14.45" customHeight="1" x14ac:dyDescent="0.25">
      <c r="A308" s="6">
        <v>307</v>
      </c>
      <c r="B308" s="6">
        <v>6706301</v>
      </c>
      <c r="C308" t="s">
        <v>864</v>
      </c>
      <c r="D308" s="1" t="s">
        <v>829</v>
      </c>
      <c r="E308" s="21" t="s">
        <v>237</v>
      </c>
      <c r="F308" s="1" t="s">
        <v>233</v>
      </c>
      <c r="G308" s="19">
        <v>1.3</v>
      </c>
      <c r="H308" s="6" t="s">
        <v>1951</v>
      </c>
      <c r="I308" s="6" t="s">
        <v>720</v>
      </c>
      <c r="J308" s="6" t="s">
        <v>1849</v>
      </c>
      <c r="K308" s="1">
        <v>0</v>
      </c>
      <c r="L308" s="6" t="s">
        <v>255</v>
      </c>
      <c r="M308" s="1">
        <v>2006</v>
      </c>
      <c r="N308" s="1" t="s">
        <v>237</v>
      </c>
      <c r="O308" s="1">
        <v>0</v>
      </c>
      <c r="P308" s="1">
        <v>0</v>
      </c>
      <c r="Q308" s="1">
        <v>0</v>
      </c>
      <c r="R308" s="1">
        <v>0</v>
      </c>
      <c r="S308" s="1" t="s">
        <v>235</v>
      </c>
    </row>
    <row r="309" spans="1:19" ht="14.45" customHeight="1" x14ac:dyDescent="0.25">
      <c r="A309" s="6">
        <v>308</v>
      </c>
      <c r="B309" s="6">
        <v>6801101</v>
      </c>
      <c r="C309" t="s">
        <v>865</v>
      </c>
      <c r="D309" s="1" t="s">
        <v>866</v>
      </c>
      <c r="E309" s="21">
        <v>720</v>
      </c>
      <c r="F309" s="1" t="s">
        <v>233</v>
      </c>
      <c r="G309" s="1" t="s">
        <v>233</v>
      </c>
      <c r="H309" s="6" t="s">
        <v>1951</v>
      </c>
      <c r="I309" s="6" t="s">
        <v>428</v>
      </c>
      <c r="J309" s="6" t="s">
        <v>1849</v>
      </c>
      <c r="K309" s="1">
        <v>0</v>
      </c>
      <c r="L309" s="6" t="s">
        <v>234</v>
      </c>
      <c r="M309" s="1">
        <v>2012</v>
      </c>
      <c r="N309" s="1" t="s">
        <v>1850</v>
      </c>
      <c r="O309" s="1">
        <v>1</v>
      </c>
      <c r="P309" s="1">
        <v>0</v>
      </c>
      <c r="Q309" s="1">
        <v>0</v>
      </c>
      <c r="R309" s="1">
        <v>0</v>
      </c>
      <c r="S309" s="1" t="s">
        <v>235</v>
      </c>
    </row>
    <row r="310" spans="1:19" ht="14.45" customHeight="1" x14ac:dyDescent="0.25">
      <c r="A310" s="6">
        <v>309</v>
      </c>
      <c r="B310" s="6">
        <v>6801101</v>
      </c>
      <c r="C310" t="s">
        <v>865</v>
      </c>
      <c r="D310" s="1" t="s">
        <v>866</v>
      </c>
      <c r="E310" s="21">
        <v>450</v>
      </c>
      <c r="F310" s="1" t="s">
        <v>233</v>
      </c>
      <c r="G310" s="1" t="s">
        <v>233</v>
      </c>
      <c r="H310" s="6" t="s">
        <v>1951</v>
      </c>
      <c r="I310" s="6" t="s">
        <v>435</v>
      </c>
      <c r="J310" s="6" t="s">
        <v>1853</v>
      </c>
      <c r="K310" s="1">
        <v>0</v>
      </c>
      <c r="L310" s="6" t="s">
        <v>273</v>
      </c>
      <c r="M310" s="1">
        <v>2010</v>
      </c>
      <c r="N310" s="1" t="s">
        <v>237</v>
      </c>
      <c r="O310" s="1">
        <v>0</v>
      </c>
      <c r="P310" s="1">
        <v>0</v>
      </c>
      <c r="Q310" s="1">
        <v>0</v>
      </c>
      <c r="R310" s="1">
        <v>0</v>
      </c>
      <c r="S310" s="1" t="s">
        <v>235</v>
      </c>
    </row>
    <row r="311" spans="1:19" ht="14.45" customHeight="1" x14ac:dyDescent="0.25">
      <c r="A311" s="6">
        <v>310</v>
      </c>
      <c r="B311" s="6">
        <v>6801101</v>
      </c>
      <c r="C311" t="s">
        <v>865</v>
      </c>
      <c r="D311" s="1" t="s">
        <v>866</v>
      </c>
      <c r="E311" s="21">
        <v>745</v>
      </c>
      <c r="F311" s="1" t="s">
        <v>233</v>
      </c>
      <c r="G311" s="1" t="s">
        <v>233</v>
      </c>
      <c r="H311" s="6" t="s">
        <v>1951</v>
      </c>
      <c r="I311" s="6" t="s">
        <v>548</v>
      </c>
      <c r="J311" s="6" t="s">
        <v>1852</v>
      </c>
      <c r="K311" s="1">
        <v>0</v>
      </c>
      <c r="L311" s="6" t="s">
        <v>273</v>
      </c>
      <c r="M311" s="1">
        <v>2014</v>
      </c>
      <c r="N311" s="1" t="s">
        <v>237</v>
      </c>
      <c r="O311" s="1">
        <v>0</v>
      </c>
      <c r="P311" s="1">
        <v>0</v>
      </c>
      <c r="Q311" s="1">
        <v>0</v>
      </c>
      <c r="R311" s="1">
        <v>0</v>
      </c>
      <c r="S311" s="1" t="s">
        <v>235</v>
      </c>
    </row>
    <row r="312" spans="1:19" ht="14.45" customHeight="1" x14ac:dyDescent="0.25">
      <c r="A312" s="6">
        <v>311</v>
      </c>
      <c r="B312" s="6">
        <v>6801101</v>
      </c>
      <c r="C312" t="s">
        <v>865</v>
      </c>
      <c r="D312" s="1" t="s">
        <v>866</v>
      </c>
      <c r="E312" s="21" t="s">
        <v>237</v>
      </c>
      <c r="F312" s="21">
        <v>1003.3165478759558</v>
      </c>
      <c r="G312" s="1" t="s">
        <v>233</v>
      </c>
      <c r="H312" s="6" t="s">
        <v>1951</v>
      </c>
      <c r="I312" s="6" t="s">
        <v>593</v>
      </c>
      <c r="J312" s="6" t="s">
        <v>1853</v>
      </c>
      <c r="K312" s="1">
        <v>0</v>
      </c>
      <c r="L312" s="6" t="s">
        <v>245</v>
      </c>
      <c r="M312" s="1">
        <v>2011</v>
      </c>
      <c r="N312" s="1" t="s">
        <v>237</v>
      </c>
      <c r="O312" s="1">
        <v>0</v>
      </c>
      <c r="P312" s="1">
        <v>0</v>
      </c>
      <c r="Q312" s="1">
        <v>0</v>
      </c>
      <c r="R312" s="1">
        <v>0</v>
      </c>
      <c r="S312" s="1" t="s">
        <v>251</v>
      </c>
    </row>
    <row r="313" spans="1:19" ht="14.45" customHeight="1" x14ac:dyDescent="0.25">
      <c r="A313" s="6">
        <v>312</v>
      </c>
      <c r="B313" s="6">
        <v>6801101</v>
      </c>
      <c r="C313" t="s">
        <v>865</v>
      </c>
      <c r="D313" s="1" t="s">
        <v>866</v>
      </c>
      <c r="E313" s="21" t="s">
        <v>237</v>
      </c>
      <c r="F313" s="21">
        <v>1003.3165478759558</v>
      </c>
      <c r="G313" s="1" t="s">
        <v>233</v>
      </c>
      <c r="H313" s="6" t="s">
        <v>1951</v>
      </c>
      <c r="I313" s="6" t="s">
        <v>593</v>
      </c>
      <c r="J313" s="6" t="s">
        <v>1853</v>
      </c>
      <c r="K313" s="1">
        <v>0</v>
      </c>
      <c r="L313" s="6" t="s">
        <v>245</v>
      </c>
      <c r="M313" s="1">
        <v>2011</v>
      </c>
      <c r="N313" s="1" t="s">
        <v>237</v>
      </c>
      <c r="O313" s="1">
        <v>0</v>
      </c>
      <c r="P313" s="1">
        <v>0</v>
      </c>
      <c r="Q313" s="1">
        <v>0</v>
      </c>
      <c r="R313" s="1">
        <v>0</v>
      </c>
      <c r="S313" s="1" t="s">
        <v>251</v>
      </c>
    </row>
    <row r="314" spans="1:19" ht="14.45" customHeight="1" x14ac:dyDescent="0.25">
      <c r="A314" s="6">
        <v>313</v>
      </c>
      <c r="B314" s="6">
        <v>6801101</v>
      </c>
      <c r="C314" t="s">
        <v>865</v>
      </c>
      <c r="D314" s="1" t="s">
        <v>866</v>
      </c>
      <c r="E314" s="21">
        <v>975.9</v>
      </c>
      <c r="F314" s="1" t="s">
        <v>233</v>
      </c>
      <c r="G314" s="1" t="s">
        <v>233</v>
      </c>
      <c r="H314" s="6" t="s">
        <v>1951</v>
      </c>
      <c r="I314" s="6" t="s">
        <v>737</v>
      </c>
      <c r="J314" s="6" t="s">
        <v>1854</v>
      </c>
      <c r="K314" s="1">
        <v>1</v>
      </c>
      <c r="L314" s="6" t="s">
        <v>246</v>
      </c>
      <c r="M314" s="1">
        <v>2010</v>
      </c>
      <c r="N314" s="1" t="s">
        <v>237</v>
      </c>
      <c r="O314" s="1">
        <v>0</v>
      </c>
      <c r="P314" s="1">
        <v>0</v>
      </c>
      <c r="Q314" s="1">
        <v>0</v>
      </c>
      <c r="R314" s="1">
        <v>0</v>
      </c>
      <c r="S314" s="1" t="s">
        <v>235</v>
      </c>
    </row>
    <row r="315" spans="1:19" ht="14.45" customHeight="1" x14ac:dyDescent="0.25">
      <c r="A315" s="6">
        <v>314</v>
      </c>
      <c r="B315" s="6">
        <v>6801101</v>
      </c>
      <c r="C315" t="s">
        <v>865</v>
      </c>
      <c r="D315" s="1" t="s">
        <v>866</v>
      </c>
      <c r="E315" s="21">
        <v>1250</v>
      </c>
      <c r="F315" s="1" t="s">
        <v>233</v>
      </c>
      <c r="G315" s="1" t="s">
        <v>233</v>
      </c>
      <c r="H315" s="6" t="s">
        <v>1951</v>
      </c>
      <c r="I315" s="6" t="s">
        <v>660</v>
      </c>
      <c r="J315" s="6" t="s">
        <v>1851</v>
      </c>
      <c r="K315" s="1">
        <v>0</v>
      </c>
      <c r="L315" s="6" t="s">
        <v>273</v>
      </c>
      <c r="M315" s="1">
        <v>2014</v>
      </c>
      <c r="N315" s="1" t="s">
        <v>237</v>
      </c>
      <c r="O315" s="1">
        <v>0</v>
      </c>
      <c r="P315" s="1">
        <v>0</v>
      </c>
      <c r="Q315" s="1">
        <v>0</v>
      </c>
      <c r="R315" s="1">
        <v>0</v>
      </c>
      <c r="S315" s="1" t="s">
        <v>235</v>
      </c>
    </row>
    <row r="316" spans="1:19" ht="14.45" customHeight="1" x14ac:dyDescent="0.25">
      <c r="A316" s="6">
        <v>315</v>
      </c>
      <c r="B316" s="6">
        <v>6801101</v>
      </c>
      <c r="C316" t="s">
        <v>865</v>
      </c>
      <c r="D316" s="1" t="s">
        <v>866</v>
      </c>
      <c r="E316" s="21">
        <v>1370</v>
      </c>
      <c r="F316" s="1" t="s">
        <v>233</v>
      </c>
      <c r="G316" s="1" t="s">
        <v>233</v>
      </c>
      <c r="H316" s="6" t="s">
        <v>1951</v>
      </c>
      <c r="I316" s="6" t="s">
        <v>690</v>
      </c>
      <c r="J316" s="6" t="s">
        <v>1849</v>
      </c>
      <c r="K316" s="1">
        <v>0</v>
      </c>
      <c r="L316" s="6" t="s">
        <v>261</v>
      </c>
      <c r="M316" s="1">
        <v>2013</v>
      </c>
      <c r="N316" s="1" t="s">
        <v>237</v>
      </c>
      <c r="O316" s="1">
        <v>0</v>
      </c>
      <c r="P316" s="1">
        <v>0</v>
      </c>
      <c r="Q316" s="1">
        <v>0</v>
      </c>
      <c r="R316" s="1">
        <v>0</v>
      </c>
      <c r="S316" s="1" t="s">
        <v>235</v>
      </c>
    </row>
    <row r="317" spans="1:19" ht="14.45" customHeight="1" x14ac:dyDescent="0.25">
      <c r="A317" s="6">
        <v>316</v>
      </c>
      <c r="B317" s="6">
        <v>6801801</v>
      </c>
      <c r="C317" t="s">
        <v>867</v>
      </c>
      <c r="D317" s="1" t="s">
        <v>868</v>
      </c>
      <c r="E317" s="21">
        <v>269</v>
      </c>
      <c r="F317" s="1" t="s">
        <v>233</v>
      </c>
      <c r="G317" s="1" t="s">
        <v>233</v>
      </c>
      <c r="H317" s="6" t="s">
        <v>1951</v>
      </c>
      <c r="I317" s="6" t="s">
        <v>417</v>
      </c>
      <c r="J317" s="6" t="s">
        <v>1852</v>
      </c>
      <c r="K317" s="1">
        <v>0</v>
      </c>
      <c r="L317" s="6" t="s">
        <v>274</v>
      </c>
      <c r="M317" s="1">
        <v>2014</v>
      </c>
      <c r="N317" s="1" t="s">
        <v>237</v>
      </c>
      <c r="O317" s="1">
        <v>0</v>
      </c>
      <c r="P317" s="1">
        <v>0</v>
      </c>
      <c r="Q317" s="1">
        <v>0</v>
      </c>
      <c r="R317" s="1">
        <v>0</v>
      </c>
      <c r="S317" s="1" t="s">
        <v>235</v>
      </c>
    </row>
    <row r="318" spans="1:19" ht="14.45" customHeight="1" x14ac:dyDescent="0.25">
      <c r="A318" s="6">
        <v>317</v>
      </c>
      <c r="B318" s="6">
        <v>6801801</v>
      </c>
      <c r="C318" t="s">
        <v>867</v>
      </c>
      <c r="D318" s="1" t="s">
        <v>868</v>
      </c>
      <c r="E318" s="21">
        <v>312</v>
      </c>
      <c r="F318" s="1" t="s">
        <v>233</v>
      </c>
      <c r="G318" s="1" t="s">
        <v>233</v>
      </c>
      <c r="H318" s="6" t="s">
        <v>1951</v>
      </c>
      <c r="I318" s="6" t="s">
        <v>491</v>
      </c>
      <c r="J318" s="6" t="s">
        <v>1852</v>
      </c>
      <c r="K318" s="1">
        <v>0</v>
      </c>
      <c r="L318" s="6" t="s">
        <v>238</v>
      </c>
      <c r="M318" s="1">
        <v>2012</v>
      </c>
      <c r="N318" s="1" t="s">
        <v>237</v>
      </c>
      <c r="O318" s="1">
        <v>0</v>
      </c>
      <c r="P318" s="1">
        <v>0</v>
      </c>
      <c r="Q318" s="1">
        <v>0</v>
      </c>
      <c r="R318" s="1">
        <v>0</v>
      </c>
      <c r="S318" s="1" t="s">
        <v>235</v>
      </c>
    </row>
    <row r="319" spans="1:19" ht="14.45" customHeight="1" x14ac:dyDescent="0.25">
      <c r="A319" s="6">
        <v>318</v>
      </c>
      <c r="B319" s="6">
        <v>6801801</v>
      </c>
      <c r="C319" t="s">
        <v>867</v>
      </c>
      <c r="D319" s="1" t="s">
        <v>868</v>
      </c>
      <c r="E319" s="21">
        <v>325</v>
      </c>
      <c r="F319" s="1" t="s">
        <v>233</v>
      </c>
      <c r="G319" s="1" t="s">
        <v>233</v>
      </c>
      <c r="H319" s="6" t="s">
        <v>1951</v>
      </c>
      <c r="I319" s="6" t="s">
        <v>515</v>
      </c>
      <c r="J319" s="6" t="s">
        <v>1853</v>
      </c>
      <c r="K319" s="1">
        <v>0</v>
      </c>
      <c r="L319" s="6" t="s">
        <v>238</v>
      </c>
      <c r="M319" s="1">
        <v>2011</v>
      </c>
      <c r="N319" s="1" t="s">
        <v>237</v>
      </c>
      <c r="O319" s="1">
        <v>0</v>
      </c>
      <c r="P319" s="1">
        <v>0</v>
      </c>
      <c r="Q319" s="1">
        <v>0</v>
      </c>
      <c r="R319" s="1">
        <v>0</v>
      </c>
      <c r="S319" s="1" t="s">
        <v>235</v>
      </c>
    </row>
    <row r="320" spans="1:19" ht="14.45" customHeight="1" x14ac:dyDescent="0.25">
      <c r="A320" s="6">
        <v>319</v>
      </c>
      <c r="B320" s="6">
        <v>6801801</v>
      </c>
      <c r="C320" t="s">
        <v>867</v>
      </c>
      <c r="D320" s="1" t="s">
        <v>868</v>
      </c>
      <c r="E320" s="21" t="s">
        <v>237</v>
      </c>
      <c r="F320" s="21">
        <v>395.18339294745317</v>
      </c>
      <c r="G320" s="1" t="s">
        <v>233</v>
      </c>
      <c r="H320" s="6" t="s">
        <v>1951</v>
      </c>
      <c r="I320" s="6" t="s">
        <v>593</v>
      </c>
      <c r="J320" s="6" t="s">
        <v>1853</v>
      </c>
      <c r="K320" s="1">
        <v>0</v>
      </c>
      <c r="L320" s="6" t="s">
        <v>245</v>
      </c>
      <c r="M320" s="1">
        <v>2011</v>
      </c>
      <c r="N320" s="1" t="s">
        <v>237</v>
      </c>
      <c r="O320" s="1">
        <v>0</v>
      </c>
      <c r="P320" s="1">
        <v>0</v>
      </c>
      <c r="Q320" s="1">
        <v>0</v>
      </c>
      <c r="R320" s="1">
        <v>0</v>
      </c>
      <c r="S320" s="1" t="s">
        <v>251</v>
      </c>
    </row>
    <row r="321" spans="1:19" ht="14.45" customHeight="1" x14ac:dyDescent="0.25">
      <c r="A321" s="6">
        <v>320</v>
      </c>
      <c r="B321" s="6">
        <v>6801801</v>
      </c>
      <c r="C321" t="s">
        <v>867</v>
      </c>
      <c r="D321" s="1" t="s">
        <v>868</v>
      </c>
      <c r="E321" s="21">
        <v>220</v>
      </c>
      <c r="F321" s="1" t="s">
        <v>233</v>
      </c>
      <c r="G321" s="1" t="s">
        <v>233</v>
      </c>
      <c r="H321" s="6" t="s">
        <v>1951</v>
      </c>
      <c r="I321" s="6" t="s">
        <v>653</v>
      </c>
      <c r="J321" s="6" t="s">
        <v>1852</v>
      </c>
      <c r="K321" s="1">
        <v>0</v>
      </c>
      <c r="L321" s="6" t="s">
        <v>258</v>
      </c>
      <c r="M321" s="1">
        <v>2009</v>
      </c>
      <c r="N321" s="1" t="s">
        <v>1859</v>
      </c>
      <c r="O321" s="1">
        <v>0</v>
      </c>
      <c r="P321" s="1">
        <v>0</v>
      </c>
      <c r="Q321" s="1">
        <v>0</v>
      </c>
      <c r="R321" s="1">
        <v>0</v>
      </c>
      <c r="S321" s="1" t="s">
        <v>235</v>
      </c>
    </row>
    <row r="322" spans="1:19" ht="14.45" customHeight="1" x14ac:dyDescent="0.25">
      <c r="A322" s="6">
        <v>321</v>
      </c>
      <c r="B322" s="6">
        <v>6801801</v>
      </c>
      <c r="C322" t="s">
        <v>867</v>
      </c>
      <c r="D322" s="1" t="s">
        <v>868</v>
      </c>
      <c r="E322" s="21">
        <v>330</v>
      </c>
      <c r="F322" s="1" t="s">
        <v>233</v>
      </c>
      <c r="G322" s="1" t="s">
        <v>233</v>
      </c>
      <c r="H322" s="6" t="s">
        <v>1951</v>
      </c>
      <c r="I322" s="6" t="s">
        <v>653</v>
      </c>
      <c r="J322" s="6" t="s">
        <v>1852</v>
      </c>
      <c r="K322" s="1">
        <v>0</v>
      </c>
      <c r="L322" s="6" t="s">
        <v>258</v>
      </c>
      <c r="M322" s="1">
        <v>2009</v>
      </c>
      <c r="N322" s="1" t="s">
        <v>1858</v>
      </c>
      <c r="O322" s="1">
        <v>0</v>
      </c>
      <c r="P322" s="1" t="s">
        <v>1952</v>
      </c>
      <c r="Q322" s="1">
        <v>0</v>
      </c>
      <c r="R322" s="1">
        <v>0</v>
      </c>
      <c r="S322" s="1" t="s">
        <v>235</v>
      </c>
    </row>
    <row r="323" spans="1:19" ht="14.45" customHeight="1" x14ac:dyDescent="0.25">
      <c r="A323" s="6">
        <v>322</v>
      </c>
      <c r="B323" s="6">
        <v>6801801</v>
      </c>
      <c r="C323" t="s">
        <v>867</v>
      </c>
      <c r="D323" s="1" t="s">
        <v>868</v>
      </c>
      <c r="E323" s="21">
        <v>290</v>
      </c>
      <c r="F323" s="1" t="s">
        <v>233</v>
      </c>
      <c r="G323" s="1" t="s">
        <v>233</v>
      </c>
      <c r="H323" s="6" t="s">
        <v>1951</v>
      </c>
      <c r="I323" s="6" t="s">
        <v>671</v>
      </c>
      <c r="J323" s="6" t="s">
        <v>1852</v>
      </c>
      <c r="K323" s="1">
        <v>0</v>
      </c>
      <c r="L323" s="6" t="s">
        <v>258</v>
      </c>
      <c r="M323" s="1">
        <v>2005</v>
      </c>
      <c r="N323" s="1" t="s">
        <v>1858</v>
      </c>
      <c r="O323" s="1">
        <v>0</v>
      </c>
      <c r="P323" s="1">
        <v>0</v>
      </c>
      <c r="Q323" s="1">
        <v>0</v>
      </c>
      <c r="R323" s="1">
        <v>0</v>
      </c>
      <c r="S323" s="1" t="s">
        <v>235</v>
      </c>
    </row>
    <row r="324" spans="1:19" ht="14.45" customHeight="1" x14ac:dyDescent="0.25">
      <c r="A324" s="6">
        <v>323</v>
      </c>
      <c r="B324" s="6">
        <v>6801801</v>
      </c>
      <c r="C324" t="s">
        <v>867</v>
      </c>
      <c r="D324" s="1" t="s">
        <v>868</v>
      </c>
      <c r="E324" s="21">
        <v>130</v>
      </c>
      <c r="F324" s="1" t="s">
        <v>233</v>
      </c>
      <c r="G324" s="1" t="s">
        <v>233</v>
      </c>
      <c r="H324" s="6" t="s">
        <v>1951</v>
      </c>
      <c r="I324" s="6" t="s">
        <v>639</v>
      </c>
      <c r="J324" s="6" t="s">
        <v>1852</v>
      </c>
      <c r="K324" s="1">
        <v>0</v>
      </c>
      <c r="L324" s="6" t="s">
        <v>236</v>
      </c>
      <c r="M324" s="1">
        <v>2013</v>
      </c>
      <c r="N324" s="1" t="s">
        <v>237</v>
      </c>
      <c r="O324" s="1">
        <v>0</v>
      </c>
      <c r="P324" s="1">
        <v>0</v>
      </c>
      <c r="Q324" s="1">
        <v>0</v>
      </c>
      <c r="R324" s="1">
        <v>0</v>
      </c>
      <c r="S324" s="1" t="s">
        <v>251</v>
      </c>
    </row>
    <row r="325" spans="1:19" ht="14.45" customHeight="1" x14ac:dyDescent="0.25">
      <c r="A325" s="6">
        <v>324</v>
      </c>
      <c r="B325" s="6">
        <v>6801801</v>
      </c>
      <c r="C325" t="s">
        <v>867</v>
      </c>
      <c r="D325" s="1" t="s">
        <v>868</v>
      </c>
      <c r="E325" s="21">
        <v>40</v>
      </c>
      <c r="F325" s="1" t="s">
        <v>233</v>
      </c>
      <c r="G325" s="1" t="s">
        <v>233</v>
      </c>
      <c r="H325" s="6" t="s">
        <v>1951</v>
      </c>
      <c r="I325" s="6" t="s">
        <v>639</v>
      </c>
      <c r="J325" s="6" t="s">
        <v>1852</v>
      </c>
      <c r="K325" s="1">
        <v>0</v>
      </c>
      <c r="L325" s="6" t="s">
        <v>236</v>
      </c>
      <c r="M325" s="1">
        <v>2013</v>
      </c>
      <c r="N325" s="1" t="s">
        <v>1859</v>
      </c>
      <c r="O325" s="1">
        <v>0</v>
      </c>
      <c r="P325" s="1" t="s">
        <v>1952</v>
      </c>
      <c r="Q325" s="1">
        <v>0</v>
      </c>
      <c r="R325" s="1">
        <v>0</v>
      </c>
      <c r="S325" s="1" t="s">
        <v>251</v>
      </c>
    </row>
    <row r="326" spans="1:19" ht="14.45" customHeight="1" x14ac:dyDescent="0.25">
      <c r="A326" s="6">
        <v>325</v>
      </c>
      <c r="B326" s="6">
        <v>6802001</v>
      </c>
      <c r="C326" t="s">
        <v>869</v>
      </c>
      <c r="D326" s="1" t="s">
        <v>870</v>
      </c>
      <c r="E326" s="21" t="s">
        <v>237</v>
      </c>
      <c r="F326" s="21">
        <v>537.13215311199122</v>
      </c>
      <c r="G326" s="1" t="s">
        <v>233</v>
      </c>
      <c r="H326" s="6" t="s">
        <v>1951</v>
      </c>
      <c r="I326" s="6" t="s">
        <v>593</v>
      </c>
      <c r="J326" s="6" t="s">
        <v>1853</v>
      </c>
      <c r="K326" s="1">
        <v>0</v>
      </c>
      <c r="L326" s="6" t="s">
        <v>245</v>
      </c>
      <c r="M326" s="1">
        <v>2011</v>
      </c>
      <c r="N326" s="1" t="s">
        <v>237</v>
      </c>
      <c r="O326" s="1">
        <v>0</v>
      </c>
      <c r="P326" s="1">
        <v>0</v>
      </c>
      <c r="Q326" s="1">
        <v>0</v>
      </c>
      <c r="R326" s="1">
        <v>0</v>
      </c>
      <c r="S326" s="1" t="s">
        <v>251</v>
      </c>
    </row>
    <row r="327" spans="1:19" ht="14.45" customHeight="1" x14ac:dyDescent="0.25">
      <c r="A327" s="6">
        <v>326</v>
      </c>
      <c r="B327" s="6">
        <v>6802001</v>
      </c>
      <c r="C327" t="s">
        <v>869</v>
      </c>
      <c r="D327" s="1" t="s">
        <v>870</v>
      </c>
      <c r="E327" s="21">
        <v>120</v>
      </c>
      <c r="F327" s="21" t="s">
        <v>233</v>
      </c>
      <c r="G327" s="1" t="s">
        <v>233</v>
      </c>
      <c r="H327" s="6" t="s">
        <v>1951</v>
      </c>
      <c r="I327" s="6" t="s">
        <v>639</v>
      </c>
      <c r="J327" s="6" t="s">
        <v>1852</v>
      </c>
      <c r="K327" s="1">
        <v>0</v>
      </c>
      <c r="L327" s="6" t="s">
        <v>236</v>
      </c>
      <c r="M327" s="1">
        <v>2013</v>
      </c>
      <c r="N327" s="1" t="s">
        <v>237</v>
      </c>
      <c r="O327" s="1">
        <v>0</v>
      </c>
      <c r="P327" s="1">
        <v>0</v>
      </c>
      <c r="Q327" s="1">
        <v>0</v>
      </c>
      <c r="R327" s="1">
        <v>0</v>
      </c>
      <c r="S327" s="1" t="s">
        <v>251</v>
      </c>
    </row>
    <row r="328" spans="1:19" ht="14.45" customHeight="1" x14ac:dyDescent="0.25">
      <c r="A328" s="6">
        <v>327</v>
      </c>
      <c r="B328" s="6">
        <v>6802001</v>
      </c>
      <c r="C328" t="s">
        <v>869</v>
      </c>
      <c r="D328" s="1" t="s">
        <v>870</v>
      </c>
      <c r="E328" s="21">
        <v>40</v>
      </c>
      <c r="F328" s="21" t="s">
        <v>233</v>
      </c>
      <c r="G328" s="1" t="s">
        <v>233</v>
      </c>
      <c r="H328" s="6" t="s">
        <v>1951</v>
      </c>
      <c r="I328" s="6" t="s">
        <v>639</v>
      </c>
      <c r="J328" s="6" t="s">
        <v>1852</v>
      </c>
      <c r="K328" s="1">
        <v>0</v>
      </c>
      <c r="L328" s="6" t="s">
        <v>236</v>
      </c>
      <c r="M328" s="1">
        <v>2013</v>
      </c>
      <c r="N328" s="1" t="s">
        <v>1859</v>
      </c>
      <c r="O328" s="1">
        <v>0</v>
      </c>
      <c r="P328" s="1">
        <v>0</v>
      </c>
      <c r="Q328" s="1">
        <v>0</v>
      </c>
      <c r="R328" s="1">
        <v>0</v>
      </c>
      <c r="S328" s="1" t="s">
        <v>251</v>
      </c>
    </row>
    <row r="329" spans="1:19" ht="14.45" customHeight="1" x14ac:dyDescent="0.25">
      <c r="A329" s="6">
        <v>328</v>
      </c>
      <c r="B329" s="6">
        <v>6802201</v>
      </c>
      <c r="C329" t="s">
        <v>871</v>
      </c>
      <c r="D329" s="1" t="s">
        <v>872</v>
      </c>
      <c r="E329" s="21" t="s">
        <v>237</v>
      </c>
      <c r="F329" s="21">
        <v>515.40780131657789</v>
      </c>
      <c r="G329" s="1" t="s">
        <v>233</v>
      </c>
      <c r="H329" s="6" t="s">
        <v>1951</v>
      </c>
      <c r="I329" s="6" t="s">
        <v>593</v>
      </c>
      <c r="J329" s="6" t="s">
        <v>1853</v>
      </c>
      <c r="K329" s="1">
        <v>0</v>
      </c>
      <c r="L329" s="6" t="s">
        <v>245</v>
      </c>
      <c r="M329" s="1">
        <v>2011</v>
      </c>
      <c r="N329" s="1" t="s">
        <v>237</v>
      </c>
      <c r="O329" s="1">
        <v>0</v>
      </c>
      <c r="P329" s="1">
        <v>0</v>
      </c>
      <c r="Q329" s="1">
        <v>0</v>
      </c>
      <c r="R329" s="1">
        <v>0</v>
      </c>
      <c r="S329" s="1" t="s">
        <v>251</v>
      </c>
    </row>
    <row r="330" spans="1:19" ht="14.45" customHeight="1" x14ac:dyDescent="0.25">
      <c r="A330" s="6">
        <v>329</v>
      </c>
      <c r="B330" s="6">
        <v>6802201</v>
      </c>
      <c r="C330" t="s">
        <v>871</v>
      </c>
      <c r="D330" s="1" t="s">
        <v>872</v>
      </c>
      <c r="E330" s="21">
        <v>410</v>
      </c>
      <c r="F330" s="1" t="s">
        <v>233</v>
      </c>
      <c r="G330" s="1" t="s">
        <v>233</v>
      </c>
      <c r="H330" s="6" t="s">
        <v>1951</v>
      </c>
      <c r="I330" s="6" t="s">
        <v>766</v>
      </c>
      <c r="J330" s="6" t="s">
        <v>1854</v>
      </c>
      <c r="K330" s="1">
        <v>1</v>
      </c>
      <c r="L330" s="6" t="s">
        <v>242</v>
      </c>
      <c r="M330" s="1">
        <v>2008</v>
      </c>
      <c r="N330" s="1" t="s">
        <v>237</v>
      </c>
      <c r="O330" s="1">
        <v>0</v>
      </c>
      <c r="P330" s="1">
        <v>0</v>
      </c>
      <c r="Q330" s="1">
        <v>0</v>
      </c>
      <c r="R330" s="1">
        <v>0</v>
      </c>
      <c r="S330" s="1" t="s">
        <v>235</v>
      </c>
    </row>
    <row r="331" spans="1:19" ht="14.45" customHeight="1" x14ac:dyDescent="0.25">
      <c r="A331" s="6">
        <v>330</v>
      </c>
      <c r="B331" s="6">
        <v>6802202</v>
      </c>
      <c r="C331" t="s">
        <v>873</v>
      </c>
      <c r="D331" s="1" t="s">
        <v>872</v>
      </c>
      <c r="E331" s="21">
        <v>556</v>
      </c>
      <c r="F331" s="1">
        <v>570</v>
      </c>
      <c r="G331" s="1" t="s">
        <v>233</v>
      </c>
      <c r="H331" s="6" t="s">
        <v>1951</v>
      </c>
      <c r="I331" s="6" t="s">
        <v>412</v>
      </c>
      <c r="J331" s="6" t="s">
        <v>1852</v>
      </c>
      <c r="K331" s="1">
        <v>0</v>
      </c>
      <c r="L331" s="6" t="s">
        <v>253</v>
      </c>
      <c r="M331" s="1">
        <v>2012</v>
      </c>
      <c r="N331" s="1" t="s">
        <v>254</v>
      </c>
      <c r="O331" s="1">
        <v>0</v>
      </c>
      <c r="P331" s="1">
        <v>0</v>
      </c>
      <c r="Q331" s="1">
        <v>0</v>
      </c>
      <c r="R331" s="1">
        <v>0</v>
      </c>
      <c r="S331" s="1" t="s">
        <v>251</v>
      </c>
    </row>
    <row r="332" spans="1:19" ht="14.45" customHeight="1" x14ac:dyDescent="0.25">
      <c r="A332" s="6">
        <v>331</v>
      </c>
      <c r="B332" s="6">
        <v>6802501</v>
      </c>
      <c r="C332" t="s">
        <v>874</v>
      </c>
      <c r="D332" s="1">
        <v>170111</v>
      </c>
      <c r="E332" s="21" t="s">
        <v>237</v>
      </c>
      <c r="F332" s="21">
        <v>137.24357266576502</v>
      </c>
      <c r="G332" s="1" t="s">
        <v>233</v>
      </c>
      <c r="H332" s="6" t="s">
        <v>1951</v>
      </c>
      <c r="I332" s="6" t="s">
        <v>593</v>
      </c>
      <c r="J332" s="6" t="s">
        <v>1853</v>
      </c>
      <c r="K332" s="1">
        <v>0</v>
      </c>
      <c r="L332" s="6" t="s">
        <v>245</v>
      </c>
      <c r="M332" s="1">
        <v>2011</v>
      </c>
      <c r="N332" s="1" t="s">
        <v>237</v>
      </c>
      <c r="O332" s="1">
        <v>0</v>
      </c>
      <c r="P332" s="1">
        <v>0</v>
      </c>
      <c r="Q332" s="1">
        <v>0</v>
      </c>
      <c r="R332" s="1">
        <v>0</v>
      </c>
      <c r="S332" s="1" t="s">
        <v>251</v>
      </c>
    </row>
    <row r="333" spans="1:19" ht="14.45" customHeight="1" x14ac:dyDescent="0.25">
      <c r="A333" s="6">
        <v>332</v>
      </c>
      <c r="B333" s="6">
        <v>6802601</v>
      </c>
      <c r="C333" t="s">
        <v>875</v>
      </c>
      <c r="D333" s="1" t="s">
        <v>876</v>
      </c>
      <c r="E333" s="21">
        <v>130</v>
      </c>
      <c r="F333" s="1" t="s">
        <v>233</v>
      </c>
      <c r="G333" s="1" t="s">
        <v>233</v>
      </c>
      <c r="H333" s="6" t="s">
        <v>1951</v>
      </c>
      <c r="I333" s="6" t="s">
        <v>321</v>
      </c>
      <c r="J333" s="6" t="s">
        <v>1849</v>
      </c>
      <c r="K333" s="1">
        <v>0</v>
      </c>
      <c r="L333" s="6" t="s">
        <v>276</v>
      </c>
      <c r="M333" s="1">
        <v>2010</v>
      </c>
      <c r="N333" s="1" t="s">
        <v>1859</v>
      </c>
      <c r="O333" s="1">
        <v>0</v>
      </c>
      <c r="P333" s="1">
        <v>0</v>
      </c>
      <c r="Q333" s="1">
        <v>0</v>
      </c>
      <c r="R333" s="1">
        <v>0</v>
      </c>
      <c r="S333" s="1" t="s">
        <v>235</v>
      </c>
    </row>
    <row r="334" spans="1:19" ht="14.45" customHeight="1" x14ac:dyDescent="0.25">
      <c r="A334" s="6">
        <v>333</v>
      </c>
      <c r="B334" s="6">
        <v>6802601</v>
      </c>
      <c r="C334" t="s">
        <v>875</v>
      </c>
      <c r="D334" s="1" t="s">
        <v>876</v>
      </c>
      <c r="E334" s="21">
        <v>150</v>
      </c>
      <c r="F334" s="1" t="s">
        <v>233</v>
      </c>
      <c r="G334" s="1" t="s">
        <v>233</v>
      </c>
      <c r="H334" s="6" t="s">
        <v>1951</v>
      </c>
      <c r="I334" s="6" t="s">
        <v>321</v>
      </c>
      <c r="J334" s="6" t="s">
        <v>1849</v>
      </c>
      <c r="K334" s="1">
        <v>0</v>
      </c>
      <c r="L334" s="6" t="s">
        <v>276</v>
      </c>
      <c r="M334" s="1">
        <v>2010</v>
      </c>
      <c r="N334" s="1" t="s">
        <v>237</v>
      </c>
      <c r="O334" s="1">
        <v>0</v>
      </c>
      <c r="P334" s="1">
        <v>0</v>
      </c>
      <c r="Q334" s="1">
        <v>0</v>
      </c>
      <c r="R334" s="1">
        <v>0</v>
      </c>
      <c r="S334" s="1" t="s">
        <v>235</v>
      </c>
    </row>
    <row r="335" spans="1:19" ht="14.45" customHeight="1" x14ac:dyDescent="0.25">
      <c r="A335" s="6">
        <v>334</v>
      </c>
      <c r="B335" s="6">
        <v>6802601</v>
      </c>
      <c r="C335" t="s">
        <v>875</v>
      </c>
      <c r="D335" s="1" t="s">
        <v>876</v>
      </c>
      <c r="E335" s="21">
        <v>450</v>
      </c>
      <c r="F335" s="1" t="s">
        <v>233</v>
      </c>
      <c r="G335" s="1" t="s">
        <v>233</v>
      </c>
      <c r="H335" s="6" t="s">
        <v>1951</v>
      </c>
      <c r="I335" s="6" t="s">
        <v>435</v>
      </c>
      <c r="J335" s="6" t="s">
        <v>1853</v>
      </c>
      <c r="K335" s="1">
        <v>0</v>
      </c>
      <c r="L335" s="6" t="s">
        <v>277</v>
      </c>
      <c r="M335" s="1">
        <v>2010</v>
      </c>
      <c r="N335" s="1" t="s">
        <v>1859</v>
      </c>
      <c r="O335" s="1">
        <v>0</v>
      </c>
      <c r="P335" s="1">
        <v>0</v>
      </c>
      <c r="Q335" s="1">
        <v>0</v>
      </c>
      <c r="R335" s="1">
        <v>0</v>
      </c>
      <c r="S335" s="1" t="s">
        <v>235</v>
      </c>
    </row>
    <row r="336" spans="1:19" ht="14.45" customHeight="1" x14ac:dyDescent="0.25">
      <c r="A336" s="6">
        <v>335</v>
      </c>
      <c r="B336" s="6">
        <v>6802601</v>
      </c>
      <c r="C336" t="s">
        <v>875</v>
      </c>
      <c r="D336" s="1" t="s">
        <v>876</v>
      </c>
      <c r="E336" s="21">
        <v>450</v>
      </c>
      <c r="F336" s="1" t="s">
        <v>233</v>
      </c>
      <c r="G336" s="1" t="s">
        <v>233</v>
      </c>
      <c r="H336" s="6" t="s">
        <v>1951</v>
      </c>
      <c r="I336" s="6" t="s">
        <v>435</v>
      </c>
      <c r="J336" s="6" t="s">
        <v>1853</v>
      </c>
      <c r="K336" s="1">
        <v>0</v>
      </c>
      <c r="L336" s="6" t="s">
        <v>277</v>
      </c>
      <c r="M336" s="1">
        <v>2010</v>
      </c>
      <c r="N336" s="1" t="s">
        <v>237</v>
      </c>
      <c r="O336" s="1">
        <v>0</v>
      </c>
      <c r="P336" s="1">
        <v>0</v>
      </c>
      <c r="Q336" s="1">
        <v>0</v>
      </c>
      <c r="R336" s="1">
        <v>0</v>
      </c>
      <c r="S336" s="1" t="s">
        <v>235</v>
      </c>
    </row>
    <row r="337" spans="1:19" ht="14.45" customHeight="1" x14ac:dyDescent="0.25">
      <c r="A337" s="6">
        <v>336</v>
      </c>
      <c r="B337" s="6">
        <v>6802601</v>
      </c>
      <c r="C337" t="s">
        <v>875</v>
      </c>
      <c r="D337" s="1" t="s">
        <v>876</v>
      </c>
      <c r="E337" s="21">
        <v>1030</v>
      </c>
      <c r="F337" s="1" t="s">
        <v>233</v>
      </c>
      <c r="G337" s="1" t="s">
        <v>233</v>
      </c>
      <c r="H337" s="6" t="s">
        <v>1951</v>
      </c>
      <c r="I337" s="6" t="s">
        <v>545</v>
      </c>
      <c r="J337" s="6" t="s">
        <v>1849</v>
      </c>
      <c r="K337" s="1">
        <v>0</v>
      </c>
      <c r="L337" s="6" t="s">
        <v>277</v>
      </c>
      <c r="M337" s="1">
        <v>2010</v>
      </c>
      <c r="N337" s="1" t="s">
        <v>237</v>
      </c>
      <c r="O337" s="1">
        <v>0</v>
      </c>
      <c r="P337" s="1" t="s">
        <v>1952</v>
      </c>
      <c r="Q337" s="1">
        <v>0</v>
      </c>
      <c r="R337" s="1">
        <v>0</v>
      </c>
      <c r="S337" s="1" t="s">
        <v>235</v>
      </c>
    </row>
    <row r="338" spans="1:19" ht="14.45" customHeight="1" x14ac:dyDescent="0.25">
      <c r="A338" s="6">
        <v>337</v>
      </c>
      <c r="B338" s="6">
        <v>6802601</v>
      </c>
      <c r="C338" t="s">
        <v>875</v>
      </c>
      <c r="D338" s="1" t="s">
        <v>876</v>
      </c>
      <c r="E338" s="21">
        <v>121</v>
      </c>
      <c r="F338" s="1" t="s">
        <v>233</v>
      </c>
      <c r="G338" s="1" t="s">
        <v>233</v>
      </c>
      <c r="H338" s="6" t="s">
        <v>1951</v>
      </c>
      <c r="I338" s="6" t="s">
        <v>546</v>
      </c>
      <c r="J338" s="6" t="s">
        <v>1849</v>
      </c>
      <c r="K338" s="1">
        <v>0</v>
      </c>
      <c r="L338" s="6" t="s">
        <v>277</v>
      </c>
      <c r="M338" s="1">
        <v>2012</v>
      </c>
      <c r="N338" s="1" t="s">
        <v>237</v>
      </c>
      <c r="O338" s="1">
        <v>0</v>
      </c>
      <c r="P338" s="1">
        <v>0</v>
      </c>
      <c r="Q338" s="1">
        <v>0</v>
      </c>
      <c r="R338" s="1">
        <v>0</v>
      </c>
      <c r="S338" s="1" t="s">
        <v>235</v>
      </c>
    </row>
    <row r="339" spans="1:19" ht="14.45" customHeight="1" x14ac:dyDescent="0.25">
      <c r="A339" s="6">
        <v>338</v>
      </c>
      <c r="B339" s="6">
        <v>6802601</v>
      </c>
      <c r="C339" t="s">
        <v>875</v>
      </c>
      <c r="D339" s="1" t="s">
        <v>876</v>
      </c>
      <c r="E339" s="21" t="s">
        <v>237</v>
      </c>
      <c r="F339" s="21">
        <v>159.54554321033251</v>
      </c>
      <c r="G339" s="1" t="s">
        <v>233</v>
      </c>
      <c r="H339" s="6" t="s">
        <v>1951</v>
      </c>
      <c r="I339" s="6" t="s">
        <v>593</v>
      </c>
      <c r="J339" s="6" t="s">
        <v>1853</v>
      </c>
      <c r="K339" s="1">
        <v>0</v>
      </c>
      <c r="L339" s="6" t="s">
        <v>245</v>
      </c>
      <c r="M339" s="1">
        <v>2011</v>
      </c>
      <c r="N339" s="1" t="s">
        <v>237</v>
      </c>
      <c r="O339" s="1">
        <v>0</v>
      </c>
      <c r="P339" s="1">
        <v>0</v>
      </c>
      <c r="Q339" s="1">
        <v>0</v>
      </c>
      <c r="R339" s="1">
        <v>0</v>
      </c>
      <c r="S339" s="1" t="s">
        <v>251</v>
      </c>
    </row>
    <row r="340" spans="1:19" ht="14.45" customHeight="1" x14ac:dyDescent="0.25">
      <c r="A340" s="6">
        <v>339</v>
      </c>
      <c r="B340" s="6">
        <v>6802601</v>
      </c>
      <c r="C340" t="s">
        <v>875</v>
      </c>
      <c r="D340" s="1" t="s">
        <v>876</v>
      </c>
      <c r="E340" s="21">
        <v>60</v>
      </c>
      <c r="F340" s="1" t="s">
        <v>233</v>
      </c>
      <c r="G340" s="1" t="s">
        <v>233</v>
      </c>
      <c r="H340" s="6" t="s">
        <v>1951</v>
      </c>
      <c r="I340" s="6" t="s">
        <v>522</v>
      </c>
      <c r="J340" s="6" t="s">
        <v>1852</v>
      </c>
      <c r="K340" s="1">
        <v>0</v>
      </c>
      <c r="L340" s="6" t="s">
        <v>278</v>
      </c>
      <c r="M340" s="1">
        <v>2013</v>
      </c>
      <c r="N340" s="1" t="s">
        <v>237</v>
      </c>
      <c r="O340" s="1">
        <v>0</v>
      </c>
      <c r="P340" s="1" t="s">
        <v>1952</v>
      </c>
      <c r="Q340" s="1">
        <v>0</v>
      </c>
      <c r="R340" s="1">
        <v>0</v>
      </c>
      <c r="S340" s="1" t="s">
        <v>251</v>
      </c>
    </row>
    <row r="341" spans="1:19" ht="14.45" customHeight="1" x14ac:dyDescent="0.25">
      <c r="A341" s="6">
        <v>340</v>
      </c>
      <c r="B341" s="6">
        <v>6802602</v>
      </c>
      <c r="C341" t="s">
        <v>877</v>
      </c>
      <c r="D341" s="1" t="s">
        <v>878</v>
      </c>
      <c r="E341" s="21">
        <v>60</v>
      </c>
      <c r="F341" s="1" t="s">
        <v>233</v>
      </c>
      <c r="G341" s="1" t="s">
        <v>233</v>
      </c>
      <c r="H341" s="6" t="s">
        <v>1951</v>
      </c>
      <c r="I341" s="6" t="s">
        <v>522</v>
      </c>
      <c r="J341" s="6" t="s">
        <v>1852</v>
      </c>
      <c r="K341" s="1">
        <v>0</v>
      </c>
      <c r="L341" s="6" t="s">
        <v>278</v>
      </c>
      <c r="M341" s="1">
        <v>2013</v>
      </c>
      <c r="N341" s="1" t="s">
        <v>237</v>
      </c>
      <c r="O341" s="1">
        <v>0</v>
      </c>
      <c r="P341" s="1">
        <v>0</v>
      </c>
      <c r="Q341" s="1">
        <v>0</v>
      </c>
      <c r="R341" s="1">
        <v>0</v>
      </c>
      <c r="S341" s="1" t="s">
        <v>251</v>
      </c>
    </row>
    <row r="342" spans="1:19" ht="14.45" customHeight="1" x14ac:dyDescent="0.25">
      <c r="A342" s="6">
        <v>341</v>
      </c>
      <c r="B342" s="6">
        <v>6802701</v>
      </c>
      <c r="C342" t="s">
        <v>879</v>
      </c>
      <c r="D342" s="1" t="s">
        <v>880</v>
      </c>
      <c r="E342" s="21" t="s">
        <v>237</v>
      </c>
      <c r="F342" s="21">
        <v>912.22197654017202</v>
      </c>
      <c r="G342" s="1" t="s">
        <v>233</v>
      </c>
      <c r="H342" s="6" t="s">
        <v>1951</v>
      </c>
      <c r="I342" s="6" t="s">
        <v>593</v>
      </c>
      <c r="J342" s="6" t="s">
        <v>1853</v>
      </c>
      <c r="K342" s="1">
        <v>0</v>
      </c>
      <c r="L342" s="6" t="s">
        <v>245</v>
      </c>
      <c r="M342" s="1">
        <v>2011</v>
      </c>
      <c r="N342" s="1" t="s">
        <v>237</v>
      </c>
      <c r="O342" s="1">
        <v>0</v>
      </c>
      <c r="P342" s="1">
        <v>0</v>
      </c>
      <c r="Q342" s="1">
        <v>0</v>
      </c>
      <c r="R342" s="1">
        <v>0</v>
      </c>
      <c r="S342" s="1" t="s">
        <v>251</v>
      </c>
    </row>
    <row r="343" spans="1:19" ht="14.45" customHeight="1" x14ac:dyDescent="0.25">
      <c r="A343" s="6">
        <v>342</v>
      </c>
      <c r="B343" s="6">
        <v>6802701</v>
      </c>
      <c r="C343" t="s">
        <v>879</v>
      </c>
      <c r="D343" s="1" t="s">
        <v>880</v>
      </c>
      <c r="E343" s="21">
        <v>500</v>
      </c>
      <c r="F343" s="1">
        <v>990</v>
      </c>
      <c r="G343" s="1" t="s">
        <v>233</v>
      </c>
      <c r="H343" s="6" t="s">
        <v>1951</v>
      </c>
      <c r="I343" s="6" t="s">
        <v>412</v>
      </c>
      <c r="J343" s="6" t="s">
        <v>1852</v>
      </c>
      <c r="K343" s="1">
        <v>0</v>
      </c>
      <c r="L343" s="6" t="s">
        <v>253</v>
      </c>
      <c r="M343" s="1">
        <v>2012</v>
      </c>
      <c r="N343" s="1" t="s">
        <v>254</v>
      </c>
      <c r="O343" s="1">
        <v>0</v>
      </c>
      <c r="P343" s="1">
        <v>0</v>
      </c>
      <c r="Q343" s="1">
        <v>0</v>
      </c>
      <c r="R343" s="1">
        <v>0</v>
      </c>
      <c r="S343" s="1" t="s">
        <v>251</v>
      </c>
    </row>
    <row r="344" spans="1:19" ht="14.45" customHeight="1" x14ac:dyDescent="0.25">
      <c r="A344" s="6">
        <v>343</v>
      </c>
      <c r="B344" s="6">
        <v>6802701</v>
      </c>
      <c r="C344" t="s">
        <v>879</v>
      </c>
      <c r="D344" s="1" t="s">
        <v>880</v>
      </c>
      <c r="E344" s="21">
        <v>170</v>
      </c>
      <c r="F344" s="1" t="s">
        <v>233</v>
      </c>
      <c r="G344" s="1" t="s">
        <v>233</v>
      </c>
      <c r="H344" s="6" t="s">
        <v>1951</v>
      </c>
      <c r="I344" s="6" t="s">
        <v>522</v>
      </c>
      <c r="J344" s="6" t="s">
        <v>1852</v>
      </c>
      <c r="K344" s="1">
        <v>0</v>
      </c>
      <c r="L344" s="6" t="s">
        <v>278</v>
      </c>
      <c r="M344" s="1">
        <v>2013</v>
      </c>
      <c r="N344" s="1" t="s">
        <v>237</v>
      </c>
      <c r="O344" s="1">
        <v>0</v>
      </c>
      <c r="P344" s="1">
        <v>0</v>
      </c>
      <c r="Q344" s="1">
        <v>0</v>
      </c>
      <c r="R344" s="1">
        <v>0</v>
      </c>
      <c r="S344" s="1" t="s">
        <v>251</v>
      </c>
    </row>
    <row r="345" spans="1:19" ht="14.45" customHeight="1" x14ac:dyDescent="0.25">
      <c r="A345" s="6">
        <v>344</v>
      </c>
      <c r="B345" s="6">
        <v>6802901</v>
      </c>
      <c r="C345" t="s">
        <v>881</v>
      </c>
      <c r="D345" s="1" t="s">
        <v>882</v>
      </c>
      <c r="E345" s="21" t="s">
        <v>237</v>
      </c>
      <c r="F345" s="21">
        <v>1211.6239076151651</v>
      </c>
      <c r="G345" s="1" t="s">
        <v>233</v>
      </c>
      <c r="H345" s="6" t="s">
        <v>1951</v>
      </c>
      <c r="I345" s="6" t="s">
        <v>593</v>
      </c>
      <c r="J345" s="6" t="s">
        <v>1853</v>
      </c>
      <c r="K345" s="1">
        <v>0</v>
      </c>
      <c r="L345" s="6" t="s">
        <v>245</v>
      </c>
      <c r="M345" s="1">
        <v>2011</v>
      </c>
      <c r="N345" s="1" t="s">
        <v>237</v>
      </c>
      <c r="O345" s="1">
        <v>0</v>
      </c>
      <c r="P345" s="1">
        <v>0</v>
      </c>
      <c r="Q345" s="1">
        <v>0</v>
      </c>
      <c r="R345" s="1">
        <v>0</v>
      </c>
      <c r="S345" s="1" t="s">
        <v>251</v>
      </c>
    </row>
    <row r="346" spans="1:19" ht="14.45" customHeight="1" x14ac:dyDescent="0.25">
      <c r="A346" s="6">
        <v>345</v>
      </c>
      <c r="B346" s="6">
        <v>6803001</v>
      </c>
      <c r="C346" t="s">
        <v>883</v>
      </c>
      <c r="D346" s="1" t="s">
        <v>884</v>
      </c>
      <c r="E346" s="21">
        <v>370</v>
      </c>
      <c r="F346" s="21">
        <v>78</v>
      </c>
      <c r="G346" s="19">
        <v>0.97</v>
      </c>
      <c r="H346" s="6" t="s">
        <v>1954</v>
      </c>
      <c r="I346" s="6" t="s">
        <v>330</v>
      </c>
      <c r="J346" s="6" t="s">
        <v>1849</v>
      </c>
      <c r="K346" s="1">
        <v>0</v>
      </c>
      <c r="L346" s="6" t="s">
        <v>236</v>
      </c>
      <c r="M346" s="1">
        <v>2012</v>
      </c>
      <c r="N346" s="1" t="s">
        <v>237</v>
      </c>
      <c r="O346" s="1">
        <v>0</v>
      </c>
      <c r="P346" s="1">
        <v>0</v>
      </c>
      <c r="Q346" s="1">
        <v>0</v>
      </c>
      <c r="R346" s="1">
        <v>0</v>
      </c>
      <c r="S346" s="1" t="s">
        <v>235</v>
      </c>
    </row>
    <row r="347" spans="1:19" ht="14.45" customHeight="1" x14ac:dyDescent="0.25">
      <c r="A347" s="6">
        <v>346</v>
      </c>
      <c r="B347" s="6">
        <v>6803001</v>
      </c>
      <c r="C347" t="s">
        <v>883</v>
      </c>
      <c r="D347" s="1" t="s">
        <v>884</v>
      </c>
      <c r="E347" s="21">
        <v>200</v>
      </c>
      <c r="F347" s="21">
        <v>59</v>
      </c>
      <c r="G347" s="20">
        <v>0.54</v>
      </c>
      <c r="H347" s="6" t="s">
        <v>1954</v>
      </c>
      <c r="I347" s="6" t="s">
        <v>331</v>
      </c>
      <c r="J347" s="6" t="s">
        <v>1849</v>
      </c>
      <c r="K347" s="1">
        <v>0</v>
      </c>
      <c r="L347" s="6" t="s">
        <v>236</v>
      </c>
      <c r="M347" s="1">
        <v>2013</v>
      </c>
      <c r="N347" s="1" t="s">
        <v>237</v>
      </c>
      <c r="O347" s="1">
        <v>0</v>
      </c>
      <c r="P347" s="1">
        <v>0</v>
      </c>
      <c r="Q347" s="1" t="s">
        <v>1953</v>
      </c>
      <c r="R347" s="1">
        <v>0</v>
      </c>
      <c r="S347" s="1" t="s">
        <v>235</v>
      </c>
    </row>
    <row r="348" spans="1:19" ht="14.45" customHeight="1" x14ac:dyDescent="0.25">
      <c r="A348" s="6">
        <v>347</v>
      </c>
      <c r="B348" s="6">
        <v>6803001</v>
      </c>
      <c r="C348" t="s">
        <v>883</v>
      </c>
      <c r="D348" s="1" t="s">
        <v>884</v>
      </c>
      <c r="E348" s="21">
        <v>180</v>
      </c>
      <c r="F348" s="21">
        <v>75</v>
      </c>
      <c r="G348" s="20">
        <v>0.48</v>
      </c>
      <c r="H348" s="6" t="s">
        <v>1954</v>
      </c>
      <c r="I348" s="6" t="s">
        <v>332</v>
      </c>
      <c r="J348" s="6" t="s">
        <v>1849</v>
      </c>
      <c r="K348" s="1">
        <v>0</v>
      </c>
      <c r="L348" s="6" t="s">
        <v>236</v>
      </c>
      <c r="M348" s="1">
        <v>2014</v>
      </c>
      <c r="N348" s="1" t="s">
        <v>237</v>
      </c>
      <c r="O348" s="1">
        <v>0</v>
      </c>
      <c r="P348" s="1">
        <v>0</v>
      </c>
      <c r="Q348" s="1">
        <v>0</v>
      </c>
      <c r="R348" s="1" t="s">
        <v>1956</v>
      </c>
      <c r="S348" s="1" t="s">
        <v>235</v>
      </c>
    </row>
    <row r="349" spans="1:19" ht="14.45" customHeight="1" x14ac:dyDescent="0.25">
      <c r="A349" s="6">
        <v>348</v>
      </c>
      <c r="B349" s="6">
        <v>6803001</v>
      </c>
      <c r="C349" t="s">
        <v>883</v>
      </c>
      <c r="D349" s="1" t="s">
        <v>884</v>
      </c>
      <c r="E349" s="21">
        <v>68</v>
      </c>
      <c r="F349" s="1" t="s">
        <v>233</v>
      </c>
      <c r="G349" s="1" t="s">
        <v>233</v>
      </c>
      <c r="H349" s="6" t="s">
        <v>1951</v>
      </c>
      <c r="I349" s="6" t="s">
        <v>417</v>
      </c>
      <c r="J349" s="6" t="s">
        <v>1852</v>
      </c>
      <c r="K349" s="1">
        <v>0</v>
      </c>
      <c r="L349" s="6" t="s">
        <v>252</v>
      </c>
      <c r="M349" s="1">
        <v>2014</v>
      </c>
      <c r="N349" s="1" t="s">
        <v>237</v>
      </c>
      <c r="O349" s="1">
        <v>0</v>
      </c>
      <c r="P349" s="1">
        <v>0</v>
      </c>
      <c r="Q349" s="1">
        <v>0</v>
      </c>
      <c r="R349" s="1">
        <v>0</v>
      </c>
      <c r="S349" s="1" t="s">
        <v>235</v>
      </c>
    </row>
    <row r="350" spans="1:19" ht="14.45" customHeight="1" x14ac:dyDescent="0.25">
      <c r="A350" s="6">
        <v>349</v>
      </c>
      <c r="B350" s="6">
        <v>6803001</v>
      </c>
      <c r="C350" t="s">
        <v>883</v>
      </c>
      <c r="D350" s="1" t="s">
        <v>884</v>
      </c>
      <c r="E350" s="21">
        <v>630</v>
      </c>
      <c r="F350" s="1" t="s">
        <v>233</v>
      </c>
      <c r="G350" s="1" t="s">
        <v>233</v>
      </c>
      <c r="H350" s="6" t="s">
        <v>1951</v>
      </c>
      <c r="I350" s="6" t="s">
        <v>428</v>
      </c>
      <c r="J350" s="6" t="s">
        <v>1849</v>
      </c>
      <c r="K350" s="1">
        <v>0</v>
      </c>
      <c r="L350" s="6" t="s">
        <v>234</v>
      </c>
      <c r="M350" s="1">
        <v>2012</v>
      </c>
      <c r="N350" s="1" t="s">
        <v>1850</v>
      </c>
      <c r="O350" s="1">
        <v>1</v>
      </c>
      <c r="P350" s="1">
        <v>0</v>
      </c>
      <c r="Q350" s="1">
        <v>0</v>
      </c>
      <c r="R350" s="1">
        <v>0</v>
      </c>
      <c r="S350" s="1" t="s">
        <v>235</v>
      </c>
    </row>
    <row r="351" spans="1:19" ht="14.45" customHeight="1" x14ac:dyDescent="0.25">
      <c r="A351" s="6">
        <v>350</v>
      </c>
      <c r="B351" s="6">
        <v>6803001</v>
      </c>
      <c r="C351" t="s">
        <v>883</v>
      </c>
      <c r="D351" s="1" t="s">
        <v>884</v>
      </c>
      <c r="E351" s="21">
        <v>219</v>
      </c>
      <c r="F351" s="1" t="s">
        <v>233</v>
      </c>
      <c r="G351" s="1" t="s">
        <v>233</v>
      </c>
      <c r="H351" s="6" t="s">
        <v>1951</v>
      </c>
      <c r="I351" s="6" t="s">
        <v>435</v>
      </c>
      <c r="J351" s="6" t="s">
        <v>1853</v>
      </c>
      <c r="K351" s="1">
        <v>0</v>
      </c>
      <c r="L351" s="6" t="s">
        <v>249</v>
      </c>
      <c r="M351" s="1">
        <v>2010</v>
      </c>
      <c r="N351" s="1" t="s">
        <v>237</v>
      </c>
      <c r="O351" s="1">
        <v>0</v>
      </c>
      <c r="P351" s="1">
        <v>0</v>
      </c>
      <c r="Q351" s="1">
        <v>0</v>
      </c>
      <c r="R351" s="1">
        <v>0</v>
      </c>
      <c r="S351" s="1" t="s">
        <v>235</v>
      </c>
    </row>
    <row r="352" spans="1:19" ht="14.45" customHeight="1" x14ac:dyDescent="0.25">
      <c r="A352" s="6">
        <v>351</v>
      </c>
      <c r="B352" s="6">
        <v>6803001</v>
      </c>
      <c r="C352" t="s">
        <v>883</v>
      </c>
      <c r="D352" s="1" t="s">
        <v>884</v>
      </c>
      <c r="E352" s="21">
        <v>434.99999999999994</v>
      </c>
      <c r="F352" s="1" t="s">
        <v>233</v>
      </c>
      <c r="G352" s="1" t="s">
        <v>233</v>
      </c>
      <c r="H352" s="6" t="s">
        <v>1951</v>
      </c>
      <c r="I352" s="6" t="s">
        <v>435</v>
      </c>
      <c r="J352" s="6" t="s">
        <v>1853</v>
      </c>
      <c r="K352" s="1">
        <v>0</v>
      </c>
      <c r="L352" s="6" t="s">
        <v>272</v>
      </c>
      <c r="M352" s="1">
        <v>2010</v>
      </c>
      <c r="N352" s="1" t="s">
        <v>237</v>
      </c>
      <c r="O352" s="1">
        <v>0</v>
      </c>
      <c r="P352" s="1">
        <v>0</v>
      </c>
      <c r="Q352" s="1">
        <v>0</v>
      </c>
      <c r="R352" s="1">
        <v>0</v>
      </c>
      <c r="S352" s="1" t="s">
        <v>235</v>
      </c>
    </row>
    <row r="353" spans="1:19" ht="14.45" customHeight="1" x14ac:dyDescent="0.25">
      <c r="A353" s="6">
        <v>352</v>
      </c>
      <c r="B353" s="6">
        <v>6803001</v>
      </c>
      <c r="C353" t="s">
        <v>883</v>
      </c>
      <c r="D353" s="1" t="s">
        <v>884</v>
      </c>
      <c r="E353" s="21">
        <v>500</v>
      </c>
      <c r="F353" s="1" t="s">
        <v>233</v>
      </c>
      <c r="G353" s="1" t="s">
        <v>233</v>
      </c>
      <c r="H353" s="6" t="s">
        <v>1951</v>
      </c>
      <c r="I353" s="6" t="s">
        <v>885</v>
      </c>
      <c r="J353" s="6" t="s">
        <v>1849</v>
      </c>
      <c r="K353" s="1">
        <v>0</v>
      </c>
      <c r="L353" s="6" t="s">
        <v>236</v>
      </c>
      <c r="M353" s="1">
        <v>2012</v>
      </c>
      <c r="N353" s="1" t="s">
        <v>1859</v>
      </c>
      <c r="O353" s="1">
        <v>0</v>
      </c>
      <c r="P353" s="1">
        <v>0</v>
      </c>
      <c r="Q353" s="1">
        <v>0</v>
      </c>
      <c r="R353" s="1">
        <v>0</v>
      </c>
      <c r="S353" s="1" t="s">
        <v>235</v>
      </c>
    </row>
    <row r="354" spans="1:19" ht="14.45" customHeight="1" x14ac:dyDescent="0.25">
      <c r="A354" s="6">
        <v>353</v>
      </c>
      <c r="B354" s="6">
        <v>6803001</v>
      </c>
      <c r="C354" t="s">
        <v>883</v>
      </c>
      <c r="D354" s="1" t="s">
        <v>884</v>
      </c>
      <c r="E354" s="21">
        <v>163.88200000000001</v>
      </c>
      <c r="F354" s="1" t="s">
        <v>233</v>
      </c>
      <c r="G354" s="1" t="s">
        <v>233</v>
      </c>
      <c r="H354" s="6" t="s">
        <v>1951</v>
      </c>
      <c r="I354" s="6" t="s">
        <v>456</v>
      </c>
      <c r="J354" s="6" t="s">
        <v>1852</v>
      </c>
      <c r="K354" s="1">
        <v>0</v>
      </c>
      <c r="L354" s="6" t="s">
        <v>238</v>
      </c>
      <c r="M354" s="1">
        <v>2013</v>
      </c>
      <c r="N354" s="1" t="s">
        <v>237</v>
      </c>
      <c r="O354" s="1">
        <v>0</v>
      </c>
      <c r="P354" s="1">
        <v>0</v>
      </c>
      <c r="Q354" s="1">
        <v>0</v>
      </c>
      <c r="R354" s="1">
        <v>0</v>
      </c>
      <c r="S354" s="1" t="s">
        <v>235</v>
      </c>
    </row>
    <row r="355" spans="1:19" ht="14.45" customHeight="1" x14ac:dyDescent="0.25">
      <c r="A355" s="6">
        <v>354</v>
      </c>
      <c r="B355" s="6">
        <v>6803001</v>
      </c>
      <c r="C355" t="s">
        <v>883</v>
      </c>
      <c r="D355" s="1" t="s">
        <v>884</v>
      </c>
      <c r="E355" s="21">
        <v>197.77080000000001</v>
      </c>
      <c r="F355" s="1" t="s">
        <v>233</v>
      </c>
      <c r="G355" s="1" t="s">
        <v>233</v>
      </c>
      <c r="H355" s="6" t="s">
        <v>1951</v>
      </c>
      <c r="I355" s="6" t="s">
        <v>456</v>
      </c>
      <c r="J355" s="6" t="s">
        <v>1852</v>
      </c>
      <c r="K355" s="1">
        <v>0</v>
      </c>
      <c r="L355" s="6" t="s">
        <v>236</v>
      </c>
      <c r="M355" s="1">
        <v>2013</v>
      </c>
      <c r="N355" s="1" t="s">
        <v>237</v>
      </c>
      <c r="O355" s="1">
        <v>0</v>
      </c>
      <c r="P355" s="1">
        <v>0</v>
      </c>
      <c r="Q355" s="1">
        <v>0</v>
      </c>
      <c r="R355" s="1">
        <v>0</v>
      </c>
      <c r="S355" s="1" t="s">
        <v>235</v>
      </c>
    </row>
    <row r="356" spans="1:19" ht="14.45" customHeight="1" x14ac:dyDescent="0.25">
      <c r="A356" s="6">
        <v>355</v>
      </c>
      <c r="B356" s="6">
        <v>6803001</v>
      </c>
      <c r="C356" t="s">
        <v>883</v>
      </c>
      <c r="D356" s="1" t="s">
        <v>884</v>
      </c>
      <c r="E356" s="21" t="s">
        <v>237</v>
      </c>
      <c r="F356" s="1" t="s">
        <v>233</v>
      </c>
      <c r="G356" s="19">
        <v>1.4953271028037385</v>
      </c>
      <c r="H356" s="6" t="s">
        <v>1951</v>
      </c>
      <c r="I356" s="6" t="s">
        <v>457</v>
      </c>
      <c r="J356" s="6" t="s">
        <v>1852</v>
      </c>
      <c r="K356" s="1">
        <v>0</v>
      </c>
      <c r="L356" s="6" t="s">
        <v>236</v>
      </c>
      <c r="M356" s="1">
        <v>2013</v>
      </c>
      <c r="N356" s="1" t="s">
        <v>237</v>
      </c>
      <c r="O356" s="1">
        <v>0</v>
      </c>
      <c r="P356" s="1">
        <v>0</v>
      </c>
      <c r="Q356" s="1">
        <v>0</v>
      </c>
      <c r="R356" s="1">
        <v>0</v>
      </c>
      <c r="S356" s="1" t="s">
        <v>235</v>
      </c>
    </row>
    <row r="357" spans="1:19" ht="14.45" customHeight="1" x14ac:dyDescent="0.25">
      <c r="A357" s="6">
        <v>356</v>
      </c>
      <c r="B357" s="6">
        <v>6803001</v>
      </c>
      <c r="C357" t="s">
        <v>883</v>
      </c>
      <c r="D357" s="1" t="s">
        <v>884</v>
      </c>
      <c r="E357" s="21">
        <v>60</v>
      </c>
      <c r="F357" s="1" t="s">
        <v>233</v>
      </c>
      <c r="G357" s="1" t="s">
        <v>233</v>
      </c>
      <c r="H357" s="6" t="s">
        <v>1951</v>
      </c>
      <c r="I357" s="6" t="s">
        <v>515</v>
      </c>
      <c r="J357" s="6" t="s">
        <v>1853</v>
      </c>
      <c r="K357" s="1">
        <v>0</v>
      </c>
      <c r="L357" s="6" t="s">
        <v>239</v>
      </c>
      <c r="M357" s="1">
        <v>2011</v>
      </c>
      <c r="N357" s="1" t="s">
        <v>237</v>
      </c>
      <c r="O357" s="1">
        <v>0</v>
      </c>
      <c r="P357" s="1" t="s">
        <v>1952</v>
      </c>
      <c r="Q357" s="1">
        <v>0</v>
      </c>
      <c r="R357" s="1">
        <v>0</v>
      </c>
      <c r="S357" s="1" t="s">
        <v>235</v>
      </c>
    </row>
    <row r="358" spans="1:19" ht="14.45" customHeight="1" x14ac:dyDescent="0.25">
      <c r="A358" s="6">
        <v>357</v>
      </c>
      <c r="B358" s="6">
        <v>6803001</v>
      </c>
      <c r="C358" t="s">
        <v>883</v>
      </c>
      <c r="D358" s="1" t="s">
        <v>884</v>
      </c>
      <c r="E358" s="21">
        <v>120</v>
      </c>
      <c r="F358" s="1" t="s">
        <v>233</v>
      </c>
      <c r="G358" s="1" t="s">
        <v>233</v>
      </c>
      <c r="H358" s="6" t="s">
        <v>1951</v>
      </c>
      <c r="I358" s="6" t="s">
        <v>515</v>
      </c>
      <c r="J358" s="6" t="s">
        <v>1853</v>
      </c>
      <c r="K358" s="1">
        <v>0</v>
      </c>
      <c r="L358" s="6" t="s">
        <v>252</v>
      </c>
      <c r="M358" s="1">
        <v>2011</v>
      </c>
      <c r="N358" s="1" t="s">
        <v>237</v>
      </c>
      <c r="O358" s="1">
        <v>0</v>
      </c>
      <c r="P358" s="1">
        <v>0</v>
      </c>
      <c r="Q358" s="1">
        <v>0</v>
      </c>
      <c r="R358" s="1">
        <v>0</v>
      </c>
      <c r="S358" s="1" t="s">
        <v>235</v>
      </c>
    </row>
    <row r="359" spans="1:19" ht="14.45" customHeight="1" x14ac:dyDescent="0.25">
      <c r="A359" s="6">
        <v>358</v>
      </c>
      <c r="B359" s="6">
        <v>6803001</v>
      </c>
      <c r="C359" t="s">
        <v>883</v>
      </c>
      <c r="D359" s="1" t="s">
        <v>884</v>
      </c>
      <c r="E359" s="21">
        <v>480</v>
      </c>
      <c r="F359" s="1" t="s">
        <v>233</v>
      </c>
      <c r="G359" s="1" t="s">
        <v>233</v>
      </c>
      <c r="H359" s="6" t="s">
        <v>1951</v>
      </c>
      <c r="I359" s="6" t="s">
        <v>515</v>
      </c>
      <c r="J359" s="6" t="s">
        <v>1853</v>
      </c>
      <c r="K359" s="1">
        <v>0</v>
      </c>
      <c r="L359" s="6" t="s">
        <v>272</v>
      </c>
      <c r="M359" s="1">
        <v>2011</v>
      </c>
      <c r="N359" s="1" t="s">
        <v>237</v>
      </c>
      <c r="O359" s="1">
        <v>0</v>
      </c>
      <c r="P359" s="1">
        <v>0</v>
      </c>
      <c r="Q359" s="1">
        <v>0</v>
      </c>
      <c r="R359" s="1">
        <v>0</v>
      </c>
      <c r="S359" s="1" t="s">
        <v>235</v>
      </c>
    </row>
    <row r="360" spans="1:19" ht="14.45" customHeight="1" x14ac:dyDescent="0.25">
      <c r="A360" s="6">
        <v>359</v>
      </c>
      <c r="B360" s="6">
        <v>6803001</v>
      </c>
      <c r="C360" t="s">
        <v>883</v>
      </c>
      <c r="D360" s="1" t="s">
        <v>884</v>
      </c>
      <c r="E360" s="21">
        <v>900</v>
      </c>
      <c r="F360" s="1" t="s">
        <v>233</v>
      </c>
      <c r="G360" s="1" t="s">
        <v>233</v>
      </c>
      <c r="H360" s="6" t="s">
        <v>1951</v>
      </c>
      <c r="I360" s="6" t="s">
        <v>589</v>
      </c>
      <c r="J360" s="6" t="s">
        <v>1849</v>
      </c>
      <c r="K360" s="1">
        <v>0</v>
      </c>
      <c r="L360" s="6" t="s">
        <v>272</v>
      </c>
      <c r="M360" s="1">
        <v>2010</v>
      </c>
      <c r="N360" s="1" t="s">
        <v>1858</v>
      </c>
      <c r="O360" s="1">
        <v>0</v>
      </c>
      <c r="P360" s="1" t="s">
        <v>1952</v>
      </c>
      <c r="Q360" s="1">
        <v>0</v>
      </c>
      <c r="R360" s="1">
        <v>0</v>
      </c>
      <c r="S360" s="1" t="s">
        <v>235</v>
      </c>
    </row>
    <row r="361" spans="1:19" ht="14.45" customHeight="1" x14ac:dyDescent="0.25">
      <c r="A361" s="6">
        <v>360</v>
      </c>
      <c r="B361" s="6">
        <v>6803001</v>
      </c>
      <c r="C361" t="s">
        <v>883</v>
      </c>
      <c r="D361" s="1" t="s">
        <v>884</v>
      </c>
      <c r="E361" s="21" t="s">
        <v>237</v>
      </c>
      <c r="F361" s="21">
        <v>369.89231709256535</v>
      </c>
      <c r="G361" s="1" t="s">
        <v>233</v>
      </c>
      <c r="H361" s="6" t="s">
        <v>1951</v>
      </c>
      <c r="I361" s="6" t="s">
        <v>593</v>
      </c>
      <c r="J361" s="6" t="s">
        <v>1853</v>
      </c>
      <c r="K361" s="1">
        <v>0</v>
      </c>
      <c r="L361" s="6" t="s">
        <v>245</v>
      </c>
      <c r="M361" s="1">
        <v>2011</v>
      </c>
      <c r="N361" s="1" t="s">
        <v>237</v>
      </c>
      <c r="O361" s="1">
        <v>0</v>
      </c>
      <c r="P361" s="1">
        <v>0</v>
      </c>
      <c r="Q361" s="1">
        <v>0</v>
      </c>
      <c r="R361" s="1">
        <v>0</v>
      </c>
      <c r="S361" s="1" t="s">
        <v>251</v>
      </c>
    </row>
    <row r="362" spans="1:19" ht="14.45" customHeight="1" x14ac:dyDescent="0.25">
      <c r="A362" s="6">
        <v>361</v>
      </c>
      <c r="B362" s="6">
        <v>6803001</v>
      </c>
      <c r="C362" t="s">
        <v>883</v>
      </c>
      <c r="D362" s="1" t="s">
        <v>884</v>
      </c>
      <c r="E362" s="21">
        <v>67.599999999999994</v>
      </c>
      <c r="F362" s="1" t="s">
        <v>233</v>
      </c>
      <c r="G362" s="1" t="s">
        <v>233</v>
      </c>
      <c r="H362" s="6" t="s">
        <v>1951</v>
      </c>
      <c r="I362" s="6" t="s">
        <v>598</v>
      </c>
      <c r="J362" s="6" t="s">
        <v>1852</v>
      </c>
      <c r="K362" s="1">
        <v>0</v>
      </c>
      <c r="L362" s="6" t="s">
        <v>272</v>
      </c>
      <c r="M362" s="1">
        <v>2012</v>
      </c>
      <c r="N362" s="1" t="s">
        <v>237</v>
      </c>
      <c r="O362" s="1">
        <v>0</v>
      </c>
      <c r="P362" s="1">
        <v>0</v>
      </c>
      <c r="Q362" s="1">
        <v>0</v>
      </c>
      <c r="R362" s="1">
        <v>0</v>
      </c>
      <c r="S362" s="1" t="s">
        <v>235</v>
      </c>
    </row>
    <row r="363" spans="1:19" x14ac:dyDescent="0.25">
      <c r="A363" s="6">
        <v>362</v>
      </c>
      <c r="B363" s="6">
        <v>6803001</v>
      </c>
      <c r="C363" t="s">
        <v>883</v>
      </c>
      <c r="D363" s="1" t="s">
        <v>884</v>
      </c>
      <c r="E363" s="21">
        <v>82</v>
      </c>
      <c r="F363" s="1" t="s">
        <v>233</v>
      </c>
      <c r="G363" s="1" t="s">
        <v>233</v>
      </c>
      <c r="H363" s="6" t="s">
        <v>1951</v>
      </c>
      <c r="I363" s="6" t="s">
        <v>613</v>
      </c>
      <c r="J363" s="6" t="s">
        <v>1852</v>
      </c>
      <c r="K363" s="1">
        <v>0</v>
      </c>
      <c r="L363" s="6" t="s">
        <v>247</v>
      </c>
      <c r="M363" s="1">
        <v>2006</v>
      </c>
      <c r="N363" s="1" t="s">
        <v>237</v>
      </c>
      <c r="O363" s="1">
        <v>0</v>
      </c>
      <c r="P363" s="1">
        <v>0</v>
      </c>
      <c r="Q363" s="1">
        <v>0</v>
      </c>
      <c r="R363" s="1">
        <v>0</v>
      </c>
      <c r="S363" s="1" t="s">
        <v>235</v>
      </c>
    </row>
    <row r="364" spans="1:19" x14ac:dyDescent="0.25">
      <c r="A364" s="6">
        <v>363</v>
      </c>
      <c r="B364" s="6">
        <v>6803001</v>
      </c>
      <c r="C364" t="s">
        <v>883</v>
      </c>
      <c r="D364" s="1" t="s">
        <v>884</v>
      </c>
      <c r="E364" s="21">
        <v>357.4</v>
      </c>
      <c r="F364" s="1" t="s">
        <v>233</v>
      </c>
      <c r="G364" s="1" t="s">
        <v>233</v>
      </c>
      <c r="H364" s="6" t="s">
        <v>1951</v>
      </c>
      <c r="I364" s="6" t="s">
        <v>737</v>
      </c>
      <c r="J364" s="6" t="s">
        <v>1854</v>
      </c>
      <c r="K364" s="1">
        <v>1</v>
      </c>
      <c r="L364" s="6" t="s">
        <v>246</v>
      </c>
      <c r="M364" s="1">
        <v>2010</v>
      </c>
      <c r="N364" s="1" t="s">
        <v>237</v>
      </c>
      <c r="O364" s="1">
        <v>0</v>
      </c>
      <c r="P364" s="1">
        <v>0</v>
      </c>
      <c r="Q364" s="1">
        <v>0</v>
      </c>
      <c r="R364" s="1">
        <v>0</v>
      </c>
      <c r="S364" s="1" t="s">
        <v>235</v>
      </c>
    </row>
    <row r="365" spans="1:19" x14ac:dyDescent="0.25">
      <c r="A365" s="6">
        <v>364</v>
      </c>
      <c r="B365" s="6">
        <v>6803001</v>
      </c>
      <c r="C365" t="s">
        <v>883</v>
      </c>
      <c r="D365" s="1" t="s">
        <v>884</v>
      </c>
      <c r="E365" s="21">
        <v>185</v>
      </c>
      <c r="F365" s="1" t="s">
        <v>233</v>
      </c>
      <c r="G365" s="1" t="s">
        <v>233</v>
      </c>
      <c r="H365" s="6" t="s">
        <v>1951</v>
      </c>
      <c r="I365" s="6" t="s">
        <v>672</v>
      </c>
      <c r="J365" s="6" t="s">
        <v>1849</v>
      </c>
      <c r="K365" s="1">
        <v>0</v>
      </c>
      <c r="L365" s="6" t="s">
        <v>272</v>
      </c>
      <c r="M365" s="1">
        <v>2006</v>
      </c>
      <c r="N365" s="1" t="s">
        <v>237</v>
      </c>
      <c r="O365" s="1">
        <v>0</v>
      </c>
      <c r="P365" s="1">
        <v>0</v>
      </c>
      <c r="Q365" s="1">
        <v>0</v>
      </c>
      <c r="R365" s="1">
        <v>0</v>
      </c>
      <c r="S365" s="1" t="s">
        <v>235</v>
      </c>
    </row>
    <row r="366" spans="1:19" x14ac:dyDescent="0.25">
      <c r="A366" s="6">
        <v>365</v>
      </c>
      <c r="B366" s="6">
        <v>6803001</v>
      </c>
      <c r="C366" t="s">
        <v>883</v>
      </c>
      <c r="D366" s="1" t="s">
        <v>884</v>
      </c>
      <c r="E366" s="21">
        <v>271.8</v>
      </c>
      <c r="F366" s="1" t="s">
        <v>233</v>
      </c>
      <c r="G366" s="1" t="s">
        <v>233</v>
      </c>
      <c r="H366" s="6" t="s">
        <v>1951</v>
      </c>
      <c r="I366" s="6" t="s">
        <v>672</v>
      </c>
      <c r="J366" s="6" t="s">
        <v>1849</v>
      </c>
      <c r="K366" s="1">
        <v>0</v>
      </c>
      <c r="L366" s="6" t="s">
        <v>234</v>
      </c>
      <c r="M366" s="1">
        <v>2006</v>
      </c>
      <c r="N366" s="1" t="s">
        <v>237</v>
      </c>
      <c r="O366" s="1">
        <v>0</v>
      </c>
      <c r="P366" s="1">
        <v>0</v>
      </c>
      <c r="Q366" s="1">
        <v>0</v>
      </c>
      <c r="R366" s="1">
        <v>0</v>
      </c>
      <c r="S366" s="1" t="s">
        <v>235</v>
      </c>
    </row>
    <row r="367" spans="1:19" x14ac:dyDescent="0.25">
      <c r="A367" s="6">
        <v>366</v>
      </c>
      <c r="B367" s="6">
        <v>6803001</v>
      </c>
      <c r="C367" t="s">
        <v>883</v>
      </c>
      <c r="D367" s="1" t="s">
        <v>884</v>
      </c>
      <c r="E367" s="21">
        <v>148</v>
      </c>
      <c r="F367" s="1" t="s">
        <v>233</v>
      </c>
      <c r="G367" s="1" t="s">
        <v>233</v>
      </c>
      <c r="H367" s="6" t="s">
        <v>1951</v>
      </c>
      <c r="I367" s="6" t="s">
        <v>713</v>
      </c>
      <c r="J367" s="6" t="s">
        <v>1852</v>
      </c>
      <c r="K367" s="1">
        <v>0</v>
      </c>
      <c r="L367" s="6" t="s">
        <v>238</v>
      </c>
      <c r="M367" s="1">
        <v>2012</v>
      </c>
      <c r="N367" s="1" t="s">
        <v>237</v>
      </c>
      <c r="O367" s="1">
        <v>0</v>
      </c>
      <c r="P367" s="1">
        <v>0</v>
      </c>
      <c r="Q367" s="1">
        <v>0</v>
      </c>
      <c r="R367" s="1">
        <v>0</v>
      </c>
      <c r="S367" s="1" t="s">
        <v>235</v>
      </c>
    </row>
    <row r="368" spans="1:19" x14ac:dyDescent="0.25">
      <c r="A368" s="6">
        <v>367</v>
      </c>
      <c r="B368" s="6">
        <v>6803001</v>
      </c>
      <c r="C368" t="s">
        <v>883</v>
      </c>
      <c r="D368" s="1" t="s">
        <v>884</v>
      </c>
      <c r="E368" s="21">
        <v>221.5</v>
      </c>
      <c r="F368" s="1" t="s">
        <v>233</v>
      </c>
      <c r="G368" s="1" t="s">
        <v>233</v>
      </c>
      <c r="H368" s="6" t="s">
        <v>1951</v>
      </c>
      <c r="I368" s="6" t="s">
        <v>713</v>
      </c>
      <c r="J368" s="6" t="s">
        <v>1852</v>
      </c>
      <c r="K368" s="1">
        <v>0</v>
      </c>
      <c r="L368" s="6" t="s">
        <v>238</v>
      </c>
      <c r="M368" s="1">
        <v>2012</v>
      </c>
      <c r="N368" s="1" t="s">
        <v>1859</v>
      </c>
      <c r="O368" s="1">
        <v>0</v>
      </c>
      <c r="P368" s="1">
        <v>0</v>
      </c>
      <c r="Q368" s="1">
        <v>0</v>
      </c>
      <c r="R368" s="1">
        <v>0</v>
      </c>
      <c r="S368" s="1" t="s">
        <v>235</v>
      </c>
    </row>
    <row r="369" spans="1:19" x14ac:dyDescent="0.25">
      <c r="A369" s="6">
        <v>368</v>
      </c>
      <c r="B369" s="6">
        <v>6803001</v>
      </c>
      <c r="C369" t="s">
        <v>883</v>
      </c>
      <c r="D369" s="1" t="s">
        <v>884</v>
      </c>
      <c r="E369" s="21" t="s">
        <v>237</v>
      </c>
      <c r="F369" s="1" t="s">
        <v>233</v>
      </c>
      <c r="G369" s="19">
        <v>1.9</v>
      </c>
      <c r="H369" s="6" t="s">
        <v>1951</v>
      </c>
      <c r="I369" s="6" t="s">
        <v>720</v>
      </c>
      <c r="J369" s="6" t="s">
        <v>1849</v>
      </c>
      <c r="K369" s="1">
        <v>0</v>
      </c>
      <c r="L369" s="6" t="s">
        <v>255</v>
      </c>
      <c r="M369" s="1">
        <v>2006</v>
      </c>
      <c r="N369" s="1" t="s">
        <v>237</v>
      </c>
      <c r="O369" s="1">
        <v>0</v>
      </c>
      <c r="P369" s="1">
        <v>0</v>
      </c>
      <c r="Q369" s="1">
        <v>0</v>
      </c>
      <c r="R369" s="1" t="s">
        <v>1956</v>
      </c>
      <c r="S369" s="1" t="s">
        <v>235</v>
      </c>
    </row>
    <row r="370" spans="1:19" ht="14.45" customHeight="1" x14ac:dyDescent="0.25">
      <c r="A370" s="6">
        <v>369</v>
      </c>
      <c r="B370" s="6">
        <v>6803001</v>
      </c>
      <c r="C370" t="s">
        <v>883</v>
      </c>
      <c r="D370" s="1" t="s">
        <v>884</v>
      </c>
      <c r="E370" s="21">
        <v>550</v>
      </c>
      <c r="F370" s="1" t="s">
        <v>233</v>
      </c>
      <c r="G370" s="1" t="s">
        <v>233</v>
      </c>
      <c r="H370" s="6" t="s">
        <v>1951</v>
      </c>
      <c r="I370" s="6" t="s">
        <v>766</v>
      </c>
      <c r="J370" s="6" t="s">
        <v>1854</v>
      </c>
      <c r="K370" s="1">
        <v>1</v>
      </c>
      <c r="L370" s="6" t="s">
        <v>242</v>
      </c>
      <c r="M370" s="1">
        <v>2008</v>
      </c>
      <c r="N370" s="1" t="s">
        <v>237</v>
      </c>
      <c r="O370" s="1">
        <v>0</v>
      </c>
      <c r="P370" s="1">
        <v>0</v>
      </c>
      <c r="Q370" s="1">
        <v>0</v>
      </c>
      <c r="R370" s="1">
        <v>0</v>
      </c>
      <c r="S370" s="1" t="s">
        <v>235</v>
      </c>
    </row>
    <row r="371" spans="1:19" ht="14.45" customHeight="1" x14ac:dyDescent="0.25">
      <c r="A371" s="6">
        <v>370</v>
      </c>
      <c r="B371" s="6">
        <v>6803001</v>
      </c>
      <c r="C371" t="s">
        <v>883</v>
      </c>
      <c r="D371" s="1" t="s">
        <v>884</v>
      </c>
      <c r="E371" s="21">
        <v>381</v>
      </c>
      <c r="F371" s="1">
        <v>1150</v>
      </c>
      <c r="G371" s="1" t="s">
        <v>233</v>
      </c>
      <c r="H371" s="6" t="s">
        <v>1951</v>
      </c>
      <c r="I371" s="6" t="s">
        <v>412</v>
      </c>
      <c r="J371" s="6" t="s">
        <v>1852</v>
      </c>
      <c r="K371" s="1">
        <v>0</v>
      </c>
      <c r="L371" s="6" t="s">
        <v>253</v>
      </c>
      <c r="M371" s="1">
        <v>2012</v>
      </c>
      <c r="N371" s="1" t="s">
        <v>254</v>
      </c>
      <c r="O371" s="1">
        <v>0</v>
      </c>
      <c r="P371" s="1">
        <v>0</v>
      </c>
      <c r="Q371" s="1" t="s">
        <v>1953</v>
      </c>
      <c r="R371" s="1">
        <v>0</v>
      </c>
      <c r="S371" s="1" t="s">
        <v>251</v>
      </c>
    </row>
    <row r="372" spans="1:19" ht="14.45" customHeight="1" x14ac:dyDescent="0.25">
      <c r="A372" s="6">
        <v>371</v>
      </c>
      <c r="B372" s="6">
        <v>6803108</v>
      </c>
      <c r="C372" t="s">
        <v>886</v>
      </c>
      <c r="D372" s="1" t="s">
        <v>887</v>
      </c>
      <c r="E372" s="21" t="s">
        <v>237</v>
      </c>
      <c r="F372" s="21">
        <v>237.90824017990215</v>
      </c>
      <c r="G372" s="1" t="s">
        <v>233</v>
      </c>
      <c r="H372" s="6" t="s">
        <v>1951</v>
      </c>
      <c r="I372" s="6" t="s">
        <v>593</v>
      </c>
      <c r="J372" s="6" t="s">
        <v>1853</v>
      </c>
      <c r="K372" s="1">
        <v>0</v>
      </c>
      <c r="L372" s="6" t="s">
        <v>245</v>
      </c>
      <c r="M372" s="1">
        <v>2011</v>
      </c>
      <c r="N372" s="1" t="s">
        <v>237</v>
      </c>
      <c r="O372" s="1">
        <v>0</v>
      </c>
      <c r="P372" s="1">
        <v>0</v>
      </c>
      <c r="Q372" s="1">
        <v>0</v>
      </c>
      <c r="R372" s="1">
        <v>0</v>
      </c>
      <c r="S372" s="1" t="s">
        <v>251</v>
      </c>
    </row>
    <row r="373" spans="1:19" ht="14.45" customHeight="1" x14ac:dyDescent="0.25">
      <c r="A373" s="6">
        <v>372</v>
      </c>
      <c r="B373" s="6">
        <v>6803201</v>
      </c>
      <c r="C373" t="s">
        <v>888</v>
      </c>
      <c r="D373" s="1" t="s">
        <v>889</v>
      </c>
      <c r="E373" s="21">
        <v>139</v>
      </c>
      <c r="F373" s="1" t="s">
        <v>233</v>
      </c>
      <c r="G373" s="1" t="s">
        <v>233</v>
      </c>
      <c r="H373" s="6" t="s">
        <v>1951</v>
      </c>
      <c r="I373" s="6" t="s">
        <v>417</v>
      </c>
      <c r="J373" s="6" t="s">
        <v>1852</v>
      </c>
      <c r="K373" s="1">
        <v>0</v>
      </c>
      <c r="L373" s="6" t="s">
        <v>252</v>
      </c>
      <c r="M373" s="1">
        <v>2014</v>
      </c>
      <c r="N373" s="1" t="s">
        <v>237</v>
      </c>
      <c r="O373" s="1">
        <v>0</v>
      </c>
      <c r="P373" s="1">
        <v>0</v>
      </c>
      <c r="Q373" s="1">
        <v>0</v>
      </c>
      <c r="R373" s="1">
        <v>0</v>
      </c>
      <c r="S373" s="1" t="s">
        <v>235</v>
      </c>
    </row>
    <row r="374" spans="1:19" ht="14.45" customHeight="1" x14ac:dyDescent="0.25">
      <c r="A374" s="6">
        <v>373</v>
      </c>
      <c r="B374" s="6">
        <v>6803201</v>
      </c>
      <c r="C374" t="s">
        <v>888</v>
      </c>
      <c r="D374" s="1" t="s">
        <v>889</v>
      </c>
      <c r="E374" s="21">
        <v>40</v>
      </c>
      <c r="F374" s="1" t="s">
        <v>233</v>
      </c>
      <c r="G374" s="1" t="s">
        <v>233</v>
      </c>
      <c r="H374" s="6" t="s">
        <v>1951</v>
      </c>
      <c r="I374" s="6" t="s">
        <v>522</v>
      </c>
      <c r="J374" s="6" t="s">
        <v>1852</v>
      </c>
      <c r="K374" s="1">
        <v>0</v>
      </c>
      <c r="L374" s="6" t="s">
        <v>278</v>
      </c>
      <c r="M374" s="1">
        <v>2013</v>
      </c>
      <c r="N374" s="1" t="s">
        <v>237</v>
      </c>
      <c r="O374" s="1">
        <v>0</v>
      </c>
      <c r="P374" s="1">
        <v>0</v>
      </c>
      <c r="Q374" s="1">
        <v>0</v>
      </c>
      <c r="R374" s="1">
        <v>0</v>
      </c>
      <c r="S374" s="1" t="s">
        <v>251</v>
      </c>
    </row>
    <row r="375" spans="1:19" ht="14.45" customHeight="1" x14ac:dyDescent="0.25">
      <c r="A375" s="6">
        <v>374</v>
      </c>
      <c r="B375" s="6">
        <v>6803301</v>
      </c>
      <c r="C375" t="s">
        <v>890</v>
      </c>
      <c r="D375" s="1" t="s">
        <v>878</v>
      </c>
      <c r="E375" s="21">
        <v>120</v>
      </c>
      <c r="F375" s="1" t="s">
        <v>233</v>
      </c>
      <c r="G375" s="1" t="s">
        <v>233</v>
      </c>
      <c r="H375" s="6" t="s">
        <v>1951</v>
      </c>
      <c r="I375" s="6" t="s">
        <v>522</v>
      </c>
      <c r="J375" s="6" t="s">
        <v>1852</v>
      </c>
      <c r="K375" s="1">
        <v>0</v>
      </c>
      <c r="L375" s="6" t="s">
        <v>278</v>
      </c>
      <c r="M375" s="1">
        <v>2013</v>
      </c>
      <c r="N375" s="1" t="s">
        <v>237</v>
      </c>
      <c r="O375" s="1">
        <v>0</v>
      </c>
      <c r="P375" s="1">
        <v>0</v>
      </c>
      <c r="Q375" s="1">
        <v>0</v>
      </c>
      <c r="R375" s="1">
        <v>0</v>
      </c>
      <c r="S375" s="1" t="s">
        <v>251</v>
      </c>
    </row>
    <row r="376" spans="1:19" ht="14.45" customHeight="1" x14ac:dyDescent="0.25">
      <c r="A376" s="6">
        <v>375</v>
      </c>
      <c r="B376" s="6">
        <v>6803401</v>
      </c>
      <c r="C376" t="s">
        <v>891</v>
      </c>
      <c r="D376" s="1" t="s">
        <v>892</v>
      </c>
      <c r="E376" s="21">
        <v>1330</v>
      </c>
      <c r="F376" s="21" t="s">
        <v>233</v>
      </c>
      <c r="G376" s="1" t="s">
        <v>233</v>
      </c>
      <c r="H376" s="6" t="s">
        <v>1951</v>
      </c>
      <c r="I376" s="6" t="s">
        <v>336</v>
      </c>
      <c r="J376" s="6" t="s">
        <v>1849</v>
      </c>
      <c r="K376" s="1">
        <v>0</v>
      </c>
      <c r="L376" s="6" t="s">
        <v>234</v>
      </c>
      <c r="M376" s="1">
        <v>2009</v>
      </c>
      <c r="N376" s="1" t="s">
        <v>237</v>
      </c>
      <c r="O376" s="1">
        <v>0</v>
      </c>
      <c r="P376" s="1">
        <v>0</v>
      </c>
      <c r="Q376" s="1">
        <v>0</v>
      </c>
      <c r="R376" s="1">
        <v>0</v>
      </c>
      <c r="S376" s="1" t="s">
        <v>251</v>
      </c>
    </row>
    <row r="377" spans="1:19" ht="14.45" customHeight="1" x14ac:dyDescent="0.25">
      <c r="A377" s="6">
        <v>376</v>
      </c>
      <c r="B377" s="6">
        <v>6803401</v>
      </c>
      <c r="C377" t="s">
        <v>891</v>
      </c>
      <c r="D377" s="1" t="s">
        <v>892</v>
      </c>
      <c r="E377" s="21" t="s">
        <v>237</v>
      </c>
      <c r="F377" s="21">
        <v>135.9</v>
      </c>
      <c r="G377" s="1" t="s">
        <v>233</v>
      </c>
      <c r="H377" s="6" t="s">
        <v>1951</v>
      </c>
      <c r="I377" s="6" t="s">
        <v>542</v>
      </c>
      <c r="J377" s="6" t="s">
        <v>1852</v>
      </c>
      <c r="K377" s="1">
        <v>0</v>
      </c>
      <c r="L377" s="6" t="s">
        <v>243</v>
      </c>
      <c r="M377" s="1">
        <v>2012</v>
      </c>
      <c r="N377" s="1" t="s">
        <v>237</v>
      </c>
      <c r="O377" s="1">
        <v>0</v>
      </c>
      <c r="P377" s="1">
        <v>0</v>
      </c>
      <c r="Q377" s="1">
        <v>0</v>
      </c>
      <c r="R377" s="1">
        <v>0</v>
      </c>
      <c r="S377" s="1" t="s">
        <v>235</v>
      </c>
    </row>
    <row r="378" spans="1:19" ht="14.45" customHeight="1" x14ac:dyDescent="0.25">
      <c r="A378" s="6">
        <v>377</v>
      </c>
      <c r="B378" s="6">
        <v>6803401</v>
      </c>
      <c r="C378" t="s">
        <v>891</v>
      </c>
      <c r="D378" s="1" t="s">
        <v>892</v>
      </c>
      <c r="E378" s="21" t="s">
        <v>237</v>
      </c>
      <c r="F378" s="21">
        <v>314.77075804111678</v>
      </c>
      <c r="G378" s="1" t="s">
        <v>233</v>
      </c>
      <c r="H378" s="6" t="s">
        <v>1951</v>
      </c>
      <c r="I378" s="6" t="s">
        <v>593</v>
      </c>
      <c r="J378" s="6" t="s">
        <v>1853</v>
      </c>
      <c r="K378" s="1">
        <v>0</v>
      </c>
      <c r="L378" s="6" t="s">
        <v>245</v>
      </c>
      <c r="M378" s="1">
        <v>2011</v>
      </c>
      <c r="N378" s="1" t="s">
        <v>237</v>
      </c>
      <c r="O378" s="1">
        <v>0</v>
      </c>
      <c r="P378" s="1">
        <v>0</v>
      </c>
      <c r="Q378" s="1">
        <v>0</v>
      </c>
      <c r="R378" s="1">
        <v>0</v>
      </c>
      <c r="S378" s="1" t="s">
        <v>251</v>
      </c>
    </row>
    <row r="379" spans="1:19" ht="14.45" customHeight="1" x14ac:dyDescent="0.25">
      <c r="A379" s="6">
        <v>378</v>
      </c>
      <c r="B379" s="6">
        <v>6803501</v>
      </c>
      <c r="C379" t="s">
        <v>893</v>
      </c>
      <c r="D379" s="1" t="s">
        <v>894</v>
      </c>
      <c r="E379" s="21">
        <v>710</v>
      </c>
      <c r="F379" s="1" t="s">
        <v>233</v>
      </c>
      <c r="G379" s="1" t="s">
        <v>233</v>
      </c>
      <c r="H379" s="6" t="s">
        <v>1951</v>
      </c>
      <c r="I379" s="6" t="s">
        <v>503</v>
      </c>
      <c r="J379" s="6" t="s">
        <v>1849</v>
      </c>
      <c r="K379" s="1">
        <v>0</v>
      </c>
      <c r="L379" s="6" t="s">
        <v>245</v>
      </c>
      <c r="M379" s="1">
        <v>2013</v>
      </c>
      <c r="N379" s="1" t="s">
        <v>237</v>
      </c>
      <c r="O379" s="1">
        <v>0</v>
      </c>
      <c r="P379" s="1">
        <v>0</v>
      </c>
      <c r="Q379" s="1">
        <v>0</v>
      </c>
      <c r="R379" s="1">
        <v>0</v>
      </c>
      <c r="S379" s="1" t="s">
        <v>235</v>
      </c>
    </row>
    <row r="380" spans="1:19" ht="14.45" customHeight="1" x14ac:dyDescent="0.25">
      <c r="A380" s="6">
        <v>379</v>
      </c>
      <c r="B380" s="6">
        <v>6803501</v>
      </c>
      <c r="C380" t="s">
        <v>893</v>
      </c>
      <c r="D380" s="1" t="s">
        <v>894</v>
      </c>
      <c r="E380" s="21">
        <v>1494.7</v>
      </c>
      <c r="F380" s="1" t="s">
        <v>233</v>
      </c>
      <c r="G380" s="1" t="s">
        <v>233</v>
      </c>
      <c r="H380" s="6" t="s">
        <v>1951</v>
      </c>
      <c r="I380" s="6" t="s">
        <v>840</v>
      </c>
      <c r="J380" s="6" t="s">
        <v>1851</v>
      </c>
      <c r="K380" s="1">
        <v>0</v>
      </c>
      <c r="L380" s="6" t="s">
        <v>236</v>
      </c>
      <c r="M380" s="1">
        <v>2012</v>
      </c>
      <c r="N380" s="1" t="s">
        <v>1850</v>
      </c>
      <c r="O380" s="1">
        <v>1</v>
      </c>
      <c r="P380" s="1">
        <v>0</v>
      </c>
      <c r="Q380" s="1">
        <v>0</v>
      </c>
      <c r="R380" s="1">
        <v>0</v>
      </c>
      <c r="S380" s="1" t="s">
        <v>235</v>
      </c>
    </row>
    <row r="381" spans="1:19" ht="14.45" customHeight="1" x14ac:dyDescent="0.25">
      <c r="A381" s="6">
        <v>380</v>
      </c>
      <c r="B381" s="6">
        <v>6803501</v>
      </c>
      <c r="C381" t="s">
        <v>893</v>
      </c>
      <c r="D381" s="1" t="s">
        <v>894</v>
      </c>
      <c r="E381" s="21" t="s">
        <v>237</v>
      </c>
      <c r="F381" s="21">
        <v>236.93739505534114</v>
      </c>
      <c r="G381" s="1" t="s">
        <v>233</v>
      </c>
      <c r="H381" s="6" t="s">
        <v>1951</v>
      </c>
      <c r="I381" s="6" t="s">
        <v>593</v>
      </c>
      <c r="J381" s="6" t="s">
        <v>1853</v>
      </c>
      <c r="K381" s="1">
        <v>0</v>
      </c>
      <c r="L381" s="6" t="s">
        <v>245</v>
      </c>
      <c r="M381" s="1">
        <v>2011</v>
      </c>
      <c r="N381" s="1" t="s">
        <v>237</v>
      </c>
      <c r="O381" s="1">
        <v>0</v>
      </c>
      <c r="P381" s="1">
        <v>0</v>
      </c>
      <c r="Q381" s="1">
        <v>0</v>
      </c>
      <c r="R381" s="1">
        <v>0</v>
      </c>
      <c r="S381" s="1" t="s">
        <v>251</v>
      </c>
    </row>
    <row r="382" spans="1:19" ht="14.45" customHeight="1" x14ac:dyDescent="0.25">
      <c r="A382" s="6">
        <v>381</v>
      </c>
      <c r="B382" s="6">
        <v>6803501</v>
      </c>
      <c r="C382" t="s">
        <v>893</v>
      </c>
      <c r="D382" s="1" t="s">
        <v>894</v>
      </c>
      <c r="E382" s="21" t="s">
        <v>237</v>
      </c>
      <c r="F382" s="1">
        <v>135</v>
      </c>
      <c r="G382" s="21" t="s">
        <v>237</v>
      </c>
      <c r="H382" s="6" t="s">
        <v>1951</v>
      </c>
      <c r="I382" s="6" t="s">
        <v>505</v>
      </c>
      <c r="J382" s="6" t="s">
        <v>1853</v>
      </c>
      <c r="K382" s="1">
        <v>0</v>
      </c>
      <c r="L382" s="6" t="s">
        <v>245</v>
      </c>
      <c r="M382" s="1">
        <v>2014</v>
      </c>
      <c r="N382" s="1" t="s">
        <v>254</v>
      </c>
      <c r="O382" s="1">
        <v>0</v>
      </c>
      <c r="P382" s="1">
        <v>0</v>
      </c>
      <c r="Q382" s="1">
        <v>0</v>
      </c>
      <c r="R382" s="1">
        <v>0</v>
      </c>
      <c r="S382" s="1" t="s">
        <v>251</v>
      </c>
    </row>
    <row r="383" spans="1:19" ht="14.45" customHeight="1" x14ac:dyDescent="0.25">
      <c r="A383" s="6">
        <v>382</v>
      </c>
      <c r="B383" s="6">
        <v>6803601</v>
      </c>
      <c r="C383" t="s">
        <v>895</v>
      </c>
      <c r="D383" s="1" t="s">
        <v>896</v>
      </c>
      <c r="E383" s="21" t="s">
        <v>237</v>
      </c>
      <c r="F383" s="1" t="s">
        <v>233</v>
      </c>
      <c r="G383" s="19">
        <v>1.8691588785046731</v>
      </c>
      <c r="H383" s="6" t="s">
        <v>1951</v>
      </c>
      <c r="I383" s="6" t="s">
        <v>457</v>
      </c>
      <c r="J383" s="6" t="s">
        <v>1852</v>
      </c>
      <c r="K383" s="1">
        <v>0</v>
      </c>
      <c r="L383" s="6" t="s">
        <v>236</v>
      </c>
      <c r="M383" s="1">
        <v>2013</v>
      </c>
      <c r="N383" s="1" t="s">
        <v>237</v>
      </c>
      <c r="O383" s="1">
        <v>0</v>
      </c>
      <c r="P383" s="1">
        <v>0</v>
      </c>
      <c r="Q383" s="1">
        <v>0</v>
      </c>
      <c r="R383" s="1">
        <v>0</v>
      </c>
      <c r="S383" s="1" t="s">
        <v>235</v>
      </c>
    </row>
    <row r="384" spans="1:19" ht="14.45" customHeight="1" x14ac:dyDescent="0.25">
      <c r="A384" s="6">
        <v>383</v>
      </c>
      <c r="B384" s="6">
        <v>6803601</v>
      </c>
      <c r="C384" t="s">
        <v>895</v>
      </c>
      <c r="D384" s="1" t="s">
        <v>896</v>
      </c>
      <c r="E384" s="21">
        <v>108.75</v>
      </c>
      <c r="F384" s="1" t="s">
        <v>233</v>
      </c>
      <c r="G384" s="1" t="s">
        <v>233</v>
      </c>
      <c r="H384" s="6" t="s">
        <v>1951</v>
      </c>
      <c r="I384" s="6" t="s">
        <v>583</v>
      </c>
      <c r="J384" s="6" t="s">
        <v>1849</v>
      </c>
      <c r="K384" s="1">
        <v>0</v>
      </c>
      <c r="L384" s="6" t="s">
        <v>243</v>
      </c>
      <c r="M384" s="1">
        <v>2010</v>
      </c>
      <c r="N384" s="1" t="s">
        <v>237</v>
      </c>
      <c r="O384" s="1">
        <v>0</v>
      </c>
      <c r="P384" s="1">
        <v>0</v>
      </c>
      <c r="Q384" s="1">
        <v>0</v>
      </c>
      <c r="R384" s="1">
        <v>0</v>
      </c>
      <c r="S384" s="1" t="s">
        <v>235</v>
      </c>
    </row>
    <row r="385" spans="1:19" ht="14.45" customHeight="1" x14ac:dyDescent="0.25">
      <c r="A385" s="6">
        <v>384</v>
      </c>
      <c r="B385" s="6">
        <v>6803601</v>
      </c>
      <c r="C385" t="s">
        <v>895</v>
      </c>
      <c r="D385" s="1" t="s">
        <v>896</v>
      </c>
      <c r="E385" s="21">
        <v>132.5</v>
      </c>
      <c r="F385" s="1" t="s">
        <v>233</v>
      </c>
      <c r="G385" s="1" t="s">
        <v>233</v>
      </c>
      <c r="H385" s="6" t="s">
        <v>1951</v>
      </c>
      <c r="I385" s="6" t="s">
        <v>583</v>
      </c>
      <c r="J385" s="6" t="s">
        <v>1849</v>
      </c>
      <c r="K385" s="1">
        <v>0</v>
      </c>
      <c r="L385" s="6" t="s">
        <v>243</v>
      </c>
      <c r="M385" s="1">
        <v>2010</v>
      </c>
      <c r="N385" s="1" t="s">
        <v>1859</v>
      </c>
      <c r="O385" s="1">
        <v>0</v>
      </c>
      <c r="P385" s="1">
        <v>0</v>
      </c>
      <c r="Q385" s="1">
        <v>0</v>
      </c>
      <c r="R385" s="1">
        <v>0</v>
      </c>
      <c r="S385" s="1" t="s">
        <v>235</v>
      </c>
    </row>
    <row r="386" spans="1:19" ht="14.45" customHeight="1" x14ac:dyDescent="0.25">
      <c r="A386" s="6">
        <v>385</v>
      </c>
      <c r="B386" s="6">
        <v>6803601</v>
      </c>
      <c r="C386" t="s">
        <v>895</v>
      </c>
      <c r="D386" s="1" t="s">
        <v>896</v>
      </c>
      <c r="E386" s="21" t="s">
        <v>237</v>
      </c>
      <c r="F386" s="21">
        <v>1120.3346677456234</v>
      </c>
      <c r="G386" s="1" t="s">
        <v>233</v>
      </c>
      <c r="H386" s="6" t="s">
        <v>1951</v>
      </c>
      <c r="I386" s="6" t="s">
        <v>593</v>
      </c>
      <c r="J386" s="6" t="s">
        <v>1853</v>
      </c>
      <c r="K386" s="1">
        <v>0</v>
      </c>
      <c r="L386" s="6" t="s">
        <v>245</v>
      </c>
      <c r="M386" s="1">
        <v>2011</v>
      </c>
      <c r="N386" s="1" t="s">
        <v>237</v>
      </c>
      <c r="O386" s="1">
        <v>0</v>
      </c>
      <c r="P386" s="1">
        <v>0</v>
      </c>
      <c r="Q386" s="1">
        <v>0</v>
      </c>
      <c r="R386" s="1">
        <v>0</v>
      </c>
      <c r="S386" s="1" t="s">
        <v>251</v>
      </c>
    </row>
    <row r="387" spans="1:19" ht="14.45" customHeight="1" x14ac:dyDescent="0.25">
      <c r="A387" s="6">
        <v>386</v>
      </c>
      <c r="B387" s="6">
        <v>6803701</v>
      </c>
      <c r="C387" t="s">
        <v>897</v>
      </c>
      <c r="D387" s="1" t="s">
        <v>898</v>
      </c>
      <c r="E387" s="21">
        <v>168</v>
      </c>
      <c r="F387" s="1" t="s">
        <v>233</v>
      </c>
      <c r="G387" s="1" t="s">
        <v>233</v>
      </c>
      <c r="H387" s="6" t="s">
        <v>1951</v>
      </c>
      <c r="I387" s="6" t="s">
        <v>417</v>
      </c>
      <c r="J387" s="6" t="s">
        <v>1852</v>
      </c>
      <c r="K387" s="1">
        <v>0</v>
      </c>
      <c r="L387" s="6" t="s">
        <v>252</v>
      </c>
      <c r="M387" s="1">
        <v>2014</v>
      </c>
      <c r="N387" s="1" t="s">
        <v>237</v>
      </c>
      <c r="O387" s="1">
        <v>0</v>
      </c>
      <c r="P387" s="1">
        <v>0</v>
      </c>
      <c r="Q387" s="1">
        <v>0</v>
      </c>
      <c r="R387" s="1">
        <v>0</v>
      </c>
      <c r="S387" s="1" t="s">
        <v>235</v>
      </c>
    </row>
    <row r="388" spans="1:19" ht="14.45" customHeight="1" x14ac:dyDescent="0.25">
      <c r="A388" s="6">
        <v>387</v>
      </c>
      <c r="B388" s="6">
        <v>6803701</v>
      </c>
      <c r="C388" t="s">
        <v>897</v>
      </c>
      <c r="D388" s="1" t="s">
        <v>898</v>
      </c>
      <c r="E388" s="21" t="s">
        <v>237</v>
      </c>
      <c r="F388" s="1" t="s">
        <v>233</v>
      </c>
      <c r="G388" s="19">
        <v>13.4</v>
      </c>
      <c r="H388" s="6" t="s">
        <v>1951</v>
      </c>
      <c r="I388" s="6" t="s">
        <v>455</v>
      </c>
      <c r="J388" s="6" t="s">
        <v>1852</v>
      </c>
      <c r="K388" s="1">
        <v>0</v>
      </c>
      <c r="L388" s="6" t="s">
        <v>236</v>
      </c>
      <c r="M388" s="1">
        <v>2010</v>
      </c>
      <c r="N388" s="1" t="s">
        <v>237</v>
      </c>
      <c r="O388" s="1">
        <v>0</v>
      </c>
      <c r="P388" s="1">
        <v>0</v>
      </c>
      <c r="Q388" s="1">
        <v>0</v>
      </c>
      <c r="R388" s="1">
        <v>0</v>
      </c>
      <c r="S388" s="1" t="s">
        <v>235</v>
      </c>
    </row>
    <row r="389" spans="1:19" ht="14.45" customHeight="1" x14ac:dyDescent="0.25">
      <c r="A389" s="6">
        <v>388</v>
      </c>
      <c r="B389" s="6">
        <v>6803701</v>
      </c>
      <c r="C389" t="s">
        <v>897</v>
      </c>
      <c r="D389" s="1" t="s">
        <v>898</v>
      </c>
      <c r="E389" s="21" t="s">
        <v>237</v>
      </c>
      <c r="F389" s="1" t="s">
        <v>233</v>
      </c>
      <c r="G389" s="19">
        <v>2.990654205607477</v>
      </c>
      <c r="H389" s="6" t="s">
        <v>1951</v>
      </c>
      <c r="I389" s="6" t="s">
        <v>457</v>
      </c>
      <c r="J389" s="6" t="s">
        <v>1852</v>
      </c>
      <c r="K389" s="1">
        <v>0</v>
      </c>
      <c r="L389" s="6" t="s">
        <v>236</v>
      </c>
      <c r="M389" s="1">
        <v>2013</v>
      </c>
      <c r="N389" s="1" t="s">
        <v>237</v>
      </c>
      <c r="O389" s="1">
        <v>0</v>
      </c>
      <c r="P389" s="1">
        <v>0</v>
      </c>
      <c r="Q389" s="1">
        <v>0</v>
      </c>
      <c r="R389" s="1">
        <v>0</v>
      </c>
      <c r="S389" s="1" t="s">
        <v>235</v>
      </c>
    </row>
    <row r="390" spans="1:19" ht="14.45" customHeight="1" x14ac:dyDescent="0.25">
      <c r="A390" s="6">
        <v>389</v>
      </c>
      <c r="B390" s="6">
        <v>6803701</v>
      </c>
      <c r="C390" t="s">
        <v>897</v>
      </c>
      <c r="D390" s="1" t="s">
        <v>898</v>
      </c>
      <c r="E390" s="21" t="s">
        <v>237</v>
      </c>
      <c r="F390" s="1" t="s">
        <v>233</v>
      </c>
      <c r="G390" s="19">
        <v>1.308411214953271</v>
      </c>
      <c r="H390" s="6" t="s">
        <v>1951</v>
      </c>
      <c r="I390" s="6" t="s">
        <v>457</v>
      </c>
      <c r="J390" s="6" t="s">
        <v>1852</v>
      </c>
      <c r="K390" s="1">
        <v>0</v>
      </c>
      <c r="L390" s="6" t="s">
        <v>236</v>
      </c>
      <c r="M390" s="1">
        <v>2013</v>
      </c>
      <c r="N390" s="1" t="s">
        <v>237</v>
      </c>
      <c r="O390" s="1">
        <v>0</v>
      </c>
      <c r="P390" s="1">
        <v>0</v>
      </c>
      <c r="Q390" s="1">
        <v>0</v>
      </c>
      <c r="R390" s="1">
        <v>0</v>
      </c>
      <c r="S390" s="1" t="s">
        <v>235</v>
      </c>
    </row>
    <row r="391" spans="1:19" ht="14.45" customHeight="1" x14ac:dyDescent="0.25">
      <c r="A391" s="6">
        <v>390</v>
      </c>
      <c r="B391" s="6">
        <v>6803701</v>
      </c>
      <c r="C391" t="s">
        <v>897</v>
      </c>
      <c r="D391" s="1" t="s">
        <v>898</v>
      </c>
      <c r="E391" s="21" t="s">
        <v>237</v>
      </c>
      <c r="F391" s="21">
        <v>1169.4462842635917</v>
      </c>
      <c r="G391" s="1" t="s">
        <v>233</v>
      </c>
      <c r="H391" s="6" t="s">
        <v>1951</v>
      </c>
      <c r="I391" s="6" t="s">
        <v>593</v>
      </c>
      <c r="J391" s="6" t="s">
        <v>1853</v>
      </c>
      <c r="K391" s="1">
        <v>0</v>
      </c>
      <c r="L391" s="6" t="s">
        <v>245</v>
      </c>
      <c r="M391" s="1">
        <v>2011</v>
      </c>
      <c r="N391" s="1" t="s">
        <v>237</v>
      </c>
      <c r="O391" s="1">
        <v>0</v>
      </c>
      <c r="P391" s="1">
        <v>0</v>
      </c>
      <c r="Q391" s="1">
        <v>0</v>
      </c>
      <c r="R391" s="1">
        <v>0</v>
      </c>
      <c r="S391" s="1" t="s">
        <v>251</v>
      </c>
    </row>
    <row r="392" spans="1:19" ht="14.45" customHeight="1" x14ac:dyDescent="0.25">
      <c r="A392" s="6">
        <v>391</v>
      </c>
      <c r="B392" s="6">
        <v>6803701</v>
      </c>
      <c r="C392" t="s">
        <v>897</v>
      </c>
      <c r="D392" s="1" t="s">
        <v>898</v>
      </c>
      <c r="E392" s="21">
        <v>370</v>
      </c>
      <c r="F392" s="1" t="s">
        <v>233</v>
      </c>
      <c r="G392" s="1" t="s">
        <v>233</v>
      </c>
      <c r="H392" s="6" t="s">
        <v>1951</v>
      </c>
      <c r="I392" s="6" t="s">
        <v>698</v>
      </c>
      <c r="J392" s="6" t="s">
        <v>1849</v>
      </c>
      <c r="K392" s="1">
        <v>0</v>
      </c>
      <c r="L392" s="6" t="s">
        <v>258</v>
      </c>
      <c r="M392" s="1">
        <v>2014</v>
      </c>
      <c r="N392" s="1" t="s">
        <v>237</v>
      </c>
      <c r="O392" s="1">
        <v>0</v>
      </c>
      <c r="P392" s="1">
        <v>0</v>
      </c>
      <c r="Q392" s="1">
        <v>0</v>
      </c>
      <c r="R392" s="1">
        <v>0</v>
      </c>
      <c r="S392" s="1" t="s">
        <v>235</v>
      </c>
    </row>
    <row r="393" spans="1:19" ht="14.45" customHeight="1" x14ac:dyDescent="0.25">
      <c r="A393" s="6">
        <v>392</v>
      </c>
      <c r="B393" s="6">
        <v>6803701</v>
      </c>
      <c r="C393" t="s">
        <v>897</v>
      </c>
      <c r="D393" s="1" t="s">
        <v>898</v>
      </c>
      <c r="E393" s="21">
        <v>780</v>
      </c>
      <c r="F393" s="1" t="s">
        <v>233</v>
      </c>
      <c r="G393" s="1" t="s">
        <v>233</v>
      </c>
      <c r="H393" s="6" t="s">
        <v>1951</v>
      </c>
      <c r="I393" s="6" t="s">
        <v>766</v>
      </c>
      <c r="J393" s="6" t="s">
        <v>1854</v>
      </c>
      <c r="K393" s="1">
        <v>1</v>
      </c>
      <c r="L393" s="6" t="s">
        <v>242</v>
      </c>
      <c r="M393" s="1">
        <v>2008</v>
      </c>
      <c r="N393" s="1" t="s">
        <v>237</v>
      </c>
      <c r="O393" s="1">
        <v>0</v>
      </c>
      <c r="P393" s="1">
        <v>0</v>
      </c>
      <c r="Q393" s="1">
        <v>0</v>
      </c>
      <c r="R393" s="1">
        <v>0</v>
      </c>
      <c r="S393" s="1" t="s">
        <v>235</v>
      </c>
    </row>
    <row r="394" spans="1:19" ht="14.45" customHeight="1" x14ac:dyDescent="0.25">
      <c r="A394" s="6">
        <v>393</v>
      </c>
      <c r="B394" s="6">
        <v>6803701</v>
      </c>
      <c r="C394" t="s">
        <v>897</v>
      </c>
      <c r="D394" s="1" t="s">
        <v>898</v>
      </c>
      <c r="E394" s="21">
        <v>591</v>
      </c>
      <c r="F394" s="1">
        <v>1600</v>
      </c>
      <c r="G394" s="1" t="s">
        <v>233</v>
      </c>
      <c r="H394" s="6" t="s">
        <v>1951</v>
      </c>
      <c r="I394" s="6" t="s">
        <v>412</v>
      </c>
      <c r="J394" s="6" t="s">
        <v>1852</v>
      </c>
      <c r="K394" s="1">
        <v>0</v>
      </c>
      <c r="L394" s="6" t="s">
        <v>253</v>
      </c>
      <c r="M394" s="1">
        <v>2012</v>
      </c>
      <c r="N394" s="1" t="s">
        <v>254</v>
      </c>
      <c r="O394" s="1">
        <v>0</v>
      </c>
      <c r="P394" s="1">
        <v>0</v>
      </c>
      <c r="Q394" s="1">
        <v>0</v>
      </c>
      <c r="R394" s="1">
        <v>0</v>
      </c>
      <c r="S394" s="1" t="s">
        <v>251</v>
      </c>
    </row>
    <row r="395" spans="1:19" ht="14.45" customHeight="1" x14ac:dyDescent="0.25">
      <c r="A395" s="6">
        <v>394</v>
      </c>
      <c r="B395" s="6">
        <v>6803901</v>
      </c>
      <c r="C395" t="s">
        <v>899</v>
      </c>
      <c r="D395" s="1" t="s">
        <v>900</v>
      </c>
      <c r="E395" s="21" t="s">
        <v>237</v>
      </c>
      <c r="F395" s="21">
        <v>352.3239173551558</v>
      </c>
      <c r="G395" s="1" t="s">
        <v>233</v>
      </c>
      <c r="H395" s="6" t="s">
        <v>1951</v>
      </c>
      <c r="I395" s="6" t="s">
        <v>593</v>
      </c>
      <c r="J395" s="6" t="s">
        <v>1853</v>
      </c>
      <c r="K395" s="1">
        <v>0</v>
      </c>
      <c r="L395" s="6" t="s">
        <v>245</v>
      </c>
      <c r="M395" s="1">
        <v>2011</v>
      </c>
      <c r="N395" s="1" t="s">
        <v>237</v>
      </c>
      <c r="O395" s="1">
        <v>0</v>
      </c>
      <c r="P395" s="1">
        <v>0</v>
      </c>
      <c r="Q395" s="1">
        <v>0</v>
      </c>
      <c r="R395" s="1">
        <v>0</v>
      </c>
      <c r="S395" s="1" t="s">
        <v>251</v>
      </c>
    </row>
    <row r="396" spans="1:19" ht="14.45" customHeight="1" x14ac:dyDescent="0.25">
      <c r="A396" s="6">
        <v>395</v>
      </c>
      <c r="B396" s="6">
        <v>6803901</v>
      </c>
      <c r="C396" t="s">
        <v>899</v>
      </c>
      <c r="D396" s="1" t="s">
        <v>900</v>
      </c>
      <c r="E396" s="21">
        <v>140</v>
      </c>
      <c r="F396" s="1" t="s">
        <v>233</v>
      </c>
      <c r="G396" s="1" t="s">
        <v>233</v>
      </c>
      <c r="H396" s="6" t="s">
        <v>1951</v>
      </c>
      <c r="I396" s="6" t="s">
        <v>698</v>
      </c>
      <c r="J396" s="6" t="s">
        <v>1849</v>
      </c>
      <c r="K396" s="1">
        <v>0</v>
      </c>
      <c r="L396" s="6" t="s">
        <v>258</v>
      </c>
      <c r="M396" s="1">
        <v>2014</v>
      </c>
      <c r="N396" s="1" t="s">
        <v>237</v>
      </c>
      <c r="O396" s="1">
        <v>0</v>
      </c>
      <c r="P396" s="1">
        <v>0</v>
      </c>
      <c r="Q396" s="1">
        <v>0</v>
      </c>
      <c r="R396" s="1">
        <v>0</v>
      </c>
      <c r="S396" s="1" t="s">
        <v>235</v>
      </c>
    </row>
    <row r="397" spans="1:19" ht="14.45" customHeight="1" x14ac:dyDescent="0.25">
      <c r="A397" s="6">
        <v>396</v>
      </c>
      <c r="B397" s="6">
        <v>6803901</v>
      </c>
      <c r="C397" t="s">
        <v>899</v>
      </c>
      <c r="D397" s="1" t="s">
        <v>900</v>
      </c>
      <c r="E397" s="21">
        <v>211.5</v>
      </c>
      <c r="F397" s="1" t="s">
        <v>233</v>
      </c>
      <c r="G397" s="1" t="s">
        <v>233</v>
      </c>
      <c r="H397" s="6" t="s">
        <v>1951</v>
      </c>
      <c r="I397" s="6" t="s">
        <v>713</v>
      </c>
      <c r="J397" s="6" t="s">
        <v>1852</v>
      </c>
      <c r="K397" s="1">
        <v>0</v>
      </c>
      <c r="L397" s="6" t="s">
        <v>238</v>
      </c>
      <c r="M397" s="1">
        <v>2012</v>
      </c>
      <c r="N397" s="1" t="s">
        <v>1859</v>
      </c>
      <c r="O397" s="1">
        <v>0</v>
      </c>
      <c r="P397" s="1">
        <v>0</v>
      </c>
      <c r="Q397" s="1">
        <v>0</v>
      </c>
      <c r="R397" s="1">
        <v>0</v>
      </c>
      <c r="S397" s="1" t="s">
        <v>235</v>
      </c>
    </row>
    <row r="398" spans="1:19" ht="14.45" customHeight="1" x14ac:dyDescent="0.25">
      <c r="A398" s="6">
        <v>397</v>
      </c>
      <c r="B398" s="6">
        <v>6803901</v>
      </c>
      <c r="C398" t="s">
        <v>899</v>
      </c>
      <c r="D398" s="1" t="s">
        <v>900</v>
      </c>
      <c r="E398" s="21">
        <v>238.5</v>
      </c>
      <c r="F398" s="1" t="s">
        <v>233</v>
      </c>
      <c r="G398" s="1" t="s">
        <v>233</v>
      </c>
      <c r="H398" s="6" t="s">
        <v>1951</v>
      </c>
      <c r="I398" s="6" t="s">
        <v>713</v>
      </c>
      <c r="J398" s="6" t="s">
        <v>1852</v>
      </c>
      <c r="K398" s="1">
        <v>0</v>
      </c>
      <c r="L398" s="6" t="s">
        <v>238</v>
      </c>
      <c r="M398" s="1">
        <v>2012</v>
      </c>
      <c r="N398" s="1" t="s">
        <v>237</v>
      </c>
      <c r="O398" s="1">
        <v>0</v>
      </c>
      <c r="P398" s="1">
        <v>0</v>
      </c>
      <c r="Q398" s="1">
        <v>0</v>
      </c>
      <c r="R398" s="1">
        <v>0</v>
      </c>
      <c r="S398" s="1" t="s">
        <v>235</v>
      </c>
    </row>
    <row r="399" spans="1:19" ht="14.45" customHeight="1" x14ac:dyDescent="0.25">
      <c r="A399" s="6">
        <v>398</v>
      </c>
      <c r="B399" s="6">
        <v>6803901</v>
      </c>
      <c r="C399" t="s">
        <v>899</v>
      </c>
      <c r="D399" s="1" t="s">
        <v>900</v>
      </c>
      <c r="E399" s="21">
        <v>830</v>
      </c>
      <c r="F399" s="1" t="s">
        <v>233</v>
      </c>
      <c r="G399" s="1" t="s">
        <v>233</v>
      </c>
      <c r="H399" s="6" t="s">
        <v>1951</v>
      </c>
      <c r="I399" s="6" t="s">
        <v>766</v>
      </c>
      <c r="J399" s="6" t="s">
        <v>1854</v>
      </c>
      <c r="K399" s="1">
        <v>1</v>
      </c>
      <c r="L399" s="6" t="s">
        <v>242</v>
      </c>
      <c r="M399" s="1">
        <v>2008</v>
      </c>
      <c r="N399" s="1" t="s">
        <v>237</v>
      </c>
      <c r="O399" s="1">
        <v>0</v>
      </c>
      <c r="P399" s="1">
        <v>0</v>
      </c>
      <c r="Q399" s="1">
        <v>0</v>
      </c>
      <c r="R399" s="1">
        <v>0</v>
      </c>
      <c r="S399" s="1" t="s">
        <v>235</v>
      </c>
    </row>
    <row r="400" spans="1:19" ht="14.45" customHeight="1" x14ac:dyDescent="0.25">
      <c r="A400" s="6">
        <v>399</v>
      </c>
      <c r="B400" s="6">
        <v>6804201</v>
      </c>
      <c r="C400" t="s">
        <v>901</v>
      </c>
      <c r="D400" s="1" t="s">
        <v>889</v>
      </c>
      <c r="E400" s="21" t="s">
        <v>237</v>
      </c>
      <c r="F400" s="21">
        <v>933.05512564940193</v>
      </c>
      <c r="G400" s="1" t="s">
        <v>233</v>
      </c>
      <c r="H400" s="6" t="s">
        <v>1951</v>
      </c>
      <c r="I400" s="6" t="s">
        <v>593</v>
      </c>
      <c r="J400" s="6" t="s">
        <v>1853</v>
      </c>
      <c r="K400" s="1">
        <v>0</v>
      </c>
      <c r="L400" s="6" t="s">
        <v>245</v>
      </c>
      <c r="M400" s="1">
        <v>2011</v>
      </c>
      <c r="N400" s="1" t="s">
        <v>237</v>
      </c>
      <c r="O400" s="1">
        <v>0</v>
      </c>
      <c r="P400" s="1">
        <v>0</v>
      </c>
      <c r="Q400" s="1">
        <v>0</v>
      </c>
      <c r="R400" s="1">
        <v>0</v>
      </c>
      <c r="S400" s="1" t="s">
        <v>251</v>
      </c>
    </row>
    <row r="401" spans="1:19" ht="14.45" customHeight="1" x14ac:dyDescent="0.25">
      <c r="A401" s="6">
        <v>400</v>
      </c>
      <c r="B401" s="6">
        <v>6804301</v>
      </c>
      <c r="C401" t="s">
        <v>902</v>
      </c>
      <c r="D401" s="1" t="s">
        <v>903</v>
      </c>
      <c r="E401" s="21" t="s">
        <v>237</v>
      </c>
      <c r="F401" s="1" t="s">
        <v>233</v>
      </c>
      <c r="G401" s="19">
        <v>2.2429906542056073</v>
      </c>
      <c r="H401" s="6" t="s">
        <v>1951</v>
      </c>
      <c r="I401" s="6" t="s">
        <v>457</v>
      </c>
      <c r="J401" s="6" t="s">
        <v>1852</v>
      </c>
      <c r="K401" s="1">
        <v>0</v>
      </c>
      <c r="L401" s="6" t="s">
        <v>236</v>
      </c>
      <c r="M401" s="1">
        <v>2013</v>
      </c>
      <c r="N401" s="1" t="s">
        <v>237</v>
      </c>
      <c r="O401" s="1">
        <v>0</v>
      </c>
      <c r="P401" s="1">
        <v>0</v>
      </c>
      <c r="Q401" s="1">
        <v>0</v>
      </c>
      <c r="R401" s="1">
        <v>0</v>
      </c>
      <c r="S401" s="1" t="s">
        <v>235</v>
      </c>
    </row>
    <row r="402" spans="1:19" ht="14.45" customHeight="1" x14ac:dyDescent="0.25">
      <c r="A402" s="6">
        <v>401</v>
      </c>
      <c r="B402" s="6">
        <v>6804401</v>
      </c>
      <c r="C402" t="s">
        <v>904</v>
      </c>
      <c r="D402" s="1" t="s">
        <v>878</v>
      </c>
      <c r="E402" s="21" t="s">
        <v>237</v>
      </c>
      <c r="F402" s="21">
        <v>3921.118088006298</v>
      </c>
      <c r="G402" s="1" t="s">
        <v>233</v>
      </c>
      <c r="H402" s="6" t="s">
        <v>1951</v>
      </c>
      <c r="I402" s="6" t="s">
        <v>593</v>
      </c>
      <c r="J402" s="6" t="s">
        <v>1853</v>
      </c>
      <c r="K402" s="1">
        <v>0</v>
      </c>
      <c r="L402" s="6" t="s">
        <v>245</v>
      </c>
      <c r="M402" s="1">
        <v>2011</v>
      </c>
      <c r="N402" s="1" t="s">
        <v>237</v>
      </c>
      <c r="O402" s="1">
        <v>0</v>
      </c>
      <c r="P402" s="1">
        <v>0</v>
      </c>
      <c r="Q402" s="1">
        <v>0</v>
      </c>
      <c r="R402" s="1">
        <v>0</v>
      </c>
      <c r="S402" s="1" t="s">
        <v>251</v>
      </c>
    </row>
    <row r="403" spans="1:19" ht="14.45" customHeight="1" x14ac:dyDescent="0.25">
      <c r="A403" s="6">
        <v>402</v>
      </c>
      <c r="B403" s="6">
        <v>6804401</v>
      </c>
      <c r="C403" t="s">
        <v>904</v>
      </c>
      <c r="D403" s="1" t="s">
        <v>878</v>
      </c>
      <c r="E403" s="21">
        <v>1440</v>
      </c>
      <c r="F403" s="1" t="s">
        <v>233</v>
      </c>
      <c r="G403" s="1" t="s">
        <v>233</v>
      </c>
      <c r="H403" s="6" t="s">
        <v>1951</v>
      </c>
      <c r="I403" s="6" t="s">
        <v>504</v>
      </c>
      <c r="J403" s="6" t="s">
        <v>1852</v>
      </c>
      <c r="K403" s="1">
        <v>0</v>
      </c>
      <c r="L403" s="6" t="s">
        <v>245</v>
      </c>
      <c r="M403" s="1">
        <v>2014</v>
      </c>
      <c r="N403" s="1" t="s">
        <v>237</v>
      </c>
      <c r="O403" s="1">
        <v>0</v>
      </c>
      <c r="P403" s="1">
        <v>0</v>
      </c>
      <c r="Q403" s="1">
        <v>0</v>
      </c>
      <c r="R403" s="1">
        <v>0</v>
      </c>
      <c r="S403" s="1" t="s">
        <v>251</v>
      </c>
    </row>
    <row r="404" spans="1:19" ht="14.45" customHeight="1" x14ac:dyDescent="0.25">
      <c r="A404" s="6">
        <v>403</v>
      </c>
      <c r="B404" s="6">
        <v>6804501</v>
      </c>
      <c r="C404" t="s">
        <v>905</v>
      </c>
      <c r="D404" s="1" t="s">
        <v>906</v>
      </c>
      <c r="E404" s="21">
        <v>260</v>
      </c>
      <c r="F404" s="1" t="s">
        <v>233</v>
      </c>
      <c r="G404" s="1" t="s">
        <v>233</v>
      </c>
      <c r="H404" s="6" t="s">
        <v>1951</v>
      </c>
      <c r="I404" s="6" t="s">
        <v>515</v>
      </c>
      <c r="J404" s="6" t="s">
        <v>1853</v>
      </c>
      <c r="K404" s="1">
        <v>0</v>
      </c>
      <c r="L404" s="6" t="s">
        <v>239</v>
      </c>
      <c r="M404" s="1">
        <v>2011</v>
      </c>
      <c r="N404" s="1" t="s">
        <v>237</v>
      </c>
      <c r="O404" s="1">
        <v>0</v>
      </c>
      <c r="P404" s="1">
        <v>0</v>
      </c>
      <c r="Q404" s="1">
        <v>0</v>
      </c>
      <c r="R404" s="1">
        <v>0</v>
      </c>
      <c r="S404" s="1" t="s">
        <v>235</v>
      </c>
    </row>
    <row r="405" spans="1:19" ht="14.45" customHeight="1" x14ac:dyDescent="0.25">
      <c r="A405" s="6">
        <v>404</v>
      </c>
      <c r="B405" s="6">
        <v>6804501</v>
      </c>
      <c r="C405" t="s">
        <v>905</v>
      </c>
      <c r="D405" s="1" t="s">
        <v>906</v>
      </c>
      <c r="E405" s="21">
        <v>450</v>
      </c>
      <c r="F405" s="1" t="s">
        <v>233</v>
      </c>
      <c r="G405" s="1" t="s">
        <v>233</v>
      </c>
      <c r="H405" s="6" t="s">
        <v>1951</v>
      </c>
      <c r="I405" s="6" t="s">
        <v>515</v>
      </c>
      <c r="J405" s="6" t="s">
        <v>1853</v>
      </c>
      <c r="K405" s="1">
        <v>0</v>
      </c>
      <c r="L405" s="6" t="s">
        <v>238</v>
      </c>
      <c r="M405" s="1">
        <v>2011</v>
      </c>
      <c r="N405" s="1" t="s">
        <v>237</v>
      </c>
      <c r="O405" s="1">
        <v>0</v>
      </c>
      <c r="P405" s="1">
        <v>0</v>
      </c>
      <c r="Q405" s="1">
        <v>0</v>
      </c>
      <c r="R405" s="1">
        <v>0</v>
      </c>
      <c r="S405" s="1" t="s">
        <v>235</v>
      </c>
    </row>
    <row r="406" spans="1:19" ht="14.45" customHeight="1" x14ac:dyDescent="0.25">
      <c r="A406" s="6">
        <v>405</v>
      </c>
      <c r="B406" s="6">
        <v>6805201</v>
      </c>
      <c r="C406" t="s">
        <v>907</v>
      </c>
      <c r="D406" s="1" t="s">
        <v>908</v>
      </c>
      <c r="E406" s="21">
        <v>1639.1752577319587</v>
      </c>
      <c r="F406" s="1" t="s">
        <v>233</v>
      </c>
      <c r="G406" s="1" t="s">
        <v>233</v>
      </c>
      <c r="H406" s="6" t="s">
        <v>1951</v>
      </c>
      <c r="I406" s="6" t="s">
        <v>435</v>
      </c>
      <c r="J406" s="6" t="s">
        <v>1853</v>
      </c>
      <c r="K406" s="1">
        <v>0</v>
      </c>
      <c r="L406" s="6" t="s">
        <v>249</v>
      </c>
      <c r="M406" s="1">
        <v>2010</v>
      </c>
      <c r="N406" s="1" t="s">
        <v>237</v>
      </c>
      <c r="O406" s="1">
        <v>0</v>
      </c>
      <c r="P406" s="1" t="s">
        <v>1952</v>
      </c>
      <c r="Q406" s="1">
        <v>0</v>
      </c>
      <c r="R406" s="1">
        <v>0</v>
      </c>
      <c r="S406" s="1" t="s">
        <v>235</v>
      </c>
    </row>
    <row r="407" spans="1:19" ht="14.45" customHeight="1" x14ac:dyDescent="0.25">
      <c r="A407" s="6">
        <v>406</v>
      </c>
      <c r="B407" s="6">
        <v>6805201</v>
      </c>
      <c r="C407" t="s">
        <v>907</v>
      </c>
      <c r="D407" s="1" t="s">
        <v>908</v>
      </c>
      <c r="E407" s="21">
        <v>896</v>
      </c>
      <c r="F407" s="1" t="s">
        <v>233</v>
      </c>
      <c r="G407" s="1" t="s">
        <v>233</v>
      </c>
      <c r="H407" s="6" t="s">
        <v>1951</v>
      </c>
      <c r="I407" s="6" t="s">
        <v>485</v>
      </c>
      <c r="J407" s="6" t="s">
        <v>1849</v>
      </c>
      <c r="K407" s="1">
        <v>0</v>
      </c>
      <c r="L407" s="6" t="s">
        <v>269</v>
      </c>
      <c r="M407" s="1">
        <v>2010</v>
      </c>
      <c r="N407" s="1" t="s">
        <v>237</v>
      </c>
      <c r="O407" s="1">
        <v>0</v>
      </c>
      <c r="P407" s="1">
        <v>0</v>
      </c>
      <c r="Q407" s="1">
        <v>0</v>
      </c>
      <c r="R407" s="1">
        <v>0</v>
      </c>
      <c r="S407" s="1" t="s">
        <v>235</v>
      </c>
    </row>
    <row r="408" spans="1:19" ht="14.45" customHeight="1" x14ac:dyDescent="0.25">
      <c r="A408" s="6">
        <v>407</v>
      </c>
      <c r="B408" s="6">
        <v>6805201</v>
      </c>
      <c r="C408" t="s">
        <v>907</v>
      </c>
      <c r="D408" s="1" t="s">
        <v>908</v>
      </c>
      <c r="E408" s="21">
        <v>210</v>
      </c>
      <c r="F408" s="1" t="s">
        <v>233</v>
      </c>
      <c r="G408" s="1" t="s">
        <v>233</v>
      </c>
      <c r="H408" s="6" t="s">
        <v>1951</v>
      </c>
      <c r="I408" s="6" t="s">
        <v>515</v>
      </c>
      <c r="J408" s="6" t="s">
        <v>1853</v>
      </c>
      <c r="K408" s="1">
        <v>0</v>
      </c>
      <c r="L408" s="6" t="s">
        <v>239</v>
      </c>
      <c r="M408" s="1">
        <v>2011</v>
      </c>
      <c r="N408" s="1" t="s">
        <v>237</v>
      </c>
      <c r="O408" s="1">
        <v>0</v>
      </c>
      <c r="P408" s="1">
        <v>0</v>
      </c>
      <c r="Q408" s="1">
        <v>0</v>
      </c>
      <c r="R408" s="1">
        <v>0</v>
      </c>
      <c r="S408" s="1" t="s">
        <v>235</v>
      </c>
    </row>
    <row r="409" spans="1:19" ht="14.45" customHeight="1" x14ac:dyDescent="0.25">
      <c r="A409" s="6">
        <v>408</v>
      </c>
      <c r="B409" s="6">
        <v>6805201</v>
      </c>
      <c r="C409" t="s">
        <v>907</v>
      </c>
      <c r="D409" s="1" t="s">
        <v>908</v>
      </c>
      <c r="E409" s="21">
        <v>550</v>
      </c>
      <c r="F409" s="1" t="s">
        <v>233</v>
      </c>
      <c r="G409" s="1" t="s">
        <v>233</v>
      </c>
      <c r="H409" s="6" t="s">
        <v>1951</v>
      </c>
      <c r="I409" s="6" t="s">
        <v>515</v>
      </c>
      <c r="J409" s="6" t="s">
        <v>1853</v>
      </c>
      <c r="K409" s="1">
        <v>0</v>
      </c>
      <c r="L409" s="6" t="s">
        <v>238</v>
      </c>
      <c r="M409" s="1">
        <v>2011</v>
      </c>
      <c r="N409" s="1" t="s">
        <v>237</v>
      </c>
      <c r="O409" s="1">
        <v>0</v>
      </c>
      <c r="P409" s="1">
        <v>0</v>
      </c>
      <c r="Q409" s="1">
        <v>0</v>
      </c>
      <c r="R409" s="1">
        <v>0</v>
      </c>
      <c r="S409" s="1" t="s">
        <v>235</v>
      </c>
    </row>
    <row r="410" spans="1:19" ht="14.45" customHeight="1" x14ac:dyDescent="0.25">
      <c r="A410" s="6">
        <v>409</v>
      </c>
      <c r="B410" s="6">
        <v>6805201</v>
      </c>
      <c r="C410" t="s">
        <v>907</v>
      </c>
      <c r="D410" s="1" t="s">
        <v>908</v>
      </c>
      <c r="E410" s="21">
        <v>329.76</v>
      </c>
      <c r="F410" s="1" t="s">
        <v>233</v>
      </c>
      <c r="G410" s="1" t="s">
        <v>233</v>
      </c>
      <c r="H410" s="6" t="s">
        <v>1951</v>
      </c>
      <c r="I410" s="6" t="s">
        <v>533</v>
      </c>
      <c r="J410" s="6" t="s">
        <v>1849</v>
      </c>
      <c r="K410" s="1">
        <v>0</v>
      </c>
      <c r="L410" s="6" t="s">
        <v>268</v>
      </c>
      <c r="M410" s="1">
        <v>2012</v>
      </c>
      <c r="N410" s="1" t="s">
        <v>237</v>
      </c>
      <c r="O410" s="1">
        <v>0</v>
      </c>
      <c r="P410" s="1">
        <v>0</v>
      </c>
      <c r="Q410" s="1">
        <v>0</v>
      </c>
      <c r="R410" s="1">
        <v>0</v>
      </c>
      <c r="S410" s="1" t="s">
        <v>235</v>
      </c>
    </row>
    <row r="411" spans="1:19" ht="14.45" customHeight="1" x14ac:dyDescent="0.25">
      <c r="A411" s="6">
        <v>410</v>
      </c>
      <c r="B411" s="6">
        <v>6805201</v>
      </c>
      <c r="C411" t="s">
        <v>907</v>
      </c>
      <c r="D411" s="1" t="s">
        <v>908</v>
      </c>
      <c r="E411" s="21">
        <v>1200</v>
      </c>
      <c r="F411" s="1" t="s">
        <v>233</v>
      </c>
      <c r="G411" s="1" t="s">
        <v>233</v>
      </c>
      <c r="H411" s="6" t="s">
        <v>1951</v>
      </c>
      <c r="I411" s="6" t="s">
        <v>581</v>
      </c>
      <c r="J411" s="6" t="s">
        <v>1849</v>
      </c>
      <c r="K411" s="1">
        <v>0</v>
      </c>
      <c r="L411" s="6" t="s">
        <v>234</v>
      </c>
      <c r="M411" s="1">
        <v>2008</v>
      </c>
      <c r="N411" s="1" t="s">
        <v>237</v>
      </c>
      <c r="O411" s="1">
        <v>0</v>
      </c>
      <c r="P411" s="1">
        <v>0</v>
      </c>
      <c r="Q411" s="1">
        <v>0</v>
      </c>
      <c r="R411" s="1">
        <v>0</v>
      </c>
      <c r="S411" s="1" t="s">
        <v>235</v>
      </c>
    </row>
    <row r="412" spans="1:19" ht="14.45" customHeight="1" x14ac:dyDescent="0.25">
      <c r="A412" s="6">
        <v>411</v>
      </c>
      <c r="B412" s="6">
        <v>6805201</v>
      </c>
      <c r="C412" t="s">
        <v>907</v>
      </c>
      <c r="D412" s="1" t="s">
        <v>908</v>
      </c>
      <c r="E412" s="21">
        <v>195.08196721311475</v>
      </c>
      <c r="F412" s="1" t="s">
        <v>233</v>
      </c>
      <c r="G412" s="1" t="s">
        <v>233</v>
      </c>
      <c r="H412" s="6" t="s">
        <v>1951</v>
      </c>
      <c r="I412" s="6" t="s">
        <v>582</v>
      </c>
      <c r="J412" s="6" t="s">
        <v>1849</v>
      </c>
      <c r="K412" s="1">
        <v>0</v>
      </c>
      <c r="L412" s="6" t="s">
        <v>260</v>
      </c>
      <c r="M412" s="1">
        <v>2010</v>
      </c>
      <c r="N412" s="1" t="s">
        <v>1859</v>
      </c>
      <c r="O412" s="1">
        <v>0</v>
      </c>
      <c r="P412" s="1" t="s">
        <v>1952</v>
      </c>
      <c r="Q412" s="1">
        <v>0</v>
      </c>
      <c r="R412" s="1">
        <v>0</v>
      </c>
      <c r="S412" s="1" t="s">
        <v>235</v>
      </c>
    </row>
    <row r="413" spans="1:19" ht="14.45" customHeight="1" x14ac:dyDescent="0.25">
      <c r="A413" s="6">
        <v>412</v>
      </c>
      <c r="B413" s="6">
        <v>6805201</v>
      </c>
      <c r="C413" t="s">
        <v>907</v>
      </c>
      <c r="D413" s="1" t="s">
        <v>908</v>
      </c>
      <c r="E413" s="21">
        <v>286.88524590163934</v>
      </c>
      <c r="F413" s="1" t="s">
        <v>233</v>
      </c>
      <c r="G413" s="1" t="s">
        <v>233</v>
      </c>
      <c r="H413" s="6" t="s">
        <v>1951</v>
      </c>
      <c r="I413" s="6" t="s">
        <v>582</v>
      </c>
      <c r="J413" s="6" t="s">
        <v>1849</v>
      </c>
      <c r="K413" s="1">
        <v>0</v>
      </c>
      <c r="L413" s="6" t="s">
        <v>260</v>
      </c>
      <c r="M413" s="1">
        <v>2010</v>
      </c>
      <c r="N413" s="1" t="s">
        <v>237</v>
      </c>
      <c r="O413" s="1">
        <v>0</v>
      </c>
      <c r="P413" s="1">
        <v>0</v>
      </c>
      <c r="Q413" s="1">
        <v>0</v>
      </c>
      <c r="R413" s="1">
        <v>0</v>
      </c>
      <c r="S413" s="1" t="s">
        <v>235</v>
      </c>
    </row>
    <row r="414" spans="1:19" ht="14.45" customHeight="1" x14ac:dyDescent="0.25">
      <c r="A414" s="6">
        <v>413</v>
      </c>
      <c r="B414" s="6">
        <v>6805201</v>
      </c>
      <c r="C414" t="s">
        <v>907</v>
      </c>
      <c r="D414" s="1" t="s">
        <v>908</v>
      </c>
      <c r="E414" s="21" t="s">
        <v>237</v>
      </c>
      <c r="F414" s="21">
        <v>228.8</v>
      </c>
      <c r="G414" s="1" t="s">
        <v>233</v>
      </c>
      <c r="H414" s="6" t="s">
        <v>1951</v>
      </c>
      <c r="I414" s="6" t="s">
        <v>586</v>
      </c>
      <c r="J414" s="6" t="s">
        <v>1852</v>
      </c>
      <c r="K414" s="1">
        <v>0</v>
      </c>
      <c r="L414" s="6" t="s">
        <v>279</v>
      </c>
      <c r="M414" s="1">
        <v>2012</v>
      </c>
      <c r="N414" s="1" t="s">
        <v>237</v>
      </c>
      <c r="O414" s="1">
        <v>0</v>
      </c>
      <c r="P414" s="1">
        <v>0</v>
      </c>
      <c r="Q414" s="1">
        <v>0</v>
      </c>
      <c r="R414" s="1">
        <v>0</v>
      </c>
      <c r="S414" s="1" t="s">
        <v>235</v>
      </c>
    </row>
    <row r="415" spans="1:19" ht="14.45" customHeight="1" x14ac:dyDescent="0.25">
      <c r="A415" s="6">
        <v>414</v>
      </c>
      <c r="B415" s="6">
        <v>6805201</v>
      </c>
      <c r="C415" t="s">
        <v>907</v>
      </c>
      <c r="D415" s="1" t="s">
        <v>908</v>
      </c>
      <c r="E415" s="21" t="s">
        <v>237</v>
      </c>
      <c r="F415" s="21">
        <v>247.9</v>
      </c>
      <c r="G415" s="1" t="s">
        <v>233</v>
      </c>
      <c r="H415" s="6" t="s">
        <v>1951</v>
      </c>
      <c r="I415" s="6" t="s">
        <v>586</v>
      </c>
      <c r="J415" s="6" t="s">
        <v>1852</v>
      </c>
      <c r="K415" s="1">
        <v>0</v>
      </c>
      <c r="L415" s="6" t="s">
        <v>279</v>
      </c>
      <c r="M415" s="1">
        <v>2012</v>
      </c>
      <c r="N415" s="1" t="s">
        <v>1859</v>
      </c>
      <c r="O415" s="1">
        <v>0</v>
      </c>
      <c r="P415" s="1">
        <v>0</v>
      </c>
      <c r="Q415" s="1">
        <v>0</v>
      </c>
      <c r="R415" s="1">
        <v>0</v>
      </c>
      <c r="S415" s="1" t="s">
        <v>235</v>
      </c>
    </row>
    <row r="416" spans="1:19" ht="14.45" customHeight="1" x14ac:dyDescent="0.25">
      <c r="A416" s="6">
        <v>415</v>
      </c>
      <c r="B416" s="6">
        <v>6805201</v>
      </c>
      <c r="C416" t="s">
        <v>907</v>
      </c>
      <c r="D416" s="1" t="s">
        <v>908</v>
      </c>
      <c r="E416" s="21" t="s">
        <v>237</v>
      </c>
      <c r="F416" s="21">
        <v>925.7225351402418</v>
      </c>
      <c r="G416" s="1" t="s">
        <v>233</v>
      </c>
      <c r="H416" s="6" t="s">
        <v>1951</v>
      </c>
      <c r="I416" s="6" t="s">
        <v>593</v>
      </c>
      <c r="J416" s="6" t="s">
        <v>1853</v>
      </c>
      <c r="K416" s="1">
        <v>0</v>
      </c>
      <c r="L416" s="6" t="s">
        <v>245</v>
      </c>
      <c r="M416" s="1">
        <v>2011</v>
      </c>
      <c r="N416" s="1" t="s">
        <v>237</v>
      </c>
      <c r="O416" s="1">
        <v>0</v>
      </c>
      <c r="P416" s="1">
        <v>0</v>
      </c>
      <c r="Q416" s="1">
        <v>0</v>
      </c>
      <c r="R416" s="1">
        <v>0</v>
      </c>
      <c r="S416" s="1" t="s">
        <v>251</v>
      </c>
    </row>
    <row r="417" spans="1:19" ht="14.45" customHeight="1" x14ac:dyDescent="0.25">
      <c r="A417" s="6">
        <v>416</v>
      </c>
      <c r="B417" s="6">
        <v>6805201</v>
      </c>
      <c r="C417" t="s">
        <v>907</v>
      </c>
      <c r="D417" s="1" t="s">
        <v>908</v>
      </c>
      <c r="E417" s="21">
        <v>234</v>
      </c>
      <c r="F417" s="1" t="s">
        <v>233</v>
      </c>
      <c r="G417" s="1" t="s">
        <v>233</v>
      </c>
      <c r="H417" s="6" t="s">
        <v>1951</v>
      </c>
      <c r="I417" s="6" t="s">
        <v>713</v>
      </c>
      <c r="J417" s="6" t="s">
        <v>1852</v>
      </c>
      <c r="K417" s="1">
        <v>0</v>
      </c>
      <c r="L417" s="6" t="s">
        <v>238</v>
      </c>
      <c r="M417" s="1">
        <v>2012</v>
      </c>
      <c r="N417" s="1" t="s">
        <v>1859</v>
      </c>
      <c r="O417" s="1">
        <v>0</v>
      </c>
      <c r="P417" s="1">
        <v>0</v>
      </c>
      <c r="Q417" s="1">
        <v>0</v>
      </c>
      <c r="R417" s="1">
        <v>0</v>
      </c>
      <c r="S417" s="1" t="s">
        <v>235</v>
      </c>
    </row>
    <row r="418" spans="1:19" ht="14.45" customHeight="1" x14ac:dyDescent="0.25">
      <c r="A418" s="6">
        <v>417</v>
      </c>
      <c r="B418" s="6">
        <v>6805201</v>
      </c>
      <c r="C418" t="s">
        <v>907</v>
      </c>
      <c r="D418" s="1" t="s">
        <v>908</v>
      </c>
      <c r="E418" s="21">
        <v>337</v>
      </c>
      <c r="F418" s="1" t="s">
        <v>233</v>
      </c>
      <c r="G418" s="1" t="s">
        <v>233</v>
      </c>
      <c r="H418" s="6" t="s">
        <v>1951</v>
      </c>
      <c r="I418" s="6" t="s">
        <v>713</v>
      </c>
      <c r="J418" s="6" t="s">
        <v>1852</v>
      </c>
      <c r="K418" s="1">
        <v>0</v>
      </c>
      <c r="L418" s="6" t="s">
        <v>238</v>
      </c>
      <c r="M418" s="1">
        <v>2012</v>
      </c>
      <c r="N418" s="1" t="s">
        <v>237</v>
      </c>
      <c r="O418" s="1">
        <v>0</v>
      </c>
      <c r="P418" s="1">
        <v>0</v>
      </c>
      <c r="Q418" s="1">
        <v>0</v>
      </c>
      <c r="R418" s="1">
        <v>0</v>
      </c>
      <c r="S418" s="1" t="s">
        <v>235</v>
      </c>
    </row>
    <row r="419" spans="1:19" ht="14.45" customHeight="1" x14ac:dyDescent="0.25">
      <c r="A419" s="6">
        <v>418</v>
      </c>
      <c r="B419" s="6">
        <v>6805201</v>
      </c>
      <c r="C419" t="s">
        <v>907</v>
      </c>
      <c r="D419" s="1" t="s">
        <v>908</v>
      </c>
      <c r="E419" s="21" t="s">
        <v>237</v>
      </c>
      <c r="F419" s="1" t="s">
        <v>233</v>
      </c>
      <c r="G419" s="19">
        <v>1.6</v>
      </c>
      <c r="H419" s="6" t="s">
        <v>1951</v>
      </c>
      <c r="I419" s="6" t="s">
        <v>720</v>
      </c>
      <c r="J419" s="6" t="s">
        <v>1849</v>
      </c>
      <c r="K419" s="1">
        <v>0</v>
      </c>
      <c r="L419" s="6" t="s">
        <v>255</v>
      </c>
      <c r="M419" s="1">
        <v>2006</v>
      </c>
      <c r="N419" s="1" t="s">
        <v>237</v>
      </c>
      <c r="O419" s="1">
        <v>0</v>
      </c>
      <c r="P419" s="1">
        <v>0</v>
      </c>
      <c r="Q419" s="1">
        <v>0</v>
      </c>
      <c r="R419" s="1">
        <v>0</v>
      </c>
      <c r="S419" s="1" t="s">
        <v>235</v>
      </c>
    </row>
    <row r="420" spans="1:19" ht="14.45" customHeight="1" x14ac:dyDescent="0.25">
      <c r="A420" s="6">
        <v>419</v>
      </c>
      <c r="B420" s="6">
        <v>6805201</v>
      </c>
      <c r="C420" t="s">
        <v>907</v>
      </c>
      <c r="D420" s="1" t="s">
        <v>908</v>
      </c>
      <c r="E420" s="21">
        <v>990</v>
      </c>
      <c r="F420" s="1" t="s">
        <v>233</v>
      </c>
      <c r="G420" s="1" t="s">
        <v>233</v>
      </c>
      <c r="H420" s="6" t="s">
        <v>1951</v>
      </c>
      <c r="I420" s="6" t="s">
        <v>726</v>
      </c>
      <c r="J420" s="6" t="s">
        <v>1853</v>
      </c>
      <c r="K420" s="1">
        <v>0</v>
      </c>
      <c r="L420" s="6" t="s">
        <v>234</v>
      </c>
      <c r="M420" s="1">
        <v>2008</v>
      </c>
      <c r="N420" s="1" t="s">
        <v>237</v>
      </c>
      <c r="O420" s="1">
        <v>0</v>
      </c>
      <c r="P420" s="1">
        <v>0</v>
      </c>
      <c r="Q420" s="1">
        <v>0</v>
      </c>
      <c r="R420" s="1">
        <v>0</v>
      </c>
      <c r="S420" s="1" t="s">
        <v>235</v>
      </c>
    </row>
    <row r="421" spans="1:19" ht="14.45" customHeight="1" x14ac:dyDescent="0.25">
      <c r="A421" s="6">
        <v>420</v>
      </c>
      <c r="B421" s="6">
        <v>6805201</v>
      </c>
      <c r="C421" t="s">
        <v>907</v>
      </c>
      <c r="D421" s="1" t="s">
        <v>908</v>
      </c>
      <c r="E421" s="21">
        <v>910</v>
      </c>
      <c r="F421" s="1" t="s">
        <v>233</v>
      </c>
      <c r="G421" s="1" t="s">
        <v>233</v>
      </c>
      <c r="H421" s="6" t="s">
        <v>1951</v>
      </c>
      <c r="I421" s="6" t="s">
        <v>726</v>
      </c>
      <c r="J421" s="6" t="s">
        <v>1849</v>
      </c>
      <c r="K421" s="1">
        <v>0</v>
      </c>
      <c r="L421" s="6" t="s">
        <v>258</v>
      </c>
      <c r="M421" s="1">
        <v>2008</v>
      </c>
      <c r="N421" s="1" t="s">
        <v>237</v>
      </c>
      <c r="O421" s="1">
        <v>0</v>
      </c>
      <c r="P421" s="1">
        <v>0</v>
      </c>
      <c r="Q421" s="1">
        <v>0</v>
      </c>
      <c r="R421" s="1">
        <v>0</v>
      </c>
      <c r="S421" s="1" t="s">
        <v>235</v>
      </c>
    </row>
    <row r="422" spans="1:19" ht="14.45" customHeight="1" x14ac:dyDescent="0.25">
      <c r="A422" s="6">
        <v>421</v>
      </c>
      <c r="B422" s="6">
        <v>6805201</v>
      </c>
      <c r="C422" t="s">
        <v>907</v>
      </c>
      <c r="D422" s="1" t="s">
        <v>908</v>
      </c>
      <c r="E422" s="21">
        <v>5120</v>
      </c>
      <c r="F422" s="1" t="s">
        <v>233</v>
      </c>
      <c r="G422" s="1" t="s">
        <v>233</v>
      </c>
      <c r="H422" s="6" t="s">
        <v>1951</v>
      </c>
      <c r="I422" s="6" t="s">
        <v>766</v>
      </c>
      <c r="J422" s="6" t="s">
        <v>1854</v>
      </c>
      <c r="K422" s="1">
        <v>1</v>
      </c>
      <c r="L422" s="6" t="s">
        <v>242</v>
      </c>
      <c r="M422" s="1">
        <v>2008</v>
      </c>
      <c r="N422" s="1" t="s">
        <v>1850</v>
      </c>
      <c r="O422" s="1">
        <v>1</v>
      </c>
      <c r="P422" s="1">
        <v>0</v>
      </c>
      <c r="Q422" s="1">
        <v>0</v>
      </c>
      <c r="R422" s="1">
        <v>0</v>
      </c>
      <c r="S422" s="1" t="s">
        <v>235</v>
      </c>
    </row>
    <row r="423" spans="1:19" ht="14.45" customHeight="1" x14ac:dyDescent="0.25">
      <c r="A423" s="6">
        <v>422</v>
      </c>
      <c r="B423" s="6">
        <v>6805201</v>
      </c>
      <c r="C423" t="s">
        <v>907</v>
      </c>
      <c r="D423" s="1" t="s">
        <v>908</v>
      </c>
      <c r="E423" s="21">
        <v>324</v>
      </c>
      <c r="F423" s="1">
        <v>680</v>
      </c>
      <c r="G423" s="1" t="s">
        <v>233</v>
      </c>
      <c r="H423" s="6" t="s">
        <v>1951</v>
      </c>
      <c r="I423" s="6" t="s">
        <v>412</v>
      </c>
      <c r="J423" s="6" t="s">
        <v>1852</v>
      </c>
      <c r="K423" s="1">
        <v>0</v>
      </c>
      <c r="L423" s="6" t="s">
        <v>253</v>
      </c>
      <c r="M423" s="1">
        <v>2012</v>
      </c>
      <c r="N423" s="1" t="s">
        <v>254</v>
      </c>
      <c r="O423" s="1">
        <v>0</v>
      </c>
      <c r="P423" s="1">
        <v>0</v>
      </c>
      <c r="Q423" s="1">
        <v>0</v>
      </c>
      <c r="R423" s="1">
        <v>0</v>
      </c>
      <c r="S423" s="1" t="s">
        <v>251</v>
      </c>
    </row>
    <row r="424" spans="1:19" ht="14.45" customHeight="1" x14ac:dyDescent="0.25">
      <c r="A424" s="6">
        <v>423</v>
      </c>
      <c r="B424" s="6">
        <v>6806301</v>
      </c>
      <c r="C424" t="s">
        <v>909</v>
      </c>
      <c r="D424" s="1" t="s">
        <v>910</v>
      </c>
      <c r="E424" s="21" t="s">
        <v>237</v>
      </c>
      <c r="F424" s="21">
        <v>30989.752514303607</v>
      </c>
      <c r="G424" s="1" t="s">
        <v>233</v>
      </c>
      <c r="H424" s="6" t="s">
        <v>1951</v>
      </c>
      <c r="I424" s="6" t="s">
        <v>593</v>
      </c>
      <c r="J424" s="6" t="s">
        <v>1853</v>
      </c>
      <c r="K424" s="1">
        <v>0</v>
      </c>
      <c r="L424" s="6" t="s">
        <v>245</v>
      </c>
      <c r="M424" s="1">
        <v>2011</v>
      </c>
      <c r="N424" s="1" t="s">
        <v>237</v>
      </c>
      <c r="O424" s="1">
        <v>0</v>
      </c>
      <c r="P424" s="1">
        <v>0</v>
      </c>
      <c r="Q424" s="1">
        <v>0</v>
      </c>
      <c r="R424" s="1">
        <v>0</v>
      </c>
      <c r="S424" s="1" t="s">
        <v>251</v>
      </c>
    </row>
    <row r="425" spans="1:19" ht="14.45" customHeight="1" x14ac:dyDescent="0.25">
      <c r="A425" s="6">
        <v>424</v>
      </c>
      <c r="B425" s="6">
        <v>6806301</v>
      </c>
      <c r="C425" t="s">
        <v>909</v>
      </c>
      <c r="D425" s="1" t="s">
        <v>910</v>
      </c>
      <c r="E425" s="21">
        <v>3100</v>
      </c>
      <c r="F425" s="1" t="s">
        <v>233</v>
      </c>
      <c r="G425" s="1" t="s">
        <v>233</v>
      </c>
      <c r="H425" s="6" t="s">
        <v>1954</v>
      </c>
      <c r="I425" s="6" t="s">
        <v>324</v>
      </c>
      <c r="J425" s="6" t="s">
        <v>1849</v>
      </c>
      <c r="K425" s="1">
        <v>0</v>
      </c>
      <c r="L425" s="6" t="s">
        <v>240</v>
      </c>
      <c r="M425" s="1">
        <v>2012</v>
      </c>
      <c r="N425" s="1" t="s">
        <v>1860</v>
      </c>
      <c r="O425" s="1">
        <v>0</v>
      </c>
      <c r="P425" s="1">
        <v>0</v>
      </c>
      <c r="Q425" s="1">
        <v>0</v>
      </c>
      <c r="R425" s="1">
        <v>0</v>
      </c>
      <c r="S425" s="1" t="s">
        <v>251</v>
      </c>
    </row>
    <row r="426" spans="1:19" ht="14.45" customHeight="1" x14ac:dyDescent="0.25">
      <c r="A426" s="6">
        <v>425</v>
      </c>
      <c r="B426" s="6">
        <v>6807801</v>
      </c>
      <c r="C426" t="s">
        <v>911</v>
      </c>
      <c r="D426" s="1" t="s">
        <v>912</v>
      </c>
      <c r="E426" s="21" t="s">
        <v>237</v>
      </c>
      <c r="F426" s="1" t="s">
        <v>233</v>
      </c>
      <c r="G426" s="19">
        <v>1.4953271028037385</v>
      </c>
      <c r="H426" s="6" t="s">
        <v>1951</v>
      </c>
      <c r="I426" s="6" t="s">
        <v>457</v>
      </c>
      <c r="J426" s="6" t="s">
        <v>1852</v>
      </c>
      <c r="K426" s="1">
        <v>0</v>
      </c>
      <c r="L426" s="6" t="s">
        <v>236</v>
      </c>
      <c r="M426" s="1">
        <v>2013</v>
      </c>
      <c r="N426" s="1" t="s">
        <v>237</v>
      </c>
      <c r="O426" s="1">
        <v>0</v>
      </c>
      <c r="P426" s="1">
        <v>0</v>
      </c>
      <c r="Q426" s="1">
        <v>0</v>
      </c>
      <c r="R426" s="1">
        <v>0</v>
      </c>
      <c r="S426" s="1" t="s">
        <v>235</v>
      </c>
    </row>
    <row r="427" spans="1:19" ht="14.45" customHeight="1" x14ac:dyDescent="0.25">
      <c r="A427" s="6">
        <v>426</v>
      </c>
      <c r="B427" s="6">
        <v>6807801</v>
      </c>
      <c r="C427" t="s">
        <v>911</v>
      </c>
      <c r="D427" s="1" t="s">
        <v>912</v>
      </c>
      <c r="E427" s="21">
        <v>1270</v>
      </c>
      <c r="F427" s="1" t="s">
        <v>233</v>
      </c>
      <c r="G427" s="1" t="s">
        <v>233</v>
      </c>
      <c r="H427" s="6" t="s">
        <v>1951</v>
      </c>
      <c r="I427" s="6" t="s">
        <v>589</v>
      </c>
      <c r="J427" s="6" t="s">
        <v>1849</v>
      </c>
      <c r="K427" s="1">
        <v>0</v>
      </c>
      <c r="L427" s="6" t="s">
        <v>272</v>
      </c>
      <c r="M427" s="1">
        <v>2010</v>
      </c>
      <c r="N427" s="1" t="s">
        <v>1858</v>
      </c>
      <c r="O427" s="1">
        <v>0</v>
      </c>
      <c r="P427" s="1">
        <v>0</v>
      </c>
      <c r="Q427" s="1">
        <v>0</v>
      </c>
      <c r="R427" s="1">
        <v>0</v>
      </c>
      <c r="S427" s="1" t="s">
        <v>235</v>
      </c>
    </row>
    <row r="428" spans="1:19" ht="14.45" customHeight="1" x14ac:dyDescent="0.25">
      <c r="A428" s="6">
        <v>427</v>
      </c>
      <c r="B428" s="6">
        <v>6807801</v>
      </c>
      <c r="C428" t="s">
        <v>911</v>
      </c>
      <c r="D428" s="1" t="s">
        <v>912</v>
      </c>
      <c r="E428" s="21">
        <v>1613</v>
      </c>
      <c r="F428" s="1" t="s">
        <v>233</v>
      </c>
      <c r="G428" s="1" t="s">
        <v>233</v>
      </c>
      <c r="H428" s="6" t="s">
        <v>1951</v>
      </c>
      <c r="I428" s="6" t="s">
        <v>601</v>
      </c>
      <c r="J428" s="6" t="s">
        <v>1851</v>
      </c>
      <c r="K428" s="1">
        <v>0</v>
      </c>
      <c r="L428" s="6" t="s">
        <v>272</v>
      </c>
      <c r="M428" s="1">
        <v>2010</v>
      </c>
      <c r="N428" s="1" t="s">
        <v>237</v>
      </c>
      <c r="O428" s="1">
        <v>0</v>
      </c>
      <c r="P428" s="1">
        <v>0</v>
      </c>
      <c r="Q428" s="1">
        <v>0</v>
      </c>
      <c r="R428" s="1">
        <v>0</v>
      </c>
      <c r="S428" s="1" t="s">
        <v>235</v>
      </c>
    </row>
    <row r="429" spans="1:19" ht="14.45" customHeight="1" x14ac:dyDescent="0.25">
      <c r="A429" s="6">
        <v>428</v>
      </c>
      <c r="B429" s="6">
        <v>6807801</v>
      </c>
      <c r="C429" t="s">
        <v>911</v>
      </c>
      <c r="D429" s="1" t="s">
        <v>912</v>
      </c>
      <c r="E429" s="21">
        <v>830</v>
      </c>
      <c r="F429" s="1" t="s">
        <v>233</v>
      </c>
      <c r="G429" s="19">
        <v>3.49</v>
      </c>
      <c r="H429" s="6" t="s">
        <v>1954</v>
      </c>
      <c r="I429" s="6" t="s">
        <v>732</v>
      </c>
      <c r="J429" s="6" t="s">
        <v>1849</v>
      </c>
      <c r="K429" s="1">
        <v>0</v>
      </c>
      <c r="L429" s="6" t="s">
        <v>257</v>
      </c>
      <c r="M429" s="1">
        <v>2011</v>
      </c>
      <c r="N429" s="1" t="s">
        <v>237</v>
      </c>
      <c r="O429" s="1">
        <v>0</v>
      </c>
      <c r="P429" s="1">
        <v>0</v>
      </c>
      <c r="Q429" s="1">
        <v>0</v>
      </c>
      <c r="R429" s="1">
        <v>0</v>
      </c>
      <c r="S429" s="1" t="s">
        <v>235</v>
      </c>
    </row>
    <row r="430" spans="1:19" ht="14.45" customHeight="1" x14ac:dyDescent="0.25">
      <c r="A430" s="6">
        <v>429</v>
      </c>
      <c r="B430" s="6">
        <v>6807801</v>
      </c>
      <c r="C430" t="s">
        <v>911</v>
      </c>
      <c r="D430" s="1" t="s">
        <v>912</v>
      </c>
      <c r="E430" s="21">
        <v>1600</v>
      </c>
      <c r="F430" s="1" t="s">
        <v>233</v>
      </c>
      <c r="G430" s="1" t="s">
        <v>233</v>
      </c>
      <c r="H430" s="6" t="s">
        <v>1951</v>
      </c>
      <c r="I430" s="6" t="s">
        <v>614</v>
      </c>
      <c r="J430" s="6" t="s">
        <v>1849</v>
      </c>
      <c r="K430" s="1">
        <v>0</v>
      </c>
      <c r="L430" s="6" t="s">
        <v>272</v>
      </c>
      <c r="M430" s="1">
        <v>2016</v>
      </c>
      <c r="N430" s="1" t="s">
        <v>1858</v>
      </c>
      <c r="O430" s="1">
        <v>0</v>
      </c>
      <c r="P430" s="1">
        <v>0</v>
      </c>
      <c r="Q430" s="1">
        <v>0</v>
      </c>
      <c r="R430" s="1">
        <v>0</v>
      </c>
      <c r="S430" s="1" t="s">
        <v>251</v>
      </c>
    </row>
    <row r="431" spans="1:19" ht="14.45" customHeight="1" x14ac:dyDescent="0.25">
      <c r="A431" s="6">
        <v>430</v>
      </c>
      <c r="B431" s="6">
        <v>6808401</v>
      </c>
      <c r="C431" t="s">
        <v>913</v>
      </c>
      <c r="D431" s="1" t="s">
        <v>878</v>
      </c>
      <c r="E431" s="21">
        <v>2430</v>
      </c>
      <c r="F431" s="1" t="s">
        <v>233</v>
      </c>
      <c r="G431" s="1" t="s">
        <v>233</v>
      </c>
      <c r="H431" s="6" t="s">
        <v>1951</v>
      </c>
      <c r="I431" s="6" t="s">
        <v>428</v>
      </c>
      <c r="J431" s="6" t="s">
        <v>1849</v>
      </c>
      <c r="K431" s="1">
        <v>0</v>
      </c>
      <c r="L431" s="6" t="s">
        <v>234</v>
      </c>
      <c r="M431" s="1">
        <v>2012</v>
      </c>
      <c r="N431" s="1" t="s">
        <v>1850</v>
      </c>
      <c r="O431" s="1">
        <v>1</v>
      </c>
      <c r="P431" s="1">
        <v>0</v>
      </c>
      <c r="Q431" s="1">
        <v>0</v>
      </c>
      <c r="R431" s="1">
        <v>0</v>
      </c>
      <c r="S431" s="1" t="s">
        <v>235</v>
      </c>
    </row>
    <row r="432" spans="1:19" ht="14.45" customHeight="1" x14ac:dyDescent="0.25">
      <c r="A432" s="6">
        <v>431</v>
      </c>
      <c r="B432" s="6">
        <v>6808401</v>
      </c>
      <c r="C432" t="s">
        <v>913</v>
      </c>
      <c r="D432" s="1" t="s">
        <v>878</v>
      </c>
      <c r="E432" s="21" t="s">
        <v>237</v>
      </c>
      <c r="F432" s="1" t="s">
        <v>233</v>
      </c>
      <c r="G432" s="19">
        <v>2.6315789473684212</v>
      </c>
      <c r="H432" s="6" t="s">
        <v>1951</v>
      </c>
      <c r="I432" s="6" t="s">
        <v>1975</v>
      </c>
      <c r="J432" s="6" t="s">
        <v>1849</v>
      </c>
      <c r="K432" s="1">
        <v>0</v>
      </c>
      <c r="L432" s="6" t="s">
        <v>234</v>
      </c>
      <c r="M432" s="1">
        <v>2005</v>
      </c>
      <c r="N432" s="1" t="s">
        <v>237</v>
      </c>
      <c r="O432" s="1">
        <v>0</v>
      </c>
      <c r="P432" s="1">
        <v>0</v>
      </c>
      <c r="Q432" s="1">
        <v>0</v>
      </c>
      <c r="R432" s="1">
        <v>0</v>
      </c>
      <c r="S432" s="1" t="s">
        <v>235</v>
      </c>
    </row>
    <row r="433" spans="1:19" ht="14.45" customHeight="1" x14ac:dyDescent="0.25">
      <c r="A433" s="6">
        <v>432</v>
      </c>
      <c r="B433" s="6">
        <v>6808401</v>
      </c>
      <c r="C433" t="s">
        <v>913</v>
      </c>
      <c r="D433" s="1" t="s">
        <v>878</v>
      </c>
      <c r="E433" s="21" t="s">
        <v>237</v>
      </c>
      <c r="F433" s="1" t="s">
        <v>233</v>
      </c>
      <c r="G433" s="19">
        <v>5.5</v>
      </c>
      <c r="H433" s="6" t="s">
        <v>1951</v>
      </c>
      <c r="I433" s="6" t="s">
        <v>1977</v>
      </c>
      <c r="J433" s="6" t="s">
        <v>1852</v>
      </c>
      <c r="K433" s="1">
        <v>0</v>
      </c>
      <c r="L433" s="6" t="s">
        <v>234</v>
      </c>
      <c r="M433" s="1">
        <v>2007</v>
      </c>
      <c r="N433" s="1" t="s">
        <v>237</v>
      </c>
      <c r="O433" s="1">
        <v>0</v>
      </c>
      <c r="P433" s="1">
        <v>0</v>
      </c>
      <c r="Q433" s="1">
        <v>0</v>
      </c>
      <c r="R433" s="1">
        <v>0</v>
      </c>
      <c r="S433" s="1" t="s">
        <v>235</v>
      </c>
    </row>
    <row r="434" spans="1:19" ht="14.45" customHeight="1" x14ac:dyDescent="0.25">
      <c r="A434" s="6">
        <v>433</v>
      </c>
      <c r="B434" s="6">
        <v>6808401</v>
      </c>
      <c r="C434" t="s">
        <v>913</v>
      </c>
      <c r="D434" s="1" t="s">
        <v>878</v>
      </c>
      <c r="E434" s="21" t="s">
        <v>237</v>
      </c>
      <c r="F434" s="1" t="s">
        <v>233</v>
      </c>
      <c r="G434" s="19">
        <v>5</v>
      </c>
      <c r="H434" s="6" t="s">
        <v>1951</v>
      </c>
      <c r="I434" s="6" t="s">
        <v>465</v>
      </c>
      <c r="J434" s="6" t="s">
        <v>1849</v>
      </c>
      <c r="K434" s="1">
        <v>0</v>
      </c>
      <c r="L434" s="6" t="s">
        <v>234</v>
      </c>
      <c r="M434" s="1">
        <v>2007</v>
      </c>
      <c r="N434" s="1" t="s">
        <v>237</v>
      </c>
      <c r="O434" s="1">
        <v>0</v>
      </c>
      <c r="P434" s="1">
        <v>0</v>
      </c>
      <c r="Q434" s="1">
        <v>0</v>
      </c>
      <c r="R434" s="1">
        <v>0</v>
      </c>
      <c r="S434" s="1" t="s">
        <v>235</v>
      </c>
    </row>
    <row r="435" spans="1:19" ht="14.45" customHeight="1" x14ac:dyDescent="0.25">
      <c r="A435" s="6">
        <v>434</v>
      </c>
      <c r="B435" s="6">
        <v>6808401</v>
      </c>
      <c r="C435" t="s">
        <v>913</v>
      </c>
      <c r="D435" s="1" t="s">
        <v>878</v>
      </c>
      <c r="E435" s="21" t="s">
        <v>237</v>
      </c>
      <c r="F435" s="1" t="s">
        <v>233</v>
      </c>
      <c r="G435" s="19">
        <v>5</v>
      </c>
      <c r="H435" s="6" t="s">
        <v>1951</v>
      </c>
      <c r="I435" s="6" t="s">
        <v>465</v>
      </c>
      <c r="J435" s="6" t="s">
        <v>1849</v>
      </c>
      <c r="K435" s="1">
        <v>0</v>
      </c>
      <c r="L435" s="6" t="s">
        <v>234</v>
      </c>
      <c r="M435" s="1">
        <v>2007</v>
      </c>
      <c r="N435" s="1" t="s">
        <v>1856</v>
      </c>
      <c r="O435" s="1">
        <v>0</v>
      </c>
      <c r="P435" s="1">
        <v>0</v>
      </c>
      <c r="Q435" s="1">
        <v>0</v>
      </c>
      <c r="R435" s="1">
        <v>0</v>
      </c>
      <c r="S435" s="1" t="s">
        <v>235</v>
      </c>
    </row>
    <row r="436" spans="1:19" ht="14.45" customHeight="1" x14ac:dyDescent="0.25">
      <c r="A436" s="6">
        <v>435</v>
      </c>
      <c r="B436" s="6">
        <v>6808401</v>
      </c>
      <c r="C436" t="s">
        <v>913</v>
      </c>
      <c r="D436" s="1" t="s">
        <v>878</v>
      </c>
      <c r="E436" s="21" t="s">
        <v>237</v>
      </c>
      <c r="F436" s="1" t="s">
        <v>233</v>
      </c>
      <c r="G436" s="19">
        <v>1.0473057157612287</v>
      </c>
      <c r="H436" s="6" t="s">
        <v>1951</v>
      </c>
      <c r="I436" s="6" t="s">
        <v>580</v>
      </c>
      <c r="J436" s="6" t="s">
        <v>1851</v>
      </c>
      <c r="K436" s="1">
        <v>0</v>
      </c>
      <c r="L436" s="6" t="s">
        <v>243</v>
      </c>
      <c r="M436" s="1">
        <v>2008</v>
      </c>
      <c r="N436" s="1" t="s">
        <v>237</v>
      </c>
      <c r="O436" s="1">
        <v>0</v>
      </c>
      <c r="P436" s="1">
        <v>0</v>
      </c>
      <c r="Q436" s="1">
        <v>0</v>
      </c>
      <c r="R436" s="1">
        <v>0</v>
      </c>
      <c r="S436" s="1" t="s">
        <v>251</v>
      </c>
    </row>
    <row r="437" spans="1:19" ht="14.45" customHeight="1" x14ac:dyDescent="0.25">
      <c r="A437" s="6">
        <v>436</v>
      </c>
      <c r="B437" s="6">
        <v>6808401</v>
      </c>
      <c r="C437" t="s">
        <v>913</v>
      </c>
      <c r="D437" s="1" t="s">
        <v>878</v>
      </c>
      <c r="E437" s="21">
        <v>520</v>
      </c>
      <c r="F437" s="1" t="s">
        <v>233</v>
      </c>
      <c r="G437" s="1" t="s">
        <v>233</v>
      </c>
      <c r="H437" s="6" t="s">
        <v>1951</v>
      </c>
      <c r="I437" s="6" t="s">
        <v>590</v>
      </c>
      <c r="J437" s="6" t="s">
        <v>1849</v>
      </c>
      <c r="K437" s="1">
        <v>0</v>
      </c>
      <c r="L437" s="6" t="s">
        <v>269</v>
      </c>
      <c r="M437" s="1">
        <v>2012</v>
      </c>
      <c r="N437" s="1" t="s">
        <v>237</v>
      </c>
      <c r="O437" s="1">
        <v>0</v>
      </c>
      <c r="P437" s="1">
        <v>0</v>
      </c>
      <c r="Q437" s="1">
        <v>0</v>
      </c>
      <c r="R437" s="1">
        <v>0</v>
      </c>
      <c r="S437" s="1" t="s">
        <v>235</v>
      </c>
    </row>
    <row r="438" spans="1:19" ht="14.45" customHeight="1" x14ac:dyDescent="0.25">
      <c r="A438" s="6">
        <v>437</v>
      </c>
      <c r="B438" s="6">
        <v>6808401</v>
      </c>
      <c r="C438" t="s">
        <v>913</v>
      </c>
      <c r="D438" s="1" t="s">
        <v>878</v>
      </c>
      <c r="E438" s="21">
        <v>1209</v>
      </c>
      <c r="F438" s="1" t="s">
        <v>233</v>
      </c>
      <c r="G438" s="1" t="s">
        <v>233</v>
      </c>
      <c r="H438" s="6" t="s">
        <v>1951</v>
      </c>
      <c r="I438" s="6" t="s">
        <v>642</v>
      </c>
      <c r="J438" s="6" t="s">
        <v>1853</v>
      </c>
      <c r="K438" s="1">
        <v>0</v>
      </c>
      <c r="L438" s="6" t="s">
        <v>241</v>
      </c>
      <c r="M438" s="1">
        <v>2011</v>
      </c>
      <c r="N438" s="1" t="s">
        <v>237</v>
      </c>
      <c r="O438" s="1">
        <v>0</v>
      </c>
      <c r="P438" s="1">
        <v>0</v>
      </c>
      <c r="Q438" s="1">
        <v>0</v>
      </c>
      <c r="R438" s="1">
        <v>0</v>
      </c>
      <c r="S438" s="1" t="s">
        <v>235</v>
      </c>
    </row>
    <row r="439" spans="1:19" ht="14.45" customHeight="1" x14ac:dyDescent="0.25">
      <c r="A439" s="6">
        <v>438</v>
      </c>
      <c r="B439" s="6">
        <v>6808401</v>
      </c>
      <c r="C439" t="s">
        <v>913</v>
      </c>
      <c r="D439" s="1" t="s">
        <v>878</v>
      </c>
      <c r="E439" s="21" t="s">
        <v>237</v>
      </c>
      <c r="F439" s="1" t="s">
        <v>233</v>
      </c>
      <c r="G439" s="19">
        <v>5</v>
      </c>
      <c r="H439" s="6" t="s">
        <v>1951</v>
      </c>
      <c r="I439" s="6" t="s">
        <v>681</v>
      </c>
      <c r="J439" s="6" t="s">
        <v>1849</v>
      </c>
      <c r="K439" s="1">
        <v>0</v>
      </c>
      <c r="L439" s="6" t="s">
        <v>236</v>
      </c>
      <c r="M439" s="1">
        <v>2009</v>
      </c>
      <c r="N439" s="1" t="s">
        <v>237</v>
      </c>
      <c r="O439" s="1">
        <v>0</v>
      </c>
      <c r="P439" s="1">
        <v>0</v>
      </c>
      <c r="Q439" s="1">
        <v>0</v>
      </c>
      <c r="R439" s="1">
        <v>0</v>
      </c>
      <c r="S439" s="1" t="s">
        <v>251</v>
      </c>
    </row>
    <row r="440" spans="1:19" ht="14.45" customHeight="1" x14ac:dyDescent="0.25">
      <c r="A440" s="6">
        <v>439</v>
      </c>
      <c r="B440" s="6">
        <v>6809901</v>
      </c>
      <c r="C440" t="s">
        <v>914</v>
      </c>
      <c r="D440" s="1" t="s">
        <v>878</v>
      </c>
      <c r="E440" s="21">
        <v>170</v>
      </c>
      <c r="F440" s="1" t="s">
        <v>233</v>
      </c>
      <c r="G440" s="1" t="s">
        <v>233</v>
      </c>
      <c r="H440" s="6" t="s">
        <v>1951</v>
      </c>
      <c r="I440" s="6" t="s">
        <v>522</v>
      </c>
      <c r="J440" s="6" t="s">
        <v>1852</v>
      </c>
      <c r="K440" s="1">
        <v>0</v>
      </c>
      <c r="L440" s="6" t="s">
        <v>278</v>
      </c>
      <c r="M440" s="1">
        <v>2013</v>
      </c>
      <c r="N440" s="1" t="s">
        <v>237</v>
      </c>
      <c r="O440" s="1">
        <v>0</v>
      </c>
      <c r="P440" s="1">
        <v>0</v>
      </c>
      <c r="Q440" s="1">
        <v>0</v>
      </c>
      <c r="R440" s="1">
        <v>0</v>
      </c>
      <c r="S440" s="1" t="s">
        <v>251</v>
      </c>
    </row>
    <row r="441" spans="1:19" ht="14.45" customHeight="1" x14ac:dyDescent="0.25">
      <c r="A441" s="6">
        <v>440</v>
      </c>
      <c r="B441" s="6">
        <v>6900304</v>
      </c>
      <c r="C441" t="s">
        <v>915</v>
      </c>
      <c r="D441" s="1">
        <v>170111</v>
      </c>
      <c r="E441" s="21" t="s">
        <v>237</v>
      </c>
      <c r="F441" s="21">
        <v>1090.9133482192635</v>
      </c>
      <c r="G441" s="1" t="s">
        <v>233</v>
      </c>
      <c r="H441" s="6" t="s">
        <v>1951</v>
      </c>
      <c r="I441" s="6" t="s">
        <v>593</v>
      </c>
      <c r="J441" s="6" t="s">
        <v>1853</v>
      </c>
      <c r="K441" s="1">
        <v>0</v>
      </c>
      <c r="L441" s="6" t="s">
        <v>245</v>
      </c>
      <c r="M441" s="1">
        <v>2011</v>
      </c>
      <c r="N441" s="1" t="s">
        <v>237</v>
      </c>
      <c r="O441" s="1">
        <v>0</v>
      </c>
      <c r="P441" s="1">
        <v>0</v>
      </c>
      <c r="Q441" s="1">
        <v>0</v>
      </c>
      <c r="R441" s="1">
        <v>0</v>
      </c>
      <c r="S441" s="1" t="s">
        <v>251</v>
      </c>
    </row>
    <row r="442" spans="1:19" ht="14.45" customHeight="1" x14ac:dyDescent="0.25">
      <c r="A442" s="6">
        <v>441</v>
      </c>
      <c r="B442" s="6">
        <v>6900304</v>
      </c>
      <c r="C442" t="s">
        <v>915</v>
      </c>
      <c r="D442" s="1">
        <v>170111</v>
      </c>
      <c r="E442" s="21">
        <v>1800</v>
      </c>
      <c r="F442" s="1" t="s">
        <v>233</v>
      </c>
      <c r="G442" s="1" t="s">
        <v>233</v>
      </c>
      <c r="H442" s="6" t="s">
        <v>1954</v>
      </c>
      <c r="I442" s="6" t="s">
        <v>324</v>
      </c>
      <c r="J442" s="6" t="s">
        <v>1849</v>
      </c>
      <c r="K442" s="1">
        <v>0</v>
      </c>
      <c r="L442" s="6" t="s">
        <v>240</v>
      </c>
      <c r="M442" s="1">
        <v>2012</v>
      </c>
      <c r="N442" s="1" t="s">
        <v>1860</v>
      </c>
      <c r="O442" s="1">
        <v>0</v>
      </c>
      <c r="P442" s="1">
        <v>0</v>
      </c>
      <c r="Q442" s="1">
        <v>0</v>
      </c>
      <c r="R442" s="1">
        <v>0</v>
      </c>
      <c r="S442" s="1" t="s">
        <v>251</v>
      </c>
    </row>
    <row r="443" spans="1:19" ht="14.45" customHeight="1" x14ac:dyDescent="0.25">
      <c r="A443" s="6">
        <v>442</v>
      </c>
      <c r="B443" s="6">
        <v>6900501</v>
      </c>
      <c r="C443" t="s">
        <v>916</v>
      </c>
      <c r="D443" s="1" t="s">
        <v>917</v>
      </c>
      <c r="E443" s="21" t="s">
        <v>237</v>
      </c>
      <c r="F443" s="1" t="s">
        <v>233</v>
      </c>
      <c r="G443" s="19">
        <v>43</v>
      </c>
      <c r="H443" s="6" t="s">
        <v>1951</v>
      </c>
      <c r="I443" s="6" t="s">
        <v>465</v>
      </c>
      <c r="J443" s="6" t="s">
        <v>1849</v>
      </c>
      <c r="K443" s="1">
        <v>0</v>
      </c>
      <c r="L443" s="6" t="s">
        <v>234</v>
      </c>
      <c r="M443" s="1">
        <v>2007</v>
      </c>
      <c r="N443" s="1" t="s">
        <v>237</v>
      </c>
      <c r="O443" s="1">
        <v>0</v>
      </c>
      <c r="P443" s="1">
        <v>0</v>
      </c>
      <c r="Q443" s="1">
        <v>0</v>
      </c>
      <c r="R443" s="1">
        <v>0</v>
      </c>
      <c r="S443" s="1" t="s">
        <v>235</v>
      </c>
    </row>
    <row r="444" spans="1:19" ht="14.45" customHeight="1" x14ac:dyDescent="0.25">
      <c r="A444" s="6">
        <v>443</v>
      </c>
      <c r="B444" s="6">
        <v>6900501</v>
      </c>
      <c r="C444" t="s">
        <v>916</v>
      </c>
      <c r="D444" s="1" t="s">
        <v>917</v>
      </c>
      <c r="E444" s="21">
        <v>2600</v>
      </c>
      <c r="F444" s="1" t="s">
        <v>233</v>
      </c>
      <c r="G444" s="1" t="s">
        <v>233</v>
      </c>
      <c r="H444" s="6" t="s">
        <v>1951</v>
      </c>
      <c r="I444" s="6" t="s">
        <v>625</v>
      </c>
      <c r="J444" s="6" t="s">
        <v>1852</v>
      </c>
      <c r="K444" s="1">
        <v>0</v>
      </c>
      <c r="L444" s="6" t="s">
        <v>259</v>
      </c>
      <c r="M444" s="1">
        <v>2011</v>
      </c>
      <c r="N444" s="1" t="s">
        <v>237</v>
      </c>
      <c r="O444" s="1">
        <v>0</v>
      </c>
      <c r="P444" s="1">
        <v>0</v>
      </c>
      <c r="Q444" s="1">
        <v>0</v>
      </c>
      <c r="R444" s="1">
        <v>0</v>
      </c>
      <c r="S444" s="1" t="s">
        <v>251</v>
      </c>
    </row>
    <row r="445" spans="1:19" ht="14.45" customHeight="1" x14ac:dyDescent="0.25">
      <c r="A445" s="6">
        <v>444</v>
      </c>
      <c r="B445" s="6">
        <v>6900501</v>
      </c>
      <c r="C445" t="s">
        <v>916</v>
      </c>
      <c r="D445" s="1" t="s">
        <v>917</v>
      </c>
      <c r="E445" s="21" t="s">
        <v>237</v>
      </c>
      <c r="F445" s="1" t="s">
        <v>233</v>
      </c>
      <c r="G445" s="19">
        <v>24</v>
      </c>
      <c r="H445" s="6" t="s">
        <v>1951</v>
      </c>
      <c r="I445" s="6" t="s">
        <v>681</v>
      </c>
      <c r="J445" s="6" t="s">
        <v>1849</v>
      </c>
      <c r="K445" s="1">
        <v>0</v>
      </c>
      <c r="L445" s="6" t="s">
        <v>236</v>
      </c>
      <c r="M445" s="1">
        <v>2009</v>
      </c>
      <c r="N445" s="1" t="s">
        <v>237</v>
      </c>
      <c r="O445" s="1">
        <v>0</v>
      </c>
      <c r="P445" s="1">
        <v>0</v>
      </c>
      <c r="Q445" s="1">
        <v>0</v>
      </c>
      <c r="R445" s="1">
        <v>0</v>
      </c>
      <c r="S445" s="1" t="s">
        <v>251</v>
      </c>
    </row>
    <row r="446" spans="1:19" ht="14.45" customHeight="1" x14ac:dyDescent="0.25">
      <c r="A446" s="6">
        <v>445</v>
      </c>
      <c r="B446" s="6">
        <v>6900501</v>
      </c>
      <c r="C446" t="s">
        <v>916</v>
      </c>
      <c r="D446" s="1" t="s">
        <v>917</v>
      </c>
      <c r="E446" s="21">
        <v>2100</v>
      </c>
      <c r="F446" s="1" t="s">
        <v>233</v>
      </c>
      <c r="G446" s="1" t="s">
        <v>233</v>
      </c>
      <c r="H446" s="6" t="s">
        <v>1954</v>
      </c>
      <c r="I446" s="6" t="s">
        <v>429</v>
      </c>
      <c r="J446" s="6" t="s">
        <v>1849</v>
      </c>
      <c r="K446" s="1">
        <v>0</v>
      </c>
      <c r="L446" s="6" t="s">
        <v>234</v>
      </c>
      <c r="M446" s="1">
        <v>2015</v>
      </c>
      <c r="N446" s="1" t="s">
        <v>1864</v>
      </c>
      <c r="O446" s="1">
        <v>0</v>
      </c>
      <c r="P446" s="1">
        <v>0</v>
      </c>
      <c r="Q446" s="1">
        <v>0</v>
      </c>
      <c r="R446" s="1">
        <v>0</v>
      </c>
      <c r="S446" s="1" t="s">
        <v>251</v>
      </c>
    </row>
    <row r="447" spans="1:19" ht="14.45" customHeight="1" x14ac:dyDescent="0.25">
      <c r="A447" s="6">
        <v>446</v>
      </c>
      <c r="B447" s="6">
        <v>6900603</v>
      </c>
      <c r="C447" t="s">
        <v>918</v>
      </c>
      <c r="D447" s="1">
        <v>170490</v>
      </c>
      <c r="E447" s="21">
        <v>4000</v>
      </c>
      <c r="F447" s="1" t="s">
        <v>233</v>
      </c>
      <c r="G447" s="1" t="s">
        <v>233</v>
      </c>
      <c r="H447" s="6" t="s">
        <v>1954</v>
      </c>
      <c r="I447" s="6" t="s">
        <v>429</v>
      </c>
      <c r="J447" s="6" t="s">
        <v>1849</v>
      </c>
      <c r="K447" s="1">
        <v>0</v>
      </c>
      <c r="L447" s="6" t="s">
        <v>234</v>
      </c>
      <c r="M447" s="1">
        <v>2015</v>
      </c>
      <c r="N447" s="1" t="s">
        <v>1864</v>
      </c>
      <c r="O447" s="1">
        <v>0</v>
      </c>
      <c r="P447" s="1">
        <v>0</v>
      </c>
      <c r="Q447" s="1">
        <v>0</v>
      </c>
      <c r="R447" s="1">
        <v>0</v>
      </c>
      <c r="S447" s="1" t="s">
        <v>251</v>
      </c>
    </row>
    <row r="448" spans="1:19" ht="14.45" customHeight="1" x14ac:dyDescent="0.25">
      <c r="A448" s="6">
        <v>447</v>
      </c>
      <c r="B448" s="6">
        <v>6900610</v>
      </c>
      <c r="C448" t="s">
        <v>919</v>
      </c>
      <c r="D448" s="1">
        <v>170490</v>
      </c>
      <c r="E448" s="21">
        <v>2590</v>
      </c>
      <c r="F448" s="1" t="s">
        <v>233</v>
      </c>
      <c r="G448" s="1" t="s">
        <v>233</v>
      </c>
      <c r="H448" s="6" t="s">
        <v>1951</v>
      </c>
      <c r="I448" s="6" t="s">
        <v>625</v>
      </c>
      <c r="J448" s="6" t="s">
        <v>1852</v>
      </c>
      <c r="K448" s="1">
        <v>0</v>
      </c>
      <c r="L448" s="6" t="s">
        <v>259</v>
      </c>
      <c r="M448" s="1">
        <v>2011</v>
      </c>
      <c r="N448" s="1" t="s">
        <v>237</v>
      </c>
      <c r="O448" s="1">
        <v>0</v>
      </c>
      <c r="P448" s="1">
        <v>0</v>
      </c>
      <c r="Q448" s="1">
        <v>0</v>
      </c>
      <c r="R448" s="1">
        <v>0</v>
      </c>
      <c r="S448" s="1" t="s">
        <v>251</v>
      </c>
    </row>
    <row r="449" spans="1:19" ht="14.45" customHeight="1" x14ac:dyDescent="0.25">
      <c r="A449" s="6">
        <v>448</v>
      </c>
      <c r="B449" s="6">
        <v>8507601</v>
      </c>
      <c r="C449" t="s">
        <v>920</v>
      </c>
      <c r="D449" s="1" t="s">
        <v>921</v>
      </c>
      <c r="E449" s="21">
        <v>3100</v>
      </c>
      <c r="F449" s="1" t="s">
        <v>233</v>
      </c>
      <c r="G449" s="1" t="s">
        <v>233</v>
      </c>
      <c r="H449" s="6" t="s">
        <v>1954</v>
      </c>
      <c r="I449" s="6" t="s">
        <v>324</v>
      </c>
      <c r="J449" s="6" t="s">
        <v>1849</v>
      </c>
      <c r="K449" s="1">
        <v>0</v>
      </c>
      <c r="L449" s="6" t="s">
        <v>240</v>
      </c>
      <c r="M449" s="1">
        <v>2012</v>
      </c>
      <c r="N449" s="1" t="s">
        <v>1860</v>
      </c>
      <c r="O449" s="1">
        <v>0</v>
      </c>
      <c r="P449" s="1">
        <v>0</v>
      </c>
      <c r="Q449" s="1">
        <v>0</v>
      </c>
      <c r="R449" s="1">
        <v>0</v>
      </c>
      <c r="S449" s="1" t="s">
        <v>251</v>
      </c>
    </row>
    <row r="450" spans="1:19" ht="14.45" customHeight="1" x14ac:dyDescent="0.25">
      <c r="A450" s="6">
        <v>449</v>
      </c>
      <c r="B450" s="6">
        <v>6900801</v>
      </c>
      <c r="C450" t="s">
        <v>922</v>
      </c>
      <c r="D450" s="1" t="s">
        <v>923</v>
      </c>
      <c r="E450" s="21" t="s">
        <v>237</v>
      </c>
      <c r="F450" s="21">
        <v>24315.72150201715</v>
      </c>
      <c r="G450" s="1" t="s">
        <v>233</v>
      </c>
      <c r="H450" s="6" t="s">
        <v>1951</v>
      </c>
      <c r="I450" s="6" t="s">
        <v>593</v>
      </c>
      <c r="J450" s="6" t="s">
        <v>1853</v>
      </c>
      <c r="K450" s="1">
        <v>0</v>
      </c>
      <c r="L450" s="6" t="s">
        <v>245</v>
      </c>
      <c r="M450" s="1">
        <v>2011</v>
      </c>
      <c r="N450" s="1" t="s">
        <v>237</v>
      </c>
      <c r="O450" s="1">
        <v>0</v>
      </c>
      <c r="P450" s="1">
        <v>0</v>
      </c>
      <c r="Q450" s="1">
        <v>0</v>
      </c>
      <c r="R450" s="1">
        <v>0</v>
      </c>
      <c r="S450" s="1" t="s">
        <v>251</v>
      </c>
    </row>
    <row r="451" spans="1:19" ht="14.45" customHeight="1" x14ac:dyDescent="0.25">
      <c r="A451" s="6">
        <v>450</v>
      </c>
      <c r="B451" s="6">
        <v>6900801</v>
      </c>
      <c r="C451" t="s">
        <v>922</v>
      </c>
      <c r="D451" s="1" t="s">
        <v>923</v>
      </c>
      <c r="E451" s="21" t="s">
        <v>237</v>
      </c>
      <c r="F451" s="21">
        <v>24315.72150201715</v>
      </c>
      <c r="G451" s="1" t="s">
        <v>233</v>
      </c>
      <c r="H451" s="6" t="s">
        <v>1951</v>
      </c>
      <c r="I451" s="6" t="s">
        <v>593</v>
      </c>
      <c r="J451" s="6" t="s">
        <v>1853</v>
      </c>
      <c r="K451" s="1">
        <v>0</v>
      </c>
      <c r="L451" s="6" t="s">
        <v>245</v>
      </c>
      <c r="M451" s="1">
        <v>2011</v>
      </c>
      <c r="N451" s="1" t="s">
        <v>237</v>
      </c>
      <c r="O451" s="1">
        <v>0</v>
      </c>
      <c r="P451" s="1">
        <v>0</v>
      </c>
      <c r="Q451" s="1">
        <v>0</v>
      </c>
      <c r="R451" s="1">
        <v>0</v>
      </c>
      <c r="S451" s="1" t="s">
        <v>251</v>
      </c>
    </row>
    <row r="452" spans="1:19" ht="14.45" customHeight="1" x14ac:dyDescent="0.25">
      <c r="A452" s="6">
        <v>451</v>
      </c>
      <c r="B452" s="6">
        <v>6901001</v>
      </c>
      <c r="C452" t="s">
        <v>924</v>
      </c>
      <c r="D452" s="1">
        <v>200799</v>
      </c>
      <c r="E452" s="21">
        <v>3790</v>
      </c>
      <c r="F452" s="1" t="s">
        <v>233</v>
      </c>
      <c r="G452" s="1" t="s">
        <v>233</v>
      </c>
      <c r="H452" s="6" t="s">
        <v>1951</v>
      </c>
      <c r="I452" s="6" t="s">
        <v>663</v>
      </c>
      <c r="J452" s="6" t="s">
        <v>1849</v>
      </c>
      <c r="K452" s="1">
        <v>0</v>
      </c>
      <c r="L452" s="6" t="s">
        <v>239</v>
      </c>
      <c r="M452" s="1">
        <v>2012</v>
      </c>
      <c r="N452" s="1" t="s">
        <v>237</v>
      </c>
      <c r="O452" s="1">
        <v>0</v>
      </c>
      <c r="P452" s="1">
        <v>0</v>
      </c>
      <c r="Q452" s="1">
        <v>0</v>
      </c>
      <c r="R452" s="1">
        <v>0</v>
      </c>
      <c r="S452" s="1" t="s">
        <v>251</v>
      </c>
    </row>
    <row r="453" spans="1:19" ht="14.45" customHeight="1" x14ac:dyDescent="0.25">
      <c r="A453" s="6">
        <v>452</v>
      </c>
      <c r="B453" s="6">
        <v>6901001</v>
      </c>
      <c r="C453" t="s">
        <v>924</v>
      </c>
      <c r="D453" s="1">
        <v>200799</v>
      </c>
      <c r="E453" s="41">
        <v>3200</v>
      </c>
      <c r="F453" s="1" t="s">
        <v>233</v>
      </c>
      <c r="G453" s="1" t="s">
        <v>233</v>
      </c>
      <c r="H453" s="6" t="s">
        <v>1954</v>
      </c>
      <c r="I453" s="6" t="s">
        <v>429</v>
      </c>
      <c r="J453" s="6" t="s">
        <v>1849</v>
      </c>
      <c r="K453" s="1">
        <v>0</v>
      </c>
      <c r="L453" s="6" t="s">
        <v>234</v>
      </c>
      <c r="M453" s="1">
        <v>2015</v>
      </c>
      <c r="N453" s="1" t="s">
        <v>1864</v>
      </c>
      <c r="O453" s="1">
        <v>0</v>
      </c>
      <c r="P453" s="1">
        <v>0</v>
      </c>
      <c r="Q453" s="1">
        <v>0</v>
      </c>
      <c r="R453" s="1">
        <v>0</v>
      </c>
      <c r="S453" s="1" t="s">
        <v>251</v>
      </c>
    </row>
    <row r="454" spans="1:19" ht="14.45" customHeight="1" x14ac:dyDescent="0.25">
      <c r="A454" s="6">
        <v>453</v>
      </c>
      <c r="B454" s="6">
        <v>6901206</v>
      </c>
      <c r="C454" t="s">
        <v>925</v>
      </c>
      <c r="D454" s="1">
        <v>200799</v>
      </c>
      <c r="E454" s="21">
        <v>1600</v>
      </c>
      <c r="F454" s="1" t="s">
        <v>233</v>
      </c>
      <c r="G454" s="1" t="s">
        <v>233</v>
      </c>
      <c r="H454" s="6" t="s">
        <v>1951</v>
      </c>
      <c r="I454" s="6" t="s">
        <v>721</v>
      </c>
      <c r="J454" s="6" t="s">
        <v>1852</v>
      </c>
      <c r="K454" s="1">
        <v>0</v>
      </c>
      <c r="L454" s="6" t="s">
        <v>239</v>
      </c>
      <c r="M454" s="1">
        <v>2014</v>
      </c>
      <c r="N454" s="1" t="s">
        <v>237</v>
      </c>
      <c r="O454" s="1">
        <v>0</v>
      </c>
      <c r="P454" s="1">
        <v>0</v>
      </c>
      <c r="Q454" s="1">
        <v>0</v>
      </c>
      <c r="R454" s="1">
        <v>0</v>
      </c>
      <c r="S454" s="1" t="s">
        <v>251</v>
      </c>
    </row>
    <row r="455" spans="1:19" ht="14.45" customHeight="1" x14ac:dyDescent="0.25">
      <c r="A455" s="6">
        <v>454</v>
      </c>
      <c r="B455" s="6">
        <v>6901206</v>
      </c>
      <c r="C455" t="s">
        <v>925</v>
      </c>
      <c r="D455" s="1">
        <v>200799</v>
      </c>
      <c r="E455" s="21">
        <v>3200</v>
      </c>
      <c r="F455" s="1" t="s">
        <v>233</v>
      </c>
      <c r="G455" s="1" t="s">
        <v>233</v>
      </c>
      <c r="H455" s="6" t="s">
        <v>1954</v>
      </c>
      <c r="I455" s="6" t="s">
        <v>429</v>
      </c>
      <c r="J455" s="6" t="s">
        <v>1849</v>
      </c>
      <c r="K455" s="1">
        <v>0</v>
      </c>
      <c r="L455" s="6" t="s">
        <v>234</v>
      </c>
      <c r="M455" s="1">
        <v>2015</v>
      </c>
      <c r="N455" s="1" t="s">
        <v>1864</v>
      </c>
      <c r="O455" s="1">
        <v>0</v>
      </c>
      <c r="P455" s="1">
        <v>0</v>
      </c>
      <c r="Q455" s="1">
        <v>0</v>
      </c>
      <c r="R455" s="1">
        <v>0</v>
      </c>
      <c r="S455" s="1" t="s">
        <v>251</v>
      </c>
    </row>
    <row r="456" spans="1:19" ht="14.45" customHeight="1" x14ac:dyDescent="0.25">
      <c r="A456" s="6">
        <v>455</v>
      </c>
      <c r="B456" s="6">
        <v>6901301</v>
      </c>
      <c r="C456" t="s">
        <v>926</v>
      </c>
      <c r="D456" s="1">
        <v>200600</v>
      </c>
      <c r="E456" s="21">
        <v>1600</v>
      </c>
      <c r="F456" s="1" t="s">
        <v>233</v>
      </c>
      <c r="G456" s="1" t="s">
        <v>233</v>
      </c>
      <c r="H456" s="6" t="s">
        <v>1954</v>
      </c>
      <c r="I456" s="6" t="s">
        <v>429</v>
      </c>
      <c r="J456" s="6" t="s">
        <v>1849</v>
      </c>
      <c r="K456" s="1">
        <v>0</v>
      </c>
      <c r="L456" s="6" t="s">
        <v>234</v>
      </c>
      <c r="M456" s="1">
        <v>2015</v>
      </c>
      <c r="N456" s="1" t="s">
        <v>1864</v>
      </c>
      <c r="O456" s="1">
        <v>0</v>
      </c>
      <c r="P456" s="1">
        <v>0</v>
      </c>
      <c r="Q456" s="1">
        <v>0</v>
      </c>
      <c r="R456" s="1">
        <v>0</v>
      </c>
      <c r="S456" s="1" t="s">
        <v>251</v>
      </c>
    </row>
    <row r="457" spans="1:19" ht="14.45" customHeight="1" x14ac:dyDescent="0.25">
      <c r="A457" s="6">
        <v>456</v>
      </c>
      <c r="B457" s="6">
        <v>6901501</v>
      </c>
      <c r="C457" t="s">
        <v>927</v>
      </c>
      <c r="D457" s="1">
        <v>170191</v>
      </c>
      <c r="E457" s="21" t="s">
        <v>237</v>
      </c>
      <c r="F457" s="21">
        <v>344.86208723291998</v>
      </c>
      <c r="G457" s="1" t="s">
        <v>233</v>
      </c>
      <c r="H457" s="6" t="s">
        <v>1951</v>
      </c>
      <c r="I457" s="6" t="s">
        <v>593</v>
      </c>
      <c r="J457" s="6" t="s">
        <v>1853</v>
      </c>
      <c r="K457" s="1">
        <v>0</v>
      </c>
      <c r="L457" s="6" t="s">
        <v>245</v>
      </c>
      <c r="M457" s="1">
        <v>2011</v>
      </c>
      <c r="N457" s="1" t="s">
        <v>237</v>
      </c>
      <c r="O457" s="1">
        <v>0</v>
      </c>
      <c r="P457" s="1">
        <v>0</v>
      </c>
      <c r="Q457" s="1">
        <v>0</v>
      </c>
      <c r="R457" s="1">
        <v>0</v>
      </c>
      <c r="S457" s="1" t="s">
        <v>251</v>
      </c>
    </row>
    <row r="458" spans="1:19" ht="14.45" customHeight="1" x14ac:dyDescent="0.25">
      <c r="A458" s="6">
        <v>457</v>
      </c>
      <c r="B458" s="6">
        <v>6901602</v>
      </c>
      <c r="C458" t="s">
        <v>928</v>
      </c>
      <c r="D458" s="1" t="s">
        <v>929</v>
      </c>
      <c r="E458" s="21" t="s">
        <v>237</v>
      </c>
      <c r="F458" s="1" t="s">
        <v>233</v>
      </c>
      <c r="G458" s="19">
        <v>9</v>
      </c>
      <c r="H458" s="6" t="s">
        <v>1951</v>
      </c>
      <c r="I458" s="6" t="s">
        <v>465</v>
      </c>
      <c r="J458" s="6" t="s">
        <v>1849</v>
      </c>
      <c r="K458" s="1">
        <v>0</v>
      </c>
      <c r="L458" s="6" t="s">
        <v>234</v>
      </c>
      <c r="M458" s="1">
        <v>2007</v>
      </c>
      <c r="N458" s="1" t="s">
        <v>237</v>
      </c>
      <c r="O458" s="1">
        <v>0</v>
      </c>
      <c r="P458" s="1">
        <v>0</v>
      </c>
      <c r="Q458" s="1">
        <v>0</v>
      </c>
      <c r="R458" s="1">
        <v>0</v>
      </c>
      <c r="S458" s="1" t="s">
        <v>235</v>
      </c>
    </row>
    <row r="459" spans="1:19" ht="14.45" customHeight="1" x14ac:dyDescent="0.25">
      <c r="A459" s="6">
        <v>458</v>
      </c>
      <c r="B459" s="6">
        <v>6901602</v>
      </c>
      <c r="C459" t="s">
        <v>928</v>
      </c>
      <c r="D459" s="1" t="s">
        <v>929</v>
      </c>
      <c r="E459" s="21">
        <v>795</v>
      </c>
      <c r="F459" s="1" t="s">
        <v>233</v>
      </c>
      <c r="G459" s="1" t="s">
        <v>233</v>
      </c>
      <c r="H459" s="6" t="s">
        <v>1951</v>
      </c>
      <c r="I459" s="6" t="s">
        <v>557</v>
      </c>
      <c r="J459" s="6" t="s">
        <v>1849</v>
      </c>
      <c r="K459" s="1">
        <v>0</v>
      </c>
      <c r="L459" s="6" t="s">
        <v>238</v>
      </c>
      <c r="M459" s="1">
        <v>2012</v>
      </c>
      <c r="N459" s="1" t="s">
        <v>237</v>
      </c>
      <c r="O459" s="1">
        <v>0</v>
      </c>
      <c r="P459" s="1">
        <v>0</v>
      </c>
      <c r="Q459" s="1">
        <v>0</v>
      </c>
      <c r="R459" s="1">
        <v>0</v>
      </c>
      <c r="S459" s="1" t="s">
        <v>235</v>
      </c>
    </row>
    <row r="460" spans="1:19" ht="14.45" customHeight="1" x14ac:dyDescent="0.25">
      <c r="A460" s="6">
        <v>459</v>
      </c>
      <c r="B460" s="6">
        <v>6901602</v>
      </c>
      <c r="C460" t="s">
        <v>928</v>
      </c>
      <c r="D460" s="1" t="s">
        <v>929</v>
      </c>
      <c r="E460" s="41">
        <v>3200</v>
      </c>
      <c r="F460" s="1" t="s">
        <v>233</v>
      </c>
      <c r="G460" s="1" t="s">
        <v>233</v>
      </c>
      <c r="H460" s="6" t="s">
        <v>1954</v>
      </c>
      <c r="I460" s="6" t="s">
        <v>429</v>
      </c>
      <c r="J460" s="6" t="s">
        <v>1849</v>
      </c>
      <c r="K460" s="1">
        <v>0</v>
      </c>
      <c r="L460" s="6" t="s">
        <v>234</v>
      </c>
      <c r="M460" s="1">
        <v>2015</v>
      </c>
      <c r="N460" s="1" t="s">
        <v>1864</v>
      </c>
      <c r="O460" s="1">
        <v>0</v>
      </c>
      <c r="P460" s="1">
        <v>0</v>
      </c>
      <c r="Q460" s="1">
        <v>0</v>
      </c>
      <c r="R460" s="1">
        <v>0</v>
      </c>
      <c r="S460" s="1" t="s">
        <v>251</v>
      </c>
    </row>
    <row r="461" spans="1:19" ht="14.45" customHeight="1" x14ac:dyDescent="0.25">
      <c r="A461" s="6">
        <v>460</v>
      </c>
      <c r="B461" s="6">
        <v>6901801</v>
      </c>
      <c r="C461" t="s">
        <v>930</v>
      </c>
      <c r="D461" s="1">
        <v>210690</v>
      </c>
      <c r="E461" s="21">
        <v>44570</v>
      </c>
      <c r="F461" s="1">
        <v>17481</v>
      </c>
      <c r="G461" s="1" t="s">
        <v>233</v>
      </c>
      <c r="H461" s="6" t="s">
        <v>1954</v>
      </c>
      <c r="I461" s="6" t="s">
        <v>646</v>
      </c>
      <c r="J461" s="6" t="s">
        <v>1849</v>
      </c>
      <c r="K461" s="1">
        <v>0</v>
      </c>
      <c r="L461" s="6" t="s">
        <v>240</v>
      </c>
      <c r="M461" s="1">
        <v>2011</v>
      </c>
      <c r="N461" s="1" t="s">
        <v>254</v>
      </c>
      <c r="O461" s="1">
        <v>0</v>
      </c>
      <c r="P461" s="1">
        <v>0</v>
      </c>
      <c r="Q461" s="1">
        <v>0</v>
      </c>
      <c r="R461" s="1">
        <v>0</v>
      </c>
      <c r="S461" s="1" t="s">
        <v>251</v>
      </c>
    </row>
    <row r="462" spans="1:19" ht="14.45" customHeight="1" x14ac:dyDescent="0.25">
      <c r="A462" s="6">
        <v>461</v>
      </c>
      <c r="B462" s="6">
        <v>6902401</v>
      </c>
      <c r="C462" t="s">
        <v>931</v>
      </c>
      <c r="D462" s="1" t="s">
        <v>932</v>
      </c>
      <c r="E462" s="21" t="s">
        <v>237</v>
      </c>
      <c r="F462" s="21">
        <v>3082.4359757713787</v>
      </c>
      <c r="G462" s="1" t="s">
        <v>233</v>
      </c>
      <c r="H462" s="6" t="s">
        <v>1951</v>
      </c>
      <c r="I462" s="6" t="s">
        <v>593</v>
      </c>
      <c r="J462" s="6" t="s">
        <v>1853</v>
      </c>
      <c r="K462" s="1">
        <v>0</v>
      </c>
      <c r="L462" s="6" t="s">
        <v>245</v>
      </c>
      <c r="M462" s="1">
        <v>2011</v>
      </c>
      <c r="N462" s="1" t="s">
        <v>237</v>
      </c>
      <c r="O462" s="1">
        <v>0</v>
      </c>
      <c r="P462" s="1">
        <v>0</v>
      </c>
      <c r="Q462" s="1">
        <v>0</v>
      </c>
      <c r="R462" s="1">
        <v>0</v>
      </c>
      <c r="S462" s="1" t="s">
        <v>251</v>
      </c>
    </row>
    <row r="463" spans="1:19" ht="14.45" customHeight="1" x14ac:dyDescent="0.25">
      <c r="A463" s="6">
        <v>462</v>
      </c>
      <c r="B463" s="6">
        <v>6902402</v>
      </c>
      <c r="C463" t="s">
        <v>933</v>
      </c>
      <c r="D463" s="1" t="s">
        <v>934</v>
      </c>
      <c r="E463" s="21" t="s">
        <v>237</v>
      </c>
      <c r="F463" s="21">
        <v>1409.2956694206232</v>
      </c>
      <c r="G463" s="1" t="s">
        <v>233</v>
      </c>
      <c r="H463" s="6" t="s">
        <v>1951</v>
      </c>
      <c r="I463" s="6" t="s">
        <v>593</v>
      </c>
      <c r="J463" s="6" t="s">
        <v>1853</v>
      </c>
      <c r="K463" s="1">
        <v>0</v>
      </c>
      <c r="L463" s="6" t="s">
        <v>245</v>
      </c>
      <c r="M463" s="1">
        <v>2011</v>
      </c>
      <c r="N463" s="1" t="s">
        <v>237</v>
      </c>
      <c r="O463" s="1">
        <v>0</v>
      </c>
      <c r="P463" s="1">
        <v>0</v>
      </c>
      <c r="Q463" s="1">
        <v>0</v>
      </c>
      <c r="R463" s="1">
        <v>0</v>
      </c>
      <c r="S463" s="1" t="s">
        <v>251</v>
      </c>
    </row>
    <row r="464" spans="1:19" ht="14.45" customHeight="1" x14ac:dyDescent="0.25">
      <c r="A464" s="6">
        <v>463</v>
      </c>
      <c r="B464" s="6">
        <v>6902402</v>
      </c>
      <c r="C464" t="s">
        <v>933</v>
      </c>
      <c r="D464" s="1" t="s">
        <v>934</v>
      </c>
      <c r="E464" s="21">
        <v>667</v>
      </c>
      <c r="F464" s="1" t="s">
        <v>233</v>
      </c>
      <c r="G464" s="1" t="s">
        <v>233</v>
      </c>
      <c r="H464" s="6" t="s">
        <v>1951</v>
      </c>
      <c r="I464" s="6" t="s">
        <v>713</v>
      </c>
      <c r="J464" s="6" t="s">
        <v>1852</v>
      </c>
      <c r="K464" s="1">
        <v>0</v>
      </c>
      <c r="L464" s="6" t="s">
        <v>238</v>
      </c>
      <c r="M464" s="1">
        <v>2012</v>
      </c>
      <c r="N464" s="1" t="s">
        <v>237</v>
      </c>
      <c r="O464" s="1">
        <v>0</v>
      </c>
      <c r="P464" s="1">
        <v>0</v>
      </c>
      <c r="Q464" s="1">
        <v>0</v>
      </c>
      <c r="R464" s="1">
        <v>0</v>
      </c>
      <c r="S464" s="1" t="s">
        <v>235</v>
      </c>
    </row>
    <row r="465" spans="1:19" ht="14.45" customHeight="1" x14ac:dyDescent="0.25">
      <c r="A465" s="6">
        <v>464</v>
      </c>
      <c r="B465" s="6">
        <v>6902402</v>
      </c>
      <c r="C465" t="s">
        <v>933</v>
      </c>
      <c r="D465" s="1" t="s">
        <v>934</v>
      </c>
      <c r="E465" s="21">
        <v>700</v>
      </c>
      <c r="F465" s="1" t="s">
        <v>233</v>
      </c>
      <c r="G465" s="1" t="s">
        <v>233</v>
      </c>
      <c r="H465" s="6" t="s">
        <v>1951</v>
      </c>
      <c r="I465" s="6" t="s">
        <v>713</v>
      </c>
      <c r="J465" s="6" t="s">
        <v>1852</v>
      </c>
      <c r="K465" s="1">
        <v>0</v>
      </c>
      <c r="L465" s="6" t="s">
        <v>238</v>
      </c>
      <c r="M465" s="1">
        <v>2012</v>
      </c>
      <c r="N465" s="1" t="s">
        <v>1859</v>
      </c>
      <c r="O465" s="1">
        <v>0</v>
      </c>
      <c r="P465" s="1">
        <v>0</v>
      </c>
      <c r="Q465" s="1">
        <v>0</v>
      </c>
      <c r="R465" s="1">
        <v>0</v>
      </c>
      <c r="S465" s="1" t="s">
        <v>235</v>
      </c>
    </row>
    <row r="466" spans="1:19" ht="14.45" customHeight="1" x14ac:dyDescent="0.25">
      <c r="A466" s="6">
        <v>465</v>
      </c>
      <c r="B466" s="6">
        <v>6902607</v>
      </c>
      <c r="C466" t="s">
        <v>935</v>
      </c>
      <c r="D466" s="1" t="s">
        <v>936</v>
      </c>
      <c r="E466" s="21">
        <v>3200</v>
      </c>
      <c r="F466" s="1" t="s">
        <v>233</v>
      </c>
      <c r="G466" s="19" t="s">
        <v>233</v>
      </c>
      <c r="H466" s="6" t="s">
        <v>1954</v>
      </c>
      <c r="I466" s="6" t="s">
        <v>429</v>
      </c>
      <c r="J466" s="6" t="s">
        <v>1849</v>
      </c>
      <c r="K466" s="1">
        <v>0</v>
      </c>
      <c r="L466" s="6" t="s">
        <v>234</v>
      </c>
      <c r="M466" s="1">
        <v>2015</v>
      </c>
      <c r="N466" s="1" t="s">
        <v>237</v>
      </c>
      <c r="O466" s="1">
        <v>0</v>
      </c>
      <c r="P466" s="1">
        <v>0</v>
      </c>
      <c r="Q466" s="1">
        <v>0</v>
      </c>
      <c r="R466" s="1">
        <v>0</v>
      </c>
      <c r="S466" s="1" t="s">
        <v>251</v>
      </c>
    </row>
    <row r="467" spans="1:19" ht="14.45" customHeight="1" x14ac:dyDescent="0.25">
      <c r="A467" s="6">
        <v>466</v>
      </c>
      <c r="B467" s="6">
        <v>6906602</v>
      </c>
      <c r="C467" t="s">
        <v>937</v>
      </c>
      <c r="D467" s="1">
        <v>170111</v>
      </c>
      <c r="E467" s="21">
        <v>214</v>
      </c>
      <c r="F467" s="1" t="s">
        <v>233</v>
      </c>
      <c r="G467" s="1" t="s">
        <v>233</v>
      </c>
      <c r="H467" s="6" t="s">
        <v>1951</v>
      </c>
      <c r="I467" s="6" t="s">
        <v>1978</v>
      </c>
      <c r="J467" s="6" t="s">
        <v>1849</v>
      </c>
      <c r="K467" s="1">
        <v>0</v>
      </c>
      <c r="L467" s="6" t="s">
        <v>269</v>
      </c>
      <c r="M467" s="1">
        <v>2013</v>
      </c>
      <c r="N467" s="1" t="s">
        <v>1957</v>
      </c>
      <c r="O467" s="1">
        <v>1</v>
      </c>
      <c r="P467" s="1">
        <v>0</v>
      </c>
      <c r="Q467" s="1">
        <v>0</v>
      </c>
      <c r="R467" s="1">
        <v>0</v>
      </c>
      <c r="S467" s="1" t="s">
        <v>235</v>
      </c>
    </row>
    <row r="468" spans="1:19" ht="14.45" customHeight="1" x14ac:dyDescent="0.25">
      <c r="A468" s="6">
        <v>467</v>
      </c>
      <c r="B468" s="6">
        <v>6906602</v>
      </c>
      <c r="C468" t="s">
        <v>937</v>
      </c>
      <c r="D468" s="1">
        <v>170111</v>
      </c>
      <c r="E468" s="21" t="s">
        <v>237</v>
      </c>
      <c r="F468" s="1" t="s">
        <v>233</v>
      </c>
      <c r="G468" s="19">
        <v>7</v>
      </c>
      <c r="H468" s="6" t="s">
        <v>1951</v>
      </c>
      <c r="I468" s="6" t="s">
        <v>465</v>
      </c>
      <c r="J468" s="6" t="s">
        <v>1849</v>
      </c>
      <c r="K468" s="1">
        <v>0</v>
      </c>
      <c r="L468" s="6" t="s">
        <v>234</v>
      </c>
      <c r="M468" s="1">
        <v>2007</v>
      </c>
      <c r="N468" s="1" t="s">
        <v>237</v>
      </c>
      <c r="O468" s="1">
        <v>0</v>
      </c>
      <c r="P468" s="1">
        <v>0</v>
      </c>
      <c r="Q468" s="1">
        <v>0</v>
      </c>
      <c r="R468" s="1">
        <v>0</v>
      </c>
      <c r="S468" s="1" t="s">
        <v>235</v>
      </c>
    </row>
    <row r="469" spans="1:19" ht="14.45" customHeight="1" x14ac:dyDescent="0.25">
      <c r="A469" s="6">
        <v>468</v>
      </c>
      <c r="B469" s="6">
        <v>6906602</v>
      </c>
      <c r="C469" t="s">
        <v>937</v>
      </c>
      <c r="D469" s="1">
        <v>170111</v>
      </c>
      <c r="E469" s="21" t="s">
        <v>237</v>
      </c>
      <c r="F469" s="21">
        <v>202</v>
      </c>
      <c r="G469" s="1" t="s">
        <v>233</v>
      </c>
      <c r="H469" s="6" t="s">
        <v>1951</v>
      </c>
      <c r="I469" s="6" t="s">
        <v>554</v>
      </c>
      <c r="J469" s="6" t="s">
        <v>1852</v>
      </c>
      <c r="K469" s="1">
        <v>0</v>
      </c>
      <c r="L469" s="6" t="s">
        <v>248</v>
      </c>
      <c r="M469" s="1">
        <v>2012</v>
      </c>
      <c r="N469" s="1" t="s">
        <v>237</v>
      </c>
      <c r="O469" s="1">
        <v>0</v>
      </c>
      <c r="P469" s="1">
        <v>0</v>
      </c>
      <c r="Q469" s="1">
        <v>0</v>
      </c>
      <c r="R469" s="1">
        <v>0</v>
      </c>
      <c r="S469" s="1" t="s">
        <v>235</v>
      </c>
    </row>
    <row r="470" spans="1:19" ht="14.45" customHeight="1" x14ac:dyDescent="0.25">
      <c r="A470" s="6">
        <v>469</v>
      </c>
      <c r="B470" s="6">
        <v>6906602</v>
      </c>
      <c r="C470" t="s">
        <v>937</v>
      </c>
      <c r="D470" s="1">
        <v>170111</v>
      </c>
      <c r="E470" s="21" t="s">
        <v>237</v>
      </c>
      <c r="F470" s="1" t="s">
        <v>233</v>
      </c>
      <c r="G470" s="19">
        <v>0.55938840201379825</v>
      </c>
      <c r="H470" s="6" t="s">
        <v>1951</v>
      </c>
      <c r="I470" s="6" t="s">
        <v>580</v>
      </c>
      <c r="J470" s="6" t="s">
        <v>1851</v>
      </c>
      <c r="K470" s="1">
        <v>0</v>
      </c>
      <c r="L470" s="6" t="s">
        <v>243</v>
      </c>
      <c r="M470" s="1">
        <v>2008</v>
      </c>
      <c r="N470" s="1" t="s">
        <v>237</v>
      </c>
      <c r="O470" s="1">
        <v>0</v>
      </c>
      <c r="P470" s="1">
        <v>0</v>
      </c>
      <c r="Q470" s="1">
        <v>0</v>
      </c>
      <c r="R470" s="1">
        <v>0</v>
      </c>
      <c r="S470" s="1" t="s">
        <v>251</v>
      </c>
    </row>
    <row r="471" spans="1:19" ht="14.45" customHeight="1" x14ac:dyDescent="0.25">
      <c r="A471" s="6">
        <v>470</v>
      </c>
      <c r="B471" s="6">
        <v>6906602</v>
      </c>
      <c r="C471" t="s">
        <v>937</v>
      </c>
      <c r="D471" s="1">
        <v>170111</v>
      </c>
      <c r="E471" s="21" t="s">
        <v>237</v>
      </c>
      <c r="F471" s="21">
        <v>1166.7522440847738</v>
      </c>
      <c r="G471" s="1" t="s">
        <v>233</v>
      </c>
      <c r="H471" s="6" t="s">
        <v>1951</v>
      </c>
      <c r="I471" s="6" t="s">
        <v>593</v>
      </c>
      <c r="J471" s="6" t="s">
        <v>1853</v>
      </c>
      <c r="K471" s="1">
        <v>0</v>
      </c>
      <c r="L471" s="6" t="s">
        <v>245</v>
      </c>
      <c r="M471" s="1">
        <v>2011</v>
      </c>
      <c r="N471" s="1" t="s">
        <v>237</v>
      </c>
      <c r="O471" s="1">
        <v>0</v>
      </c>
      <c r="P471" s="1">
        <v>0</v>
      </c>
      <c r="Q471" s="1">
        <v>0</v>
      </c>
      <c r="R471" s="1">
        <v>0</v>
      </c>
      <c r="S471" s="1" t="s">
        <v>251</v>
      </c>
    </row>
    <row r="472" spans="1:19" ht="14.45" customHeight="1" x14ac:dyDescent="0.25">
      <c r="A472" s="6">
        <v>471</v>
      </c>
      <c r="B472" s="6">
        <v>6906602</v>
      </c>
      <c r="C472" t="s">
        <v>937</v>
      </c>
      <c r="D472" s="1">
        <v>170111</v>
      </c>
      <c r="E472" s="21">
        <v>233</v>
      </c>
      <c r="F472" s="1" t="s">
        <v>233</v>
      </c>
      <c r="G472" s="1" t="s">
        <v>233</v>
      </c>
      <c r="H472" s="6" t="s">
        <v>1951</v>
      </c>
      <c r="I472" s="6" t="s">
        <v>647</v>
      </c>
      <c r="J472" s="6" t="s">
        <v>1853</v>
      </c>
      <c r="K472" s="1">
        <v>0</v>
      </c>
      <c r="L472" s="6" t="s">
        <v>280</v>
      </c>
      <c r="M472" s="1">
        <v>2004</v>
      </c>
      <c r="N472" s="1" t="s">
        <v>1868</v>
      </c>
      <c r="O472" s="1">
        <v>0</v>
      </c>
      <c r="P472" s="1">
        <v>0</v>
      </c>
      <c r="Q472" s="1">
        <v>0</v>
      </c>
      <c r="R472" s="1">
        <v>0</v>
      </c>
      <c r="S472" s="1" t="s">
        <v>235</v>
      </c>
    </row>
    <row r="473" spans="1:19" ht="14.45" customHeight="1" x14ac:dyDescent="0.25">
      <c r="A473" s="6">
        <v>472</v>
      </c>
      <c r="B473" s="6">
        <v>6906602</v>
      </c>
      <c r="C473" t="s">
        <v>937</v>
      </c>
      <c r="D473" s="1">
        <v>170111</v>
      </c>
      <c r="E473" s="21">
        <v>483.67</v>
      </c>
      <c r="F473" s="1" t="s">
        <v>233</v>
      </c>
      <c r="G473" s="1" t="s">
        <v>233</v>
      </c>
      <c r="H473" s="6" t="s">
        <v>1951</v>
      </c>
      <c r="I473" s="6" t="s">
        <v>652</v>
      </c>
      <c r="J473" s="6" t="s">
        <v>1853</v>
      </c>
      <c r="K473" s="1">
        <v>0</v>
      </c>
      <c r="L473" s="6" t="s">
        <v>268</v>
      </c>
      <c r="M473" s="1">
        <v>2011</v>
      </c>
      <c r="N473" s="1" t="s">
        <v>237</v>
      </c>
      <c r="O473" s="1">
        <v>0</v>
      </c>
      <c r="P473" s="1">
        <v>0</v>
      </c>
      <c r="Q473" s="1">
        <v>0</v>
      </c>
      <c r="R473" s="1">
        <v>0</v>
      </c>
      <c r="S473" s="1" t="s">
        <v>235</v>
      </c>
    </row>
    <row r="474" spans="1:19" ht="14.45" customHeight="1" x14ac:dyDescent="0.25">
      <c r="A474" s="6">
        <v>473</v>
      </c>
      <c r="B474" s="6">
        <v>6906602</v>
      </c>
      <c r="C474" t="s">
        <v>937</v>
      </c>
      <c r="D474" s="1">
        <v>170111</v>
      </c>
      <c r="E474" s="21">
        <v>550</v>
      </c>
      <c r="F474" s="1" t="s">
        <v>233</v>
      </c>
      <c r="G474" s="1" t="s">
        <v>233</v>
      </c>
      <c r="H474" s="6" t="s">
        <v>1951</v>
      </c>
      <c r="I474" s="6" t="s">
        <v>731</v>
      </c>
      <c r="J474" s="6" t="s">
        <v>1853</v>
      </c>
      <c r="K474" s="1">
        <v>0</v>
      </c>
      <c r="L474" s="6" t="s">
        <v>248</v>
      </c>
      <c r="M474" s="1">
        <v>2011</v>
      </c>
      <c r="N474" s="1" t="s">
        <v>237</v>
      </c>
      <c r="O474" s="1">
        <v>0</v>
      </c>
      <c r="P474" s="1">
        <v>0</v>
      </c>
      <c r="Q474" s="1">
        <v>0</v>
      </c>
      <c r="R474" s="1">
        <v>0</v>
      </c>
      <c r="S474" s="1" t="s">
        <v>235</v>
      </c>
    </row>
    <row r="475" spans="1:19" ht="14.45" customHeight="1" x14ac:dyDescent="0.25">
      <c r="A475" s="6">
        <v>474</v>
      </c>
      <c r="B475" s="6">
        <v>7002601</v>
      </c>
      <c r="C475" t="s">
        <v>939</v>
      </c>
      <c r="D475" s="1" t="s">
        <v>820</v>
      </c>
      <c r="E475" s="21" t="s">
        <v>237</v>
      </c>
      <c r="F475" s="1" t="s">
        <v>233</v>
      </c>
      <c r="G475" s="19">
        <v>1.3</v>
      </c>
      <c r="H475" s="6" t="s">
        <v>1951</v>
      </c>
      <c r="I475" s="6" t="s">
        <v>720</v>
      </c>
      <c r="J475" s="6" t="s">
        <v>1849</v>
      </c>
      <c r="K475" s="1">
        <v>0</v>
      </c>
      <c r="L475" s="6" t="s">
        <v>255</v>
      </c>
      <c r="M475" s="1">
        <v>2006</v>
      </c>
      <c r="N475" s="1" t="s">
        <v>237</v>
      </c>
      <c r="O475" s="1">
        <v>0</v>
      </c>
      <c r="P475" s="1">
        <v>0</v>
      </c>
      <c r="Q475" s="1">
        <v>0</v>
      </c>
      <c r="R475" s="1">
        <v>0</v>
      </c>
      <c r="S475" s="1" t="s">
        <v>235</v>
      </c>
    </row>
    <row r="476" spans="1:19" ht="14.45" customHeight="1" x14ac:dyDescent="0.25">
      <c r="A476" s="6">
        <v>475</v>
      </c>
      <c r="B476" s="6">
        <v>7003601</v>
      </c>
      <c r="C476" t="s">
        <v>940</v>
      </c>
      <c r="D476" s="1" t="s">
        <v>941</v>
      </c>
      <c r="E476" s="21" t="s">
        <v>237</v>
      </c>
      <c r="F476" s="21">
        <v>627.80224438919811</v>
      </c>
      <c r="G476" s="1" t="s">
        <v>233</v>
      </c>
      <c r="H476" s="6" t="s">
        <v>1951</v>
      </c>
      <c r="I476" s="6" t="s">
        <v>593</v>
      </c>
      <c r="J476" s="6" t="s">
        <v>1853</v>
      </c>
      <c r="K476" s="1">
        <v>0</v>
      </c>
      <c r="L476" s="6" t="s">
        <v>245</v>
      </c>
      <c r="M476" s="1">
        <v>2011</v>
      </c>
      <c r="N476" s="1" t="s">
        <v>237</v>
      </c>
      <c r="O476" s="1">
        <v>0</v>
      </c>
      <c r="P476" s="1">
        <v>0</v>
      </c>
      <c r="Q476" s="1">
        <v>0</v>
      </c>
      <c r="R476" s="1">
        <v>0</v>
      </c>
      <c r="S476" s="1" t="s">
        <v>251</v>
      </c>
    </row>
    <row r="477" spans="1:19" ht="14.45" customHeight="1" x14ac:dyDescent="0.25">
      <c r="A477" s="6">
        <v>476</v>
      </c>
      <c r="B477" s="6">
        <v>7003601</v>
      </c>
      <c r="C477" t="s">
        <v>940</v>
      </c>
      <c r="D477" s="1" t="s">
        <v>941</v>
      </c>
      <c r="E477" s="21">
        <v>1560</v>
      </c>
      <c r="F477" s="1" t="s">
        <v>233</v>
      </c>
      <c r="G477" s="1" t="s">
        <v>233</v>
      </c>
      <c r="H477" s="6" t="s">
        <v>1951</v>
      </c>
      <c r="I477" s="6" t="s">
        <v>663</v>
      </c>
      <c r="J477" s="6" t="s">
        <v>1849</v>
      </c>
      <c r="K477" s="1">
        <v>0</v>
      </c>
      <c r="L477" s="6" t="s">
        <v>239</v>
      </c>
      <c r="M477" s="1">
        <v>2012</v>
      </c>
      <c r="N477" s="1" t="s">
        <v>237</v>
      </c>
      <c r="O477" s="1">
        <v>0</v>
      </c>
      <c r="P477" s="1">
        <v>0</v>
      </c>
      <c r="Q477" s="1">
        <v>0</v>
      </c>
      <c r="R477" s="1">
        <v>0</v>
      </c>
      <c r="S477" s="1" t="s">
        <v>251</v>
      </c>
    </row>
    <row r="478" spans="1:19" ht="14.45" customHeight="1" x14ac:dyDescent="0.25">
      <c r="A478" s="6">
        <v>477</v>
      </c>
      <c r="B478" s="6">
        <v>7003801</v>
      </c>
      <c r="C478" t="s">
        <v>942</v>
      </c>
      <c r="D478" s="1">
        <v>200989</v>
      </c>
      <c r="E478" s="21" t="s">
        <v>237</v>
      </c>
      <c r="F478" s="21">
        <v>2071.6080837668223</v>
      </c>
      <c r="G478" s="1" t="s">
        <v>233</v>
      </c>
      <c r="H478" s="6" t="s">
        <v>1951</v>
      </c>
      <c r="I478" s="6" t="s">
        <v>593</v>
      </c>
      <c r="J478" s="6" t="s">
        <v>1853</v>
      </c>
      <c r="K478" s="1">
        <v>0</v>
      </c>
      <c r="L478" s="6" t="s">
        <v>245</v>
      </c>
      <c r="M478" s="1">
        <v>2011</v>
      </c>
      <c r="N478" s="1" t="s">
        <v>237</v>
      </c>
      <c r="O478" s="1">
        <v>0</v>
      </c>
      <c r="P478" s="1">
        <v>0</v>
      </c>
      <c r="Q478" s="1">
        <v>0</v>
      </c>
      <c r="R478" s="1">
        <v>0</v>
      </c>
      <c r="S478" s="1" t="s">
        <v>251</v>
      </c>
    </row>
    <row r="479" spans="1:19" ht="14.45" customHeight="1" x14ac:dyDescent="0.25">
      <c r="A479" s="6">
        <v>478</v>
      </c>
      <c r="B479" s="6">
        <v>7004701</v>
      </c>
      <c r="C479" t="s">
        <v>943</v>
      </c>
      <c r="D479" s="1" t="s">
        <v>944</v>
      </c>
      <c r="E479" s="21" t="s">
        <v>237</v>
      </c>
      <c r="F479" s="21">
        <v>377.47790394884458</v>
      </c>
      <c r="G479" s="1" t="s">
        <v>233</v>
      </c>
      <c r="H479" s="6" t="s">
        <v>1951</v>
      </c>
      <c r="I479" s="6" t="s">
        <v>593</v>
      </c>
      <c r="J479" s="6" t="s">
        <v>1853</v>
      </c>
      <c r="K479" s="1">
        <v>0</v>
      </c>
      <c r="L479" s="6" t="s">
        <v>245</v>
      </c>
      <c r="M479" s="1">
        <v>2011</v>
      </c>
      <c r="N479" s="1" t="s">
        <v>237</v>
      </c>
      <c r="O479" s="1">
        <v>0</v>
      </c>
      <c r="P479" s="1">
        <v>0</v>
      </c>
      <c r="Q479" s="1">
        <v>0</v>
      </c>
      <c r="R479" s="1">
        <v>0</v>
      </c>
      <c r="S479" s="1" t="s">
        <v>251</v>
      </c>
    </row>
    <row r="480" spans="1:19" ht="14.45" customHeight="1" x14ac:dyDescent="0.25">
      <c r="A480" s="6">
        <v>479</v>
      </c>
      <c r="B480" s="6">
        <v>7004701</v>
      </c>
      <c r="C480" t="s">
        <v>943</v>
      </c>
      <c r="D480" s="1" t="s">
        <v>944</v>
      </c>
      <c r="E480" s="21" t="s">
        <v>237</v>
      </c>
      <c r="F480" s="21">
        <v>314.56491995737048</v>
      </c>
      <c r="G480" s="1" t="s">
        <v>233</v>
      </c>
      <c r="H480" s="6" t="s">
        <v>1951</v>
      </c>
      <c r="I480" s="6" t="s">
        <v>593</v>
      </c>
      <c r="J480" s="6" t="s">
        <v>1853</v>
      </c>
      <c r="K480" s="1">
        <v>0</v>
      </c>
      <c r="L480" s="6" t="s">
        <v>245</v>
      </c>
      <c r="M480" s="1">
        <v>2011</v>
      </c>
      <c r="N480" s="1" t="s">
        <v>237</v>
      </c>
      <c r="O480" s="1">
        <v>0</v>
      </c>
      <c r="P480" s="1">
        <v>0</v>
      </c>
      <c r="Q480" s="1">
        <v>0</v>
      </c>
      <c r="R480" s="1">
        <v>0</v>
      </c>
      <c r="S480" s="1" t="s">
        <v>251</v>
      </c>
    </row>
    <row r="481" spans="1:19" ht="14.45" customHeight="1" x14ac:dyDescent="0.25">
      <c r="A481" s="6">
        <v>480</v>
      </c>
      <c r="B481" s="6">
        <v>7004701</v>
      </c>
      <c r="C481" t="s">
        <v>943</v>
      </c>
      <c r="D481" s="1" t="s">
        <v>944</v>
      </c>
      <c r="E481" s="21">
        <v>1500</v>
      </c>
      <c r="F481" s="21" t="s">
        <v>233</v>
      </c>
      <c r="G481" s="1" t="s">
        <v>233</v>
      </c>
      <c r="H481" s="6" t="s">
        <v>1954</v>
      </c>
      <c r="I481" s="6" t="s">
        <v>313</v>
      </c>
      <c r="J481" s="6" t="s">
        <v>1849</v>
      </c>
      <c r="K481" s="1">
        <v>0</v>
      </c>
      <c r="L481" s="6" t="s">
        <v>234</v>
      </c>
      <c r="M481" s="1">
        <v>2012</v>
      </c>
      <c r="N481" s="1" t="s">
        <v>237</v>
      </c>
      <c r="O481" s="1">
        <v>0</v>
      </c>
      <c r="P481" s="1">
        <v>0</v>
      </c>
      <c r="Q481" s="1">
        <v>0</v>
      </c>
      <c r="R481" s="1">
        <v>0</v>
      </c>
      <c r="S481" s="1" t="s">
        <v>251</v>
      </c>
    </row>
    <row r="482" spans="1:19" ht="14.45" customHeight="1" x14ac:dyDescent="0.25">
      <c r="A482" s="6">
        <v>481</v>
      </c>
      <c r="B482" s="6">
        <v>7004801</v>
      </c>
      <c r="C482" t="s">
        <v>945</v>
      </c>
      <c r="D482" s="1" t="s">
        <v>946</v>
      </c>
      <c r="E482" s="21">
        <v>1419</v>
      </c>
      <c r="F482" s="21">
        <v>235</v>
      </c>
      <c r="G482" s="1">
        <v>5.2</v>
      </c>
      <c r="H482" s="6" t="s">
        <v>1954</v>
      </c>
      <c r="I482" s="6" t="s">
        <v>399</v>
      </c>
      <c r="J482" s="6" t="s">
        <v>1849</v>
      </c>
      <c r="K482" s="1">
        <v>0</v>
      </c>
      <c r="L482" s="6" t="s">
        <v>236</v>
      </c>
      <c r="M482" s="1">
        <v>2014</v>
      </c>
      <c r="N482" s="1" t="s">
        <v>237</v>
      </c>
      <c r="O482" s="1">
        <v>0</v>
      </c>
      <c r="P482" s="1">
        <v>0</v>
      </c>
      <c r="Q482" s="1">
        <v>0</v>
      </c>
      <c r="R482" s="1">
        <v>0</v>
      </c>
      <c r="S482" s="1" t="s">
        <v>251</v>
      </c>
    </row>
    <row r="483" spans="1:19" ht="14.45" customHeight="1" x14ac:dyDescent="0.25">
      <c r="A483" s="6">
        <v>482</v>
      </c>
      <c r="B483" s="6">
        <v>7004801</v>
      </c>
      <c r="C483" t="s">
        <v>945</v>
      </c>
      <c r="D483" s="1" t="s">
        <v>946</v>
      </c>
      <c r="E483" s="21">
        <v>1438</v>
      </c>
      <c r="F483" s="21">
        <v>260</v>
      </c>
      <c r="G483" s="1">
        <v>5.5</v>
      </c>
      <c r="H483" s="6" t="s">
        <v>1954</v>
      </c>
      <c r="I483" s="6" t="s">
        <v>400</v>
      </c>
      <c r="J483" s="6" t="s">
        <v>1849</v>
      </c>
      <c r="K483" s="1">
        <v>0</v>
      </c>
      <c r="L483" s="6" t="s">
        <v>236</v>
      </c>
      <c r="M483" s="1">
        <v>2014</v>
      </c>
      <c r="N483" s="1" t="s">
        <v>237</v>
      </c>
      <c r="O483" s="1">
        <v>0</v>
      </c>
      <c r="P483" s="1">
        <v>0</v>
      </c>
      <c r="Q483" s="1">
        <v>0</v>
      </c>
      <c r="R483" s="1">
        <v>0</v>
      </c>
      <c r="S483" s="1" t="s">
        <v>251</v>
      </c>
    </row>
    <row r="484" spans="1:19" ht="14.45" customHeight="1" x14ac:dyDescent="0.25">
      <c r="A484" s="6">
        <v>483</v>
      </c>
      <c r="B484" s="6">
        <v>7004801</v>
      </c>
      <c r="C484" t="s">
        <v>945</v>
      </c>
      <c r="D484" s="1" t="s">
        <v>946</v>
      </c>
      <c r="E484" s="21" t="s">
        <v>237</v>
      </c>
      <c r="F484" s="21">
        <v>471.84737993605569</v>
      </c>
      <c r="G484" s="1" t="s">
        <v>233</v>
      </c>
      <c r="H484" s="6" t="s">
        <v>1951</v>
      </c>
      <c r="I484" s="6" t="s">
        <v>593</v>
      </c>
      <c r="J484" s="6" t="s">
        <v>1853</v>
      </c>
      <c r="K484" s="1">
        <v>0</v>
      </c>
      <c r="L484" s="6" t="s">
        <v>245</v>
      </c>
      <c r="M484" s="1">
        <v>2011</v>
      </c>
      <c r="N484" s="1" t="s">
        <v>237</v>
      </c>
      <c r="O484" s="1">
        <v>0</v>
      </c>
      <c r="P484" s="1">
        <v>0</v>
      </c>
      <c r="Q484" s="1">
        <v>0</v>
      </c>
      <c r="R484" s="1">
        <v>0</v>
      </c>
      <c r="S484" s="1" t="s">
        <v>251</v>
      </c>
    </row>
    <row r="485" spans="1:19" ht="14.45" customHeight="1" x14ac:dyDescent="0.25">
      <c r="A485" s="6">
        <v>484</v>
      </c>
      <c r="B485" s="6">
        <v>7004801</v>
      </c>
      <c r="C485" t="s">
        <v>945</v>
      </c>
      <c r="D485" s="1" t="s">
        <v>946</v>
      </c>
      <c r="E485" s="21">
        <v>1042</v>
      </c>
      <c r="F485" s="1" t="s">
        <v>233</v>
      </c>
      <c r="G485" s="1" t="s">
        <v>233</v>
      </c>
      <c r="H485" s="6" t="s">
        <v>1954</v>
      </c>
      <c r="I485" s="6" t="s">
        <v>704</v>
      </c>
      <c r="J485" s="6" t="s">
        <v>1849</v>
      </c>
      <c r="K485" s="1">
        <v>0</v>
      </c>
      <c r="L485" s="6" t="s">
        <v>236</v>
      </c>
      <c r="M485" s="1">
        <v>2014</v>
      </c>
      <c r="N485" s="1" t="s">
        <v>237</v>
      </c>
      <c r="O485" s="1">
        <v>0</v>
      </c>
      <c r="P485" s="1">
        <v>0</v>
      </c>
      <c r="Q485" s="1">
        <v>0</v>
      </c>
      <c r="R485" s="1">
        <v>0</v>
      </c>
      <c r="S485" s="1" t="s">
        <v>251</v>
      </c>
    </row>
    <row r="486" spans="1:19" ht="14.45" customHeight="1" x14ac:dyDescent="0.25">
      <c r="A486" s="6">
        <v>485</v>
      </c>
      <c r="B486" s="6">
        <v>7004802</v>
      </c>
      <c r="C486" t="s">
        <v>947</v>
      </c>
      <c r="D486" s="1" t="s">
        <v>948</v>
      </c>
      <c r="E486" s="21" t="s">
        <v>237</v>
      </c>
      <c r="F486" s="21">
        <v>235.92368996802784</v>
      </c>
      <c r="G486" s="1" t="s">
        <v>233</v>
      </c>
      <c r="H486" s="6" t="s">
        <v>1951</v>
      </c>
      <c r="I486" s="6" t="s">
        <v>593</v>
      </c>
      <c r="J486" s="6" t="s">
        <v>1853</v>
      </c>
      <c r="K486" s="1">
        <v>0</v>
      </c>
      <c r="L486" s="6" t="s">
        <v>245</v>
      </c>
      <c r="M486" s="1">
        <v>2011</v>
      </c>
      <c r="N486" s="1" t="s">
        <v>237</v>
      </c>
      <c r="O486" s="1">
        <v>0</v>
      </c>
      <c r="P486" s="1">
        <v>0</v>
      </c>
      <c r="Q486" s="1">
        <v>0</v>
      </c>
      <c r="R486" s="1">
        <v>0</v>
      </c>
      <c r="S486" s="1" t="s">
        <v>251</v>
      </c>
    </row>
    <row r="487" spans="1:19" ht="14.45" customHeight="1" x14ac:dyDescent="0.25">
      <c r="A487" s="6">
        <v>486</v>
      </c>
      <c r="B487" s="6">
        <v>7006101</v>
      </c>
      <c r="C487" t="s">
        <v>949</v>
      </c>
      <c r="D487" s="1" t="s">
        <v>950</v>
      </c>
      <c r="E487" s="21">
        <v>1100.3</v>
      </c>
      <c r="F487" s="1" t="s">
        <v>233</v>
      </c>
      <c r="G487" s="1" t="s">
        <v>233</v>
      </c>
      <c r="H487" s="6" t="s">
        <v>1951</v>
      </c>
      <c r="I487" s="6" t="s">
        <v>840</v>
      </c>
      <c r="J487" s="6" t="s">
        <v>1851</v>
      </c>
      <c r="K487" s="1">
        <v>0</v>
      </c>
      <c r="L487" s="6" t="s">
        <v>236</v>
      </c>
      <c r="M487" s="1">
        <v>2012</v>
      </c>
      <c r="N487" s="1" t="s">
        <v>1850</v>
      </c>
      <c r="O487" s="1">
        <v>1</v>
      </c>
      <c r="P487" s="1">
        <v>0</v>
      </c>
      <c r="Q487" s="1">
        <v>0</v>
      </c>
      <c r="R487" s="1">
        <v>0</v>
      </c>
      <c r="S487" s="1" t="s">
        <v>235</v>
      </c>
    </row>
    <row r="488" spans="1:19" ht="14.45" customHeight="1" x14ac:dyDescent="0.25">
      <c r="A488" s="6">
        <v>487</v>
      </c>
      <c r="B488" s="6">
        <v>7006101</v>
      </c>
      <c r="C488" t="s">
        <v>949</v>
      </c>
      <c r="D488" s="1" t="s">
        <v>950</v>
      </c>
      <c r="E488" s="21">
        <v>10000</v>
      </c>
      <c r="F488" s="1" t="s">
        <v>233</v>
      </c>
      <c r="G488" s="1" t="s">
        <v>233</v>
      </c>
      <c r="H488" s="6" t="s">
        <v>1951</v>
      </c>
      <c r="I488" s="6" t="s">
        <v>515</v>
      </c>
      <c r="J488" s="6" t="s">
        <v>1853</v>
      </c>
      <c r="K488" s="1">
        <v>0</v>
      </c>
      <c r="L488" s="6" t="s">
        <v>240</v>
      </c>
      <c r="M488" s="1">
        <v>2011</v>
      </c>
      <c r="N488" s="1" t="s">
        <v>1850</v>
      </c>
      <c r="O488" s="1">
        <v>1</v>
      </c>
      <c r="P488" s="1">
        <v>0</v>
      </c>
      <c r="Q488" s="1">
        <v>0</v>
      </c>
      <c r="R488" s="1">
        <v>0</v>
      </c>
      <c r="S488" s="1" t="s">
        <v>235</v>
      </c>
    </row>
    <row r="489" spans="1:19" ht="14.45" customHeight="1" x14ac:dyDescent="0.25">
      <c r="A489" s="6">
        <v>488</v>
      </c>
      <c r="B489" s="6">
        <v>7006101</v>
      </c>
      <c r="C489" t="s">
        <v>949</v>
      </c>
      <c r="D489" s="1" t="s">
        <v>950</v>
      </c>
      <c r="E489" s="21" t="s">
        <v>237</v>
      </c>
      <c r="F489" s="21">
        <v>1841.9097858043024</v>
      </c>
      <c r="G489" s="1" t="s">
        <v>233</v>
      </c>
      <c r="H489" s="6" t="s">
        <v>1951</v>
      </c>
      <c r="I489" s="6" t="s">
        <v>593</v>
      </c>
      <c r="J489" s="6" t="s">
        <v>1853</v>
      </c>
      <c r="K489" s="1">
        <v>0</v>
      </c>
      <c r="L489" s="6" t="s">
        <v>245</v>
      </c>
      <c r="M489" s="1">
        <v>2011</v>
      </c>
      <c r="N489" s="1" t="s">
        <v>237</v>
      </c>
      <c r="O489" s="1">
        <v>0</v>
      </c>
      <c r="P489" s="1">
        <v>0</v>
      </c>
      <c r="Q489" s="1">
        <v>0</v>
      </c>
      <c r="R489" s="1">
        <v>0</v>
      </c>
      <c r="S489" s="1" t="s">
        <v>251</v>
      </c>
    </row>
    <row r="490" spans="1:19" ht="14.45" customHeight="1" x14ac:dyDescent="0.25">
      <c r="A490" s="6">
        <v>489</v>
      </c>
      <c r="B490" s="6">
        <v>7006101</v>
      </c>
      <c r="C490" t="s">
        <v>949</v>
      </c>
      <c r="D490" s="1" t="s">
        <v>950</v>
      </c>
      <c r="E490" s="21" t="s">
        <v>237</v>
      </c>
      <c r="F490" s="21">
        <v>1841.9097858043024</v>
      </c>
      <c r="G490" s="1" t="s">
        <v>233</v>
      </c>
      <c r="H490" s="6" t="s">
        <v>1951</v>
      </c>
      <c r="I490" s="6" t="s">
        <v>593</v>
      </c>
      <c r="J490" s="6" t="s">
        <v>1853</v>
      </c>
      <c r="K490" s="1">
        <v>0</v>
      </c>
      <c r="L490" s="6" t="s">
        <v>245</v>
      </c>
      <c r="M490" s="1">
        <v>2011</v>
      </c>
      <c r="N490" s="1" t="s">
        <v>237</v>
      </c>
      <c r="O490" s="1">
        <v>0</v>
      </c>
      <c r="P490" s="1">
        <v>0</v>
      </c>
      <c r="Q490" s="1">
        <v>0</v>
      </c>
      <c r="R490" s="1">
        <v>0</v>
      </c>
      <c r="S490" s="1" t="s">
        <v>251</v>
      </c>
    </row>
    <row r="491" spans="1:19" ht="14.45" customHeight="1" x14ac:dyDescent="0.25">
      <c r="A491" s="6">
        <v>490</v>
      </c>
      <c r="B491" s="6">
        <v>7006101</v>
      </c>
      <c r="C491" t="s">
        <v>949</v>
      </c>
      <c r="D491" s="1" t="s">
        <v>950</v>
      </c>
      <c r="E491" s="21">
        <v>600</v>
      </c>
      <c r="F491" s="1" t="s">
        <v>233</v>
      </c>
      <c r="G491" s="1" t="s">
        <v>233</v>
      </c>
      <c r="H491" s="6" t="s">
        <v>1951</v>
      </c>
      <c r="I491" s="6" t="s">
        <v>766</v>
      </c>
      <c r="J491" s="6" t="s">
        <v>1854</v>
      </c>
      <c r="K491" s="1">
        <v>1</v>
      </c>
      <c r="L491" s="6" t="s">
        <v>242</v>
      </c>
      <c r="M491" s="1">
        <v>2008</v>
      </c>
      <c r="N491" s="1" t="s">
        <v>237</v>
      </c>
      <c r="O491" s="1">
        <v>0</v>
      </c>
      <c r="P491" s="1">
        <v>0</v>
      </c>
      <c r="Q491" s="1">
        <v>0</v>
      </c>
      <c r="R491" s="1">
        <v>0</v>
      </c>
      <c r="S491" s="1" t="s">
        <v>235</v>
      </c>
    </row>
    <row r="492" spans="1:19" ht="14.45" customHeight="1" x14ac:dyDescent="0.25">
      <c r="A492" s="6">
        <v>491</v>
      </c>
      <c r="B492" s="6">
        <v>7006101</v>
      </c>
      <c r="C492" t="s">
        <v>949</v>
      </c>
      <c r="D492" s="1" t="s">
        <v>950</v>
      </c>
      <c r="E492" s="21">
        <v>3600</v>
      </c>
      <c r="F492" s="1" t="s">
        <v>233</v>
      </c>
      <c r="G492" s="1" t="s">
        <v>233</v>
      </c>
      <c r="H492" s="6" t="s">
        <v>1951</v>
      </c>
      <c r="I492" s="6" t="s">
        <v>766</v>
      </c>
      <c r="J492" s="6" t="s">
        <v>1854</v>
      </c>
      <c r="K492" s="1">
        <v>1</v>
      </c>
      <c r="L492" s="6" t="s">
        <v>242</v>
      </c>
      <c r="M492" s="1">
        <v>2008</v>
      </c>
      <c r="N492" s="1" t="s">
        <v>1850</v>
      </c>
      <c r="O492" s="1">
        <v>1</v>
      </c>
      <c r="P492" s="1">
        <v>0</v>
      </c>
      <c r="Q492" s="1">
        <v>0</v>
      </c>
      <c r="R492" s="1">
        <v>0</v>
      </c>
      <c r="S492" s="1" t="s">
        <v>235</v>
      </c>
    </row>
    <row r="493" spans="1:19" ht="14.45" customHeight="1" x14ac:dyDescent="0.25">
      <c r="A493" s="6">
        <v>492</v>
      </c>
      <c r="B493" s="6">
        <v>7009102</v>
      </c>
      <c r="C493" t="s">
        <v>951</v>
      </c>
      <c r="D493" s="1" t="s">
        <v>952</v>
      </c>
      <c r="E493" s="21" t="s">
        <v>237</v>
      </c>
      <c r="F493" s="21">
        <v>6848.7837130653252</v>
      </c>
      <c r="G493" s="1" t="s">
        <v>233</v>
      </c>
      <c r="H493" s="6" t="s">
        <v>1951</v>
      </c>
      <c r="I493" s="6" t="s">
        <v>593</v>
      </c>
      <c r="J493" s="6" t="s">
        <v>1853</v>
      </c>
      <c r="K493" s="1">
        <v>0</v>
      </c>
      <c r="L493" s="6" t="s">
        <v>245</v>
      </c>
      <c r="M493" s="1">
        <v>2011</v>
      </c>
      <c r="N493" s="1" t="s">
        <v>237</v>
      </c>
      <c r="O493" s="1">
        <v>0</v>
      </c>
      <c r="P493" s="1">
        <v>0</v>
      </c>
      <c r="Q493" s="1">
        <v>0</v>
      </c>
      <c r="R493" s="1">
        <v>0</v>
      </c>
      <c r="S493" s="1" t="s">
        <v>251</v>
      </c>
    </row>
    <row r="494" spans="1:19" ht="14.45" customHeight="1" x14ac:dyDescent="0.25">
      <c r="A494" s="6">
        <v>493</v>
      </c>
      <c r="B494" s="6">
        <v>7010301</v>
      </c>
      <c r="C494" t="s">
        <v>953</v>
      </c>
      <c r="D494" s="1" t="s">
        <v>845</v>
      </c>
      <c r="E494" s="21" t="s">
        <v>237</v>
      </c>
      <c r="F494" s="21">
        <v>1887.3895197442228</v>
      </c>
      <c r="G494" s="1" t="s">
        <v>233</v>
      </c>
      <c r="H494" s="6" t="s">
        <v>1951</v>
      </c>
      <c r="I494" s="6" t="s">
        <v>593</v>
      </c>
      <c r="J494" s="6" t="s">
        <v>1853</v>
      </c>
      <c r="K494" s="1">
        <v>0</v>
      </c>
      <c r="L494" s="6" t="s">
        <v>245</v>
      </c>
      <c r="M494" s="1">
        <v>2011</v>
      </c>
      <c r="N494" s="1" t="s">
        <v>237</v>
      </c>
      <c r="O494" s="1">
        <v>0</v>
      </c>
      <c r="P494" s="1">
        <v>0</v>
      </c>
      <c r="Q494" s="1">
        <v>0</v>
      </c>
      <c r="R494" s="1">
        <v>0</v>
      </c>
      <c r="S494" s="1" t="s">
        <v>251</v>
      </c>
    </row>
    <row r="495" spans="1:19" ht="14.45" customHeight="1" x14ac:dyDescent="0.25">
      <c r="A495" s="6">
        <v>494</v>
      </c>
      <c r="B495" s="6">
        <v>7103701</v>
      </c>
      <c r="C495" t="s">
        <v>954</v>
      </c>
      <c r="D495" s="1" t="s">
        <v>955</v>
      </c>
      <c r="E495" s="21">
        <v>4885</v>
      </c>
      <c r="F495" s="1" t="s">
        <v>233</v>
      </c>
      <c r="G495" s="1" t="s">
        <v>233</v>
      </c>
      <c r="H495" s="6" t="s">
        <v>1951</v>
      </c>
      <c r="I495" s="6" t="s">
        <v>596</v>
      </c>
      <c r="J495" s="6" t="s">
        <v>1849</v>
      </c>
      <c r="K495" s="1">
        <v>0</v>
      </c>
      <c r="L495" s="6" t="s">
        <v>240</v>
      </c>
      <c r="M495" s="1">
        <v>2008</v>
      </c>
      <c r="N495" s="1" t="s">
        <v>237</v>
      </c>
      <c r="O495" s="1">
        <v>0</v>
      </c>
      <c r="P495" s="1">
        <v>0</v>
      </c>
      <c r="Q495" s="1">
        <v>0</v>
      </c>
      <c r="R495" s="1">
        <v>0</v>
      </c>
      <c r="S495" s="1" t="s">
        <v>235</v>
      </c>
    </row>
    <row r="496" spans="1:19" ht="14.45" customHeight="1" x14ac:dyDescent="0.25">
      <c r="A496" s="6">
        <v>495</v>
      </c>
      <c r="B496" s="6">
        <v>7103903</v>
      </c>
      <c r="C496" t="s">
        <v>956</v>
      </c>
      <c r="D496" s="1" t="s">
        <v>1223</v>
      </c>
      <c r="E496" s="21" t="s">
        <v>237</v>
      </c>
      <c r="F496" s="21">
        <v>1388.8273394164951</v>
      </c>
      <c r="G496" s="1" t="s">
        <v>233</v>
      </c>
      <c r="H496" s="6" t="s">
        <v>1951</v>
      </c>
      <c r="I496" s="6" t="s">
        <v>594</v>
      </c>
      <c r="J496" s="6" t="s">
        <v>1853</v>
      </c>
      <c r="K496" s="1">
        <v>0</v>
      </c>
      <c r="L496" s="6" t="s">
        <v>245</v>
      </c>
      <c r="M496" s="1">
        <v>2012</v>
      </c>
      <c r="N496" s="1" t="s">
        <v>237</v>
      </c>
      <c r="O496" s="1">
        <v>0</v>
      </c>
      <c r="P496" s="1">
        <v>0</v>
      </c>
      <c r="Q496" s="1">
        <v>0</v>
      </c>
      <c r="R496" s="1">
        <v>0</v>
      </c>
      <c r="S496" s="1" t="s">
        <v>251</v>
      </c>
    </row>
    <row r="497" spans="1:19" ht="14.45" customHeight="1" x14ac:dyDescent="0.25">
      <c r="A497" s="6">
        <v>496</v>
      </c>
      <c r="B497" s="6">
        <v>7103903</v>
      </c>
      <c r="C497" t="s">
        <v>956</v>
      </c>
      <c r="D497" s="1" t="s">
        <v>1223</v>
      </c>
      <c r="E497" s="21" t="s">
        <v>237</v>
      </c>
      <c r="F497" s="21">
        <v>758.05495953486218</v>
      </c>
      <c r="G497" s="1" t="s">
        <v>233</v>
      </c>
      <c r="H497" s="6" t="s">
        <v>1951</v>
      </c>
      <c r="I497" s="6" t="s">
        <v>594</v>
      </c>
      <c r="J497" s="6" t="s">
        <v>1853</v>
      </c>
      <c r="K497" s="1">
        <v>0</v>
      </c>
      <c r="L497" s="6" t="s">
        <v>245</v>
      </c>
      <c r="M497" s="1">
        <v>2012</v>
      </c>
      <c r="N497" s="1" t="s">
        <v>1857</v>
      </c>
      <c r="O497" s="1">
        <v>1</v>
      </c>
      <c r="P497" s="1">
        <v>0</v>
      </c>
      <c r="Q497" s="1">
        <v>0</v>
      </c>
      <c r="R497" s="1">
        <v>0</v>
      </c>
      <c r="S497" s="1" t="s">
        <v>251</v>
      </c>
    </row>
    <row r="498" spans="1:19" ht="14.45" customHeight="1" x14ac:dyDescent="0.25">
      <c r="A498" s="6">
        <v>497</v>
      </c>
      <c r="B498" s="6">
        <v>7103903</v>
      </c>
      <c r="C498" t="s">
        <v>956</v>
      </c>
      <c r="D498" s="1" t="s">
        <v>1223</v>
      </c>
      <c r="E498" s="21" t="s">
        <v>237</v>
      </c>
      <c r="F498" s="21">
        <v>1388.8273394164951</v>
      </c>
      <c r="G498" s="1" t="s">
        <v>233</v>
      </c>
      <c r="H498" s="6" t="s">
        <v>1951</v>
      </c>
      <c r="I498" s="6" t="s">
        <v>594</v>
      </c>
      <c r="J498" s="6" t="s">
        <v>1853</v>
      </c>
      <c r="K498" s="1">
        <v>0</v>
      </c>
      <c r="L498" s="6" t="s">
        <v>245</v>
      </c>
      <c r="M498" s="1">
        <v>2012</v>
      </c>
      <c r="N498" s="1" t="s">
        <v>1857</v>
      </c>
      <c r="O498" s="1">
        <v>1</v>
      </c>
      <c r="P498" s="1">
        <v>0</v>
      </c>
      <c r="Q498" s="1">
        <v>0</v>
      </c>
      <c r="R498" s="1">
        <v>0</v>
      </c>
      <c r="S498" s="1" t="s">
        <v>251</v>
      </c>
    </row>
    <row r="499" spans="1:19" ht="14.45" customHeight="1" x14ac:dyDescent="0.25">
      <c r="A499" s="6">
        <v>498</v>
      </c>
      <c r="B499" s="6">
        <v>7104101</v>
      </c>
      <c r="C499" t="s">
        <v>957</v>
      </c>
      <c r="D499" s="1" t="s">
        <v>955</v>
      </c>
      <c r="E499" s="21">
        <v>4000</v>
      </c>
      <c r="F499" s="1" t="s">
        <v>233</v>
      </c>
      <c r="G499" s="1" t="s">
        <v>233</v>
      </c>
      <c r="H499" s="6" t="s">
        <v>1951</v>
      </c>
      <c r="I499" s="6" t="s">
        <v>337</v>
      </c>
      <c r="J499" s="6" t="s">
        <v>1852</v>
      </c>
      <c r="K499" s="1">
        <v>0</v>
      </c>
      <c r="L499" s="6" t="s">
        <v>234</v>
      </c>
      <c r="M499" s="1">
        <v>2012</v>
      </c>
      <c r="N499" s="1" t="s">
        <v>237</v>
      </c>
      <c r="O499" s="1">
        <v>0</v>
      </c>
      <c r="P499" s="1">
        <v>0</v>
      </c>
      <c r="Q499" s="1">
        <v>0</v>
      </c>
      <c r="R499" s="1">
        <v>0</v>
      </c>
      <c r="S499" s="1" t="s">
        <v>235</v>
      </c>
    </row>
    <row r="500" spans="1:19" ht="14.45" customHeight="1" x14ac:dyDescent="0.25">
      <c r="A500" s="6">
        <v>499</v>
      </c>
      <c r="B500" s="6">
        <v>7104101</v>
      </c>
      <c r="C500" t="s">
        <v>957</v>
      </c>
      <c r="D500" s="1" t="s">
        <v>955</v>
      </c>
      <c r="E500" s="21">
        <v>2880</v>
      </c>
      <c r="F500" s="1" t="s">
        <v>233</v>
      </c>
      <c r="G500" s="1" t="s">
        <v>233</v>
      </c>
      <c r="H500" s="6" t="s">
        <v>1951</v>
      </c>
      <c r="I500" s="6" t="s">
        <v>413</v>
      </c>
      <c r="J500" s="6" t="s">
        <v>1852</v>
      </c>
      <c r="K500" s="1">
        <v>0</v>
      </c>
      <c r="L500" s="6" t="s">
        <v>252</v>
      </c>
      <c r="M500" s="1">
        <v>2005</v>
      </c>
      <c r="N500" s="1" t="s">
        <v>237</v>
      </c>
      <c r="O500" s="1">
        <v>0</v>
      </c>
      <c r="P500" s="1">
        <v>0</v>
      </c>
      <c r="Q500" s="1">
        <v>0</v>
      </c>
      <c r="R500" s="1">
        <v>0</v>
      </c>
      <c r="S500" s="1" t="s">
        <v>235</v>
      </c>
    </row>
    <row r="501" spans="1:19" ht="14.45" customHeight="1" x14ac:dyDescent="0.25">
      <c r="A501" s="6">
        <v>500</v>
      </c>
      <c r="B501" s="6">
        <v>7104101</v>
      </c>
      <c r="C501" t="s">
        <v>957</v>
      </c>
      <c r="D501" s="1" t="s">
        <v>955</v>
      </c>
      <c r="E501" s="21">
        <v>3970</v>
      </c>
      <c r="F501" s="1" t="s">
        <v>233</v>
      </c>
      <c r="G501" s="1" t="s">
        <v>233</v>
      </c>
      <c r="H501" s="6" t="s">
        <v>1951</v>
      </c>
      <c r="I501" s="6" t="s">
        <v>413</v>
      </c>
      <c r="J501" s="6" t="s">
        <v>1852</v>
      </c>
      <c r="K501" s="1">
        <v>0</v>
      </c>
      <c r="L501" s="6" t="s">
        <v>252</v>
      </c>
      <c r="M501" s="1">
        <v>2005</v>
      </c>
      <c r="N501" s="1" t="s">
        <v>1859</v>
      </c>
      <c r="O501" s="1">
        <v>0</v>
      </c>
      <c r="P501" s="1">
        <v>0</v>
      </c>
      <c r="Q501" s="1">
        <v>0</v>
      </c>
      <c r="R501" s="1">
        <v>0</v>
      </c>
      <c r="S501" s="1" t="s">
        <v>235</v>
      </c>
    </row>
    <row r="502" spans="1:19" ht="14.45" customHeight="1" x14ac:dyDescent="0.25">
      <c r="A502" s="6">
        <v>501</v>
      </c>
      <c r="B502" s="6">
        <v>7104101</v>
      </c>
      <c r="C502" t="s">
        <v>957</v>
      </c>
      <c r="D502" s="1" t="s">
        <v>955</v>
      </c>
      <c r="E502" s="21">
        <v>2300</v>
      </c>
      <c r="F502" s="1" t="s">
        <v>233</v>
      </c>
      <c r="G502" s="1" t="s">
        <v>233</v>
      </c>
      <c r="H502" s="6" t="s">
        <v>1951</v>
      </c>
      <c r="I502" s="6" t="s">
        <v>414</v>
      </c>
      <c r="J502" s="6" t="s">
        <v>1852</v>
      </c>
      <c r="K502" s="1">
        <v>0</v>
      </c>
      <c r="L502" s="6" t="s">
        <v>252</v>
      </c>
      <c r="M502" s="1">
        <v>2006</v>
      </c>
      <c r="N502" s="1" t="s">
        <v>237</v>
      </c>
      <c r="O502" s="1">
        <v>0</v>
      </c>
      <c r="P502" s="1" t="s">
        <v>1952</v>
      </c>
      <c r="Q502" s="1">
        <v>0</v>
      </c>
      <c r="R502" s="1">
        <v>0</v>
      </c>
      <c r="S502" s="1" t="s">
        <v>235</v>
      </c>
    </row>
    <row r="503" spans="1:19" ht="14.45" customHeight="1" x14ac:dyDescent="0.25">
      <c r="A503" s="6">
        <v>502</v>
      </c>
      <c r="B503" s="6">
        <v>7104101</v>
      </c>
      <c r="C503" t="s">
        <v>957</v>
      </c>
      <c r="D503" s="1" t="s">
        <v>955</v>
      </c>
      <c r="E503" s="21">
        <v>4500</v>
      </c>
      <c r="F503" s="1" t="s">
        <v>233</v>
      </c>
      <c r="G503" s="1" t="s">
        <v>233</v>
      </c>
      <c r="H503" s="6" t="s">
        <v>1951</v>
      </c>
      <c r="I503" s="6" t="s">
        <v>433</v>
      </c>
      <c r="J503" s="6" t="s">
        <v>1853</v>
      </c>
      <c r="K503" s="1">
        <v>0</v>
      </c>
      <c r="L503" s="6" t="s">
        <v>249</v>
      </c>
      <c r="M503" s="1">
        <v>2008</v>
      </c>
      <c r="N503" s="1" t="s">
        <v>237</v>
      </c>
      <c r="O503" s="1">
        <v>0</v>
      </c>
      <c r="P503" s="1">
        <v>0</v>
      </c>
      <c r="Q503" s="1">
        <v>0</v>
      </c>
      <c r="R503" s="1">
        <v>0</v>
      </c>
      <c r="S503" s="1" t="s">
        <v>235</v>
      </c>
    </row>
    <row r="504" spans="1:19" ht="14.45" customHeight="1" x14ac:dyDescent="0.25">
      <c r="A504" s="6">
        <v>503</v>
      </c>
      <c r="B504" s="6">
        <v>7104101</v>
      </c>
      <c r="C504" t="s">
        <v>957</v>
      </c>
      <c r="D504" s="1" t="s">
        <v>955</v>
      </c>
      <c r="E504" s="21">
        <v>4444.4444444444443</v>
      </c>
      <c r="F504" s="1" t="s">
        <v>233</v>
      </c>
      <c r="G504" s="1" t="s">
        <v>233</v>
      </c>
      <c r="H504" s="6" t="s">
        <v>1951</v>
      </c>
      <c r="I504" s="6" t="s">
        <v>434</v>
      </c>
      <c r="J504" s="6" t="s">
        <v>1853</v>
      </c>
      <c r="K504" s="1">
        <v>0</v>
      </c>
      <c r="L504" s="6" t="s">
        <v>249</v>
      </c>
      <c r="M504" s="1">
        <v>2008</v>
      </c>
      <c r="N504" s="1" t="s">
        <v>237</v>
      </c>
      <c r="O504" s="1">
        <v>0</v>
      </c>
      <c r="P504" s="1">
        <v>0</v>
      </c>
      <c r="Q504" s="1">
        <v>0</v>
      </c>
      <c r="R504" s="1">
        <v>0</v>
      </c>
      <c r="S504" s="1" t="s">
        <v>235</v>
      </c>
    </row>
    <row r="505" spans="1:19" ht="14.45" customHeight="1" x14ac:dyDescent="0.25">
      <c r="A505" s="6">
        <v>504</v>
      </c>
      <c r="B505" s="6">
        <v>7104101</v>
      </c>
      <c r="C505" t="s">
        <v>957</v>
      </c>
      <c r="D505" s="1" t="s">
        <v>955</v>
      </c>
      <c r="E505" s="21">
        <v>6100</v>
      </c>
      <c r="F505" s="1" t="s">
        <v>233</v>
      </c>
      <c r="G505" s="1" t="s">
        <v>233</v>
      </c>
      <c r="H505" s="6" t="s">
        <v>1951</v>
      </c>
      <c r="I505" s="6" t="s">
        <v>1972</v>
      </c>
      <c r="J505" s="6" t="s">
        <v>1851</v>
      </c>
      <c r="K505" s="1">
        <v>0</v>
      </c>
      <c r="L505" s="6" t="s">
        <v>239</v>
      </c>
      <c r="M505" s="1">
        <v>1998</v>
      </c>
      <c r="N505" s="1" t="s">
        <v>237</v>
      </c>
      <c r="O505" s="1">
        <v>0</v>
      </c>
      <c r="P505" s="1">
        <v>0</v>
      </c>
      <c r="Q505" s="1">
        <v>0</v>
      </c>
      <c r="R505" s="1">
        <v>0</v>
      </c>
      <c r="S505" s="1" t="s">
        <v>235</v>
      </c>
    </row>
    <row r="506" spans="1:19" ht="14.45" customHeight="1" x14ac:dyDescent="0.25">
      <c r="A506" s="6">
        <v>505</v>
      </c>
      <c r="B506" s="6">
        <v>7104101</v>
      </c>
      <c r="C506" t="s">
        <v>957</v>
      </c>
      <c r="D506" s="1" t="s">
        <v>955</v>
      </c>
      <c r="E506" s="21">
        <v>4046</v>
      </c>
      <c r="F506" s="1" t="s">
        <v>233</v>
      </c>
      <c r="G506" s="1" t="s">
        <v>233</v>
      </c>
      <c r="H506" s="6" t="s">
        <v>1951</v>
      </c>
      <c r="I506" s="6" t="s">
        <v>450</v>
      </c>
      <c r="J506" s="6" t="s">
        <v>1852</v>
      </c>
      <c r="K506" s="1">
        <v>0</v>
      </c>
      <c r="L506" s="6" t="s">
        <v>239</v>
      </c>
      <c r="M506" s="1">
        <v>2004</v>
      </c>
      <c r="N506" s="1" t="s">
        <v>1869</v>
      </c>
      <c r="O506" s="1">
        <v>0</v>
      </c>
      <c r="P506" s="1">
        <v>0</v>
      </c>
      <c r="Q506" s="1">
        <v>0</v>
      </c>
      <c r="R506" s="1">
        <v>0</v>
      </c>
      <c r="S506" s="1" t="s">
        <v>235</v>
      </c>
    </row>
    <row r="507" spans="1:19" ht="14.45" customHeight="1" x14ac:dyDescent="0.25">
      <c r="A507" s="6">
        <v>506</v>
      </c>
      <c r="B507" s="6">
        <v>7104101</v>
      </c>
      <c r="C507" t="s">
        <v>957</v>
      </c>
      <c r="D507" s="1" t="s">
        <v>955</v>
      </c>
      <c r="E507" s="21">
        <v>3575.4189944134082</v>
      </c>
      <c r="F507" s="1" t="s">
        <v>233</v>
      </c>
      <c r="G507" s="1" t="s">
        <v>233</v>
      </c>
      <c r="H507" s="6" t="s">
        <v>1951</v>
      </c>
      <c r="I507" s="6" t="s">
        <v>452</v>
      </c>
      <c r="J507" s="6" t="s">
        <v>1852</v>
      </c>
      <c r="K507" s="1">
        <v>0</v>
      </c>
      <c r="L507" s="6" t="s">
        <v>239</v>
      </c>
      <c r="M507" s="1">
        <v>2009</v>
      </c>
      <c r="N507" s="1" t="s">
        <v>1870</v>
      </c>
      <c r="O507" s="1">
        <v>0</v>
      </c>
      <c r="P507" s="1">
        <v>0</v>
      </c>
      <c r="Q507" s="1">
        <v>0</v>
      </c>
      <c r="R507" s="1">
        <v>0</v>
      </c>
      <c r="S507" s="1" t="s">
        <v>235</v>
      </c>
    </row>
    <row r="508" spans="1:19" ht="14.45" customHeight="1" x14ac:dyDescent="0.25">
      <c r="A508" s="6">
        <v>507</v>
      </c>
      <c r="B508" s="6">
        <v>7104101</v>
      </c>
      <c r="C508" t="s">
        <v>957</v>
      </c>
      <c r="D508" s="1" t="s">
        <v>955</v>
      </c>
      <c r="E508" s="21">
        <v>3770</v>
      </c>
      <c r="F508" s="1" t="s">
        <v>233</v>
      </c>
      <c r="G508" s="1" t="s">
        <v>233</v>
      </c>
      <c r="H508" s="6" t="s">
        <v>1951</v>
      </c>
      <c r="I508" s="6" t="s">
        <v>475</v>
      </c>
      <c r="J508" s="6" t="s">
        <v>1849</v>
      </c>
      <c r="K508" s="1">
        <v>0</v>
      </c>
      <c r="L508" s="6" t="s">
        <v>259</v>
      </c>
      <c r="M508" s="1">
        <v>2007</v>
      </c>
      <c r="N508" s="1" t="s">
        <v>237</v>
      </c>
      <c r="O508" s="1">
        <v>0</v>
      </c>
      <c r="P508" s="1">
        <v>0</v>
      </c>
      <c r="Q508" s="1">
        <v>0</v>
      </c>
      <c r="R508" s="1">
        <v>0</v>
      </c>
      <c r="S508" s="1" t="s">
        <v>235</v>
      </c>
    </row>
    <row r="509" spans="1:19" ht="14.45" customHeight="1" x14ac:dyDescent="0.25">
      <c r="A509" s="6">
        <v>508</v>
      </c>
      <c r="B509" s="6">
        <v>7104101</v>
      </c>
      <c r="C509" t="s">
        <v>957</v>
      </c>
      <c r="D509" s="1" t="s">
        <v>955</v>
      </c>
      <c r="E509" s="21">
        <v>3600</v>
      </c>
      <c r="F509" s="1" t="s">
        <v>233</v>
      </c>
      <c r="G509" s="1" t="s">
        <v>233</v>
      </c>
      <c r="H509" s="6" t="s">
        <v>1951</v>
      </c>
      <c r="I509" s="6" t="s">
        <v>476</v>
      </c>
      <c r="J509" s="6" t="s">
        <v>1849</v>
      </c>
      <c r="K509" s="1">
        <v>0</v>
      </c>
      <c r="L509" s="6" t="s">
        <v>249</v>
      </c>
      <c r="M509" s="1">
        <v>2007</v>
      </c>
      <c r="N509" s="1" t="s">
        <v>237</v>
      </c>
      <c r="O509" s="1">
        <v>0</v>
      </c>
      <c r="P509" s="1">
        <v>0</v>
      </c>
      <c r="Q509" s="1">
        <v>0</v>
      </c>
      <c r="R509" s="1">
        <v>0</v>
      </c>
      <c r="S509" s="1" t="s">
        <v>235</v>
      </c>
    </row>
    <row r="510" spans="1:19" ht="14.45" customHeight="1" x14ac:dyDescent="0.25">
      <c r="A510" s="6">
        <v>509</v>
      </c>
      <c r="B510" s="6">
        <v>7104101</v>
      </c>
      <c r="C510" t="s">
        <v>957</v>
      </c>
      <c r="D510" s="1" t="s">
        <v>955</v>
      </c>
      <c r="E510" s="21">
        <v>5300</v>
      </c>
      <c r="F510" s="1" t="s">
        <v>233</v>
      </c>
      <c r="G510" s="1" t="s">
        <v>233</v>
      </c>
      <c r="H510" s="6" t="s">
        <v>1951</v>
      </c>
      <c r="I510" s="6" t="s">
        <v>487</v>
      </c>
      <c r="J510" s="6" t="s">
        <v>1852</v>
      </c>
      <c r="K510" s="1">
        <v>0</v>
      </c>
      <c r="L510" s="6" t="s">
        <v>249</v>
      </c>
      <c r="M510" s="1">
        <v>2010</v>
      </c>
      <c r="N510" s="1" t="s">
        <v>1871</v>
      </c>
      <c r="O510" s="1">
        <v>0</v>
      </c>
      <c r="P510" s="1">
        <v>0</v>
      </c>
      <c r="Q510" s="1">
        <v>0</v>
      </c>
      <c r="R510" s="1">
        <v>0</v>
      </c>
      <c r="S510" s="1" t="s">
        <v>235</v>
      </c>
    </row>
    <row r="511" spans="1:19" ht="14.45" customHeight="1" x14ac:dyDescent="0.25">
      <c r="A511" s="6">
        <v>510</v>
      </c>
      <c r="B511" s="6">
        <v>7104101</v>
      </c>
      <c r="C511" t="s">
        <v>957</v>
      </c>
      <c r="D511" s="1" t="s">
        <v>955</v>
      </c>
      <c r="E511" s="21">
        <v>2350</v>
      </c>
      <c r="F511" s="1" t="s">
        <v>233</v>
      </c>
      <c r="G511" s="1" t="s">
        <v>233</v>
      </c>
      <c r="H511" s="6" t="s">
        <v>1951</v>
      </c>
      <c r="I511" s="6" t="s">
        <v>489</v>
      </c>
      <c r="J511" s="6" t="s">
        <v>1853</v>
      </c>
      <c r="K511" s="1">
        <v>0</v>
      </c>
      <c r="L511" s="6" t="s">
        <v>240</v>
      </c>
      <c r="M511" s="1">
        <v>2012</v>
      </c>
      <c r="N511" s="1" t="s">
        <v>1872</v>
      </c>
      <c r="O511" s="1">
        <v>0</v>
      </c>
      <c r="P511" s="1" t="s">
        <v>1952</v>
      </c>
      <c r="Q511" s="1">
        <v>0</v>
      </c>
      <c r="R511" s="1">
        <v>0</v>
      </c>
      <c r="S511" s="1" t="s">
        <v>235</v>
      </c>
    </row>
    <row r="512" spans="1:19" ht="14.45" customHeight="1" x14ac:dyDescent="0.25">
      <c r="A512" s="6">
        <v>511</v>
      </c>
      <c r="B512" s="6">
        <v>7104101</v>
      </c>
      <c r="C512" t="s">
        <v>957</v>
      </c>
      <c r="D512" s="1" t="s">
        <v>955</v>
      </c>
      <c r="E512" s="21">
        <v>2400</v>
      </c>
      <c r="F512" s="1" t="s">
        <v>233</v>
      </c>
      <c r="G512" s="1" t="s">
        <v>233</v>
      </c>
      <c r="H512" s="6" t="s">
        <v>1951</v>
      </c>
      <c r="I512" s="6" t="s">
        <v>489</v>
      </c>
      <c r="J512" s="6" t="s">
        <v>1853</v>
      </c>
      <c r="K512" s="1">
        <v>0</v>
      </c>
      <c r="L512" s="6" t="s">
        <v>240</v>
      </c>
      <c r="M512" s="1">
        <v>2012</v>
      </c>
      <c r="N512" s="1" t="s">
        <v>1873</v>
      </c>
      <c r="O512" s="1">
        <v>0</v>
      </c>
      <c r="P512" s="1">
        <v>0</v>
      </c>
      <c r="Q512" s="1">
        <v>0</v>
      </c>
      <c r="R512" s="1">
        <v>0</v>
      </c>
      <c r="S512" s="1" t="s">
        <v>235</v>
      </c>
    </row>
    <row r="513" spans="1:19" ht="14.45" customHeight="1" x14ac:dyDescent="0.25">
      <c r="A513" s="6">
        <v>512</v>
      </c>
      <c r="B513" s="6">
        <v>7104101</v>
      </c>
      <c r="C513" t="s">
        <v>957</v>
      </c>
      <c r="D513" s="1" t="s">
        <v>955</v>
      </c>
      <c r="E513" s="21">
        <v>3470</v>
      </c>
      <c r="F513" s="1" t="s">
        <v>233</v>
      </c>
      <c r="G513" s="1" t="s">
        <v>233</v>
      </c>
      <c r="H513" s="6" t="s">
        <v>1951</v>
      </c>
      <c r="I513" s="6" t="s">
        <v>489</v>
      </c>
      <c r="J513" s="6" t="s">
        <v>1853</v>
      </c>
      <c r="K513" s="1">
        <v>0</v>
      </c>
      <c r="L513" s="6" t="s">
        <v>240</v>
      </c>
      <c r="M513" s="1">
        <v>2012</v>
      </c>
      <c r="N513" s="1" t="s">
        <v>1874</v>
      </c>
      <c r="O513" s="1">
        <v>0</v>
      </c>
      <c r="P513" s="1">
        <v>0</v>
      </c>
      <c r="Q513" s="1">
        <v>0</v>
      </c>
      <c r="R513" s="1">
        <v>0</v>
      </c>
      <c r="S513" s="1" t="s">
        <v>235</v>
      </c>
    </row>
    <row r="514" spans="1:19" ht="14.45" customHeight="1" x14ac:dyDescent="0.25">
      <c r="A514" s="6">
        <v>513</v>
      </c>
      <c r="B514" s="6">
        <v>7104101</v>
      </c>
      <c r="C514" t="s">
        <v>957</v>
      </c>
      <c r="D514" s="1" t="s">
        <v>955</v>
      </c>
      <c r="E514" s="21">
        <v>12100</v>
      </c>
      <c r="F514" s="1" t="s">
        <v>233</v>
      </c>
      <c r="G514" s="1" t="s">
        <v>233</v>
      </c>
      <c r="H514" s="6" t="s">
        <v>1951</v>
      </c>
      <c r="I514" s="6" t="s">
        <v>490</v>
      </c>
      <c r="J514" s="6" t="s">
        <v>1851</v>
      </c>
      <c r="K514" s="1">
        <v>0</v>
      </c>
      <c r="L514" s="6" t="s">
        <v>238</v>
      </c>
      <c r="M514" s="1">
        <v>2013</v>
      </c>
      <c r="N514" s="1" t="s">
        <v>237</v>
      </c>
      <c r="O514" s="1">
        <v>0</v>
      </c>
      <c r="P514" s="1" t="s">
        <v>1952</v>
      </c>
      <c r="Q514" s="1">
        <v>0</v>
      </c>
      <c r="R514" s="1">
        <v>0</v>
      </c>
      <c r="S514" s="1" t="s">
        <v>235</v>
      </c>
    </row>
    <row r="515" spans="1:19" ht="14.45" customHeight="1" x14ac:dyDescent="0.25">
      <c r="A515" s="6">
        <v>514</v>
      </c>
      <c r="B515" s="6">
        <v>7104101</v>
      </c>
      <c r="C515" t="s">
        <v>957</v>
      </c>
      <c r="D515" s="1" t="s">
        <v>955</v>
      </c>
      <c r="E515" s="21">
        <v>1450</v>
      </c>
      <c r="F515" s="1" t="s">
        <v>233</v>
      </c>
      <c r="G515" s="1" t="s">
        <v>233</v>
      </c>
      <c r="H515" s="6" t="s">
        <v>1951</v>
      </c>
      <c r="I515" s="6" t="s">
        <v>495</v>
      </c>
      <c r="J515" s="6" t="s">
        <v>1852</v>
      </c>
      <c r="K515" s="1">
        <v>0</v>
      </c>
      <c r="L515" s="6" t="s">
        <v>262</v>
      </c>
      <c r="M515" s="1">
        <v>2005</v>
      </c>
      <c r="N515" s="1" t="s">
        <v>1873</v>
      </c>
      <c r="O515" s="1">
        <v>0</v>
      </c>
      <c r="P515" s="1" t="s">
        <v>1952</v>
      </c>
      <c r="Q515" s="1">
        <v>0</v>
      </c>
      <c r="R515" s="1">
        <v>0</v>
      </c>
      <c r="S515" s="1" t="s">
        <v>235</v>
      </c>
    </row>
    <row r="516" spans="1:19" ht="14.45" customHeight="1" x14ac:dyDescent="0.25">
      <c r="A516" s="6">
        <v>515</v>
      </c>
      <c r="B516" s="6">
        <v>7104101</v>
      </c>
      <c r="C516" t="s">
        <v>957</v>
      </c>
      <c r="D516" s="1" t="s">
        <v>955</v>
      </c>
      <c r="E516" s="21">
        <v>2863.3333333333335</v>
      </c>
      <c r="F516" s="1" t="s">
        <v>233</v>
      </c>
      <c r="G516" s="1" t="s">
        <v>233</v>
      </c>
      <c r="H516" s="6" t="s">
        <v>1951</v>
      </c>
      <c r="I516" s="6" t="s">
        <v>496</v>
      </c>
      <c r="J516" s="6" t="s">
        <v>1853</v>
      </c>
      <c r="K516" s="1">
        <v>0</v>
      </c>
      <c r="L516" s="6" t="s">
        <v>252</v>
      </c>
      <c r="M516" s="1">
        <v>2014</v>
      </c>
      <c r="N516" s="1" t="s">
        <v>1873</v>
      </c>
      <c r="O516" s="1">
        <v>0</v>
      </c>
      <c r="P516" s="1">
        <v>0</v>
      </c>
      <c r="Q516" s="1">
        <v>0</v>
      </c>
      <c r="R516" s="1">
        <v>0</v>
      </c>
      <c r="S516" s="1" t="s">
        <v>235</v>
      </c>
    </row>
    <row r="517" spans="1:19" ht="14.45" customHeight="1" x14ac:dyDescent="0.25">
      <c r="A517" s="6">
        <v>516</v>
      </c>
      <c r="B517" s="6">
        <v>7104101</v>
      </c>
      <c r="C517" t="s">
        <v>957</v>
      </c>
      <c r="D517" s="1" t="s">
        <v>955</v>
      </c>
      <c r="E517" s="21">
        <v>3800</v>
      </c>
      <c r="F517" s="1" t="s">
        <v>233</v>
      </c>
      <c r="G517" s="1" t="s">
        <v>233</v>
      </c>
      <c r="H517" s="6" t="s">
        <v>1951</v>
      </c>
      <c r="I517" s="6" t="s">
        <v>501</v>
      </c>
      <c r="J517" s="6" t="s">
        <v>1852</v>
      </c>
      <c r="K517" s="1">
        <v>0</v>
      </c>
      <c r="L517" s="6" t="s">
        <v>238</v>
      </c>
      <c r="M517" s="1">
        <v>2008</v>
      </c>
      <c r="N517" s="1" t="s">
        <v>237</v>
      </c>
      <c r="O517" s="1">
        <v>0</v>
      </c>
      <c r="P517" s="1">
        <v>0</v>
      </c>
      <c r="Q517" s="1">
        <v>0</v>
      </c>
      <c r="R517" s="1">
        <v>0</v>
      </c>
      <c r="S517" s="1" t="s">
        <v>235</v>
      </c>
    </row>
    <row r="518" spans="1:19" ht="14.45" customHeight="1" x14ac:dyDescent="0.25">
      <c r="A518" s="6">
        <v>517</v>
      </c>
      <c r="B518" s="6">
        <v>7104101</v>
      </c>
      <c r="C518" t="s">
        <v>957</v>
      </c>
      <c r="D518" s="1" t="s">
        <v>955</v>
      </c>
      <c r="E518" s="21">
        <v>7200</v>
      </c>
      <c r="F518" s="1" t="s">
        <v>233</v>
      </c>
      <c r="G518" s="1" t="s">
        <v>233</v>
      </c>
      <c r="H518" s="6" t="s">
        <v>1951</v>
      </c>
      <c r="I518" s="6" t="s">
        <v>515</v>
      </c>
      <c r="J518" s="6" t="s">
        <v>1853</v>
      </c>
      <c r="K518" s="1">
        <v>0</v>
      </c>
      <c r="L518" s="6" t="s">
        <v>239</v>
      </c>
      <c r="M518" s="1">
        <v>2011</v>
      </c>
      <c r="N518" s="1" t="s">
        <v>1875</v>
      </c>
      <c r="O518" s="1">
        <v>0</v>
      </c>
      <c r="P518" s="1" t="s">
        <v>1952</v>
      </c>
      <c r="Q518" s="1">
        <v>0</v>
      </c>
      <c r="R518" s="1">
        <v>0</v>
      </c>
      <c r="S518" s="1" t="s">
        <v>235</v>
      </c>
    </row>
    <row r="519" spans="1:19" ht="14.45" customHeight="1" x14ac:dyDescent="0.25">
      <c r="A519" s="6">
        <v>518</v>
      </c>
      <c r="B519" s="6">
        <v>7104101</v>
      </c>
      <c r="C519" t="s">
        <v>957</v>
      </c>
      <c r="D519" s="1" t="s">
        <v>955</v>
      </c>
      <c r="E519" s="21">
        <v>6070</v>
      </c>
      <c r="F519" s="1" t="s">
        <v>233</v>
      </c>
      <c r="G519" s="1" t="s">
        <v>233</v>
      </c>
      <c r="H519" s="6" t="s">
        <v>1951</v>
      </c>
      <c r="I519" s="6" t="s">
        <v>516</v>
      </c>
      <c r="J519" s="6" t="s">
        <v>1853</v>
      </c>
      <c r="K519" s="1">
        <v>0</v>
      </c>
      <c r="L519" s="6" t="s">
        <v>258</v>
      </c>
      <c r="M519" s="1">
        <v>2012</v>
      </c>
      <c r="N519" s="1" t="s">
        <v>237</v>
      </c>
      <c r="O519" s="1">
        <v>0</v>
      </c>
      <c r="P519" s="1">
        <v>0</v>
      </c>
      <c r="Q519" s="1">
        <v>0</v>
      </c>
      <c r="R519" s="1">
        <v>0</v>
      </c>
      <c r="S519" s="1" t="s">
        <v>235</v>
      </c>
    </row>
    <row r="520" spans="1:19" ht="14.45" customHeight="1" x14ac:dyDescent="0.25">
      <c r="A520" s="6">
        <v>519</v>
      </c>
      <c r="B520" s="6">
        <v>7104101</v>
      </c>
      <c r="C520" t="s">
        <v>957</v>
      </c>
      <c r="D520" s="1" t="s">
        <v>955</v>
      </c>
      <c r="E520" s="21">
        <v>3023.3333333333335</v>
      </c>
      <c r="F520" s="1" t="s">
        <v>233</v>
      </c>
      <c r="G520" s="1" t="s">
        <v>233</v>
      </c>
      <c r="H520" s="6" t="s">
        <v>1951</v>
      </c>
      <c r="I520" s="6" t="s">
        <v>537</v>
      </c>
      <c r="J520" s="6" t="s">
        <v>1852</v>
      </c>
      <c r="K520" s="1">
        <v>0</v>
      </c>
      <c r="L520" s="6" t="s">
        <v>259</v>
      </c>
      <c r="M520" s="1">
        <v>2008</v>
      </c>
      <c r="N520" s="1" t="s">
        <v>1872</v>
      </c>
      <c r="O520" s="1">
        <v>0</v>
      </c>
      <c r="P520" s="1">
        <v>0</v>
      </c>
      <c r="Q520" s="1">
        <v>0</v>
      </c>
      <c r="R520" s="1">
        <v>0</v>
      </c>
      <c r="S520" s="1" t="s">
        <v>235</v>
      </c>
    </row>
    <row r="521" spans="1:19" ht="14.45" customHeight="1" x14ac:dyDescent="0.25">
      <c r="A521" s="6">
        <v>520</v>
      </c>
      <c r="B521" s="6">
        <v>7104101</v>
      </c>
      <c r="C521" t="s">
        <v>957</v>
      </c>
      <c r="D521" s="1" t="s">
        <v>955</v>
      </c>
      <c r="E521" s="21">
        <v>3500</v>
      </c>
      <c r="F521" s="1" t="s">
        <v>233</v>
      </c>
      <c r="G521" s="1" t="s">
        <v>233</v>
      </c>
      <c r="H521" s="6" t="s">
        <v>1951</v>
      </c>
      <c r="I521" s="6" t="s">
        <v>561</v>
      </c>
      <c r="J521" s="6" t="s">
        <v>1853</v>
      </c>
      <c r="K521" s="1">
        <v>0</v>
      </c>
      <c r="L521" s="6" t="s">
        <v>234</v>
      </c>
      <c r="M521" s="1">
        <v>2007</v>
      </c>
      <c r="N521" s="1" t="s">
        <v>1876</v>
      </c>
      <c r="O521" s="1">
        <v>0</v>
      </c>
      <c r="P521" s="1">
        <v>0</v>
      </c>
      <c r="Q521" s="1">
        <v>0</v>
      </c>
      <c r="R521" s="1">
        <v>0</v>
      </c>
      <c r="S521" s="1" t="s">
        <v>235</v>
      </c>
    </row>
    <row r="522" spans="1:19" ht="14.45" customHeight="1" x14ac:dyDescent="0.25">
      <c r="A522" s="6">
        <v>521</v>
      </c>
      <c r="B522" s="6">
        <v>7104101</v>
      </c>
      <c r="C522" t="s">
        <v>957</v>
      </c>
      <c r="D522" s="1" t="s">
        <v>955</v>
      </c>
      <c r="E522" s="21">
        <v>3600</v>
      </c>
      <c r="F522" s="1" t="s">
        <v>233</v>
      </c>
      <c r="G522" s="1" t="s">
        <v>233</v>
      </c>
      <c r="H522" s="6" t="s">
        <v>1951</v>
      </c>
      <c r="I522" s="6" t="s">
        <v>561</v>
      </c>
      <c r="J522" s="6" t="s">
        <v>1853</v>
      </c>
      <c r="K522" s="1">
        <v>0</v>
      </c>
      <c r="L522" s="6" t="s">
        <v>249</v>
      </c>
      <c r="M522" s="1">
        <v>2007</v>
      </c>
      <c r="N522" s="1" t="s">
        <v>1876</v>
      </c>
      <c r="O522" s="1">
        <v>0</v>
      </c>
      <c r="P522" s="1">
        <v>0</v>
      </c>
      <c r="Q522" s="1">
        <v>0</v>
      </c>
      <c r="R522" s="1">
        <v>0</v>
      </c>
      <c r="S522" s="1" t="s">
        <v>235</v>
      </c>
    </row>
    <row r="523" spans="1:19" ht="14.45" customHeight="1" x14ac:dyDescent="0.25">
      <c r="A523" s="6">
        <v>522</v>
      </c>
      <c r="B523" s="6">
        <v>7104101</v>
      </c>
      <c r="C523" t="s">
        <v>957</v>
      </c>
      <c r="D523" s="1" t="s">
        <v>955</v>
      </c>
      <c r="E523" s="21">
        <v>3700</v>
      </c>
      <c r="F523" s="1" t="s">
        <v>233</v>
      </c>
      <c r="G523" s="1" t="s">
        <v>233</v>
      </c>
      <c r="H523" s="6" t="s">
        <v>1951</v>
      </c>
      <c r="I523" s="6" t="s">
        <v>561</v>
      </c>
      <c r="J523" s="6" t="s">
        <v>1853</v>
      </c>
      <c r="K523" s="1">
        <v>0</v>
      </c>
      <c r="L523" s="6" t="s">
        <v>269</v>
      </c>
      <c r="M523" s="1">
        <v>2007</v>
      </c>
      <c r="N523" s="1" t="s">
        <v>1876</v>
      </c>
      <c r="O523" s="1">
        <v>0</v>
      </c>
      <c r="P523" s="1">
        <v>0</v>
      </c>
      <c r="Q523" s="1">
        <v>0</v>
      </c>
      <c r="R523" s="1">
        <v>0</v>
      </c>
      <c r="S523" s="1" t="s">
        <v>235</v>
      </c>
    </row>
    <row r="524" spans="1:19" ht="14.45" customHeight="1" x14ac:dyDescent="0.25">
      <c r="A524" s="6">
        <v>523</v>
      </c>
      <c r="B524" s="6">
        <v>7104101</v>
      </c>
      <c r="C524" t="s">
        <v>957</v>
      </c>
      <c r="D524" s="1" t="s">
        <v>955</v>
      </c>
      <c r="E524" s="21">
        <v>4000</v>
      </c>
      <c r="F524" s="1" t="s">
        <v>233</v>
      </c>
      <c r="G524" s="1" t="s">
        <v>233</v>
      </c>
      <c r="H524" s="6" t="s">
        <v>1951</v>
      </c>
      <c r="I524" s="6" t="s">
        <v>561</v>
      </c>
      <c r="J524" s="6" t="s">
        <v>1853</v>
      </c>
      <c r="K524" s="1">
        <v>0</v>
      </c>
      <c r="L524" s="6" t="s">
        <v>259</v>
      </c>
      <c r="M524" s="1">
        <v>2007</v>
      </c>
      <c r="N524" s="1" t="s">
        <v>1877</v>
      </c>
      <c r="O524" s="1">
        <v>0</v>
      </c>
      <c r="P524" s="1">
        <v>0</v>
      </c>
      <c r="Q524" s="1">
        <v>0</v>
      </c>
      <c r="R524" s="1">
        <v>0</v>
      </c>
      <c r="S524" s="1" t="s">
        <v>235</v>
      </c>
    </row>
    <row r="525" spans="1:19" ht="14.45" customHeight="1" x14ac:dyDescent="0.25">
      <c r="A525" s="6">
        <v>524</v>
      </c>
      <c r="B525" s="6">
        <v>7104101</v>
      </c>
      <c r="C525" t="s">
        <v>957</v>
      </c>
      <c r="D525" s="1" t="s">
        <v>955</v>
      </c>
      <c r="E525" s="21">
        <v>4300</v>
      </c>
      <c r="F525" s="1" t="s">
        <v>233</v>
      </c>
      <c r="G525" s="1" t="s">
        <v>233</v>
      </c>
      <c r="H525" s="6" t="s">
        <v>1951</v>
      </c>
      <c r="I525" s="6" t="s">
        <v>561</v>
      </c>
      <c r="J525" s="6" t="s">
        <v>1853</v>
      </c>
      <c r="K525" s="1">
        <v>0</v>
      </c>
      <c r="L525" s="6" t="s">
        <v>249</v>
      </c>
      <c r="M525" s="1">
        <v>2007</v>
      </c>
      <c r="N525" s="1" t="s">
        <v>1877</v>
      </c>
      <c r="O525" s="1">
        <v>0</v>
      </c>
      <c r="P525" s="1">
        <v>0</v>
      </c>
      <c r="Q525" s="1">
        <v>0</v>
      </c>
      <c r="R525" s="1">
        <v>0</v>
      </c>
      <c r="S525" s="1" t="s">
        <v>235</v>
      </c>
    </row>
    <row r="526" spans="1:19" ht="14.45" customHeight="1" x14ac:dyDescent="0.25">
      <c r="A526" s="6">
        <v>525</v>
      </c>
      <c r="B526" s="6">
        <v>7104101</v>
      </c>
      <c r="C526" t="s">
        <v>957</v>
      </c>
      <c r="D526" s="1" t="s">
        <v>955</v>
      </c>
      <c r="E526" s="21">
        <v>4400</v>
      </c>
      <c r="F526" s="1" t="s">
        <v>233</v>
      </c>
      <c r="G526" s="1" t="s">
        <v>233</v>
      </c>
      <c r="H526" s="6" t="s">
        <v>1951</v>
      </c>
      <c r="I526" s="6" t="s">
        <v>561</v>
      </c>
      <c r="J526" s="6" t="s">
        <v>1853</v>
      </c>
      <c r="K526" s="1">
        <v>0</v>
      </c>
      <c r="L526" s="6" t="s">
        <v>234</v>
      </c>
      <c r="M526" s="1">
        <v>2007</v>
      </c>
      <c r="N526" s="1" t="s">
        <v>1877</v>
      </c>
      <c r="O526" s="1">
        <v>0</v>
      </c>
      <c r="P526" s="1">
        <v>0</v>
      </c>
      <c r="Q526" s="1">
        <v>0</v>
      </c>
      <c r="R526" s="1">
        <v>0</v>
      </c>
      <c r="S526" s="1" t="s">
        <v>235</v>
      </c>
    </row>
    <row r="527" spans="1:19" ht="14.45" customHeight="1" x14ac:dyDescent="0.25">
      <c r="A527" s="6">
        <v>526</v>
      </c>
      <c r="B527" s="6">
        <v>7104101</v>
      </c>
      <c r="C527" t="s">
        <v>957</v>
      </c>
      <c r="D527" s="1" t="s">
        <v>955</v>
      </c>
      <c r="E527" s="21">
        <v>5000</v>
      </c>
      <c r="F527" s="1" t="s">
        <v>233</v>
      </c>
      <c r="G527" s="1" t="s">
        <v>233</v>
      </c>
      <c r="H527" s="6" t="s">
        <v>1951</v>
      </c>
      <c r="I527" s="6" t="s">
        <v>561</v>
      </c>
      <c r="J527" s="6" t="s">
        <v>1853</v>
      </c>
      <c r="K527" s="1">
        <v>0</v>
      </c>
      <c r="L527" s="6" t="s">
        <v>269</v>
      </c>
      <c r="M527" s="1">
        <v>2007</v>
      </c>
      <c r="N527" s="1" t="s">
        <v>1877</v>
      </c>
      <c r="O527" s="1">
        <v>0</v>
      </c>
      <c r="P527" s="1">
        <v>0</v>
      </c>
      <c r="Q527" s="1">
        <v>0</v>
      </c>
      <c r="R527" s="1">
        <v>0</v>
      </c>
      <c r="S527" s="1" t="s">
        <v>235</v>
      </c>
    </row>
    <row r="528" spans="1:19" ht="14.45" customHeight="1" x14ac:dyDescent="0.25">
      <c r="A528" s="6">
        <v>527</v>
      </c>
      <c r="B528" s="6">
        <v>7104101</v>
      </c>
      <c r="C528" t="s">
        <v>957</v>
      </c>
      <c r="D528" s="1" t="s">
        <v>955</v>
      </c>
      <c r="E528" s="21">
        <v>3500</v>
      </c>
      <c r="F528" s="1" t="s">
        <v>233</v>
      </c>
      <c r="G528" s="1" t="s">
        <v>233</v>
      </c>
      <c r="H528" s="6" t="s">
        <v>1951</v>
      </c>
      <c r="I528" s="6" t="s">
        <v>579</v>
      </c>
      <c r="J528" s="6" t="s">
        <v>1853</v>
      </c>
      <c r="K528" s="1">
        <v>0</v>
      </c>
      <c r="L528" s="6" t="s">
        <v>275</v>
      </c>
      <c r="M528" s="1">
        <v>2011</v>
      </c>
      <c r="N528" s="1" t="s">
        <v>237</v>
      </c>
      <c r="O528" s="1">
        <v>0</v>
      </c>
      <c r="P528" s="1">
        <v>0</v>
      </c>
      <c r="Q528" s="1">
        <v>0</v>
      </c>
      <c r="R528" s="1">
        <v>0</v>
      </c>
      <c r="S528" s="1" t="s">
        <v>235</v>
      </c>
    </row>
    <row r="529" spans="1:19" ht="14.45" customHeight="1" x14ac:dyDescent="0.25">
      <c r="A529" s="6">
        <v>528</v>
      </c>
      <c r="B529" s="6">
        <v>7104101</v>
      </c>
      <c r="C529" t="s">
        <v>957</v>
      </c>
      <c r="D529" s="1" t="s">
        <v>955</v>
      </c>
      <c r="E529" s="21" t="s">
        <v>237</v>
      </c>
      <c r="F529" s="21">
        <v>5251.3491940989279</v>
      </c>
      <c r="G529" s="1" t="s">
        <v>233</v>
      </c>
      <c r="H529" s="6" t="s">
        <v>1951</v>
      </c>
      <c r="I529" s="6" t="s">
        <v>594</v>
      </c>
      <c r="J529" s="6" t="s">
        <v>1853</v>
      </c>
      <c r="K529" s="1">
        <v>0</v>
      </c>
      <c r="L529" s="6" t="s">
        <v>245</v>
      </c>
      <c r="M529" s="1">
        <v>2012</v>
      </c>
      <c r="N529" s="1" t="s">
        <v>1857</v>
      </c>
      <c r="O529" s="1">
        <v>1</v>
      </c>
      <c r="P529" s="1">
        <v>0</v>
      </c>
      <c r="Q529" s="1">
        <v>0</v>
      </c>
      <c r="R529" s="1">
        <v>0</v>
      </c>
      <c r="S529" s="1" t="s">
        <v>251</v>
      </c>
    </row>
    <row r="530" spans="1:19" ht="14.45" customHeight="1" x14ac:dyDescent="0.25">
      <c r="A530" s="6">
        <v>529</v>
      </c>
      <c r="B530" s="6">
        <v>7104101</v>
      </c>
      <c r="C530" t="s">
        <v>957</v>
      </c>
      <c r="D530" s="1" t="s">
        <v>955</v>
      </c>
      <c r="E530" s="21" t="s">
        <v>237</v>
      </c>
      <c r="F530" s="21">
        <v>7207.3276631492154</v>
      </c>
      <c r="G530" s="1" t="s">
        <v>233</v>
      </c>
      <c r="H530" s="6" t="s">
        <v>1951</v>
      </c>
      <c r="I530" s="6" t="s">
        <v>594</v>
      </c>
      <c r="J530" s="6" t="s">
        <v>1853</v>
      </c>
      <c r="K530" s="1">
        <v>0</v>
      </c>
      <c r="L530" s="6" t="s">
        <v>245</v>
      </c>
      <c r="M530" s="1">
        <v>2012</v>
      </c>
      <c r="N530" s="1" t="s">
        <v>1857</v>
      </c>
      <c r="O530" s="1">
        <v>1</v>
      </c>
      <c r="P530" s="1">
        <v>0</v>
      </c>
      <c r="Q530" s="1">
        <v>0</v>
      </c>
      <c r="R530" s="1">
        <v>0</v>
      </c>
      <c r="S530" s="1" t="s">
        <v>251</v>
      </c>
    </row>
    <row r="531" spans="1:19" ht="14.45" customHeight="1" x14ac:dyDescent="0.25">
      <c r="A531" s="6">
        <v>530</v>
      </c>
      <c r="B531" s="6">
        <v>8101005</v>
      </c>
      <c r="C531" t="s">
        <v>958</v>
      </c>
      <c r="D531" s="1" t="s">
        <v>959</v>
      </c>
      <c r="E531" s="21" t="s">
        <v>237</v>
      </c>
      <c r="F531" s="21">
        <v>7359.5180236216484</v>
      </c>
      <c r="G531" s="1" t="s">
        <v>233</v>
      </c>
      <c r="H531" s="6" t="s">
        <v>1951</v>
      </c>
      <c r="I531" s="6" t="s">
        <v>594</v>
      </c>
      <c r="J531" s="6" t="s">
        <v>1853</v>
      </c>
      <c r="K531" s="1">
        <v>0</v>
      </c>
      <c r="L531" s="6" t="s">
        <v>245</v>
      </c>
      <c r="M531" s="1">
        <v>2012</v>
      </c>
      <c r="N531" s="1" t="s">
        <v>237</v>
      </c>
      <c r="O531" s="1">
        <v>0</v>
      </c>
      <c r="P531" s="1">
        <v>0</v>
      </c>
      <c r="Q531" s="1">
        <v>0</v>
      </c>
      <c r="R531" s="1">
        <v>0</v>
      </c>
      <c r="S531" s="1" t="s">
        <v>251</v>
      </c>
    </row>
    <row r="532" spans="1:19" ht="14.45" customHeight="1" x14ac:dyDescent="0.25">
      <c r="A532" s="6">
        <v>531</v>
      </c>
      <c r="B532" s="6">
        <v>7104101</v>
      </c>
      <c r="C532" t="s">
        <v>957</v>
      </c>
      <c r="D532" s="1" t="s">
        <v>955</v>
      </c>
      <c r="E532" s="21" t="s">
        <v>237</v>
      </c>
      <c r="F532" s="21">
        <v>7509.0702772841823</v>
      </c>
      <c r="G532" s="1" t="s">
        <v>233</v>
      </c>
      <c r="H532" s="6" t="s">
        <v>1951</v>
      </c>
      <c r="I532" s="6" t="s">
        <v>594</v>
      </c>
      <c r="J532" s="6" t="s">
        <v>1853</v>
      </c>
      <c r="K532" s="1">
        <v>0</v>
      </c>
      <c r="L532" s="6" t="s">
        <v>245</v>
      </c>
      <c r="M532" s="1">
        <v>2012</v>
      </c>
      <c r="N532" s="1" t="s">
        <v>237</v>
      </c>
      <c r="O532" s="1">
        <v>0</v>
      </c>
      <c r="P532" s="1">
        <v>0</v>
      </c>
      <c r="Q532" s="1">
        <v>0</v>
      </c>
      <c r="R532" s="1">
        <v>0</v>
      </c>
      <c r="S532" s="1" t="s">
        <v>251</v>
      </c>
    </row>
    <row r="533" spans="1:19" ht="14.45" customHeight="1" x14ac:dyDescent="0.25">
      <c r="A533" s="6">
        <v>532</v>
      </c>
      <c r="B533" s="6">
        <v>8102901</v>
      </c>
      <c r="C533" t="s">
        <v>960</v>
      </c>
      <c r="D533" s="1" t="s">
        <v>961</v>
      </c>
      <c r="E533" s="21" t="s">
        <v>237</v>
      </c>
      <c r="F533" s="21">
        <v>6972.3683992829674</v>
      </c>
      <c r="G533" s="1" t="s">
        <v>233</v>
      </c>
      <c r="H533" s="6" t="s">
        <v>1951</v>
      </c>
      <c r="I533" s="6" t="s">
        <v>594</v>
      </c>
      <c r="J533" s="6" t="s">
        <v>1853</v>
      </c>
      <c r="K533" s="1">
        <v>0</v>
      </c>
      <c r="L533" s="6" t="s">
        <v>245</v>
      </c>
      <c r="M533" s="1">
        <v>2012</v>
      </c>
      <c r="N533" s="1" t="s">
        <v>237</v>
      </c>
      <c r="O533" s="1">
        <v>0</v>
      </c>
      <c r="P533" s="1">
        <v>0</v>
      </c>
      <c r="Q533" s="1">
        <v>0</v>
      </c>
      <c r="R533" s="1">
        <v>0</v>
      </c>
      <c r="S533" s="1" t="s">
        <v>251</v>
      </c>
    </row>
    <row r="534" spans="1:19" ht="14.45" customHeight="1" x14ac:dyDescent="0.25">
      <c r="A534" s="6">
        <v>533</v>
      </c>
      <c r="B534" s="6">
        <v>7104101</v>
      </c>
      <c r="C534" t="s">
        <v>957</v>
      </c>
      <c r="D534" s="1" t="s">
        <v>955</v>
      </c>
      <c r="E534" s="21">
        <v>4812</v>
      </c>
      <c r="F534" s="1" t="s">
        <v>233</v>
      </c>
      <c r="G534" s="1" t="s">
        <v>233</v>
      </c>
      <c r="H534" s="6" t="s">
        <v>1951</v>
      </c>
      <c r="I534" s="6" t="s">
        <v>616</v>
      </c>
      <c r="J534" s="6" t="s">
        <v>1852</v>
      </c>
      <c r="K534" s="1">
        <v>0</v>
      </c>
      <c r="L534" s="6" t="s">
        <v>275</v>
      </c>
      <c r="M534" s="1">
        <v>2010</v>
      </c>
      <c r="N534" s="1" t="s">
        <v>237</v>
      </c>
      <c r="O534" s="1">
        <v>0</v>
      </c>
      <c r="P534" s="1">
        <v>0</v>
      </c>
      <c r="Q534" s="1">
        <v>0</v>
      </c>
      <c r="R534" s="1">
        <v>0</v>
      </c>
      <c r="S534" s="1" t="s">
        <v>235</v>
      </c>
    </row>
    <row r="535" spans="1:19" ht="14.45" customHeight="1" x14ac:dyDescent="0.25">
      <c r="A535" s="6">
        <v>534</v>
      </c>
      <c r="B535" s="6">
        <v>7104101</v>
      </c>
      <c r="C535" t="s">
        <v>957</v>
      </c>
      <c r="D535" s="1" t="s">
        <v>955</v>
      </c>
      <c r="E535" s="21">
        <v>3309</v>
      </c>
      <c r="F535" s="1" t="s">
        <v>233</v>
      </c>
      <c r="G535" s="1" t="s">
        <v>233</v>
      </c>
      <c r="H535" s="6" t="s">
        <v>1951</v>
      </c>
      <c r="I535" s="6" t="s">
        <v>617</v>
      </c>
      <c r="J535" s="6" t="s">
        <v>1852</v>
      </c>
      <c r="K535" s="1">
        <v>0</v>
      </c>
      <c r="L535" s="6" t="s">
        <v>262</v>
      </c>
      <c r="M535" s="1">
        <v>2010</v>
      </c>
      <c r="N535" s="1" t="s">
        <v>1872</v>
      </c>
      <c r="O535" s="1">
        <v>0</v>
      </c>
      <c r="P535" s="1">
        <v>0</v>
      </c>
      <c r="Q535" s="1">
        <v>0</v>
      </c>
      <c r="R535" s="1">
        <v>0</v>
      </c>
      <c r="S535" s="1" t="s">
        <v>235</v>
      </c>
    </row>
    <row r="536" spans="1:19" ht="14.45" customHeight="1" x14ac:dyDescent="0.25">
      <c r="A536" s="6">
        <v>535</v>
      </c>
      <c r="B536" s="6">
        <v>7104101</v>
      </c>
      <c r="C536" t="s">
        <v>957</v>
      </c>
      <c r="D536" s="1" t="s">
        <v>955</v>
      </c>
      <c r="E536" s="21">
        <v>3352</v>
      </c>
      <c r="F536" s="1" t="s">
        <v>233</v>
      </c>
      <c r="G536" s="1" t="s">
        <v>233</v>
      </c>
      <c r="H536" s="6" t="s">
        <v>1951</v>
      </c>
      <c r="I536" s="6" t="s">
        <v>617</v>
      </c>
      <c r="J536" s="6" t="s">
        <v>1852</v>
      </c>
      <c r="K536" s="1">
        <v>0</v>
      </c>
      <c r="L536" s="6" t="s">
        <v>262</v>
      </c>
      <c r="M536" s="1">
        <v>2010</v>
      </c>
      <c r="N536" s="1" t="s">
        <v>1873</v>
      </c>
      <c r="O536" s="1">
        <v>0</v>
      </c>
      <c r="P536" s="1">
        <v>0</v>
      </c>
      <c r="Q536" s="1">
        <v>0</v>
      </c>
      <c r="R536" s="1">
        <v>0</v>
      </c>
      <c r="S536" s="1" t="s">
        <v>235</v>
      </c>
    </row>
    <row r="537" spans="1:19" ht="14.45" customHeight="1" x14ac:dyDescent="0.25">
      <c r="A537" s="6">
        <v>536</v>
      </c>
      <c r="B537" s="6">
        <v>7104101</v>
      </c>
      <c r="C537" t="s">
        <v>957</v>
      </c>
      <c r="D537" s="1" t="s">
        <v>955</v>
      </c>
      <c r="E537" s="21">
        <v>3250</v>
      </c>
      <c r="F537" s="1" t="s">
        <v>233</v>
      </c>
      <c r="G537" s="1" t="s">
        <v>233</v>
      </c>
      <c r="H537" s="6" t="s">
        <v>1951</v>
      </c>
      <c r="I537" s="6" t="s">
        <v>618</v>
      </c>
      <c r="J537" s="6" t="s">
        <v>1853</v>
      </c>
      <c r="K537" s="1">
        <v>0</v>
      </c>
      <c r="L537" s="6" t="s">
        <v>259</v>
      </c>
      <c r="M537" s="1">
        <v>2011</v>
      </c>
      <c r="N537" s="1" t="s">
        <v>237</v>
      </c>
      <c r="O537" s="1">
        <v>0</v>
      </c>
      <c r="P537" s="1">
        <v>0</v>
      </c>
      <c r="Q537" s="1">
        <v>0</v>
      </c>
      <c r="R537" s="1">
        <v>0</v>
      </c>
      <c r="S537" s="1" t="s">
        <v>235</v>
      </c>
    </row>
    <row r="538" spans="1:19" ht="14.45" customHeight="1" x14ac:dyDescent="0.25">
      <c r="A538" s="6">
        <v>537</v>
      </c>
      <c r="B538" s="6">
        <v>7104101</v>
      </c>
      <c r="C538" t="s">
        <v>957</v>
      </c>
      <c r="D538" s="1" t="s">
        <v>955</v>
      </c>
      <c r="E538" s="21">
        <v>4800</v>
      </c>
      <c r="F538" s="1" t="s">
        <v>233</v>
      </c>
      <c r="G538" s="1" t="s">
        <v>233</v>
      </c>
      <c r="H538" s="6" t="s">
        <v>1951</v>
      </c>
      <c r="I538" s="6" t="s">
        <v>619</v>
      </c>
      <c r="J538" s="6" t="s">
        <v>1853</v>
      </c>
      <c r="K538" s="1">
        <v>0</v>
      </c>
      <c r="L538" s="6" t="s">
        <v>275</v>
      </c>
      <c r="M538" s="1">
        <v>2012</v>
      </c>
      <c r="N538" s="1" t="s">
        <v>1878</v>
      </c>
      <c r="O538" s="1">
        <v>0</v>
      </c>
      <c r="P538" s="1">
        <v>0</v>
      </c>
      <c r="Q538" s="1">
        <v>0</v>
      </c>
      <c r="R538" s="1">
        <v>0</v>
      </c>
      <c r="S538" s="1" t="s">
        <v>235</v>
      </c>
    </row>
    <row r="539" spans="1:19" ht="14.45" customHeight="1" x14ac:dyDescent="0.25">
      <c r="A539" s="6">
        <v>538</v>
      </c>
      <c r="B539" s="6">
        <v>7104101</v>
      </c>
      <c r="C539" t="s">
        <v>957</v>
      </c>
      <c r="D539" s="1" t="s">
        <v>955</v>
      </c>
      <c r="E539" s="21">
        <v>2842.5</v>
      </c>
      <c r="F539" s="1" t="s">
        <v>233</v>
      </c>
      <c r="G539" s="19">
        <v>18.75</v>
      </c>
      <c r="H539" s="6" t="s">
        <v>1951</v>
      </c>
      <c r="I539" s="6" t="s">
        <v>637</v>
      </c>
      <c r="J539" s="6" t="s">
        <v>1853</v>
      </c>
      <c r="K539" s="1">
        <v>0</v>
      </c>
      <c r="L539" s="6" t="s">
        <v>238</v>
      </c>
      <c r="M539" s="1">
        <v>2010</v>
      </c>
      <c r="N539" s="1" t="s">
        <v>1873</v>
      </c>
      <c r="O539" s="1">
        <v>0</v>
      </c>
      <c r="P539" s="1">
        <v>0</v>
      </c>
      <c r="Q539" s="1">
        <v>0</v>
      </c>
      <c r="R539" s="1">
        <v>0</v>
      </c>
      <c r="S539" s="1" t="s">
        <v>235</v>
      </c>
    </row>
    <row r="540" spans="1:19" ht="14.45" customHeight="1" x14ac:dyDescent="0.25">
      <c r="A540" s="6">
        <v>539</v>
      </c>
      <c r="B540" s="6">
        <v>7104101</v>
      </c>
      <c r="C540" t="s">
        <v>957</v>
      </c>
      <c r="D540" s="1" t="s">
        <v>955</v>
      </c>
      <c r="E540" s="21">
        <v>8262</v>
      </c>
      <c r="F540" s="1" t="s">
        <v>233</v>
      </c>
      <c r="G540" s="1" t="s">
        <v>233</v>
      </c>
      <c r="H540" s="6" t="s">
        <v>1951</v>
      </c>
      <c r="I540" s="6" t="s">
        <v>642</v>
      </c>
      <c r="J540" s="6" t="s">
        <v>1853</v>
      </c>
      <c r="K540" s="1">
        <v>0</v>
      </c>
      <c r="L540" s="6" t="s">
        <v>241</v>
      </c>
      <c r="M540" s="1">
        <v>2011</v>
      </c>
      <c r="N540" s="1" t="s">
        <v>237</v>
      </c>
      <c r="O540" s="1">
        <v>0</v>
      </c>
      <c r="P540" s="1" t="s">
        <v>1952</v>
      </c>
      <c r="Q540" s="1">
        <v>0</v>
      </c>
      <c r="R540" s="1">
        <v>0</v>
      </c>
      <c r="S540" s="1" t="s">
        <v>235</v>
      </c>
    </row>
    <row r="541" spans="1:19" ht="14.45" customHeight="1" x14ac:dyDescent="0.25">
      <c r="A541" s="6">
        <v>540</v>
      </c>
      <c r="B541" s="6">
        <v>7104101</v>
      </c>
      <c r="C541" t="s">
        <v>957</v>
      </c>
      <c r="D541" s="1" t="s">
        <v>955</v>
      </c>
      <c r="E541" s="21">
        <v>4800</v>
      </c>
      <c r="F541" s="1" t="s">
        <v>233</v>
      </c>
      <c r="G541" s="1" t="s">
        <v>233</v>
      </c>
      <c r="H541" s="6" t="s">
        <v>1951</v>
      </c>
      <c r="I541" s="6" t="s">
        <v>645</v>
      </c>
      <c r="J541" s="6" t="s">
        <v>1849</v>
      </c>
      <c r="K541" s="1">
        <v>0</v>
      </c>
      <c r="L541" s="6" t="s">
        <v>249</v>
      </c>
      <c r="M541" s="1">
        <v>2011</v>
      </c>
      <c r="N541" s="1" t="s">
        <v>237</v>
      </c>
      <c r="O541" s="1">
        <v>0</v>
      </c>
      <c r="P541" s="1">
        <v>0</v>
      </c>
      <c r="Q541" s="1">
        <v>0</v>
      </c>
      <c r="R541" s="1">
        <v>0</v>
      </c>
      <c r="S541" s="1" t="s">
        <v>235</v>
      </c>
    </row>
    <row r="542" spans="1:19" ht="14.45" customHeight="1" x14ac:dyDescent="0.25">
      <c r="A542" s="6">
        <v>541</v>
      </c>
      <c r="B542" s="6">
        <v>7104101</v>
      </c>
      <c r="C542" t="s">
        <v>957</v>
      </c>
      <c r="D542" s="1" t="s">
        <v>955</v>
      </c>
      <c r="E542" s="21">
        <v>3620</v>
      </c>
      <c r="F542" s="1" t="s">
        <v>233</v>
      </c>
      <c r="G542" s="1" t="s">
        <v>233</v>
      </c>
      <c r="H542" s="6" t="s">
        <v>1951</v>
      </c>
      <c r="I542" s="6" t="s">
        <v>650</v>
      </c>
      <c r="J542" s="6" t="s">
        <v>1853</v>
      </c>
      <c r="K542" s="1">
        <v>0</v>
      </c>
      <c r="L542" s="6" t="s">
        <v>269</v>
      </c>
      <c r="M542" s="1">
        <v>2012</v>
      </c>
      <c r="N542" s="1" t="s">
        <v>237</v>
      </c>
      <c r="O542" s="1">
        <v>0</v>
      </c>
      <c r="P542" s="1">
        <v>0</v>
      </c>
      <c r="Q542" s="1">
        <v>0</v>
      </c>
      <c r="R542" s="1">
        <v>0</v>
      </c>
      <c r="S542" s="1" t="s">
        <v>235</v>
      </c>
    </row>
    <row r="543" spans="1:19" ht="14.45" customHeight="1" x14ac:dyDescent="0.25">
      <c r="A543" s="6">
        <v>542</v>
      </c>
      <c r="B543" s="6">
        <v>7104101</v>
      </c>
      <c r="C543" t="s">
        <v>957</v>
      </c>
      <c r="D543" s="1" t="s">
        <v>955</v>
      </c>
      <c r="E543" s="21">
        <v>6560.0000000000009</v>
      </c>
      <c r="F543" s="1" t="s">
        <v>233</v>
      </c>
      <c r="G543" s="1" t="s">
        <v>233</v>
      </c>
      <c r="H543" s="6" t="s">
        <v>1951</v>
      </c>
      <c r="I543" s="6" t="s">
        <v>962</v>
      </c>
      <c r="J543" s="6" t="s">
        <v>1854</v>
      </c>
      <c r="K543" s="1">
        <v>1</v>
      </c>
      <c r="L543" s="6" t="s">
        <v>242</v>
      </c>
      <c r="M543" s="1">
        <v>2012</v>
      </c>
      <c r="N543" s="1" t="s">
        <v>237</v>
      </c>
      <c r="O543" s="1">
        <v>0</v>
      </c>
      <c r="P543" s="1">
        <v>0</v>
      </c>
      <c r="Q543" s="1">
        <v>0</v>
      </c>
      <c r="R543" s="1">
        <v>0</v>
      </c>
      <c r="S543" s="1" t="s">
        <v>235</v>
      </c>
    </row>
    <row r="544" spans="1:19" ht="14.45" customHeight="1" x14ac:dyDescent="0.25">
      <c r="A544" s="6">
        <v>543</v>
      </c>
      <c r="B544" s="6">
        <v>7104601</v>
      </c>
      <c r="C544" t="s">
        <v>1224</v>
      </c>
      <c r="D544" s="1" t="s">
        <v>1223</v>
      </c>
      <c r="E544" s="21">
        <v>2925</v>
      </c>
      <c r="F544" s="1" t="s">
        <v>233</v>
      </c>
      <c r="G544" s="1" t="s">
        <v>233</v>
      </c>
      <c r="H544" s="6" t="s">
        <v>1951</v>
      </c>
      <c r="I544" s="6" t="s">
        <v>665</v>
      </c>
      <c r="J544" s="6" t="s">
        <v>1852</v>
      </c>
      <c r="K544" s="1">
        <v>0</v>
      </c>
      <c r="L544" s="6" t="s">
        <v>236</v>
      </c>
      <c r="M544" s="1">
        <v>2012</v>
      </c>
      <c r="N544" s="1" t="s">
        <v>1879</v>
      </c>
      <c r="O544" s="1">
        <v>0</v>
      </c>
      <c r="P544" s="1">
        <v>0</v>
      </c>
      <c r="Q544" s="1">
        <v>0</v>
      </c>
      <c r="R544" s="1">
        <v>0</v>
      </c>
      <c r="S544" s="1" t="s">
        <v>235</v>
      </c>
    </row>
    <row r="545" spans="1:19" ht="14.45" customHeight="1" x14ac:dyDescent="0.25">
      <c r="A545" s="6">
        <v>544</v>
      </c>
      <c r="B545" s="6">
        <v>7104101</v>
      </c>
      <c r="C545" t="s">
        <v>957</v>
      </c>
      <c r="D545" s="1" t="s">
        <v>955</v>
      </c>
      <c r="E545" s="21">
        <v>2500</v>
      </c>
      <c r="F545" s="1" t="s">
        <v>233</v>
      </c>
      <c r="G545" s="1" t="s">
        <v>233</v>
      </c>
      <c r="H545" s="6" t="s">
        <v>1951</v>
      </c>
      <c r="I545" s="6" t="s">
        <v>668</v>
      </c>
      <c r="J545" s="6" t="s">
        <v>1853</v>
      </c>
      <c r="K545" s="1">
        <v>0</v>
      </c>
      <c r="L545" s="6" t="s">
        <v>252</v>
      </c>
      <c r="M545" s="1">
        <v>2014</v>
      </c>
      <c r="N545" s="1" t="s">
        <v>1873</v>
      </c>
      <c r="O545" s="1">
        <v>0</v>
      </c>
      <c r="P545" s="1">
        <v>0</v>
      </c>
      <c r="Q545" s="1">
        <v>0</v>
      </c>
      <c r="R545" s="1">
        <v>0</v>
      </c>
      <c r="S545" s="1" t="s">
        <v>235</v>
      </c>
    </row>
    <row r="546" spans="1:19" ht="14.45" customHeight="1" x14ac:dyDescent="0.25">
      <c r="A546" s="6">
        <v>545</v>
      </c>
      <c r="B546" s="6">
        <v>7104101</v>
      </c>
      <c r="C546" t="s">
        <v>957</v>
      </c>
      <c r="D546" s="1" t="s">
        <v>955</v>
      </c>
      <c r="E546" s="21" t="s">
        <v>237</v>
      </c>
      <c r="F546" s="1" t="s">
        <v>233</v>
      </c>
      <c r="G546" s="19">
        <v>51</v>
      </c>
      <c r="H546" s="6" t="s">
        <v>1951</v>
      </c>
      <c r="I546" s="6" t="s">
        <v>681</v>
      </c>
      <c r="J546" s="6" t="s">
        <v>1849</v>
      </c>
      <c r="K546" s="1">
        <v>0</v>
      </c>
      <c r="L546" s="6" t="s">
        <v>236</v>
      </c>
      <c r="M546" s="1">
        <v>2009</v>
      </c>
      <c r="N546" s="1" t="s">
        <v>237</v>
      </c>
      <c r="O546" s="1">
        <v>0</v>
      </c>
      <c r="P546" s="1">
        <v>0</v>
      </c>
      <c r="Q546" s="1">
        <v>0</v>
      </c>
      <c r="R546" s="1">
        <v>0</v>
      </c>
      <c r="S546" s="1" t="s">
        <v>251</v>
      </c>
    </row>
    <row r="547" spans="1:19" ht="14.45" customHeight="1" x14ac:dyDescent="0.25">
      <c r="A547" s="6">
        <v>546</v>
      </c>
      <c r="B547" s="6">
        <v>7104101</v>
      </c>
      <c r="C547" t="s">
        <v>957</v>
      </c>
      <c r="D547" s="1" t="s">
        <v>955</v>
      </c>
      <c r="E547" s="21">
        <v>3200</v>
      </c>
      <c r="F547" s="1" t="s">
        <v>233</v>
      </c>
      <c r="G547" s="1" t="s">
        <v>233</v>
      </c>
      <c r="H547" s="6" t="s">
        <v>1951</v>
      </c>
      <c r="I547" s="6" t="s">
        <v>702</v>
      </c>
      <c r="J547" s="6" t="s">
        <v>1853</v>
      </c>
      <c r="K547" s="1">
        <v>0</v>
      </c>
      <c r="L547" s="6" t="s">
        <v>250</v>
      </c>
      <c r="M547" s="1">
        <v>2012</v>
      </c>
      <c r="N547" s="1" t="s">
        <v>237</v>
      </c>
      <c r="O547" s="1">
        <v>0</v>
      </c>
      <c r="P547" s="1">
        <v>0</v>
      </c>
      <c r="Q547" s="1">
        <v>0</v>
      </c>
      <c r="R547" s="1">
        <v>0</v>
      </c>
      <c r="S547" s="1" t="s">
        <v>235</v>
      </c>
    </row>
    <row r="548" spans="1:19" ht="14.45" customHeight="1" x14ac:dyDescent="0.25">
      <c r="A548" s="6">
        <v>547</v>
      </c>
      <c r="B548" s="6">
        <v>7104101</v>
      </c>
      <c r="C548" t="s">
        <v>957</v>
      </c>
      <c r="D548" s="1" t="s">
        <v>955</v>
      </c>
      <c r="E548" s="21">
        <v>4300</v>
      </c>
      <c r="F548" s="1" t="s">
        <v>233</v>
      </c>
      <c r="G548" s="1" t="s">
        <v>233</v>
      </c>
      <c r="H548" s="6" t="s">
        <v>1951</v>
      </c>
      <c r="I548" s="6" t="s">
        <v>722</v>
      </c>
      <c r="J548" s="6" t="s">
        <v>1853</v>
      </c>
      <c r="K548" s="1">
        <v>0</v>
      </c>
      <c r="L548" s="6" t="s">
        <v>268</v>
      </c>
      <c r="M548" s="1">
        <v>2010</v>
      </c>
      <c r="N548" s="1" t="s">
        <v>1880</v>
      </c>
      <c r="O548" s="1">
        <v>0</v>
      </c>
      <c r="P548" s="1">
        <v>0</v>
      </c>
      <c r="Q548" s="1">
        <v>0</v>
      </c>
      <c r="R548" s="1">
        <v>0</v>
      </c>
      <c r="S548" s="1" t="s">
        <v>235</v>
      </c>
    </row>
    <row r="549" spans="1:19" ht="14.45" customHeight="1" x14ac:dyDescent="0.25">
      <c r="A549" s="6">
        <v>548</v>
      </c>
      <c r="B549" s="6">
        <v>7104101</v>
      </c>
      <c r="C549" t="s">
        <v>957</v>
      </c>
      <c r="D549" s="1" t="s">
        <v>955</v>
      </c>
      <c r="E549" s="21">
        <v>5640</v>
      </c>
      <c r="F549" s="1" t="s">
        <v>233</v>
      </c>
      <c r="G549" s="1" t="s">
        <v>233</v>
      </c>
      <c r="H549" s="6" t="s">
        <v>1951</v>
      </c>
      <c r="I549" s="6" t="s">
        <v>725</v>
      </c>
      <c r="J549" s="6" t="s">
        <v>1852</v>
      </c>
      <c r="K549" s="1">
        <v>0</v>
      </c>
      <c r="L549" s="6" t="s">
        <v>234</v>
      </c>
      <c r="M549" s="1">
        <v>2006</v>
      </c>
      <c r="N549" s="1" t="s">
        <v>1859</v>
      </c>
      <c r="O549" s="1">
        <v>0</v>
      </c>
      <c r="P549" s="1">
        <v>0</v>
      </c>
      <c r="Q549" s="1">
        <v>0</v>
      </c>
      <c r="R549" s="1">
        <v>0</v>
      </c>
      <c r="S549" s="1" t="s">
        <v>235</v>
      </c>
    </row>
    <row r="550" spans="1:19" ht="14.45" customHeight="1" x14ac:dyDescent="0.25">
      <c r="A550" s="6">
        <v>549</v>
      </c>
      <c r="B550" s="6">
        <v>7104101</v>
      </c>
      <c r="C550" t="s">
        <v>957</v>
      </c>
      <c r="D550" s="1" t="s">
        <v>955</v>
      </c>
      <c r="E550" s="21">
        <v>6297</v>
      </c>
      <c r="F550" s="1" t="s">
        <v>233</v>
      </c>
      <c r="G550" s="1" t="s">
        <v>233</v>
      </c>
      <c r="H550" s="6" t="s">
        <v>1951</v>
      </c>
      <c r="I550" s="6" t="s">
        <v>725</v>
      </c>
      <c r="J550" s="6" t="s">
        <v>1852</v>
      </c>
      <c r="K550" s="1">
        <v>0</v>
      </c>
      <c r="L550" s="6" t="s">
        <v>234</v>
      </c>
      <c r="M550" s="1">
        <v>2006</v>
      </c>
      <c r="N550" s="1" t="s">
        <v>237</v>
      </c>
      <c r="O550" s="1">
        <v>0</v>
      </c>
      <c r="P550" s="1">
        <v>0</v>
      </c>
      <c r="Q550" s="1">
        <v>0</v>
      </c>
      <c r="R550" s="1">
        <v>0</v>
      </c>
      <c r="S550" s="1" t="s">
        <v>235</v>
      </c>
    </row>
    <row r="551" spans="1:19" ht="14.45" customHeight="1" x14ac:dyDescent="0.25">
      <c r="A551" s="6">
        <v>550</v>
      </c>
      <c r="B551" s="6">
        <v>7104101</v>
      </c>
      <c r="C551" t="s">
        <v>957</v>
      </c>
      <c r="D551" s="1" t="s">
        <v>955</v>
      </c>
      <c r="E551" s="21">
        <v>3503</v>
      </c>
      <c r="F551" s="1" t="s">
        <v>233</v>
      </c>
      <c r="G551" s="1" t="s">
        <v>233</v>
      </c>
      <c r="H551" s="6" t="s">
        <v>1951</v>
      </c>
      <c r="I551" s="6" t="s">
        <v>461</v>
      </c>
      <c r="J551" s="6" t="s">
        <v>1852</v>
      </c>
      <c r="K551" s="1">
        <v>0</v>
      </c>
      <c r="L551" s="6" t="s">
        <v>245</v>
      </c>
      <c r="M551" s="1">
        <v>2015</v>
      </c>
      <c r="N551" s="1" t="s">
        <v>237</v>
      </c>
      <c r="O551" s="1">
        <v>0</v>
      </c>
      <c r="P551" s="1">
        <v>0</v>
      </c>
      <c r="Q551" s="1">
        <v>0</v>
      </c>
      <c r="R551" s="1">
        <v>0</v>
      </c>
      <c r="S551" s="1" t="s">
        <v>251</v>
      </c>
    </row>
    <row r="552" spans="1:19" ht="14.45" customHeight="1" x14ac:dyDescent="0.25">
      <c r="A552" s="6">
        <v>551</v>
      </c>
      <c r="B552" s="6">
        <v>7104101</v>
      </c>
      <c r="C552" t="s">
        <v>957</v>
      </c>
      <c r="D552" s="1" t="s">
        <v>955</v>
      </c>
      <c r="E552" s="21">
        <v>3300</v>
      </c>
      <c r="F552" s="1" t="s">
        <v>233</v>
      </c>
      <c r="G552" s="1" t="s">
        <v>233</v>
      </c>
      <c r="H552" s="6" t="s">
        <v>1951</v>
      </c>
      <c r="I552" s="6" t="s">
        <v>643</v>
      </c>
      <c r="J552" s="6" t="s">
        <v>1852</v>
      </c>
      <c r="K552" s="1">
        <v>0</v>
      </c>
      <c r="L552" s="6" t="s">
        <v>236</v>
      </c>
      <c r="M552" s="1">
        <v>2016</v>
      </c>
      <c r="N552" s="1" t="s">
        <v>237</v>
      </c>
      <c r="O552" s="1">
        <v>0</v>
      </c>
      <c r="P552" s="1">
        <v>0</v>
      </c>
      <c r="Q552" s="1">
        <v>0</v>
      </c>
      <c r="R552" s="1">
        <v>0</v>
      </c>
      <c r="S552" s="1" t="s">
        <v>251</v>
      </c>
    </row>
    <row r="553" spans="1:19" ht="14.45" customHeight="1" x14ac:dyDescent="0.25">
      <c r="A553" s="6">
        <v>552</v>
      </c>
      <c r="B553" s="6">
        <v>7105403</v>
      </c>
      <c r="C553" t="s">
        <v>963</v>
      </c>
      <c r="D553" s="1" t="s">
        <v>964</v>
      </c>
      <c r="E553" s="21" t="s">
        <v>237</v>
      </c>
      <c r="F553" s="21">
        <v>8516.8087763456206</v>
      </c>
      <c r="G553" s="1" t="s">
        <v>233</v>
      </c>
      <c r="H553" s="6" t="s">
        <v>1951</v>
      </c>
      <c r="I553" s="6" t="s">
        <v>594</v>
      </c>
      <c r="J553" s="6" t="s">
        <v>1853</v>
      </c>
      <c r="K553" s="1">
        <v>0</v>
      </c>
      <c r="L553" s="6" t="s">
        <v>245</v>
      </c>
      <c r="M553" s="1">
        <v>2012</v>
      </c>
      <c r="N553" s="1" t="s">
        <v>1857</v>
      </c>
      <c r="O553" s="1">
        <v>1</v>
      </c>
      <c r="P553" s="1">
        <v>0</v>
      </c>
      <c r="Q553" s="1">
        <v>0</v>
      </c>
      <c r="R553" s="1">
        <v>0</v>
      </c>
      <c r="S553" s="1" t="s">
        <v>251</v>
      </c>
    </row>
    <row r="554" spans="1:19" ht="14.45" customHeight="1" x14ac:dyDescent="0.25">
      <c r="A554" s="6">
        <v>553</v>
      </c>
      <c r="B554" s="6">
        <v>7105403</v>
      </c>
      <c r="C554" t="s">
        <v>963</v>
      </c>
      <c r="D554" s="1" t="s">
        <v>964</v>
      </c>
      <c r="E554" s="21">
        <v>14610</v>
      </c>
      <c r="F554" s="21" t="s">
        <v>233</v>
      </c>
      <c r="G554" s="1" t="s">
        <v>233</v>
      </c>
      <c r="H554" s="6" t="s">
        <v>1951</v>
      </c>
      <c r="I554" s="6" t="s">
        <v>336</v>
      </c>
      <c r="J554" s="6" t="s">
        <v>1849</v>
      </c>
      <c r="K554" s="1">
        <v>0</v>
      </c>
      <c r="L554" s="6" t="s">
        <v>234</v>
      </c>
      <c r="M554" s="1">
        <v>2009</v>
      </c>
      <c r="N554" s="1" t="s">
        <v>1857</v>
      </c>
      <c r="O554" s="1">
        <v>1</v>
      </c>
      <c r="P554" s="1">
        <v>0</v>
      </c>
      <c r="Q554" s="1">
        <v>0</v>
      </c>
      <c r="R554" s="1">
        <v>0</v>
      </c>
      <c r="S554" s="1" t="s">
        <v>251</v>
      </c>
    </row>
    <row r="555" spans="1:19" ht="14.45" customHeight="1" x14ac:dyDescent="0.25">
      <c r="A555" s="6">
        <v>554</v>
      </c>
      <c r="B555" s="6">
        <v>7105602</v>
      </c>
      <c r="C555" t="s">
        <v>965</v>
      </c>
      <c r="D555" s="1" t="s">
        <v>966</v>
      </c>
      <c r="E555" s="21">
        <v>14600</v>
      </c>
      <c r="F555" s="1" t="s">
        <v>233</v>
      </c>
      <c r="G555" s="1" t="s">
        <v>233</v>
      </c>
      <c r="H555" s="6" t="s">
        <v>1951</v>
      </c>
      <c r="I555" s="6" t="s">
        <v>337</v>
      </c>
      <c r="J555" s="6" t="s">
        <v>1852</v>
      </c>
      <c r="K555" s="1">
        <v>0</v>
      </c>
      <c r="L555" s="6" t="s">
        <v>234</v>
      </c>
      <c r="M555" s="1">
        <v>2012</v>
      </c>
      <c r="N555" s="1" t="s">
        <v>237</v>
      </c>
      <c r="O555" s="1">
        <v>0</v>
      </c>
      <c r="P555" s="1">
        <v>0</v>
      </c>
      <c r="Q555" s="1">
        <v>0</v>
      </c>
      <c r="R555" s="1">
        <v>0</v>
      </c>
      <c r="S555" s="1" t="s">
        <v>235</v>
      </c>
    </row>
    <row r="556" spans="1:19" ht="14.45" customHeight="1" x14ac:dyDescent="0.25">
      <c r="A556" s="6">
        <v>555</v>
      </c>
      <c r="B556" s="6">
        <v>7105602</v>
      </c>
      <c r="C556" t="s">
        <v>965</v>
      </c>
      <c r="D556" s="1" t="s">
        <v>966</v>
      </c>
      <c r="E556" s="21">
        <v>16350.000000000002</v>
      </c>
      <c r="F556" s="1" t="s">
        <v>233</v>
      </c>
      <c r="G556" s="1" t="s">
        <v>233</v>
      </c>
      <c r="H556" s="6" t="s">
        <v>1951</v>
      </c>
      <c r="I556" s="6" t="s">
        <v>424</v>
      </c>
      <c r="J556" s="6" t="s">
        <v>1852</v>
      </c>
      <c r="K556" s="1">
        <v>0</v>
      </c>
      <c r="L556" s="6" t="s">
        <v>268</v>
      </c>
      <c r="M556" s="1">
        <v>2012</v>
      </c>
      <c r="N556" s="1" t="s">
        <v>1873</v>
      </c>
      <c r="O556" s="1">
        <v>0</v>
      </c>
      <c r="P556" s="1">
        <v>0</v>
      </c>
      <c r="Q556" s="1">
        <v>0</v>
      </c>
      <c r="R556" s="1">
        <v>0</v>
      </c>
      <c r="S556" s="1" t="s">
        <v>235</v>
      </c>
    </row>
    <row r="557" spans="1:19" ht="14.45" customHeight="1" x14ac:dyDescent="0.25">
      <c r="A557" s="6">
        <v>556</v>
      </c>
      <c r="B557" s="6">
        <v>7105602</v>
      </c>
      <c r="C557" t="s">
        <v>965</v>
      </c>
      <c r="D557" s="1" t="s">
        <v>966</v>
      </c>
      <c r="E557" s="21">
        <v>5325</v>
      </c>
      <c r="F557" s="1" t="s">
        <v>233</v>
      </c>
      <c r="G557" s="1" t="s">
        <v>233</v>
      </c>
      <c r="H557" s="6" t="s">
        <v>1951</v>
      </c>
      <c r="I557" s="6" t="s">
        <v>430</v>
      </c>
      <c r="J557" s="6" t="s">
        <v>1852</v>
      </c>
      <c r="K557" s="1">
        <v>0</v>
      </c>
      <c r="L557" s="6" t="s">
        <v>268</v>
      </c>
      <c r="M557" s="1">
        <v>2010</v>
      </c>
      <c r="N557" s="1" t="s">
        <v>237</v>
      </c>
      <c r="O557" s="1">
        <v>0</v>
      </c>
      <c r="P557" s="1" t="s">
        <v>1952</v>
      </c>
      <c r="Q557" s="1">
        <v>0</v>
      </c>
      <c r="R557" s="1">
        <v>0</v>
      </c>
      <c r="S557" s="1" t="s">
        <v>235</v>
      </c>
    </row>
    <row r="558" spans="1:19" ht="14.45" customHeight="1" x14ac:dyDescent="0.25">
      <c r="A558" s="6">
        <v>557</v>
      </c>
      <c r="B558" s="6">
        <v>7105602</v>
      </c>
      <c r="C558" t="s">
        <v>965</v>
      </c>
      <c r="D558" s="1" t="s">
        <v>966</v>
      </c>
      <c r="E558" s="21">
        <v>16342.105263157895</v>
      </c>
      <c r="F558" s="1" t="s">
        <v>233</v>
      </c>
      <c r="G558" s="1" t="s">
        <v>233</v>
      </c>
      <c r="H558" s="6" t="s">
        <v>1951</v>
      </c>
      <c r="I558" s="6" t="s">
        <v>433</v>
      </c>
      <c r="J558" s="6" t="s">
        <v>1853</v>
      </c>
      <c r="K558" s="1">
        <v>0</v>
      </c>
      <c r="L558" s="6" t="s">
        <v>249</v>
      </c>
      <c r="M558" s="1">
        <v>2008</v>
      </c>
      <c r="N558" s="1" t="s">
        <v>237</v>
      </c>
      <c r="O558" s="1">
        <v>0</v>
      </c>
      <c r="P558" s="1">
        <v>0</v>
      </c>
      <c r="Q558" s="1">
        <v>0</v>
      </c>
      <c r="R558" s="1">
        <v>0</v>
      </c>
      <c r="S558" s="1" t="s">
        <v>235</v>
      </c>
    </row>
    <row r="559" spans="1:19" ht="14.45" customHeight="1" x14ac:dyDescent="0.25">
      <c r="A559" s="6">
        <v>558</v>
      </c>
      <c r="B559" s="6">
        <v>7105602</v>
      </c>
      <c r="C559" t="s">
        <v>965</v>
      </c>
      <c r="D559" s="1" t="s">
        <v>966</v>
      </c>
      <c r="E559" s="21">
        <v>14722.222222222223</v>
      </c>
      <c r="F559" s="1" t="s">
        <v>233</v>
      </c>
      <c r="G559" s="1" t="s">
        <v>233</v>
      </c>
      <c r="H559" s="6" t="s">
        <v>1951</v>
      </c>
      <c r="I559" s="6" t="s">
        <v>434</v>
      </c>
      <c r="J559" s="6" t="s">
        <v>1853</v>
      </c>
      <c r="K559" s="1">
        <v>0</v>
      </c>
      <c r="L559" s="6" t="s">
        <v>249</v>
      </c>
      <c r="M559" s="1">
        <v>2008</v>
      </c>
      <c r="N559" s="1" t="s">
        <v>237</v>
      </c>
      <c r="O559" s="1">
        <v>0</v>
      </c>
      <c r="P559" s="1">
        <v>0</v>
      </c>
      <c r="Q559" s="1">
        <v>0</v>
      </c>
      <c r="R559" s="1">
        <v>0</v>
      </c>
      <c r="S559" s="1" t="s">
        <v>235</v>
      </c>
    </row>
    <row r="560" spans="1:19" ht="14.45" customHeight="1" x14ac:dyDescent="0.25">
      <c r="A560" s="6">
        <v>559</v>
      </c>
      <c r="B560" s="6">
        <v>7105602</v>
      </c>
      <c r="C560" t="s">
        <v>965</v>
      </c>
      <c r="D560" s="1" t="s">
        <v>966</v>
      </c>
      <c r="E560" s="21" t="s">
        <v>237</v>
      </c>
      <c r="F560" s="1" t="s">
        <v>233</v>
      </c>
      <c r="G560" s="19">
        <v>76</v>
      </c>
      <c r="H560" s="6" t="s">
        <v>1951</v>
      </c>
      <c r="I560" s="6" t="s">
        <v>465</v>
      </c>
      <c r="J560" s="6" t="s">
        <v>1849</v>
      </c>
      <c r="K560" s="1">
        <v>0</v>
      </c>
      <c r="L560" s="6" t="s">
        <v>234</v>
      </c>
      <c r="M560" s="1">
        <v>2007</v>
      </c>
      <c r="N560" s="1" t="s">
        <v>237</v>
      </c>
      <c r="O560" s="1">
        <v>0</v>
      </c>
      <c r="P560" s="1">
        <v>0</v>
      </c>
      <c r="Q560" s="1">
        <v>0</v>
      </c>
      <c r="R560" s="1">
        <v>0</v>
      </c>
      <c r="S560" s="1" t="s">
        <v>235</v>
      </c>
    </row>
    <row r="561" spans="1:19" ht="14.45" customHeight="1" x14ac:dyDescent="0.25">
      <c r="A561" s="6">
        <v>560</v>
      </c>
      <c r="B561" s="6">
        <v>7105602</v>
      </c>
      <c r="C561" t="s">
        <v>965</v>
      </c>
      <c r="D561" s="1" t="s">
        <v>966</v>
      </c>
      <c r="E561" s="21">
        <v>14960</v>
      </c>
      <c r="F561" s="1" t="s">
        <v>233</v>
      </c>
      <c r="G561" s="1" t="s">
        <v>233</v>
      </c>
      <c r="H561" s="6" t="s">
        <v>1951</v>
      </c>
      <c r="I561" s="6" t="s">
        <v>492</v>
      </c>
      <c r="J561" s="6" t="s">
        <v>1853</v>
      </c>
      <c r="K561" s="1">
        <v>0</v>
      </c>
      <c r="L561" s="6" t="s">
        <v>234</v>
      </c>
      <c r="M561" s="1">
        <v>2010</v>
      </c>
      <c r="N561" s="1" t="s">
        <v>237</v>
      </c>
      <c r="O561" s="1">
        <v>0</v>
      </c>
      <c r="P561" s="1">
        <v>0</v>
      </c>
      <c r="Q561" s="1">
        <v>0</v>
      </c>
      <c r="R561" s="1">
        <v>0</v>
      </c>
      <c r="S561" s="1" t="s">
        <v>235</v>
      </c>
    </row>
    <row r="562" spans="1:19" ht="14.45" customHeight="1" x14ac:dyDescent="0.25">
      <c r="A562" s="6">
        <v>561</v>
      </c>
      <c r="B562" s="6">
        <v>7105602</v>
      </c>
      <c r="C562" t="s">
        <v>965</v>
      </c>
      <c r="D562" s="1" t="s">
        <v>966</v>
      </c>
      <c r="E562" s="21">
        <v>8520</v>
      </c>
      <c r="F562" s="1" t="s">
        <v>233</v>
      </c>
      <c r="G562" s="1" t="s">
        <v>233</v>
      </c>
      <c r="H562" s="6" t="s">
        <v>1951</v>
      </c>
      <c r="I562" s="6" t="s">
        <v>514</v>
      </c>
      <c r="J562" s="6" t="s">
        <v>1852</v>
      </c>
      <c r="K562" s="1">
        <v>0</v>
      </c>
      <c r="L562" s="6" t="s">
        <v>272</v>
      </c>
      <c r="M562" s="1">
        <v>2012</v>
      </c>
      <c r="N562" s="1" t="s">
        <v>1873</v>
      </c>
      <c r="O562" s="1">
        <v>0</v>
      </c>
      <c r="P562" s="1">
        <v>0</v>
      </c>
      <c r="Q562" s="1">
        <v>0</v>
      </c>
      <c r="R562" s="1">
        <v>0</v>
      </c>
      <c r="S562" s="1" t="s">
        <v>235</v>
      </c>
    </row>
    <row r="563" spans="1:19" ht="14.45" customHeight="1" x14ac:dyDescent="0.25">
      <c r="A563" s="6">
        <v>562</v>
      </c>
      <c r="B563" s="6">
        <v>7105602</v>
      </c>
      <c r="C563" t="s">
        <v>965</v>
      </c>
      <c r="D563" s="1" t="s">
        <v>966</v>
      </c>
      <c r="E563" s="21">
        <v>12833.333333333334</v>
      </c>
      <c r="F563" s="1" t="s">
        <v>233</v>
      </c>
      <c r="G563" s="1" t="s">
        <v>233</v>
      </c>
      <c r="H563" s="6" t="s">
        <v>1951</v>
      </c>
      <c r="I563" s="6" t="s">
        <v>514</v>
      </c>
      <c r="J563" s="6" t="s">
        <v>1852</v>
      </c>
      <c r="K563" s="1">
        <v>0</v>
      </c>
      <c r="L563" s="6" t="s">
        <v>252</v>
      </c>
      <c r="M563" s="1">
        <v>2012</v>
      </c>
      <c r="N563" s="1" t="s">
        <v>1873</v>
      </c>
      <c r="O563" s="1">
        <v>0</v>
      </c>
      <c r="P563" s="1">
        <v>0</v>
      </c>
      <c r="Q563" s="1">
        <v>0</v>
      </c>
      <c r="R563" s="1">
        <v>0</v>
      </c>
      <c r="S563" s="1" t="s">
        <v>235</v>
      </c>
    </row>
    <row r="564" spans="1:19" ht="14.45" customHeight="1" x14ac:dyDescent="0.25">
      <c r="A564" s="6">
        <v>563</v>
      </c>
      <c r="B564" s="6">
        <v>7105602</v>
      </c>
      <c r="C564" t="s">
        <v>965</v>
      </c>
      <c r="D564" s="1" t="s">
        <v>966</v>
      </c>
      <c r="E564" s="21">
        <v>19000</v>
      </c>
      <c r="F564" s="1" t="s">
        <v>233</v>
      </c>
      <c r="G564" s="1" t="s">
        <v>233</v>
      </c>
      <c r="H564" s="6" t="s">
        <v>1951</v>
      </c>
      <c r="I564" s="6" t="s">
        <v>577</v>
      </c>
      <c r="J564" s="6" t="s">
        <v>1849</v>
      </c>
      <c r="K564" s="1">
        <v>0</v>
      </c>
      <c r="L564" s="6" t="s">
        <v>272</v>
      </c>
      <c r="M564" s="1">
        <v>2010</v>
      </c>
      <c r="N564" s="1" t="s">
        <v>237</v>
      </c>
      <c r="O564" s="1">
        <v>0</v>
      </c>
      <c r="P564" s="1" t="s">
        <v>1952</v>
      </c>
      <c r="Q564" s="1">
        <v>0</v>
      </c>
      <c r="R564" s="1">
        <v>0</v>
      </c>
      <c r="S564" s="1" t="s">
        <v>235</v>
      </c>
    </row>
    <row r="565" spans="1:19" ht="14.45" customHeight="1" x14ac:dyDescent="0.25">
      <c r="A565" s="6">
        <v>564</v>
      </c>
      <c r="B565" s="6">
        <v>7105602</v>
      </c>
      <c r="C565" t="s">
        <v>965</v>
      </c>
      <c r="D565" s="1" t="s">
        <v>966</v>
      </c>
      <c r="E565" s="21" t="s">
        <v>237</v>
      </c>
      <c r="F565" s="21">
        <v>6826.6333005630095</v>
      </c>
      <c r="G565" s="1" t="s">
        <v>233</v>
      </c>
      <c r="H565" s="6" t="s">
        <v>1951</v>
      </c>
      <c r="I565" s="6" t="s">
        <v>594</v>
      </c>
      <c r="J565" s="6" t="s">
        <v>1853</v>
      </c>
      <c r="K565" s="1">
        <v>0</v>
      </c>
      <c r="L565" s="6" t="s">
        <v>245</v>
      </c>
      <c r="M565" s="1">
        <v>2012</v>
      </c>
      <c r="N565" s="1" t="s">
        <v>237</v>
      </c>
      <c r="O565" s="1">
        <v>0</v>
      </c>
      <c r="P565" s="1">
        <v>0</v>
      </c>
      <c r="Q565" s="1">
        <v>0</v>
      </c>
      <c r="R565" s="1">
        <v>0</v>
      </c>
      <c r="S565" s="1" t="s">
        <v>251</v>
      </c>
    </row>
    <row r="566" spans="1:19" ht="14.45" customHeight="1" x14ac:dyDescent="0.25">
      <c r="A566" s="6">
        <v>565</v>
      </c>
      <c r="B566" s="6">
        <v>7105602</v>
      </c>
      <c r="C566" t="s">
        <v>965</v>
      </c>
      <c r="D566" s="1" t="s">
        <v>966</v>
      </c>
      <c r="E566" s="21" t="s">
        <v>237</v>
      </c>
      <c r="F566" s="21">
        <v>9740.1004163842372</v>
      </c>
      <c r="G566" s="1" t="s">
        <v>233</v>
      </c>
      <c r="H566" s="6" t="s">
        <v>1951</v>
      </c>
      <c r="I566" s="6" t="s">
        <v>594</v>
      </c>
      <c r="J566" s="6" t="s">
        <v>1853</v>
      </c>
      <c r="K566" s="1">
        <v>0</v>
      </c>
      <c r="L566" s="6" t="s">
        <v>245</v>
      </c>
      <c r="M566" s="1">
        <v>2012</v>
      </c>
      <c r="N566" s="1" t="s">
        <v>237</v>
      </c>
      <c r="O566" s="1">
        <v>0</v>
      </c>
      <c r="P566" s="1">
        <v>0</v>
      </c>
      <c r="Q566" s="1">
        <v>0</v>
      </c>
      <c r="R566" s="1">
        <v>0</v>
      </c>
      <c r="S566" s="1" t="s">
        <v>251</v>
      </c>
    </row>
    <row r="567" spans="1:19" ht="14.45" customHeight="1" x14ac:dyDescent="0.25">
      <c r="A567" s="6">
        <v>566</v>
      </c>
      <c r="B567" s="6">
        <v>7105602</v>
      </c>
      <c r="C567" t="s">
        <v>965</v>
      </c>
      <c r="D567" s="1" t="s">
        <v>966</v>
      </c>
      <c r="E567" s="21" t="s">
        <v>237</v>
      </c>
      <c r="F567" s="21">
        <v>9750.1004163842372</v>
      </c>
      <c r="G567" s="1" t="s">
        <v>233</v>
      </c>
      <c r="H567" s="6" t="s">
        <v>1951</v>
      </c>
      <c r="I567" s="6" t="s">
        <v>594</v>
      </c>
      <c r="J567" s="6" t="s">
        <v>1853</v>
      </c>
      <c r="K567" s="1">
        <v>0</v>
      </c>
      <c r="L567" s="6" t="s">
        <v>245</v>
      </c>
      <c r="M567" s="1">
        <v>2012</v>
      </c>
      <c r="N567" s="1" t="s">
        <v>237</v>
      </c>
      <c r="O567" s="1">
        <v>0</v>
      </c>
      <c r="P567" s="1">
        <v>0</v>
      </c>
      <c r="Q567" s="1">
        <v>0</v>
      </c>
      <c r="R567" s="1">
        <v>0</v>
      </c>
      <c r="S567" s="1" t="s">
        <v>251</v>
      </c>
    </row>
    <row r="568" spans="1:19" ht="14.45" customHeight="1" x14ac:dyDescent="0.25">
      <c r="A568" s="6">
        <v>567</v>
      </c>
      <c r="B568" s="6">
        <v>7105602</v>
      </c>
      <c r="C568" t="s">
        <v>965</v>
      </c>
      <c r="D568" s="1" t="s">
        <v>966</v>
      </c>
      <c r="E568" s="21" t="s">
        <v>237</v>
      </c>
      <c r="F568" s="21">
        <v>12200.125520480295</v>
      </c>
      <c r="G568" s="1" t="s">
        <v>233</v>
      </c>
      <c r="H568" s="6" t="s">
        <v>1951</v>
      </c>
      <c r="I568" s="6" t="s">
        <v>594</v>
      </c>
      <c r="J568" s="6" t="s">
        <v>1853</v>
      </c>
      <c r="K568" s="1">
        <v>0</v>
      </c>
      <c r="L568" s="6" t="s">
        <v>245</v>
      </c>
      <c r="M568" s="1">
        <v>2012</v>
      </c>
      <c r="N568" s="1" t="s">
        <v>237</v>
      </c>
      <c r="O568" s="1">
        <v>0</v>
      </c>
      <c r="P568" s="1">
        <v>0</v>
      </c>
      <c r="Q568" s="1" t="s">
        <v>1953</v>
      </c>
      <c r="R568" s="1">
        <v>0</v>
      </c>
      <c r="S568" s="1" t="s">
        <v>251</v>
      </c>
    </row>
    <row r="569" spans="1:19" ht="14.45" customHeight="1" x14ac:dyDescent="0.25">
      <c r="A569" s="6">
        <v>568</v>
      </c>
      <c r="B569" s="6">
        <v>7105602</v>
      </c>
      <c r="C569" t="s">
        <v>965</v>
      </c>
      <c r="D569" s="1" t="s">
        <v>966</v>
      </c>
      <c r="E569" s="21" t="s">
        <v>237</v>
      </c>
      <c r="F569" s="21">
        <v>6826.6333005630095</v>
      </c>
      <c r="G569" s="1" t="s">
        <v>233</v>
      </c>
      <c r="H569" s="6" t="s">
        <v>1951</v>
      </c>
      <c r="I569" s="6" t="s">
        <v>594</v>
      </c>
      <c r="J569" s="6" t="s">
        <v>1853</v>
      </c>
      <c r="K569" s="1">
        <v>0</v>
      </c>
      <c r="L569" s="6" t="s">
        <v>245</v>
      </c>
      <c r="M569" s="1">
        <v>2012</v>
      </c>
      <c r="N569" s="1" t="s">
        <v>1857</v>
      </c>
      <c r="O569" s="1">
        <v>1</v>
      </c>
      <c r="P569" s="1">
        <v>0</v>
      </c>
      <c r="Q569" s="1">
        <v>0</v>
      </c>
      <c r="R569" s="1">
        <v>0</v>
      </c>
      <c r="S569" s="1" t="s">
        <v>251</v>
      </c>
    </row>
    <row r="570" spans="1:19" ht="14.45" customHeight="1" x14ac:dyDescent="0.25">
      <c r="A570" s="6">
        <v>569</v>
      </c>
      <c r="B570" s="6">
        <v>7105602</v>
      </c>
      <c r="C570" t="s">
        <v>965</v>
      </c>
      <c r="D570" s="1" t="s">
        <v>966</v>
      </c>
      <c r="E570" s="21" t="s">
        <v>237</v>
      </c>
      <c r="F570" s="21">
        <v>9740.1004163842372</v>
      </c>
      <c r="G570" s="1" t="s">
        <v>233</v>
      </c>
      <c r="H570" s="6" t="s">
        <v>1951</v>
      </c>
      <c r="I570" s="6" t="s">
        <v>594</v>
      </c>
      <c r="J570" s="6" t="s">
        <v>1853</v>
      </c>
      <c r="K570" s="1">
        <v>0</v>
      </c>
      <c r="L570" s="6" t="s">
        <v>245</v>
      </c>
      <c r="M570" s="1">
        <v>2012</v>
      </c>
      <c r="N570" s="1" t="s">
        <v>1857</v>
      </c>
      <c r="O570" s="1">
        <v>1</v>
      </c>
      <c r="P570" s="1">
        <v>0</v>
      </c>
      <c r="Q570" s="1">
        <v>0</v>
      </c>
      <c r="R570" s="1">
        <v>0</v>
      </c>
      <c r="S570" s="1" t="s">
        <v>251</v>
      </c>
    </row>
    <row r="571" spans="1:19" ht="14.45" customHeight="1" x14ac:dyDescent="0.25">
      <c r="A571" s="6">
        <v>570</v>
      </c>
      <c r="B571" s="6">
        <v>7105602</v>
      </c>
      <c r="C571" t="s">
        <v>965</v>
      </c>
      <c r="D571" s="1" t="s">
        <v>966</v>
      </c>
      <c r="E571" s="21" t="s">
        <v>237</v>
      </c>
      <c r="F571" s="21">
        <v>9750.1004163842372</v>
      </c>
      <c r="G571" s="1" t="s">
        <v>233</v>
      </c>
      <c r="H571" s="6" t="s">
        <v>1951</v>
      </c>
      <c r="I571" s="6" t="s">
        <v>594</v>
      </c>
      <c r="J571" s="6" t="s">
        <v>1853</v>
      </c>
      <c r="K571" s="1">
        <v>0</v>
      </c>
      <c r="L571" s="6" t="s">
        <v>245</v>
      </c>
      <c r="M571" s="1">
        <v>2012</v>
      </c>
      <c r="N571" s="1" t="s">
        <v>1857</v>
      </c>
      <c r="O571" s="1">
        <v>1</v>
      </c>
      <c r="P571" s="1">
        <v>0</v>
      </c>
      <c r="Q571" s="1">
        <v>0</v>
      </c>
      <c r="R571" s="1">
        <v>0</v>
      </c>
      <c r="S571" s="1" t="s">
        <v>251</v>
      </c>
    </row>
    <row r="572" spans="1:19" ht="14.45" customHeight="1" x14ac:dyDescent="0.25">
      <c r="A572" s="6">
        <v>571</v>
      </c>
      <c r="B572" s="6">
        <v>7105602</v>
      </c>
      <c r="C572" t="s">
        <v>965</v>
      </c>
      <c r="D572" s="1" t="s">
        <v>966</v>
      </c>
      <c r="E572" s="21" t="s">
        <v>237</v>
      </c>
      <c r="F572" s="21">
        <v>12200.125520480295</v>
      </c>
      <c r="G572" s="1" t="s">
        <v>233</v>
      </c>
      <c r="H572" s="6" t="s">
        <v>1951</v>
      </c>
      <c r="I572" s="6" t="s">
        <v>594</v>
      </c>
      <c r="J572" s="6" t="s">
        <v>1853</v>
      </c>
      <c r="K572" s="1">
        <v>0</v>
      </c>
      <c r="L572" s="6" t="s">
        <v>245</v>
      </c>
      <c r="M572" s="1">
        <v>2012</v>
      </c>
      <c r="N572" s="1" t="s">
        <v>1857</v>
      </c>
      <c r="O572" s="1">
        <v>1</v>
      </c>
      <c r="P572" s="1">
        <v>0</v>
      </c>
      <c r="Q572" s="1" t="s">
        <v>1953</v>
      </c>
      <c r="R572" s="1">
        <v>0</v>
      </c>
      <c r="S572" s="1" t="s">
        <v>251</v>
      </c>
    </row>
    <row r="573" spans="1:19" ht="14.45" customHeight="1" x14ac:dyDescent="0.25">
      <c r="A573" s="6">
        <v>572</v>
      </c>
      <c r="B573" s="6">
        <v>7105602</v>
      </c>
      <c r="C573" t="s">
        <v>965</v>
      </c>
      <c r="D573" s="1" t="s">
        <v>966</v>
      </c>
      <c r="E573" s="21" t="s">
        <v>237</v>
      </c>
      <c r="F573" s="21">
        <v>4059.3180444117183</v>
      </c>
      <c r="G573" s="1" t="s">
        <v>233</v>
      </c>
      <c r="H573" s="6" t="s">
        <v>1951</v>
      </c>
      <c r="I573" s="6" t="s">
        <v>594</v>
      </c>
      <c r="J573" s="6" t="s">
        <v>1853</v>
      </c>
      <c r="K573" s="1">
        <v>0</v>
      </c>
      <c r="L573" s="6" t="s">
        <v>245</v>
      </c>
      <c r="M573" s="1">
        <v>2012</v>
      </c>
      <c r="N573" s="1" t="s">
        <v>237</v>
      </c>
      <c r="O573" s="1">
        <v>0</v>
      </c>
      <c r="P573" s="1">
        <v>0</v>
      </c>
      <c r="Q573" s="1">
        <v>0</v>
      </c>
      <c r="R573" s="1">
        <v>0</v>
      </c>
      <c r="S573" s="1" t="s">
        <v>251</v>
      </c>
    </row>
    <row r="574" spans="1:19" ht="14.45" customHeight="1" x14ac:dyDescent="0.25">
      <c r="A574" s="6">
        <v>573</v>
      </c>
      <c r="B574" s="6">
        <v>7105602</v>
      </c>
      <c r="C574" t="s">
        <v>965</v>
      </c>
      <c r="D574" s="1" t="s">
        <v>966</v>
      </c>
      <c r="E574" s="21" t="s">
        <v>237</v>
      </c>
      <c r="F574" s="21">
        <v>4059.3180444117183</v>
      </c>
      <c r="G574" s="1" t="s">
        <v>233</v>
      </c>
      <c r="H574" s="6" t="s">
        <v>1951</v>
      </c>
      <c r="I574" s="6" t="s">
        <v>594</v>
      </c>
      <c r="J574" s="6" t="s">
        <v>1853</v>
      </c>
      <c r="K574" s="1">
        <v>0</v>
      </c>
      <c r="L574" s="6" t="s">
        <v>245</v>
      </c>
      <c r="M574" s="1">
        <v>2012</v>
      </c>
      <c r="N574" s="1" t="s">
        <v>1857</v>
      </c>
      <c r="O574" s="1">
        <v>1</v>
      </c>
      <c r="P574" s="1">
        <v>0</v>
      </c>
      <c r="Q574" s="1">
        <v>0</v>
      </c>
      <c r="R574" s="1">
        <v>0</v>
      </c>
      <c r="S574" s="1" t="s">
        <v>251</v>
      </c>
    </row>
    <row r="575" spans="1:19" ht="14.45" customHeight="1" x14ac:dyDescent="0.25">
      <c r="A575" s="6">
        <v>574</v>
      </c>
      <c r="B575" s="6">
        <v>7105602</v>
      </c>
      <c r="C575" t="s">
        <v>965</v>
      </c>
      <c r="D575" s="1" t="s">
        <v>966</v>
      </c>
      <c r="E575" s="21">
        <v>10500</v>
      </c>
      <c r="F575" s="1" t="s">
        <v>233</v>
      </c>
      <c r="G575" s="1" t="s">
        <v>233</v>
      </c>
      <c r="H575" s="6" t="s">
        <v>1951</v>
      </c>
      <c r="I575" s="6" t="s">
        <v>640</v>
      </c>
      <c r="J575" s="6" t="s">
        <v>1849</v>
      </c>
      <c r="K575" s="1">
        <v>0</v>
      </c>
      <c r="L575" s="6" t="s">
        <v>268</v>
      </c>
      <c r="M575" s="1">
        <v>2010</v>
      </c>
      <c r="N575" s="1" t="s">
        <v>1880</v>
      </c>
      <c r="O575" s="1">
        <v>0</v>
      </c>
      <c r="P575" s="1">
        <v>0</v>
      </c>
      <c r="Q575" s="1">
        <v>0</v>
      </c>
      <c r="R575" s="1">
        <v>0</v>
      </c>
      <c r="S575" s="1" t="s">
        <v>235</v>
      </c>
    </row>
    <row r="576" spans="1:19" ht="14.45" customHeight="1" x14ac:dyDescent="0.25">
      <c r="A576" s="6">
        <v>575</v>
      </c>
      <c r="B576" s="6">
        <v>7105602</v>
      </c>
      <c r="C576" t="s">
        <v>965</v>
      </c>
      <c r="D576" s="1" t="s">
        <v>966</v>
      </c>
      <c r="E576" s="21">
        <v>15500</v>
      </c>
      <c r="F576" s="1" t="s">
        <v>233</v>
      </c>
      <c r="G576" s="1" t="s">
        <v>233</v>
      </c>
      <c r="H576" s="6" t="s">
        <v>1951</v>
      </c>
      <c r="I576" s="6" t="s">
        <v>645</v>
      </c>
      <c r="J576" s="6" t="s">
        <v>1849</v>
      </c>
      <c r="K576" s="1">
        <v>0</v>
      </c>
      <c r="L576" s="6" t="s">
        <v>249</v>
      </c>
      <c r="M576" s="1">
        <v>2011</v>
      </c>
      <c r="N576" s="1" t="s">
        <v>237</v>
      </c>
      <c r="O576" s="1">
        <v>0</v>
      </c>
      <c r="P576" s="1">
        <v>0</v>
      </c>
      <c r="Q576" s="1">
        <v>0</v>
      </c>
      <c r="R576" s="1">
        <v>0</v>
      </c>
      <c r="S576" s="1" t="s">
        <v>235</v>
      </c>
    </row>
    <row r="577" spans="1:19" ht="14.45" customHeight="1" x14ac:dyDescent="0.25">
      <c r="A577" s="6">
        <v>576</v>
      </c>
      <c r="B577" s="6">
        <v>7105602</v>
      </c>
      <c r="C577" t="s">
        <v>965</v>
      </c>
      <c r="D577" s="1" t="s">
        <v>966</v>
      </c>
      <c r="E577" s="21" t="s">
        <v>237</v>
      </c>
      <c r="F577" s="21">
        <v>111.15094339622641</v>
      </c>
      <c r="G577" s="1" t="s">
        <v>233</v>
      </c>
      <c r="H577" s="6" t="s">
        <v>1951</v>
      </c>
      <c r="I577" s="6" t="s">
        <v>655</v>
      </c>
      <c r="J577" s="6" t="s">
        <v>1852</v>
      </c>
      <c r="K577" s="1">
        <v>0</v>
      </c>
      <c r="L577" s="6" t="s">
        <v>268</v>
      </c>
      <c r="M577" s="1">
        <v>2012</v>
      </c>
      <c r="N577" s="1" t="s">
        <v>1873</v>
      </c>
      <c r="O577" s="1">
        <v>0</v>
      </c>
      <c r="P577" s="1">
        <v>0</v>
      </c>
      <c r="Q577" s="1" t="s">
        <v>1953</v>
      </c>
      <c r="R577" s="1">
        <v>0</v>
      </c>
      <c r="S577" s="1" t="s">
        <v>235</v>
      </c>
    </row>
    <row r="578" spans="1:19" ht="14.45" customHeight="1" x14ac:dyDescent="0.25">
      <c r="A578" s="6">
        <v>577</v>
      </c>
      <c r="B578" s="6">
        <v>7105602</v>
      </c>
      <c r="C578" t="s">
        <v>965</v>
      </c>
      <c r="D578" s="1" t="s">
        <v>966</v>
      </c>
      <c r="E578" s="21">
        <v>16072</v>
      </c>
      <c r="F578" s="1" t="s">
        <v>233</v>
      </c>
      <c r="G578" s="1" t="s">
        <v>233</v>
      </c>
      <c r="H578" s="6" t="s">
        <v>1951</v>
      </c>
      <c r="I578" s="6" t="s">
        <v>723</v>
      </c>
      <c r="J578" s="6" t="s">
        <v>1849</v>
      </c>
      <c r="K578" s="1">
        <v>0</v>
      </c>
      <c r="L578" s="6" t="s">
        <v>268</v>
      </c>
      <c r="M578" s="1">
        <v>2015</v>
      </c>
      <c r="N578" s="1" t="s">
        <v>1881</v>
      </c>
      <c r="O578" s="1">
        <v>0</v>
      </c>
      <c r="P578" s="1">
        <v>0</v>
      </c>
      <c r="Q578" s="1">
        <v>0</v>
      </c>
      <c r="R578" s="1">
        <v>0</v>
      </c>
      <c r="S578" s="1" t="s">
        <v>235</v>
      </c>
    </row>
    <row r="579" spans="1:19" ht="14.45" customHeight="1" x14ac:dyDescent="0.25">
      <c r="A579" s="6">
        <v>578</v>
      </c>
      <c r="B579" s="6">
        <v>7105602</v>
      </c>
      <c r="C579" t="s">
        <v>965</v>
      </c>
      <c r="D579" s="1" t="s">
        <v>966</v>
      </c>
      <c r="E579" s="21">
        <v>10100</v>
      </c>
      <c r="F579" s="1" t="s">
        <v>233</v>
      </c>
      <c r="G579" s="1" t="s">
        <v>233</v>
      </c>
      <c r="H579" s="6" t="s">
        <v>1951</v>
      </c>
      <c r="I579" s="6" t="s">
        <v>725</v>
      </c>
      <c r="J579" s="6" t="s">
        <v>1852</v>
      </c>
      <c r="K579" s="1">
        <v>0</v>
      </c>
      <c r="L579" s="6" t="s">
        <v>234</v>
      </c>
      <c r="M579" s="1">
        <v>2006</v>
      </c>
      <c r="N579" s="1" t="s">
        <v>1859</v>
      </c>
      <c r="O579" s="1">
        <v>0</v>
      </c>
      <c r="P579" s="1">
        <v>0</v>
      </c>
      <c r="Q579" s="1">
        <v>0</v>
      </c>
      <c r="R579" s="1">
        <v>0</v>
      </c>
      <c r="S579" s="1" t="s">
        <v>235</v>
      </c>
    </row>
    <row r="580" spans="1:19" ht="14.45" customHeight="1" x14ac:dyDescent="0.25">
      <c r="A580" s="6">
        <v>579</v>
      </c>
      <c r="B580" s="6">
        <v>7105602</v>
      </c>
      <c r="C580" t="s">
        <v>965</v>
      </c>
      <c r="D580" s="1" t="s">
        <v>966</v>
      </c>
      <c r="E580" s="21">
        <v>17500</v>
      </c>
      <c r="F580" s="1" t="s">
        <v>233</v>
      </c>
      <c r="G580" s="1" t="s">
        <v>233</v>
      </c>
      <c r="H580" s="6" t="s">
        <v>1951</v>
      </c>
      <c r="I580" s="6" t="s">
        <v>725</v>
      </c>
      <c r="J580" s="6" t="s">
        <v>1852</v>
      </c>
      <c r="K580" s="1">
        <v>0</v>
      </c>
      <c r="L580" s="6" t="s">
        <v>234</v>
      </c>
      <c r="M580" s="1">
        <v>2006</v>
      </c>
      <c r="N580" s="1" t="s">
        <v>237</v>
      </c>
      <c r="O580" s="1">
        <v>0</v>
      </c>
      <c r="P580" s="1">
        <v>0</v>
      </c>
      <c r="Q580" s="1">
        <v>0</v>
      </c>
      <c r="R580" s="1">
        <v>0</v>
      </c>
      <c r="S580" s="1" t="s">
        <v>235</v>
      </c>
    </row>
    <row r="581" spans="1:19" ht="14.45" customHeight="1" x14ac:dyDescent="0.25">
      <c r="A581" s="6">
        <v>580</v>
      </c>
      <c r="B581" s="6">
        <v>7109101</v>
      </c>
      <c r="C581" t="s">
        <v>967</v>
      </c>
      <c r="D581" s="1" t="s">
        <v>968</v>
      </c>
      <c r="E581" s="21">
        <v>7389</v>
      </c>
      <c r="F581" s="1" t="s">
        <v>233</v>
      </c>
      <c r="G581" s="1" t="s">
        <v>233</v>
      </c>
      <c r="H581" s="6" t="s">
        <v>1951</v>
      </c>
      <c r="I581" s="6" t="s">
        <v>329</v>
      </c>
      <c r="J581" s="6" t="s">
        <v>1849</v>
      </c>
      <c r="K581" s="1">
        <v>0</v>
      </c>
      <c r="L581" s="6" t="s">
        <v>258</v>
      </c>
      <c r="M581" s="1">
        <v>2012</v>
      </c>
      <c r="N581" s="1" t="s">
        <v>1958</v>
      </c>
      <c r="O581" s="1">
        <v>1</v>
      </c>
      <c r="P581" s="1">
        <v>0</v>
      </c>
      <c r="Q581" s="1">
        <v>0</v>
      </c>
      <c r="R581" s="1">
        <v>0</v>
      </c>
      <c r="S581" s="1" t="s">
        <v>235</v>
      </c>
    </row>
    <row r="582" spans="1:19" ht="14.45" customHeight="1" x14ac:dyDescent="0.25">
      <c r="A582" s="6">
        <v>581</v>
      </c>
      <c r="B582" s="6">
        <v>7109101</v>
      </c>
      <c r="C582" t="s">
        <v>967</v>
      </c>
      <c r="D582" s="1" t="s">
        <v>968</v>
      </c>
      <c r="E582" s="21">
        <v>8015.7</v>
      </c>
      <c r="F582" s="1" t="s">
        <v>233</v>
      </c>
      <c r="G582" s="1" t="s">
        <v>233</v>
      </c>
      <c r="H582" s="6" t="s">
        <v>1951</v>
      </c>
      <c r="I582" s="6" t="s">
        <v>329</v>
      </c>
      <c r="J582" s="6" t="s">
        <v>1849</v>
      </c>
      <c r="K582" s="1">
        <v>0</v>
      </c>
      <c r="L582" s="6" t="s">
        <v>258</v>
      </c>
      <c r="M582" s="1">
        <v>2012</v>
      </c>
      <c r="N582" s="1" t="s">
        <v>1959</v>
      </c>
      <c r="O582" s="1">
        <v>1</v>
      </c>
      <c r="P582" s="1">
        <v>0</v>
      </c>
      <c r="Q582" s="1">
        <v>0</v>
      </c>
      <c r="R582" s="1">
        <v>0</v>
      </c>
      <c r="S582" s="1" t="s">
        <v>235</v>
      </c>
    </row>
    <row r="583" spans="1:19" ht="14.45" customHeight="1" x14ac:dyDescent="0.25">
      <c r="A583" s="6">
        <v>582</v>
      </c>
      <c r="B583" s="6">
        <v>7109101</v>
      </c>
      <c r="C583" t="s">
        <v>967</v>
      </c>
      <c r="D583" s="1" t="s">
        <v>968</v>
      </c>
      <c r="E583" s="21">
        <v>5622.3</v>
      </c>
      <c r="F583" s="1" t="s">
        <v>233</v>
      </c>
      <c r="G583" s="1" t="s">
        <v>233</v>
      </c>
      <c r="H583" s="6" t="s">
        <v>1951</v>
      </c>
      <c r="I583" s="6" t="s">
        <v>329</v>
      </c>
      <c r="J583" s="6" t="s">
        <v>1849</v>
      </c>
      <c r="K583" s="1">
        <v>0</v>
      </c>
      <c r="L583" s="6" t="s">
        <v>258</v>
      </c>
      <c r="M583" s="1">
        <v>2012</v>
      </c>
      <c r="N583" s="1" t="s">
        <v>1960</v>
      </c>
      <c r="O583" s="1">
        <v>1</v>
      </c>
      <c r="P583" s="1">
        <v>0</v>
      </c>
      <c r="Q583" s="1">
        <v>0</v>
      </c>
      <c r="R583" s="1">
        <v>0</v>
      </c>
      <c r="S583" s="1" t="s">
        <v>235</v>
      </c>
    </row>
    <row r="584" spans="1:19" ht="14.45" customHeight="1" x14ac:dyDescent="0.25">
      <c r="A584" s="6">
        <v>583</v>
      </c>
      <c r="B584" s="6">
        <v>7109101</v>
      </c>
      <c r="C584" t="s">
        <v>967</v>
      </c>
      <c r="D584" s="1" t="s">
        <v>968</v>
      </c>
      <c r="E584" s="21">
        <v>12200</v>
      </c>
      <c r="F584" s="1" t="s">
        <v>233</v>
      </c>
      <c r="G584" s="1" t="s">
        <v>233</v>
      </c>
      <c r="H584" s="6" t="s">
        <v>1951</v>
      </c>
      <c r="I584" s="6" t="s">
        <v>337</v>
      </c>
      <c r="J584" s="6" t="s">
        <v>1852</v>
      </c>
      <c r="K584" s="1">
        <v>0</v>
      </c>
      <c r="L584" s="6" t="s">
        <v>234</v>
      </c>
      <c r="M584" s="1">
        <v>2012</v>
      </c>
      <c r="N584" s="1" t="s">
        <v>237</v>
      </c>
      <c r="O584" s="1">
        <v>0</v>
      </c>
      <c r="P584" s="1" t="s">
        <v>1952</v>
      </c>
      <c r="Q584" s="1">
        <v>0</v>
      </c>
      <c r="R584" s="1">
        <v>0</v>
      </c>
      <c r="S584" s="1" t="s">
        <v>235</v>
      </c>
    </row>
    <row r="585" spans="1:19" ht="14.45" customHeight="1" x14ac:dyDescent="0.25">
      <c r="A585" s="6">
        <v>584</v>
      </c>
      <c r="B585" s="6">
        <v>7109101</v>
      </c>
      <c r="C585" t="s">
        <v>967</v>
      </c>
      <c r="D585" s="1" t="s">
        <v>968</v>
      </c>
      <c r="E585" s="21" t="s">
        <v>237</v>
      </c>
      <c r="F585" s="1" t="s">
        <v>233</v>
      </c>
      <c r="G585" s="19">
        <v>91.5</v>
      </c>
      <c r="H585" s="6" t="s">
        <v>1951</v>
      </c>
      <c r="I585" s="6" t="s">
        <v>341</v>
      </c>
      <c r="J585" s="6" t="s">
        <v>1852</v>
      </c>
      <c r="K585" s="1">
        <v>0</v>
      </c>
      <c r="L585" s="6" t="s">
        <v>236</v>
      </c>
      <c r="M585" s="1">
        <v>2009</v>
      </c>
      <c r="N585" s="1" t="s">
        <v>237</v>
      </c>
      <c r="O585" s="1">
        <v>0</v>
      </c>
      <c r="P585" s="1">
        <v>0</v>
      </c>
      <c r="Q585" s="1">
        <v>0</v>
      </c>
      <c r="R585" s="1">
        <v>0</v>
      </c>
      <c r="S585" s="1" t="s">
        <v>235</v>
      </c>
    </row>
    <row r="586" spans="1:19" ht="14.45" customHeight="1" x14ac:dyDescent="0.25">
      <c r="A586" s="6">
        <v>585</v>
      </c>
      <c r="B586" s="6">
        <v>7109101</v>
      </c>
      <c r="C586" t="s">
        <v>967</v>
      </c>
      <c r="D586" s="1" t="s">
        <v>968</v>
      </c>
      <c r="E586" s="21">
        <v>21730</v>
      </c>
      <c r="F586" s="1" t="s">
        <v>233</v>
      </c>
      <c r="G586" s="1" t="s">
        <v>233</v>
      </c>
      <c r="H586" s="6" t="s">
        <v>1951</v>
      </c>
      <c r="I586" s="6" t="s">
        <v>420</v>
      </c>
      <c r="J586" s="6" t="s">
        <v>1852</v>
      </c>
      <c r="K586" s="1">
        <v>0</v>
      </c>
      <c r="L586" s="6" t="s">
        <v>271</v>
      </c>
      <c r="M586" s="1">
        <v>2010</v>
      </c>
      <c r="N586" s="1" t="s">
        <v>237</v>
      </c>
      <c r="O586" s="1">
        <v>0</v>
      </c>
      <c r="P586" s="1">
        <v>0</v>
      </c>
      <c r="Q586" s="1">
        <v>0</v>
      </c>
      <c r="R586" s="1">
        <v>0</v>
      </c>
      <c r="S586" s="1" t="s">
        <v>235</v>
      </c>
    </row>
    <row r="587" spans="1:19" ht="14.45" customHeight="1" x14ac:dyDescent="0.25">
      <c r="A587" s="6">
        <v>586</v>
      </c>
      <c r="B587" s="6">
        <v>7109101</v>
      </c>
      <c r="C587" t="s">
        <v>967</v>
      </c>
      <c r="D587" s="1" t="s">
        <v>968</v>
      </c>
      <c r="E587" s="21">
        <v>6157.8947368421059</v>
      </c>
      <c r="F587" s="1" t="s">
        <v>233</v>
      </c>
      <c r="G587" s="1" t="s">
        <v>233</v>
      </c>
      <c r="H587" s="6" t="s">
        <v>1951</v>
      </c>
      <c r="I587" s="6" t="s">
        <v>433</v>
      </c>
      <c r="J587" s="6" t="s">
        <v>1853</v>
      </c>
      <c r="K587" s="1">
        <v>0</v>
      </c>
      <c r="L587" s="6" t="s">
        <v>249</v>
      </c>
      <c r="M587" s="1">
        <v>2008</v>
      </c>
      <c r="N587" s="1" t="s">
        <v>1961</v>
      </c>
      <c r="O587" s="1">
        <v>1</v>
      </c>
      <c r="P587" s="1">
        <v>0</v>
      </c>
      <c r="Q587" s="1">
        <v>0</v>
      </c>
      <c r="R587" s="1">
        <v>0</v>
      </c>
      <c r="S587" s="1" t="s">
        <v>235</v>
      </c>
    </row>
    <row r="588" spans="1:19" ht="14.45" customHeight="1" x14ac:dyDescent="0.25">
      <c r="A588" s="6">
        <v>587</v>
      </c>
      <c r="B588" s="6">
        <v>7109101</v>
      </c>
      <c r="C588" t="s">
        <v>967</v>
      </c>
      <c r="D588" s="1" t="s">
        <v>968</v>
      </c>
      <c r="E588" s="21">
        <v>16527.777777777777</v>
      </c>
      <c r="F588" s="1" t="s">
        <v>233</v>
      </c>
      <c r="G588" s="1" t="s">
        <v>233</v>
      </c>
      <c r="H588" s="6" t="s">
        <v>1951</v>
      </c>
      <c r="I588" s="6" t="s">
        <v>433</v>
      </c>
      <c r="J588" s="6" t="s">
        <v>1853</v>
      </c>
      <c r="K588" s="1">
        <v>0</v>
      </c>
      <c r="L588" s="6" t="s">
        <v>249</v>
      </c>
      <c r="M588" s="1">
        <v>2008</v>
      </c>
      <c r="N588" s="1" t="s">
        <v>237</v>
      </c>
      <c r="O588" s="1">
        <v>0</v>
      </c>
      <c r="P588" s="1">
        <v>0</v>
      </c>
      <c r="Q588" s="1">
        <v>0</v>
      </c>
      <c r="R588" s="1">
        <v>0</v>
      </c>
      <c r="S588" s="1" t="s">
        <v>235</v>
      </c>
    </row>
    <row r="589" spans="1:19" ht="14.45" customHeight="1" x14ac:dyDescent="0.25">
      <c r="A589" s="6">
        <v>588</v>
      </c>
      <c r="B589" s="6">
        <v>7109101</v>
      </c>
      <c r="C589" t="s">
        <v>967</v>
      </c>
      <c r="D589" s="1" t="s">
        <v>968</v>
      </c>
      <c r="E589" s="21">
        <v>37916.666666666664</v>
      </c>
      <c r="F589" s="1" t="s">
        <v>233</v>
      </c>
      <c r="G589" s="1" t="s">
        <v>233</v>
      </c>
      <c r="H589" s="6" t="s">
        <v>1951</v>
      </c>
      <c r="I589" s="6" t="s">
        <v>433</v>
      </c>
      <c r="J589" s="6" t="s">
        <v>1853</v>
      </c>
      <c r="K589" s="1">
        <v>0</v>
      </c>
      <c r="L589" s="6" t="s">
        <v>255</v>
      </c>
      <c r="M589" s="1">
        <v>2008</v>
      </c>
      <c r="N589" s="1" t="s">
        <v>237</v>
      </c>
      <c r="O589" s="1">
        <v>0</v>
      </c>
      <c r="P589" s="1">
        <v>0</v>
      </c>
      <c r="Q589" s="1">
        <v>0</v>
      </c>
      <c r="R589" s="1">
        <v>0</v>
      </c>
      <c r="S589" s="1" t="s">
        <v>235</v>
      </c>
    </row>
    <row r="590" spans="1:19" ht="14.45" customHeight="1" x14ac:dyDescent="0.25">
      <c r="A590" s="6">
        <v>589</v>
      </c>
      <c r="B590" s="6">
        <v>7109101</v>
      </c>
      <c r="C590" t="s">
        <v>967</v>
      </c>
      <c r="D590" s="1" t="s">
        <v>968</v>
      </c>
      <c r="E590" s="21">
        <v>58333.333333333328</v>
      </c>
      <c r="F590" s="1" t="s">
        <v>233</v>
      </c>
      <c r="G590" s="1" t="s">
        <v>233</v>
      </c>
      <c r="H590" s="6" t="s">
        <v>1951</v>
      </c>
      <c r="I590" s="6" t="s">
        <v>433</v>
      </c>
      <c r="J590" s="6" t="s">
        <v>1853</v>
      </c>
      <c r="K590" s="1">
        <v>0</v>
      </c>
      <c r="L590" s="6" t="s">
        <v>245</v>
      </c>
      <c r="M590" s="1">
        <v>2008</v>
      </c>
      <c r="N590" s="1" t="s">
        <v>237</v>
      </c>
      <c r="O590" s="1">
        <v>0</v>
      </c>
      <c r="P590" s="1" t="s">
        <v>1952</v>
      </c>
      <c r="Q590" s="1">
        <v>0</v>
      </c>
      <c r="R590" s="1">
        <v>0</v>
      </c>
      <c r="S590" s="1" t="s">
        <v>235</v>
      </c>
    </row>
    <row r="591" spans="1:19" ht="14.45" customHeight="1" x14ac:dyDescent="0.25">
      <c r="A591" s="6">
        <v>590</v>
      </c>
      <c r="B591" s="6">
        <v>7109101</v>
      </c>
      <c r="C591" t="s">
        <v>967</v>
      </c>
      <c r="D591" s="1" t="s">
        <v>968</v>
      </c>
      <c r="E591" s="21">
        <v>15900</v>
      </c>
      <c r="F591" s="1" t="s">
        <v>233</v>
      </c>
      <c r="G591" s="1" t="s">
        <v>233</v>
      </c>
      <c r="H591" s="6" t="s">
        <v>1951</v>
      </c>
      <c r="I591" s="6" t="s">
        <v>434</v>
      </c>
      <c r="J591" s="6" t="s">
        <v>1853</v>
      </c>
      <c r="K591" s="1">
        <v>0</v>
      </c>
      <c r="L591" s="6" t="s">
        <v>249</v>
      </c>
      <c r="M591" s="1">
        <v>2008</v>
      </c>
      <c r="N591" s="1" t="s">
        <v>1962</v>
      </c>
      <c r="O591" s="1">
        <v>0</v>
      </c>
      <c r="P591" s="1">
        <v>0</v>
      </c>
      <c r="Q591" s="1">
        <v>0</v>
      </c>
      <c r="R591" s="1">
        <v>0</v>
      </c>
      <c r="S591" s="1" t="s">
        <v>235</v>
      </c>
    </row>
    <row r="592" spans="1:19" ht="14.45" customHeight="1" x14ac:dyDescent="0.25">
      <c r="A592" s="6">
        <v>591</v>
      </c>
      <c r="B592" s="6">
        <v>7109101</v>
      </c>
      <c r="C592" t="s">
        <v>967</v>
      </c>
      <c r="D592" s="1" t="s">
        <v>968</v>
      </c>
      <c r="E592" s="21">
        <v>19460</v>
      </c>
      <c r="F592" s="1" t="s">
        <v>233</v>
      </c>
      <c r="G592" s="1" t="s">
        <v>233</v>
      </c>
      <c r="H592" s="6" t="s">
        <v>1951</v>
      </c>
      <c r="I592" s="6" t="s">
        <v>436</v>
      </c>
      <c r="J592" s="6" t="s">
        <v>1852</v>
      </c>
      <c r="K592" s="1">
        <v>0</v>
      </c>
      <c r="L592" s="6" t="s">
        <v>261</v>
      </c>
      <c r="M592" s="1">
        <v>2013</v>
      </c>
      <c r="N592" s="1" t="s">
        <v>237</v>
      </c>
      <c r="O592" s="1">
        <v>0</v>
      </c>
      <c r="P592" s="1">
        <v>0</v>
      </c>
      <c r="Q592" s="1">
        <v>0</v>
      </c>
      <c r="R592" s="1">
        <v>0</v>
      </c>
      <c r="S592" s="1" t="s">
        <v>235</v>
      </c>
    </row>
    <row r="593" spans="1:19" ht="14.45" customHeight="1" x14ac:dyDescent="0.25">
      <c r="A593" s="6">
        <v>592</v>
      </c>
      <c r="B593" s="6">
        <v>7109101</v>
      </c>
      <c r="C593" t="s">
        <v>967</v>
      </c>
      <c r="D593" s="1" t="s">
        <v>968</v>
      </c>
      <c r="E593" s="21">
        <v>19695</v>
      </c>
      <c r="F593" s="1" t="s">
        <v>233</v>
      </c>
      <c r="G593" s="1" t="s">
        <v>233</v>
      </c>
      <c r="H593" s="6" t="s">
        <v>1951</v>
      </c>
      <c r="I593" s="6" t="s">
        <v>442</v>
      </c>
      <c r="J593" s="6" t="s">
        <v>1853</v>
      </c>
      <c r="K593" s="1">
        <v>0</v>
      </c>
      <c r="L593" s="6" t="s">
        <v>238</v>
      </c>
      <c r="M593" s="1">
        <v>2011</v>
      </c>
      <c r="N593" s="1" t="s">
        <v>237</v>
      </c>
      <c r="O593" s="1">
        <v>0</v>
      </c>
      <c r="P593" s="1">
        <v>0</v>
      </c>
      <c r="Q593" s="1">
        <v>0</v>
      </c>
      <c r="R593" s="1">
        <v>0</v>
      </c>
      <c r="S593" s="1" t="s">
        <v>235</v>
      </c>
    </row>
    <row r="594" spans="1:19" ht="14.45" customHeight="1" x14ac:dyDescent="0.25">
      <c r="A594" s="6">
        <v>593</v>
      </c>
      <c r="B594" s="6">
        <v>7109101</v>
      </c>
      <c r="C594" t="s">
        <v>967</v>
      </c>
      <c r="D594" s="1" t="s">
        <v>968</v>
      </c>
      <c r="E594" s="21">
        <v>26316.216216216217</v>
      </c>
      <c r="F594" s="1" t="s">
        <v>233</v>
      </c>
      <c r="G594" s="1" t="s">
        <v>233</v>
      </c>
      <c r="H594" s="6" t="s">
        <v>1951</v>
      </c>
      <c r="I594" s="6" t="s">
        <v>445</v>
      </c>
      <c r="J594" s="6" t="s">
        <v>1852</v>
      </c>
      <c r="K594" s="1">
        <v>0</v>
      </c>
      <c r="L594" s="6" t="s">
        <v>255</v>
      </c>
      <c r="M594" s="1">
        <v>2006</v>
      </c>
      <c r="N594" s="1" t="s">
        <v>1963</v>
      </c>
      <c r="O594" s="1">
        <v>1</v>
      </c>
      <c r="P594" s="1">
        <v>0</v>
      </c>
      <c r="Q594" s="1">
        <v>0</v>
      </c>
      <c r="R594" s="1">
        <v>0</v>
      </c>
      <c r="S594" s="1" t="s">
        <v>235</v>
      </c>
    </row>
    <row r="595" spans="1:19" ht="14.45" customHeight="1" x14ac:dyDescent="0.25">
      <c r="A595" s="6">
        <v>594</v>
      </c>
      <c r="B595" s="6">
        <v>7109101</v>
      </c>
      <c r="C595" t="s">
        <v>967</v>
      </c>
      <c r="D595" s="1" t="s">
        <v>968</v>
      </c>
      <c r="E595" s="21">
        <v>30091.891891891893</v>
      </c>
      <c r="F595" s="1" t="s">
        <v>233</v>
      </c>
      <c r="G595" s="1" t="s">
        <v>233</v>
      </c>
      <c r="H595" s="6" t="s">
        <v>1951</v>
      </c>
      <c r="I595" s="6" t="s">
        <v>446</v>
      </c>
      <c r="J595" s="6" t="s">
        <v>1852</v>
      </c>
      <c r="K595" s="1">
        <v>0</v>
      </c>
      <c r="L595" s="6" t="s">
        <v>255</v>
      </c>
      <c r="M595" s="1">
        <v>2006</v>
      </c>
      <c r="N595" s="1" t="s">
        <v>1964</v>
      </c>
      <c r="O595" s="1">
        <v>0</v>
      </c>
      <c r="P595" s="1">
        <v>0</v>
      </c>
      <c r="Q595" s="1">
        <v>0</v>
      </c>
      <c r="R595" s="1">
        <v>0</v>
      </c>
      <c r="S595" s="1" t="s">
        <v>235</v>
      </c>
    </row>
    <row r="596" spans="1:19" ht="14.45" customHeight="1" x14ac:dyDescent="0.25">
      <c r="A596" s="6">
        <v>595</v>
      </c>
      <c r="B596" s="6">
        <v>7109101</v>
      </c>
      <c r="C596" t="s">
        <v>967</v>
      </c>
      <c r="D596" s="1" t="s">
        <v>968</v>
      </c>
      <c r="E596" s="21">
        <v>34016.216216216213</v>
      </c>
      <c r="F596" s="1" t="s">
        <v>233</v>
      </c>
      <c r="G596" s="1" t="s">
        <v>233</v>
      </c>
      <c r="H596" s="6" t="s">
        <v>1951</v>
      </c>
      <c r="I596" s="6" t="s">
        <v>446</v>
      </c>
      <c r="J596" s="6" t="s">
        <v>1852</v>
      </c>
      <c r="K596" s="1">
        <v>0</v>
      </c>
      <c r="L596" s="6" t="s">
        <v>255</v>
      </c>
      <c r="M596" s="1">
        <v>2006</v>
      </c>
      <c r="N596" s="1" t="s">
        <v>1965</v>
      </c>
      <c r="O596" s="1">
        <v>0</v>
      </c>
      <c r="P596" s="1">
        <v>0</v>
      </c>
      <c r="Q596" s="1">
        <v>0</v>
      </c>
      <c r="R596" s="1">
        <v>0</v>
      </c>
      <c r="S596" s="1" t="s">
        <v>235</v>
      </c>
    </row>
    <row r="597" spans="1:19" ht="14.45" customHeight="1" x14ac:dyDescent="0.25">
      <c r="A597" s="6">
        <v>596</v>
      </c>
      <c r="B597" s="6">
        <v>7109101</v>
      </c>
      <c r="C597" t="s">
        <v>967</v>
      </c>
      <c r="D597" s="1" t="s">
        <v>968</v>
      </c>
      <c r="E597" s="21">
        <v>22300</v>
      </c>
      <c r="F597" s="1" t="s">
        <v>233</v>
      </c>
      <c r="G597" s="1" t="s">
        <v>233</v>
      </c>
      <c r="H597" s="6" t="s">
        <v>1951</v>
      </c>
      <c r="I597" s="6" t="s">
        <v>449</v>
      </c>
      <c r="J597" s="6" t="s">
        <v>1852</v>
      </c>
      <c r="K597" s="1">
        <v>0</v>
      </c>
      <c r="L597" s="6" t="s">
        <v>239</v>
      </c>
      <c r="M597" s="1">
        <v>2003</v>
      </c>
      <c r="N597" s="1" t="s">
        <v>1875</v>
      </c>
      <c r="O597" s="1">
        <v>0</v>
      </c>
      <c r="P597" s="1">
        <v>0</v>
      </c>
      <c r="Q597" s="1">
        <v>0</v>
      </c>
      <c r="R597" s="1">
        <v>0</v>
      </c>
      <c r="S597" s="1" t="s">
        <v>235</v>
      </c>
    </row>
    <row r="598" spans="1:19" ht="14.45" customHeight="1" x14ac:dyDescent="0.25">
      <c r="A598" s="6">
        <v>597</v>
      </c>
      <c r="B598" s="6">
        <v>7109101</v>
      </c>
      <c r="C598" t="s">
        <v>967</v>
      </c>
      <c r="D598" s="1" t="s">
        <v>968</v>
      </c>
      <c r="E598" s="21">
        <v>41000</v>
      </c>
      <c r="F598" s="1" t="s">
        <v>233</v>
      </c>
      <c r="G598" s="1" t="s">
        <v>233</v>
      </c>
      <c r="H598" s="6" t="s">
        <v>1951</v>
      </c>
      <c r="I598" s="6" t="s">
        <v>451</v>
      </c>
      <c r="J598" s="6" t="s">
        <v>1849</v>
      </c>
      <c r="K598" s="1">
        <v>0</v>
      </c>
      <c r="L598" s="6" t="s">
        <v>245</v>
      </c>
      <c r="M598" s="1">
        <v>2009</v>
      </c>
      <c r="N598" s="1" t="s">
        <v>1875</v>
      </c>
      <c r="O598" s="1">
        <v>0</v>
      </c>
      <c r="P598" s="1">
        <v>0</v>
      </c>
      <c r="Q598" s="1">
        <v>0</v>
      </c>
      <c r="R598" s="1">
        <v>0</v>
      </c>
      <c r="S598" s="1" t="s">
        <v>235</v>
      </c>
    </row>
    <row r="599" spans="1:19" ht="14.45" customHeight="1" x14ac:dyDescent="0.25">
      <c r="A599" s="6">
        <v>598</v>
      </c>
      <c r="B599" s="6">
        <v>7109101</v>
      </c>
      <c r="C599" t="s">
        <v>967</v>
      </c>
      <c r="D599" s="1" t="s">
        <v>968</v>
      </c>
      <c r="E599" s="21">
        <v>40285.71428571429</v>
      </c>
      <c r="F599" s="1" t="s">
        <v>233</v>
      </c>
      <c r="G599" s="1" t="s">
        <v>233</v>
      </c>
      <c r="H599" s="6" t="s">
        <v>1951</v>
      </c>
      <c r="I599" s="6" t="s">
        <v>451</v>
      </c>
      <c r="J599" s="6" t="s">
        <v>1852</v>
      </c>
      <c r="K599" s="1">
        <v>0</v>
      </c>
      <c r="L599" s="6" t="s">
        <v>245</v>
      </c>
      <c r="M599" s="1">
        <v>2009</v>
      </c>
      <c r="N599" s="1" t="s">
        <v>1966</v>
      </c>
      <c r="O599" s="1">
        <v>0</v>
      </c>
      <c r="P599" s="1">
        <v>0</v>
      </c>
      <c r="Q599" s="1">
        <v>0</v>
      </c>
      <c r="R599" s="1">
        <v>0</v>
      </c>
      <c r="S599" s="1" t="s">
        <v>235</v>
      </c>
    </row>
    <row r="600" spans="1:19" ht="14.45" customHeight="1" x14ac:dyDescent="0.25">
      <c r="A600" s="6">
        <v>599</v>
      </c>
      <c r="B600" s="6">
        <v>7109101</v>
      </c>
      <c r="C600" t="s">
        <v>967</v>
      </c>
      <c r="D600" s="1" t="s">
        <v>968</v>
      </c>
      <c r="E600" s="21">
        <v>29296.875000000004</v>
      </c>
      <c r="F600" s="1" t="s">
        <v>233</v>
      </c>
      <c r="G600" s="1" t="s">
        <v>233</v>
      </c>
      <c r="H600" s="6" t="s">
        <v>1951</v>
      </c>
      <c r="I600" s="6" t="s">
        <v>452</v>
      </c>
      <c r="J600" s="6" t="s">
        <v>1852</v>
      </c>
      <c r="K600" s="1">
        <v>0</v>
      </c>
      <c r="L600" s="6" t="s">
        <v>239</v>
      </c>
      <c r="M600" s="1">
        <v>2009</v>
      </c>
      <c r="N600" s="1" t="s">
        <v>1966</v>
      </c>
      <c r="O600" s="1">
        <v>0</v>
      </c>
      <c r="P600" s="1">
        <v>0</v>
      </c>
      <c r="Q600" s="1">
        <v>0</v>
      </c>
      <c r="R600" s="1">
        <v>0</v>
      </c>
      <c r="S600" s="1" t="s">
        <v>235</v>
      </c>
    </row>
    <row r="601" spans="1:19" ht="14.45" customHeight="1" x14ac:dyDescent="0.25">
      <c r="A601" s="6">
        <v>600</v>
      </c>
      <c r="B601" s="6">
        <v>7109101</v>
      </c>
      <c r="C601" t="s">
        <v>967</v>
      </c>
      <c r="D601" s="1" t="s">
        <v>968</v>
      </c>
      <c r="E601" s="21" t="s">
        <v>237</v>
      </c>
      <c r="F601" s="1" t="s">
        <v>233</v>
      </c>
      <c r="G601" s="19">
        <v>99.999999999999986</v>
      </c>
      <c r="H601" s="6" t="s">
        <v>1951</v>
      </c>
      <c r="I601" s="6" t="s">
        <v>1975</v>
      </c>
      <c r="J601" s="6" t="s">
        <v>1849</v>
      </c>
      <c r="K601" s="1">
        <v>0</v>
      </c>
      <c r="L601" s="6" t="s">
        <v>234</v>
      </c>
      <c r="M601" s="1">
        <v>2005</v>
      </c>
      <c r="N601" s="1" t="s">
        <v>237</v>
      </c>
      <c r="O601" s="1">
        <v>0</v>
      </c>
      <c r="P601" s="1">
        <v>0</v>
      </c>
      <c r="Q601" s="1">
        <v>0</v>
      </c>
      <c r="R601" s="1">
        <v>0</v>
      </c>
      <c r="S601" s="1" t="s">
        <v>235</v>
      </c>
    </row>
    <row r="602" spans="1:19" ht="14.45" customHeight="1" x14ac:dyDescent="0.25">
      <c r="A602" s="6">
        <v>601</v>
      </c>
      <c r="B602" s="6">
        <v>7109101</v>
      </c>
      <c r="C602" t="s">
        <v>967</v>
      </c>
      <c r="D602" s="1" t="s">
        <v>968</v>
      </c>
      <c r="E602" s="21" t="s">
        <v>237</v>
      </c>
      <c r="F602" s="1" t="s">
        <v>233</v>
      </c>
      <c r="G602" s="19">
        <v>157</v>
      </c>
      <c r="H602" s="6" t="s">
        <v>1951</v>
      </c>
      <c r="I602" s="6" t="s">
        <v>465</v>
      </c>
      <c r="J602" s="6" t="s">
        <v>1849</v>
      </c>
      <c r="K602" s="1">
        <v>0</v>
      </c>
      <c r="L602" s="6" t="s">
        <v>234</v>
      </c>
      <c r="M602" s="1">
        <v>2007</v>
      </c>
      <c r="N602" s="1" t="s">
        <v>237</v>
      </c>
      <c r="O602" s="1">
        <v>0</v>
      </c>
      <c r="P602" s="1">
        <v>0</v>
      </c>
      <c r="Q602" s="1">
        <v>0</v>
      </c>
      <c r="R602" s="1">
        <v>0</v>
      </c>
      <c r="S602" s="1" t="s">
        <v>235</v>
      </c>
    </row>
    <row r="603" spans="1:19" ht="14.45" customHeight="1" x14ac:dyDescent="0.25">
      <c r="A603" s="6">
        <v>602</v>
      </c>
      <c r="B603" s="6">
        <v>7109101</v>
      </c>
      <c r="C603" t="s">
        <v>967</v>
      </c>
      <c r="D603" s="1" t="s">
        <v>968</v>
      </c>
      <c r="E603" s="21">
        <v>23100</v>
      </c>
      <c r="F603" s="21">
        <v>25387</v>
      </c>
      <c r="G603" s="19">
        <v>93.5</v>
      </c>
      <c r="H603" s="6" t="s">
        <v>1954</v>
      </c>
      <c r="I603" s="6" t="s">
        <v>466</v>
      </c>
      <c r="J603" s="6" t="s">
        <v>1849</v>
      </c>
      <c r="K603" s="1">
        <v>0</v>
      </c>
      <c r="L603" s="6" t="s">
        <v>236</v>
      </c>
      <c r="M603" s="1">
        <v>2013</v>
      </c>
      <c r="N603" s="1" t="s">
        <v>237</v>
      </c>
      <c r="O603" s="1">
        <v>0</v>
      </c>
      <c r="P603" s="1">
        <v>0</v>
      </c>
      <c r="Q603" s="1">
        <v>0</v>
      </c>
      <c r="R603" s="1">
        <v>0</v>
      </c>
      <c r="S603" s="1" t="s">
        <v>235</v>
      </c>
    </row>
    <row r="604" spans="1:19" ht="14.45" customHeight="1" x14ac:dyDescent="0.25">
      <c r="A604" s="6">
        <v>603</v>
      </c>
      <c r="B604" s="6">
        <v>7109101</v>
      </c>
      <c r="C604" t="s">
        <v>967</v>
      </c>
      <c r="D604" s="1" t="s">
        <v>968</v>
      </c>
      <c r="E604" s="21">
        <v>23400</v>
      </c>
      <c r="F604" s="21">
        <v>25717</v>
      </c>
      <c r="G604" s="19">
        <v>96</v>
      </c>
      <c r="H604" s="6" t="s">
        <v>1954</v>
      </c>
      <c r="I604" s="6" t="s">
        <v>466</v>
      </c>
      <c r="J604" s="6" t="s">
        <v>1849</v>
      </c>
      <c r="K604" s="1">
        <v>0</v>
      </c>
      <c r="L604" s="6" t="s">
        <v>236</v>
      </c>
      <c r="M604" s="1">
        <v>2013</v>
      </c>
      <c r="N604" s="1" t="s">
        <v>237</v>
      </c>
      <c r="O604" s="1">
        <v>0</v>
      </c>
      <c r="P604" s="1">
        <v>0</v>
      </c>
      <c r="Q604" s="1" t="s">
        <v>1953</v>
      </c>
      <c r="R604" s="1">
        <v>0</v>
      </c>
      <c r="S604" s="1" t="s">
        <v>235</v>
      </c>
    </row>
    <row r="605" spans="1:19" ht="14.45" customHeight="1" x14ac:dyDescent="0.25">
      <c r="A605" s="6">
        <v>604</v>
      </c>
      <c r="B605" s="6">
        <v>7109101</v>
      </c>
      <c r="C605" t="s">
        <v>967</v>
      </c>
      <c r="D605" s="1" t="s">
        <v>968</v>
      </c>
      <c r="E605" s="21">
        <v>21400</v>
      </c>
      <c r="F605" s="21">
        <v>13678</v>
      </c>
      <c r="G605" s="19">
        <v>61.5</v>
      </c>
      <c r="H605" s="6" t="s">
        <v>1954</v>
      </c>
      <c r="I605" s="6" t="s">
        <v>467</v>
      </c>
      <c r="J605" s="6" t="s">
        <v>1849</v>
      </c>
      <c r="K605" s="1">
        <v>0</v>
      </c>
      <c r="L605" s="6" t="s">
        <v>236</v>
      </c>
      <c r="M605" s="1">
        <v>2013</v>
      </c>
      <c r="N605" s="1" t="s">
        <v>1961</v>
      </c>
      <c r="O605" s="1">
        <v>1</v>
      </c>
      <c r="P605" s="1">
        <v>0</v>
      </c>
      <c r="Q605" s="1">
        <v>0</v>
      </c>
      <c r="R605" s="1">
        <v>0</v>
      </c>
      <c r="S605" s="1" t="s">
        <v>235</v>
      </c>
    </row>
    <row r="606" spans="1:19" ht="14.45" customHeight="1" x14ac:dyDescent="0.25">
      <c r="A606" s="6">
        <v>605</v>
      </c>
      <c r="B606" s="6">
        <v>7109101</v>
      </c>
      <c r="C606" t="s">
        <v>967</v>
      </c>
      <c r="D606" s="1" t="s">
        <v>968</v>
      </c>
      <c r="E606" s="21">
        <v>21300</v>
      </c>
      <c r="F606" s="21">
        <v>14052</v>
      </c>
      <c r="G606" s="19">
        <v>61.8</v>
      </c>
      <c r="H606" s="6" t="s">
        <v>1954</v>
      </c>
      <c r="I606" s="6" t="s">
        <v>467</v>
      </c>
      <c r="J606" s="6" t="s">
        <v>1849</v>
      </c>
      <c r="K606" s="1">
        <v>0</v>
      </c>
      <c r="L606" s="6" t="s">
        <v>236</v>
      </c>
      <c r="M606" s="1">
        <v>2013</v>
      </c>
      <c r="N606" s="1" t="s">
        <v>1961</v>
      </c>
      <c r="O606" s="1">
        <v>1</v>
      </c>
      <c r="P606" s="1">
        <v>0</v>
      </c>
      <c r="Q606" s="1">
        <v>0</v>
      </c>
      <c r="R606" s="1">
        <v>0</v>
      </c>
      <c r="S606" s="1" t="s">
        <v>235</v>
      </c>
    </row>
    <row r="607" spans="1:19" ht="14.45" customHeight="1" x14ac:dyDescent="0.25">
      <c r="A607" s="6">
        <v>606</v>
      </c>
      <c r="B607" s="6">
        <v>7109101</v>
      </c>
      <c r="C607" t="s">
        <v>967</v>
      </c>
      <c r="D607" s="1" t="s">
        <v>968</v>
      </c>
      <c r="E607" s="21">
        <v>17350</v>
      </c>
      <c r="F607" s="1" t="s">
        <v>233</v>
      </c>
      <c r="G607" s="1" t="s">
        <v>233</v>
      </c>
      <c r="H607" s="6" t="s">
        <v>1951</v>
      </c>
      <c r="I607" s="6" t="s">
        <v>486</v>
      </c>
      <c r="J607" s="6" t="s">
        <v>1852</v>
      </c>
      <c r="K607" s="1">
        <v>0</v>
      </c>
      <c r="L607" s="6" t="s">
        <v>252</v>
      </c>
      <c r="M607" s="1">
        <v>2012</v>
      </c>
      <c r="N607" s="1" t="s">
        <v>237</v>
      </c>
      <c r="O607" s="1">
        <v>0</v>
      </c>
      <c r="P607" s="1">
        <v>0</v>
      </c>
      <c r="Q607" s="1">
        <v>0</v>
      </c>
      <c r="R607" s="1">
        <v>0</v>
      </c>
      <c r="S607" s="1" t="s">
        <v>235</v>
      </c>
    </row>
    <row r="608" spans="1:19" ht="14.45" customHeight="1" x14ac:dyDescent="0.25">
      <c r="A608" s="6">
        <v>607</v>
      </c>
      <c r="B608" s="6">
        <v>7109101</v>
      </c>
      <c r="C608" t="s">
        <v>967</v>
      </c>
      <c r="D608" s="1" t="s">
        <v>968</v>
      </c>
      <c r="E608" s="21">
        <v>27000</v>
      </c>
      <c r="F608" s="1" t="s">
        <v>233</v>
      </c>
      <c r="G608" s="1" t="s">
        <v>233</v>
      </c>
      <c r="H608" s="6" t="s">
        <v>1951</v>
      </c>
      <c r="I608" s="6" t="s">
        <v>490</v>
      </c>
      <c r="J608" s="6" t="s">
        <v>1851</v>
      </c>
      <c r="K608" s="1">
        <v>0</v>
      </c>
      <c r="L608" s="6" t="s">
        <v>238</v>
      </c>
      <c r="M608" s="1">
        <v>2013</v>
      </c>
      <c r="N608" s="1" t="s">
        <v>237</v>
      </c>
      <c r="O608" s="1">
        <v>0</v>
      </c>
      <c r="P608" s="1">
        <v>0</v>
      </c>
      <c r="Q608" s="1">
        <v>0</v>
      </c>
      <c r="R608" s="1">
        <v>0</v>
      </c>
      <c r="S608" s="1" t="s">
        <v>235</v>
      </c>
    </row>
    <row r="609" spans="1:19" ht="14.45" customHeight="1" x14ac:dyDescent="0.25">
      <c r="A609" s="6">
        <v>608</v>
      </c>
      <c r="B609" s="6">
        <v>7109101</v>
      </c>
      <c r="C609" t="s">
        <v>967</v>
      </c>
      <c r="D609" s="1" t="s">
        <v>968</v>
      </c>
      <c r="E609" s="21">
        <v>15023.333333333334</v>
      </c>
      <c r="F609" s="1" t="s">
        <v>233</v>
      </c>
      <c r="G609" s="1" t="s">
        <v>233</v>
      </c>
      <c r="H609" s="6" t="s">
        <v>1951</v>
      </c>
      <c r="I609" s="6" t="s">
        <v>492</v>
      </c>
      <c r="J609" s="6" t="s">
        <v>1853</v>
      </c>
      <c r="K609" s="1">
        <v>0</v>
      </c>
      <c r="L609" s="6" t="s">
        <v>234</v>
      </c>
      <c r="M609" s="1">
        <v>2010</v>
      </c>
      <c r="N609" s="1" t="s">
        <v>237</v>
      </c>
      <c r="O609" s="1">
        <v>0</v>
      </c>
      <c r="P609" s="1">
        <v>0</v>
      </c>
      <c r="Q609" s="1">
        <v>0</v>
      </c>
      <c r="R609" s="1">
        <v>0</v>
      </c>
      <c r="S609" s="1" t="s">
        <v>235</v>
      </c>
    </row>
    <row r="610" spans="1:19" ht="14.45" customHeight="1" x14ac:dyDescent="0.25">
      <c r="A610" s="6">
        <v>609</v>
      </c>
      <c r="B610" s="6">
        <v>7109101</v>
      </c>
      <c r="C610" t="s">
        <v>967</v>
      </c>
      <c r="D610" s="1" t="s">
        <v>968</v>
      </c>
      <c r="E610" s="21">
        <v>17900</v>
      </c>
      <c r="F610" s="1" t="s">
        <v>233</v>
      </c>
      <c r="G610" s="1" t="s">
        <v>233</v>
      </c>
      <c r="H610" s="6" t="s">
        <v>1951</v>
      </c>
      <c r="I610" s="6" t="s">
        <v>500</v>
      </c>
      <c r="J610" s="6" t="s">
        <v>1853</v>
      </c>
      <c r="K610" s="1">
        <v>0</v>
      </c>
      <c r="L610" s="6" t="s">
        <v>240</v>
      </c>
      <c r="M610" s="1">
        <v>2010</v>
      </c>
      <c r="N610" s="1" t="s">
        <v>237</v>
      </c>
      <c r="O610" s="1">
        <v>0</v>
      </c>
      <c r="P610" s="1">
        <v>0</v>
      </c>
      <c r="Q610" s="1">
        <v>0</v>
      </c>
      <c r="R610" s="1">
        <v>0</v>
      </c>
      <c r="S610" s="1" t="s">
        <v>235</v>
      </c>
    </row>
    <row r="611" spans="1:19" ht="14.45" customHeight="1" x14ac:dyDescent="0.25">
      <c r="A611" s="6">
        <v>610</v>
      </c>
      <c r="B611" s="6">
        <v>7109101</v>
      </c>
      <c r="C611" t="s">
        <v>967</v>
      </c>
      <c r="D611" s="1" t="s">
        <v>968</v>
      </c>
      <c r="E611" s="21">
        <v>29742.857142857145</v>
      </c>
      <c r="F611" s="1" t="s">
        <v>233</v>
      </c>
      <c r="G611" s="1" t="s">
        <v>233</v>
      </c>
      <c r="H611" s="6" t="s">
        <v>1951</v>
      </c>
      <c r="I611" s="6" t="s">
        <v>511</v>
      </c>
      <c r="J611" s="6" t="s">
        <v>1852</v>
      </c>
      <c r="K611" s="1">
        <v>0</v>
      </c>
      <c r="L611" s="6" t="s">
        <v>255</v>
      </c>
      <c r="M611" s="1">
        <v>2011</v>
      </c>
      <c r="N611" s="1" t="s">
        <v>1966</v>
      </c>
      <c r="O611" s="1">
        <v>0</v>
      </c>
      <c r="P611" s="1">
        <v>0</v>
      </c>
      <c r="Q611" s="1">
        <v>0</v>
      </c>
      <c r="R611" s="1">
        <v>0</v>
      </c>
      <c r="S611" s="1" t="s">
        <v>235</v>
      </c>
    </row>
    <row r="612" spans="1:19" ht="14.45" customHeight="1" x14ac:dyDescent="0.25">
      <c r="A612" s="6">
        <v>611</v>
      </c>
      <c r="B612" s="6">
        <v>7109101</v>
      </c>
      <c r="C612" t="s">
        <v>967</v>
      </c>
      <c r="D612" s="1" t="s">
        <v>968</v>
      </c>
      <c r="E612" s="21">
        <v>20000</v>
      </c>
      <c r="F612" s="1" t="s">
        <v>233</v>
      </c>
      <c r="G612" s="1" t="s">
        <v>233</v>
      </c>
      <c r="H612" s="6" t="s">
        <v>1951</v>
      </c>
      <c r="I612" s="6" t="s">
        <v>515</v>
      </c>
      <c r="J612" s="6" t="s">
        <v>1853</v>
      </c>
      <c r="K612" s="1">
        <v>0</v>
      </c>
      <c r="L612" s="6" t="s">
        <v>239</v>
      </c>
      <c r="M612" s="1">
        <v>2011</v>
      </c>
      <c r="N612" s="1" t="s">
        <v>1875</v>
      </c>
      <c r="O612" s="1">
        <v>0</v>
      </c>
      <c r="P612" s="1">
        <v>0</v>
      </c>
      <c r="Q612" s="1">
        <v>0</v>
      </c>
      <c r="R612" s="1">
        <v>0</v>
      </c>
      <c r="S612" s="1" t="s">
        <v>235</v>
      </c>
    </row>
    <row r="613" spans="1:19" ht="14.45" customHeight="1" x14ac:dyDescent="0.25">
      <c r="A613" s="6">
        <v>612</v>
      </c>
      <c r="B613" s="6">
        <v>7109101</v>
      </c>
      <c r="C613" t="s">
        <v>967</v>
      </c>
      <c r="D613" s="1" t="s">
        <v>968</v>
      </c>
      <c r="E613" s="21">
        <v>22000</v>
      </c>
      <c r="F613" s="1" t="s">
        <v>233</v>
      </c>
      <c r="G613" s="1" t="s">
        <v>233</v>
      </c>
      <c r="H613" s="6" t="s">
        <v>1951</v>
      </c>
      <c r="I613" s="6" t="s">
        <v>515</v>
      </c>
      <c r="J613" s="6" t="s">
        <v>1853</v>
      </c>
      <c r="K613" s="1">
        <v>0</v>
      </c>
      <c r="L613" s="6" t="s">
        <v>270</v>
      </c>
      <c r="M613" s="1">
        <v>2011</v>
      </c>
      <c r="N613" s="1" t="s">
        <v>1875</v>
      </c>
      <c r="O613" s="1">
        <v>0</v>
      </c>
      <c r="P613" s="1">
        <v>0</v>
      </c>
      <c r="Q613" s="1">
        <v>0</v>
      </c>
      <c r="R613" s="1">
        <v>0</v>
      </c>
      <c r="S613" s="1" t="s">
        <v>235</v>
      </c>
    </row>
    <row r="614" spans="1:19" ht="14.45" customHeight="1" x14ac:dyDescent="0.25">
      <c r="A614" s="6">
        <v>613</v>
      </c>
      <c r="B614" s="6">
        <v>7109101</v>
      </c>
      <c r="C614" t="s">
        <v>967</v>
      </c>
      <c r="D614" s="1" t="s">
        <v>968</v>
      </c>
      <c r="E614" s="21">
        <v>29000</v>
      </c>
      <c r="F614" s="1" t="s">
        <v>233</v>
      </c>
      <c r="G614" s="1" t="s">
        <v>233</v>
      </c>
      <c r="H614" s="6" t="s">
        <v>1951</v>
      </c>
      <c r="I614" s="6" t="s">
        <v>515</v>
      </c>
      <c r="J614" s="6" t="s">
        <v>1853</v>
      </c>
      <c r="K614" s="1">
        <v>0</v>
      </c>
      <c r="L614" s="6" t="s">
        <v>281</v>
      </c>
      <c r="M614" s="1">
        <v>2011</v>
      </c>
      <c r="N614" s="1" t="s">
        <v>1875</v>
      </c>
      <c r="O614" s="1">
        <v>0</v>
      </c>
      <c r="P614" s="1">
        <v>0</v>
      </c>
      <c r="Q614" s="1">
        <v>0</v>
      </c>
      <c r="R614" s="1">
        <v>0</v>
      </c>
      <c r="S614" s="1" t="s">
        <v>235</v>
      </c>
    </row>
    <row r="615" spans="1:19" ht="14.45" customHeight="1" x14ac:dyDescent="0.25">
      <c r="A615" s="6">
        <v>614</v>
      </c>
      <c r="B615" s="6">
        <v>7109101</v>
      </c>
      <c r="C615" t="s">
        <v>967</v>
      </c>
      <c r="D615" s="1" t="s">
        <v>968</v>
      </c>
      <c r="E615" s="21">
        <v>18000</v>
      </c>
      <c r="F615" s="1" t="s">
        <v>233</v>
      </c>
      <c r="G615" s="1" t="s">
        <v>233</v>
      </c>
      <c r="H615" s="6" t="s">
        <v>1951</v>
      </c>
      <c r="I615" s="6" t="s">
        <v>560</v>
      </c>
      <c r="J615" s="6" t="s">
        <v>1852</v>
      </c>
      <c r="K615" s="1">
        <v>0</v>
      </c>
      <c r="L615" s="6" t="s">
        <v>249</v>
      </c>
      <c r="M615" s="1">
        <v>2001</v>
      </c>
      <c r="N615" s="1" t="s">
        <v>237</v>
      </c>
      <c r="O615" s="1">
        <v>0</v>
      </c>
      <c r="P615" s="1">
        <v>0</v>
      </c>
      <c r="Q615" s="1">
        <v>0</v>
      </c>
      <c r="R615" s="1">
        <v>0</v>
      </c>
      <c r="S615" s="1" t="s">
        <v>235</v>
      </c>
    </row>
    <row r="616" spans="1:19" ht="14.45" customHeight="1" x14ac:dyDescent="0.25">
      <c r="A616" s="6">
        <v>615</v>
      </c>
      <c r="B616" s="6">
        <v>7109101</v>
      </c>
      <c r="C616" t="s">
        <v>967</v>
      </c>
      <c r="D616" s="1" t="s">
        <v>968</v>
      </c>
      <c r="E616" s="21">
        <v>22600</v>
      </c>
      <c r="F616" s="1" t="s">
        <v>233</v>
      </c>
      <c r="G616" s="1" t="s">
        <v>233</v>
      </c>
      <c r="H616" s="6" t="s">
        <v>1951</v>
      </c>
      <c r="I616" s="6" t="s">
        <v>579</v>
      </c>
      <c r="J616" s="6" t="s">
        <v>1853</v>
      </c>
      <c r="K616" s="1">
        <v>0</v>
      </c>
      <c r="L616" s="6" t="s">
        <v>275</v>
      </c>
      <c r="M616" s="1">
        <v>2011</v>
      </c>
      <c r="N616" s="1" t="s">
        <v>237</v>
      </c>
      <c r="O616" s="1">
        <v>0</v>
      </c>
      <c r="P616" s="1">
        <v>0</v>
      </c>
      <c r="Q616" s="1">
        <v>0</v>
      </c>
      <c r="R616" s="1">
        <v>0</v>
      </c>
      <c r="S616" s="1" t="s">
        <v>235</v>
      </c>
    </row>
    <row r="617" spans="1:19" ht="14.45" customHeight="1" x14ac:dyDescent="0.25">
      <c r="A617" s="6">
        <v>616</v>
      </c>
      <c r="B617" s="6">
        <v>7109101</v>
      </c>
      <c r="C617" t="s">
        <v>967</v>
      </c>
      <c r="D617" s="1" t="s">
        <v>968</v>
      </c>
      <c r="E617" s="21" t="s">
        <v>237</v>
      </c>
      <c r="F617" s="1" t="s">
        <v>233</v>
      </c>
      <c r="G617" s="19">
        <v>135.13610379370286</v>
      </c>
      <c r="H617" s="6" t="s">
        <v>1951</v>
      </c>
      <c r="I617" s="6" t="s">
        <v>580</v>
      </c>
      <c r="J617" s="6" t="s">
        <v>1851</v>
      </c>
      <c r="K617" s="1">
        <v>0</v>
      </c>
      <c r="L617" s="6" t="s">
        <v>243</v>
      </c>
      <c r="M617" s="1">
        <v>2008</v>
      </c>
      <c r="N617" s="1" t="s">
        <v>237</v>
      </c>
      <c r="O617" s="1">
        <v>0</v>
      </c>
      <c r="P617" s="1">
        <v>0</v>
      </c>
      <c r="Q617" s="1">
        <v>0</v>
      </c>
      <c r="R617" s="1">
        <v>0</v>
      </c>
      <c r="S617" s="1" t="s">
        <v>251</v>
      </c>
    </row>
    <row r="618" spans="1:19" ht="14.45" customHeight="1" x14ac:dyDescent="0.25">
      <c r="A618" s="6">
        <v>617</v>
      </c>
      <c r="B618" s="6">
        <v>7109101</v>
      </c>
      <c r="C618" t="s">
        <v>967</v>
      </c>
      <c r="D618" s="1" t="s">
        <v>968</v>
      </c>
      <c r="E618" s="21" t="s">
        <v>237</v>
      </c>
      <c r="F618" s="1" t="s">
        <v>233</v>
      </c>
      <c r="G618" s="19">
        <v>303.02434138751272</v>
      </c>
      <c r="H618" s="6" t="s">
        <v>1951</v>
      </c>
      <c r="I618" s="6" t="s">
        <v>580</v>
      </c>
      <c r="J618" s="6" t="s">
        <v>1851</v>
      </c>
      <c r="K618" s="1">
        <v>0</v>
      </c>
      <c r="L618" s="6" t="s">
        <v>243</v>
      </c>
      <c r="M618" s="1">
        <v>2008</v>
      </c>
      <c r="N618" s="1" t="s">
        <v>237</v>
      </c>
      <c r="O618" s="1">
        <v>0</v>
      </c>
      <c r="P618" s="1">
        <v>0</v>
      </c>
      <c r="Q618" s="1">
        <v>0</v>
      </c>
      <c r="R618" s="1" t="s">
        <v>1956</v>
      </c>
      <c r="S618" s="1" t="s">
        <v>251</v>
      </c>
    </row>
    <row r="619" spans="1:19" ht="14.45" customHeight="1" x14ac:dyDescent="0.25">
      <c r="A619" s="6">
        <v>618</v>
      </c>
      <c r="B619" s="6">
        <v>7109101</v>
      </c>
      <c r="C619" t="s">
        <v>967</v>
      </c>
      <c r="D619" s="1" t="s">
        <v>968</v>
      </c>
      <c r="E619" s="21" t="s">
        <v>237</v>
      </c>
      <c r="F619" s="21">
        <v>13834.675861657312</v>
      </c>
      <c r="G619" s="1" t="s">
        <v>233</v>
      </c>
      <c r="H619" s="6" t="s">
        <v>1951</v>
      </c>
      <c r="I619" s="6" t="s">
        <v>594</v>
      </c>
      <c r="J619" s="6" t="s">
        <v>1853</v>
      </c>
      <c r="K619" s="1">
        <v>0</v>
      </c>
      <c r="L619" s="6" t="s">
        <v>245</v>
      </c>
      <c r="M619" s="1">
        <v>2012</v>
      </c>
      <c r="N619" s="1" t="s">
        <v>237</v>
      </c>
      <c r="O619" s="1">
        <v>0</v>
      </c>
      <c r="P619" s="1">
        <v>0</v>
      </c>
      <c r="Q619" s="1">
        <v>0</v>
      </c>
      <c r="R619" s="1">
        <v>0</v>
      </c>
      <c r="S619" s="1" t="s">
        <v>251</v>
      </c>
    </row>
    <row r="620" spans="1:19" ht="14.45" customHeight="1" x14ac:dyDescent="0.25">
      <c r="A620" s="6">
        <v>619</v>
      </c>
      <c r="B620" s="6">
        <v>7109101</v>
      </c>
      <c r="C620" t="s">
        <v>967</v>
      </c>
      <c r="D620" s="1" t="s">
        <v>968</v>
      </c>
      <c r="E620" s="21" t="s">
        <v>237</v>
      </c>
      <c r="F620" s="21">
        <v>13834.675861657312</v>
      </c>
      <c r="G620" s="1" t="s">
        <v>233</v>
      </c>
      <c r="H620" s="6" t="s">
        <v>1951</v>
      </c>
      <c r="I620" s="6" t="s">
        <v>594</v>
      </c>
      <c r="J620" s="6" t="s">
        <v>1853</v>
      </c>
      <c r="K620" s="1">
        <v>0</v>
      </c>
      <c r="L620" s="6" t="s">
        <v>245</v>
      </c>
      <c r="M620" s="1">
        <v>2012</v>
      </c>
      <c r="N620" s="1" t="s">
        <v>237</v>
      </c>
      <c r="O620" s="1">
        <v>0</v>
      </c>
      <c r="P620" s="1">
        <v>0</v>
      </c>
      <c r="Q620" s="1">
        <v>0</v>
      </c>
      <c r="R620" s="1">
        <v>0</v>
      </c>
      <c r="S620" s="1" t="s">
        <v>251</v>
      </c>
    </row>
    <row r="621" spans="1:19" ht="14.45" customHeight="1" x14ac:dyDescent="0.25">
      <c r="A621" s="6">
        <v>620</v>
      </c>
      <c r="B621" s="6">
        <v>7109101</v>
      </c>
      <c r="C621" t="s">
        <v>967</v>
      </c>
      <c r="D621" s="1" t="s">
        <v>968</v>
      </c>
      <c r="E621" s="21" t="s">
        <v>237</v>
      </c>
      <c r="F621" s="21">
        <v>19488.275861489172</v>
      </c>
      <c r="G621" s="1" t="s">
        <v>233</v>
      </c>
      <c r="H621" s="6" t="s">
        <v>1951</v>
      </c>
      <c r="I621" s="6" t="s">
        <v>594</v>
      </c>
      <c r="J621" s="6" t="s">
        <v>1853</v>
      </c>
      <c r="K621" s="1">
        <v>0</v>
      </c>
      <c r="L621" s="6" t="s">
        <v>245</v>
      </c>
      <c r="M621" s="1">
        <v>2012</v>
      </c>
      <c r="N621" s="1" t="s">
        <v>237</v>
      </c>
      <c r="O621" s="1">
        <v>0</v>
      </c>
      <c r="P621" s="1">
        <v>0</v>
      </c>
      <c r="Q621" s="1">
        <v>0</v>
      </c>
      <c r="R621" s="1">
        <v>0</v>
      </c>
      <c r="S621" s="1" t="s">
        <v>251</v>
      </c>
    </row>
    <row r="622" spans="1:19" ht="14.45" customHeight="1" x14ac:dyDescent="0.25">
      <c r="A622" s="6">
        <v>621</v>
      </c>
      <c r="B622" s="6">
        <v>7109101</v>
      </c>
      <c r="C622" t="s">
        <v>967</v>
      </c>
      <c r="D622" s="1" t="s">
        <v>968</v>
      </c>
      <c r="E622" s="21" t="s">
        <v>237</v>
      </c>
      <c r="F622" s="21">
        <v>13834.675861657312</v>
      </c>
      <c r="G622" s="1" t="s">
        <v>233</v>
      </c>
      <c r="H622" s="6" t="s">
        <v>1951</v>
      </c>
      <c r="I622" s="6" t="s">
        <v>594</v>
      </c>
      <c r="J622" s="6" t="s">
        <v>1853</v>
      </c>
      <c r="K622" s="1">
        <v>0</v>
      </c>
      <c r="L622" s="6" t="s">
        <v>245</v>
      </c>
      <c r="M622" s="1">
        <v>2012</v>
      </c>
      <c r="N622" s="1" t="s">
        <v>1857</v>
      </c>
      <c r="O622" s="1">
        <v>1</v>
      </c>
      <c r="P622" s="1">
        <v>0</v>
      </c>
      <c r="Q622" s="1">
        <v>0</v>
      </c>
      <c r="R622" s="1">
        <v>0</v>
      </c>
      <c r="S622" s="1" t="s">
        <v>251</v>
      </c>
    </row>
    <row r="623" spans="1:19" ht="14.45" customHeight="1" x14ac:dyDescent="0.25">
      <c r="A623" s="6">
        <v>622</v>
      </c>
      <c r="B623" s="6">
        <v>7109101</v>
      </c>
      <c r="C623" t="s">
        <v>967</v>
      </c>
      <c r="D623" s="1" t="s">
        <v>968</v>
      </c>
      <c r="E623" s="21" t="s">
        <v>237</v>
      </c>
      <c r="F623" s="21">
        <v>13834.675861657312</v>
      </c>
      <c r="G623" s="1" t="s">
        <v>233</v>
      </c>
      <c r="H623" s="6" t="s">
        <v>1951</v>
      </c>
      <c r="I623" s="6" t="s">
        <v>594</v>
      </c>
      <c r="J623" s="6" t="s">
        <v>1853</v>
      </c>
      <c r="K623" s="1">
        <v>0</v>
      </c>
      <c r="L623" s="6" t="s">
        <v>245</v>
      </c>
      <c r="M623" s="1">
        <v>2012</v>
      </c>
      <c r="N623" s="1" t="s">
        <v>1857</v>
      </c>
      <c r="O623" s="1">
        <v>1</v>
      </c>
      <c r="P623" s="1">
        <v>0</v>
      </c>
      <c r="Q623" s="1">
        <v>0</v>
      </c>
      <c r="R623" s="1">
        <v>0</v>
      </c>
      <c r="S623" s="1" t="s">
        <v>251</v>
      </c>
    </row>
    <row r="624" spans="1:19" ht="14.45" customHeight="1" x14ac:dyDescent="0.25">
      <c r="A624" s="6">
        <v>623</v>
      </c>
      <c r="B624" s="6">
        <v>7109101</v>
      </c>
      <c r="C624" t="s">
        <v>967</v>
      </c>
      <c r="D624" s="1" t="s">
        <v>968</v>
      </c>
      <c r="E624" s="21" t="s">
        <v>237</v>
      </c>
      <c r="F624" s="21">
        <v>19488.275861489172</v>
      </c>
      <c r="G624" s="1" t="s">
        <v>233</v>
      </c>
      <c r="H624" s="6" t="s">
        <v>1951</v>
      </c>
      <c r="I624" s="6" t="s">
        <v>594</v>
      </c>
      <c r="J624" s="6" t="s">
        <v>1853</v>
      </c>
      <c r="K624" s="1">
        <v>0</v>
      </c>
      <c r="L624" s="6" t="s">
        <v>245</v>
      </c>
      <c r="M624" s="1">
        <v>2012</v>
      </c>
      <c r="N624" s="1" t="s">
        <v>1857</v>
      </c>
      <c r="O624" s="1">
        <v>1</v>
      </c>
      <c r="P624" s="1">
        <v>0</v>
      </c>
      <c r="Q624" s="1">
        <v>0</v>
      </c>
      <c r="R624" s="1">
        <v>0</v>
      </c>
      <c r="S624" s="1" t="s">
        <v>251</v>
      </c>
    </row>
    <row r="625" spans="1:19" ht="14.45" customHeight="1" x14ac:dyDescent="0.25">
      <c r="A625" s="6">
        <v>624</v>
      </c>
      <c r="B625" s="6">
        <v>7109101</v>
      </c>
      <c r="C625" t="s">
        <v>967</v>
      </c>
      <c r="D625" s="1" t="s">
        <v>968</v>
      </c>
      <c r="E625" s="21" t="s">
        <v>237</v>
      </c>
      <c r="F625" s="21">
        <v>12254.305754690229</v>
      </c>
      <c r="G625" s="1" t="s">
        <v>233</v>
      </c>
      <c r="H625" s="6" t="s">
        <v>1951</v>
      </c>
      <c r="I625" s="6" t="s">
        <v>594</v>
      </c>
      <c r="J625" s="6" t="s">
        <v>1853</v>
      </c>
      <c r="K625" s="1">
        <v>0</v>
      </c>
      <c r="L625" s="6" t="s">
        <v>245</v>
      </c>
      <c r="M625" s="1">
        <v>2012</v>
      </c>
      <c r="N625" s="1" t="s">
        <v>237</v>
      </c>
      <c r="O625" s="1">
        <v>0</v>
      </c>
      <c r="P625" s="1">
        <v>0</v>
      </c>
      <c r="Q625" s="1" t="s">
        <v>1953</v>
      </c>
      <c r="R625" s="1">
        <v>0</v>
      </c>
      <c r="S625" s="1" t="s">
        <v>251</v>
      </c>
    </row>
    <row r="626" spans="1:19" ht="14.45" customHeight="1" x14ac:dyDescent="0.25">
      <c r="A626" s="6">
        <v>625</v>
      </c>
      <c r="B626" s="6">
        <v>7102701</v>
      </c>
      <c r="C626" t="s">
        <v>1215</v>
      </c>
      <c r="D626" s="1" t="s">
        <v>1207</v>
      </c>
      <c r="E626" s="21" t="s">
        <v>237</v>
      </c>
      <c r="F626" s="21">
        <v>29073.280223136324</v>
      </c>
      <c r="G626" s="1" t="s">
        <v>233</v>
      </c>
      <c r="H626" s="6" t="s">
        <v>1951</v>
      </c>
      <c r="I626" s="6" t="s">
        <v>594</v>
      </c>
      <c r="J626" s="6" t="s">
        <v>1853</v>
      </c>
      <c r="K626" s="1">
        <v>0</v>
      </c>
      <c r="L626" s="6" t="s">
        <v>245</v>
      </c>
      <c r="M626" s="1">
        <v>2012</v>
      </c>
      <c r="N626" s="1" t="s">
        <v>1857</v>
      </c>
      <c r="O626" s="1">
        <v>1</v>
      </c>
      <c r="P626" s="1">
        <v>0</v>
      </c>
      <c r="Q626" s="1">
        <v>0</v>
      </c>
      <c r="R626" s="1">
        <v>0</v>
      </c>
      <c r="S626" s="1" t="s">
        <v>251</v>
      </c>
    </row>
    <row r="627" spans="1:19" ht="14.45" customHeight="1" x14ac:dyDescent="0.25">
      <c r="A627" s="6">
        <v>626</v>
      </c>
      <c r="B627" s="6">
        <v>7102501</v>
      </c>
      <c r="C627" t="s">
        <v>1214</v>
      </c>
      <c r="D627" s="1" t="s">
        <v>1207</v>
      </c>
      <c r="E627" s="21" t="s">
        <v>237</v>
      </c>
      <c r="F627" s="21">
        <v>8563.7880252746509</v>
      </c>
      <c r="G627" s="1" t="s">
        <v>233</v>
      </c>
      <c r="H627" s="6" t="s">
        <v>1951</v>
      </c>
      <c r="I627" s="6" t="s">
        <v>594</v>
      </c>
      <c r="J627" s="6" t="s">
        <v>1853</v>
      </c>
      <c r="K627" s="1">
        <v>0</v>
      </c>
      <c r="L627" s="6" t="s">
        <v>245</v>
      </c>
      <c r="M627" s="1">
        <v>2012</v>
      </c>
      <c r="N627" s="1" t="s">
        <v>1857</v>
      </c>
      <c r="O627" s="1">
        <v>1</v>
      </c>
      <c r="P627" s="1">
        <v>0</v>
      </c>
      <c r="Q627" s="1">
        <v>0</v>
      </c>
      <c r="R627" s="1">
        <v>0</v>
      </c>
      <c r="S627" s="1" t="s">
        <v>251</v>
      </c>
    </row>
    <row r="628" spans="1:19" ht="14.45" customHeight="1" x14ac:dyDescent="0.25">
      <c r="A628" s="6">
        <v>627</v>
      </c>
      <c r="B628" s="6">
        <v>7102102</v>
      </c>
      <c r="C628" t="s">
        <v>1209</v>
      </c>
      <c r="D628" s="1" t="s">
        <v>1207</v>
      </c>
      <c r="E628" s="21" t="s">
        <v>237</v>
      </c>
      <c r="F628" s="21">
        <v>13888.21318864893</v>
      </c>
      <c r="G628" s="1" t="s">
        <v>233</v>
      </c>
      <c r="H628" s="6" t="s">
        <v>1951</v>
      </c>
      <c r="I628" s="6" t="s">
        <v>594</v>
      </c>
      <c r="J628" s="6" t="s">
        <v>1853</v>
      </c>
      <c r="K628" s="1">
        <v>0</v>
      </c>
      <c r="L628" s="6" t="s">
        <v>245</v>
      </c>
      <c r="M628" s="1">
        <v>2012</v>
      </c>
      <c r="N628" s="1" t="s">
        <v>1857</v>
      </c>
      <c r="O628" s="1">
        <v>1</v>
      </c>
      <c r="P628" s="1">
        <v>0</v>
      </c>
      <c r="Q628" s="1">
        <v>0</v>
      </c>
      <c r="R628" s="1">
        <v>0</v>
      </c>
      <c r="S628" s="1" t="s">
        <v>251</v>
      </c>
    </row>
    <row r="629" spans="1:19" ht="14.45" customHeight="1" x14ac:dyDescent="0.25">
      <c r="A629" s="6">
        <v>628</v>
      </c>
      <c r="B629" s="6">
        <v>8100101</v>
      </c>
      <c r="C629" t="s">
        <v>969</v>
      </c>
      <c r="D629" s="1" t="s">
        <v>970</v>
      </c>
      <c r="E629" s="21" t="s">
        <v>237</v>
      </c>
      <c r="F629" s="21">
        <v>30086.251873168065</v>
      </c>
      <c r="G629" s="1" t="s">
        <v>233</v>
      </c>
      <c r="H629" s="6" t="s">
        <v>1951</v>
      </c>
      <c r="I629" s="6" t="s">
        <v>594</v>
      </c>
      <c r="J629" s="6" t="s">
        <v>1853</v>
      </c>
      <c r="K629" s="1">
        <v>0</v>
      </c>
      <c r="L629" s="6" t="s">
        <v>245</v>
      </c>
      <c r="M629" s="1">
        <v>2012</v>
      </c>
      <c r="N629" s="1" t="s">
        <v>237</v>
      </c>
      <c r="O629" s="1">
        <v>0</v>
      </c>
      <c r="P629" s="1">
        <v>0</v>
      </c>
      <c r="Q629" s="1">
        <v>0</v>
      </c>
      <c r="R629" s="1">
        <v>0</v>
      </c>
      <c r="S629" s="1" t="s">
        <v>251</v>
      </c>
    </row>
    <row r="630" spans="1:19" ht="14.45" customHeight="1" x14ac:dyDescent="0.25">
      <c r="A630" s="6">
        <v>629</v>
      </c>
      <c r="B630" s="6">
        <v>8100101</v>
      </c>
      <c r="C630" t="s">
        <v>969</v>
      </c>
      <c r="D630" s="1" t="s">
        <v>970</v>
      </c>
      <c r="E630" s="21" t="s">
        <v>237</v>
      </c>
      <c r="F630" s="21">
        <v>20423.842924483713</v>
      </c>
      <c r="G630" s="1" t="s">
        <v>233</v>
      </c>
      <c r="H630" s="6" t="s">
        <v>1951</v>
      </c>
      <c r="I630" s="6" t="s">
        <v>594</v>
      </c>
      <c r="J630" s="6" t="s">
        <v>1853</v>
      </c>
      <c r="K630" s="1">
        <v>0</v>
      </c>
      <c r="L630" s="6" t="s">
        <v>245</v>
      </c>
      <c r="M630" s="1">
        <v>2012</v>
      </c>
      <c r="N630" s="1" t="s">
        <v>237</v>
      </c>
      <c r="O630" s="1">
        <v>0</v>
      </c>
      <c r="P630" s="1">
        <v>0</v>
      </c>
      <c r="Q630" s="1">
        <v>0</v>
      </c>
      <c r="R630" s="1">
        <v>0</v>
      </c>
      <c r="S630" s="1" t="s">
        <v>251</v>
      </c>
    </row>
    <row r="631" spans="1:19" ht="14.45" customHeight="1" x14ac:dyDescent="0.25">
      <c r="A631" s="6">
        <v>630</v>
      </c>
      <c r="B631" s="6">
        <v>8100101</v>
      </c>
      <c r="C631" t="s">
        <v>969</v>
      </c>
      <c r="D631" s="1" t="s">
        <v>970</v>
      </c>
      <c r="E631" s="21">
        <v>26938</v>
      </c>
      <c r="F631" s="21" t="s">
        <v>233</v>
      </c>
      <c r="G631" s="1" t="s">
        <v>233</v>
      </c>
      <c r="H631" s="6" t="s">
        <v>1951</v>
      </c>
      <c r="I631" s="6" t="s">
        <v>1967</v>
      </c>
      <c r="J631" s="6" t="s">
        <v>1853</v>
      </c>
      <c r="K631" s="1">
        <v>0</v>
      </c>
      <c r="L631" s="6" t="s">
        <v>245</v>
      </c>
      <c r="M631" s="1">
        <v>2020</v>
      </c>
      <c r="N631" s="1" t="s">
        <v>1968</v>
      </c>
      <c r="O631" s="1">
        <v>0</v>
      </c>
      <c r="P631" s="1">
        <v>0</v>
      </c>
      <c r="Q631" s="1">
        <v>0</v>
      </c>
      <c r="R631" s="1">
        <v>0</v>
      </c>
      <c r="S631" s="1" t="s">
        <v>251</v>
      </c>
    </row>
    <row r="632" spans="1:19" ht="14.45" customHeight="1" x14ac:dyDescent="0.25">
      <c r="A632" s="6">
        <v>633</v>
      </c>
      <c r="B632" s="6">
        <v>7109101</v>
      </c>
      <c r="C632" t="s">
        <v>967</v>
      </c>
      <c r="D632" s="1" t="s">
        <v>968</v>
      </c>
      <c r="E632" s="21">
        <v>26138.61386138614</v>
      </c>
      <c r="F632" s="1" t="s">
        <v>233</v>
      </c>
      <c r="G632" s="1" t="s">
        <v>233</v>
      </c>
      <c r="H632" s="6" t="s">
        <v>1951</v>
      </c>
      <c r="I632" s="6" t="s">
        <v>597</v>
      </c>
      <c r="J632" s="6" t="s">
        <v>1849</v>
      </c>
      <c r="K632" s="1">
        <v>0</v>
      </c>
      <c r="L632" s="6" t="s">
        <v>247</v>
      </c>
      <c r="M632" s="1">
        <v>2012</v>
      </c>
      <c r="N632" s="1" t="s">
        <v>237</v>
      </c>
      <c r="O632" s="1">
        <v>0</v>
      </c>
      <c r="P632" s="1">
        <v>0</v>
      </c>
      <c r="Q632" s="1">
        <v>0</v>
      </c>
      <c r="R632" s="1">
        <v>0</v>
      </c>
      <c r="S632" s="1" t="s">
        <v>235</v>
      </c>
    </row>
    <row r="633" spans="1:19" ht="14.45" customHeight="1" x14ac:dyDescent="0.25">
      <c r="A633" s="6">
        <v>634</v>
      </c>
      <c r="B633" s="6">
        <v>7109101</v>
      </c>
      <c r="C633" t="s">
        <v>967</v>
      </c>
      <c r="D633" s="1" t="s">
        <v>968</v>
      </c>
      <c r="E633" s="21">
        <v>26930.693069306933</v>
      </c>
      <c r="F633" s="1" t="s">
        <v>233</v>
      </c>
      <c r="G633" s="1" t="s">
        <v>233</v>
      </c>
      <c r="H633" s="6" t="s">
        <v>1951</v>
      </c>
      <c r="I633" s="6" t="s">
        <v>597</v>
      </c>
      <c r="J633" s="6" t="s">
        <v>1849</v>
      </c>
      <c r="K633" s="1">
        <v>0</v>
      </c>
      <c r="L633" s="6" t="s">
        <v>269</v>
      </c>
      <c r="M633" s="1">
        <v>2012</v>
      </c>
      <c r="N633" s="1" t="s">
        <v>237</v>
      </c>
      <c r="O633" s="1">
        <v>0</v>
      </c>
      <c r="P633" s="1">
        <v>0</v>
      </c>
      <c r="Q633" s="1">
        <v>0</v>
      </c>
      <c r="R633" s="1">
        <v>0</v>
      </c>
      <c r="S633" s="1" t="s">
        <v>235</v>
      </c>
    </row>
    <row r="634" spans="1:19" ht="14.45" customHeight="1" x14ac:dyDescent="0.25">
      <c r="A634" s="6">
        <v>635</v>
      </c>
      <c r="B634" s="6">
        <v>7109101</v>
      </c>
      <c r="C634" t="s">
        <v>967</v>
      </c>
      <c r="D634" s="1" t="s">
        <v>968</v>
      </c>
      <c r="E634" s="21">
        <v>69306.930693069298</v>
      </c>
      <c r="F634" s="1" t="s">
        <v>233</v>
      </c>
      <c r="G634" s="1" t="s">
        <v>233</v>
      </c>
      <c r="H634" s="6" t="s">
        <v>1951</v>
      </c>
      <c r="I634" s="6" t="s">
        <v>597</v>
      </c>
      <c r="J634" s="6" t="s">
        <v>1849</v>
      </c>
      <c r="K634" s="1">
        <v>0</v>
      </c>
      <c r="L634" s="6" t="s">
        <v>245</v>
      </c>
      <c r="M634" s="1">
        <v>2012</v>
      </c>
      <c r="N634" s="1" t="s">
        <v>237</v>
      </c>
      <c r="O634" s="1">
        <v>0</v>
      </c>
      <c r="P634" s="1" t="s">
        <v>1952</v>
      </c>
      <c r="Q634" s="1">
        <v>0</v>
      </c>
      <c r="R634" s="1">
        <v>0</v>
      </c>
      <c r="S634" s="1" t="s">
        <v>235</v>
      </c>
    </row>
    <row r="635" spans="1:19" ht="14.45" customHeight="1" x14ac:dyDescent="0.25">
      <c r="A635" s="6">
        <v>636</v>
      </c>
      <c r="B635" s="6">
        <v>7109101</v>
      </c>
      <c r="C635" t="s">
        <v>967</v>
      </c>
      <c r="D635" s="1" t="s">
        <v>968</v>
      </c>
      <c r="E635" s="21">
        <v>28964.285714285717</v>
      </c>
      <c r="F635" s="1" t="s">
        <v>233</v>
      </c>
      <c r="G635" s="1" t="s">
        <v>233</v>
      </c>
      <c r="H635" s="6" t="s">
        <v>1951</v>
      </c>
      <c r="I635" s="6" t="s">
        <v>615</v>
      </c>
      <c r="J635" s="6" t="s">
        <v>1852</v>
      </c>
      <c r="K635" s="1">
        <v>0</v>
      </c>
      <c r="L635" s="6" t="s">
        <v>275</v>
      </c>
      <c r="M635" s="1">
        <v>2010</v>
      </c>
      <c r="N635" s="1" t="s">
        <v>1966</v>
      </c>
      <c r="O635" s="1">
        <v>0</v>
      </c>
      <c r="P635" s="1">
        <v>0</v>
      </c>
      <c r="Q635" s="1">
        <v>0</v>
      </c>
      <c r="R635" s="1">
        <v>0</v>
      </c>
      <c r="S635" s="1" t="s">
        <v>235</v>
      </c>
    </row>
    <row r="636" spans="1:19" ht="14.45" customHeight="1" x14ac:dyDescent="0.25">
      <c r="A636" s="6">
        <v>637</v>
      </c>
      <c r="B636" s="6">
        <v>7109101</v>
      </c>
      <c r="C636" t="s">
        <v>967</v>
      </c>
      <c r="D636" s="1" t="s">
        <v>968</v>
      </c>
      <c r="E636" s="21">
        <v>39428.571428571428</v>
      </c>
      <c r="F636" s="1" t="s">
        <v>233</v>
      </c>
      <c r="G636" s="1" t="s">
        <v>233</v>
      </c>
      <c r="H636" s="6" t="s">
        <v>1951</v>
      </c>
      <c r="I636" s="6" t="s">
        <v>620</v>
      </c>
      <c r="J636" s="6" t="s">
        <v>1853</v>
      </c>
      <c r="K636" s="1">
        <v>0</v>
      </c>
      <c r="L636" s="6" t="s">
        <v>252</v>
      </c>
      <c r="M636" s="1">
        <v>2012</v>
      </c>
      <c r="N636" s="1" t="s">
        <v>1966</v>
      </c>
      <c r="O636" s="1">
        <v>0</v>
      </c>
      <c r="P636" s="1">
        <v>0</v>
      </c>
      <c r="Q636" s="1">
        <v>0</v>
      </c>
      <c r="R636" s="1">
        <v>0</v>
      </c>
      <c r="S636" s="1" t="s">
        <v>235</v>
      </c>
    </row>
    <row r="637" spans="1:19" ht="14.45" customHeight="1" x14ac:dyDescent="0.25">
      <c r="A637" s="6">
        <v>638</v>
      </c>
      <c r="B637" s="6">
        <v>7109101</v>
      </c>
      <c r="C637" t="s">
        <v>967</v>
      </c>
      <c r="D637" s="1" t="s">
        <v>968</v>
      </c>
      <c r="E637" s="21">
        <v>22683.669585078031</v>
      </c>
      <c r="F637" s="1" t="s">
        <v>233</v>
      </c>
      <c r="G637" s="1" t="s">
        <v>233</v>
      </c>
      <c r="H637" s="6" t="s">
        <v>1951</v>
      </c>
      <c r="I637" s="6" t="s">
        <v>1979</v>
      </c>
      <c r="J637" s="6" t="s">
        <v>1853</v>
      </c>
      <c r="K637" s="1">
        <v>0</v>
      </c>
      <c r="L637" s="6" t="s">
        <v>242</v>
      </c>
      <c r="M637" s="1">
        <v>2006</v>
      </c>
      <c r="N637" s="1" t="s">
        <v>1965</v>
      </c>
      <c r="O637" s="1">
        <v>0</v>
      </c>
      <c r="P637" s="1">
        <v>0</v>
      </c>
      <c r="Q637" s="1">
        <v>0</v>
      </c>
      <c r="R637" s="1">
        <v>0</v>
      </c>
      <c r="S637" s="1" t="s">
        <v>235</v>
      </c>
    </row>
    <row r="638" spans="1:19" ht="14.45" customHeight="1" x14ac:dyDescent="0.25">
      <c r="A638" s="6">
        <v>639</v>
      </c>
      <c r="B638" s="6">
        <v>7109101</v>
      </c>
      <c r="C638" t="s">
        <v>967</v>
      </c>
      <c r="D638" s="1" t="s">
        <v>968</v>
      </c>
      <c r="E638" s="21">
        <v>45714.285714285717</v>
      </c>
      <c r="F638" s="1" t="s">
        <v>233</v>
      </c>
      <c r="G638" s="1" t="s">
        <v>233</v>
      </c>
      <c r="H638" s="6" t="s">
        <v>1951</v>
      </c>
      <c r="I638" s="6" t="s">
        <v>628</v>
      </c>
      <c r="J638" s="6" t="s">
        <v>1853</v>
      </c>
      <c r="K638" s="1">
        <v>0</v>
      </c>
      <c r="L638" s="6" t="s">
        <v>242</v>
      </c>
      <c r="M638" s="1">
        <v>2007</v>
      </c>
      <c r="N638" s="1" t="s">
        <v>1966</v>
      </c>
      <c r="O638" s="1">
        <v>0</v>
      </c>
      <c r="P638" s="1">
        <v>0</v>
      </c>
      <c r="Q638" s="1">
        <v>0</v>
      </c>
      <c r="R638" s="1">
        <v>0</v>
      </c>
      <c r="S638" s="1" t="s">
        <v>235</v>
      </c>
    </row>
    <row r="639" spans="1:19" ht="14.45" customHeight="1" x14ac:dyDescent="0.25">
      <c r="A639" s="6">
        <v>640</v>
      </c>
      <c r="B639" s="6">
        <v>7109101</v>
      </c>
      <c r="C639" t="s">
        <v>967</v>
      </c>
      <c r="D639" s="1" t="s">
        <v>968</v>
      </c>
      <c r="E639" s="21">
        <v>43243.243243243247</v>
      </c>
      <c r="F639" s="1" t="s">
        <v>233</v>
      </c>
      <c r="G639" s="1" t="s">
        <v>233</v>
      </c>
      <c r="H639" s="6" t="s">
        <v>1951</v>
      </c>
      <c r="I639" s="6" t="s">
        <v>632</v>
      </c>
      <c r="J639" s="6" t="s">
        <v>1852</v>
      </c>
      <c r="K639" s="1">
        <v>0</v>
      </c>
      <c r="L639" s="6" t="s">
        <v>245</v>
      </c>
      <c r="M639" s="1">
        <v>2015</v>
      </c>
      <c r="N639" s="1" t="s">
        <v>1965</v>
      </c>
      <c r="O639" s="1">
        <v>0</v>
      </c>
      <c r="P639" s="1">
        <v>0</v>
      </c>
      <c r="Q639" s="1">
        <v>0</v>
      </c>
      <c r="R639" s="1">
        <v>0</v>
      </c>
      <c r="S639" s="1" t="s">
        <v>235</v>
      </c>
    </row>
    <row r="640" spans="1:19" ht="14.45" customHeight="1" x14ac:dyDescent="0.25">
      <c r="A640" s="6">
        <v>641</v>
      </c>
      <c r="B640" s="6">
        <v>7109101</v>
      </c>
      <c r="C640" t="s">
        <v>967</v>
      </c>
      <c r="D640" s="1" t="s">
        <v>968</v>
      </c>
      <c r="E640" s="21">
        <v>38378.37837837838</v>
      </c>
      <c r="F640" s="1" t="s">
        <v>233</v>
      </c>
      <c r="G640" s="1" t="s">
        <v>233</v>
      </c>
      <c r="H640" s="6" t="s">
        <v>1951</v>
      </c>
      <c r="I640" s="6" t="s">
        <v>632</v>
      </c>
      <c r="J640" s="6" t="s">
        <v>1852</v>
      </c>
      <c r="K640" s="1">
        <v>0</v>
      </c>
      <c r="L640" s="6" t="s">
        <v>245</v>
      </c>
      <c r="M640" s="1">
        <v>2015</v>
      </c>
      <c r="N640" s="1" t="s">
        <v>1965</v>
      </c>
      <c r="O640" s="1">
        <v>0</v>
      </c>
      <c r="P640" s="1">
        <v>0</v>
      </c>
      <c r="Q640" s="1">
        <v>0</v>
      </c>
      <c r="R640" s="1">
        <v>0</v>
      </c>
      <c r="S640" s="1" t="s">
        <v>235</v>
      </c>
    </row>
    <row r="641" spans="1:19" ht="14.45" customHeight="1" x14ac:dyDescent="0.25">
      <c r="A641" s="6">
        <v>642</v>
      </c>
      <c r="B641" s="6">
        <v>7109101</v>
      </c>
      <c r="C641" t="s">
        <v>967</v>
      </c>
      <c r="D641" s="1" t="s">
        <v>968</v>
      </c>
      <c r="E641" s="21">
        <v>42432.432432432433</v>
      </c>
      <c r="F641" s="1" t="s">
        <v>233</v>
      </c>
      <c r="G641" s="1" t="s">
        <v>233</v>
      </c>
      <c r="H641" s="6" t="s">
        <v>1951</v>
      </c>
      <c r="I641" s="6" t="s">
        <v>632</v>
      </c>
      <c r="J641" s="6" t="s">
        <v>1852</v>
      </c>
      <c r="K641" s="1">
        <v>0</v>
      </c>
      <c r="L641" s="6" t="s">
        <v>245</v>
      </c>
      <c r="M641" s="1">
        <v>2015</v>
      </c>
      <c r="N641" s="1" t="s">
        <v>1964</v>
      </c>
      <c r="O641" s="1">
        <v>0</v>
      </c>
      <c r="P641" s="1">
        <v>0</v>
      </c>
      <c r="Q641" s="1">
        <v>0</v>
      </c>
      <c r="R641" s="1">
        <v>0</v>
      </c>
      <c r="S641" s="1" t="s">
        <v>235</v>
      </c>
    </row>
    <row r="642" spans="1:19" ht="14.45" customHeight="1" x14ac:dyDescent="0.25">
      <c r="A642" s="6">
        <v>643</v>
      </c>
      <c r="B642" s="6">
        <v>7109101</v>
      </c>
      <c r="C642" t="s">
        <v>967</v>
      </c>
      <c r="D642" s="1" t="s">
        <v>968</v>
      </c>
      <c r="E642" s="21">
        <v>17000</v>
      </c>
      <c r="F642" s="1" t="s">
        <v>233</v>
      </c>
      <c r="G642" s="19">
        <v>102</v>
      </c>
      <c r="H642" s="6" t="s">
        <v>1951</v>
      </c>
      <c r="I642" s="6" t="s">
        <v>638</v>
      </c>
      <c r="J642" s="6" t="s">
        <v>1852</v>
      </c>
      <c r="K642" s="1">
        <v>0</v>
      </c>
      <c r="L642" s="6" t="s">
        <v>238</v>
      </c>
      <c r="M642" s="1">
        <v>2010</v>
      </c>
      <c r="N642" s="1" t="s">
        <v>237</v>
      </c>
      <c r="O642" s="1">
        <v>0</v>
      </c>
      <c r="P642" s="1">
        <v>0</v>
      </c>
      <c r="Q642" s="1">
        <v>0</v>
      </c>
      <c r="R642" s="1">
        <v>0</v>
      </c>
      <c r="S642" s="1" t="s">
        <v>235</v>
      </c>
    </row>
    <row r="643" spans="1:19" ht="14.45" customHeight="1" x14ac:dyDescent="0.25">
      <c r="A643" s="6">
        <v>644</v>
      </c>
      <c r="B643" s="6">
        <v>7109101</v>
      </c>
      <c r="C643" t="s">
        <v>967</v>
      </c>
      <c r="D643" s="1" t="s">
        <v>968</v>
      </c>
      <c r="E643" s="21">
        <v>15642.857142857143</v>
      </c>
      <c r="F643" s="1" t="s">
        <v>233</v>
      </c>
      <c r="G643" s="1" t="s">
        <v>233</v>
      </c>
      <c r="H643" s="6" t="s">
        <v>1951</v>
      </c>
      <c r="I643" s="6" t="s">
        <v>640</v>
      </c>
      <c r="J643" s="6" t="s">
        <v>1853</v>
      </c>
      <c r="K643" s="1">
        <v>0</v>
      </c>
      <c r="L643" s="6" t="s">
        <v>268</v>
      </c>
      <c r="M643" s="1">
        <v>2010</v>
      </c>
      <c r="N643" s="1" t="s">
        <v>1880</v>
      </c>
      <c r="O643" s="1">
        <v>0</v>
      </c>
      <c r="P643" s="1">
        <v>0</v>
      </c>
      <c r="Q643" s="1">
        <v>0</v>
      </c>
      <c r="R643" s="1">
        <v>0</v>
      </c>
      <c r="S643" s="1" t="s">
        <v>235</v>
      </c>
    </row>
    <row r="644" spans="1:19" ht="14.45" customHeight="1" x14ac:dyDescent="0.25">
      <c r="A644" s="6">
        <v>645</v>
      </c>
      <c r="B644" s="6">
        <v>7109101</v>
      </c>
      <c r="C644" t="s">
        <v>967</v>
      </c>
      <c r="D644" s="1" t="s">
        <v>968</v>
      </c>
      <c r="E644" s="21">
        <v>14040</v>
      </c>
      <c r="F644" s="1" t="s">
        <v>233</v>
      </c>
      <c r="G644" s="1" t="s">
        <v>233</v>
      </c>
      <c r="H644" s="6" t="s">
        <v>1951</v>
      </c>
      <c r="I644" s="6" t="s">
        <v>641</v>
      </c>
      <c r="J644" s="6" t="s">
        <v>1853</v>
      </c>
      <c r="K644" s="1">
        <v>0</v>
      </c>
      <c r="L644" s="6" t="s">
        <v>238</v>
      </c>
      <c r="M644" s="1">
        <v>2001</v>
      </c>
      <c r="N644" s="1" t="s">
        <v>237</v>
      </c>
      <c r="O644" s="1">
        <v>0</v>
      </c>
      <c r="P644" s="1" t="s">
        <v>1952</v>
      </c>
      <c r="Q644" s="1">
        <v>0</v>
      </c>
      <c r="R644" s="1">
        <v>0</v>
      </c>
      <c r="S644" s="1" t="s">
        <v>235</v>
      </c>
    </row>
    <row r="645" spans="1:19" ht="14.45" customHeight="1" x14ac:dyDescent="0.25">
      <c r="A645" s="6">
        <v>646</v>
      </c>
      <c r="B645" s="6">
        <v>7109101</v>
      </c>
      <c r="C645" t="s">
        <v>967</v>
      </c>
      <c r="D645" s="1" t="s">
        <v>968</v>
      </c>
      <c r="E645" s="21">
        <v>38300</v>
      </c>
      <c r="F645" s="1" t="s">
        <v>233</v>
      </c>
      <c r="G645" s="1" t="s">
        <v>233</v>
      </c>
      <c r="H645" s="6" t="s">
        <v>1951</v>
      </c>
      <c r="I645" s="6" t="s">
        <v>645</v>
      </c>
      <c r="J645" s="6" t="s">
        <v>1849</v>
      </c>
      <c r="K645" s="1">
        <v>0</v>
      </c>
      <c r="L645" s="6" t="s">
        <v>249</v>
      </c>
      <c r="M645" s="1">
        <v>2011</v>
      </c>
      <c r="N645" s="1" t="s">
        <v>237</v>
      </c>
      <c r="O645" s="1">
        <v>0</v>
      </c>
      <c r="P645" s="1">
        <v>0</v>
      </c>
      <c r="Q645" s="1">
        <v>0</v>
      </c>
      <c r="R645" s="1">
        <v>0</v>
      </c>
      <c r="S645" s="1" t="s">
        <v>235</v>
      </c>
    </row>
    <row r="646" spans="1:19" ht="14.45" customHeight="1" x14ac:dyDescent="0.25">
      <c r="A646" s="6">
        <v>647</v>
      </c>
      <c r="B646" s="6">
        <v>7109101</v>
      </c>
      <c r="C646" t="s">
        <v>967</v>
      </c>
      <c r="D646" s="1" t="s">
        <v>968</v>
      </c>
      <c r="E646" s="21">
        <v>7800</v>
      </c>
      <c r="F646" s="1" t="s">
        <v>233</v>
      </c>
      <c r="G646" s="1" t="s">
        <v>233</v>
      </c>
      <c r="H646" s="6" t="s">
        <v>1951</v>
      </c>
      <c r="I646" s="6" t="s">
        <v>645</v>
      </c>
      <c r="J646" s="6" t="s">
        <v>1849</v>
      </c>
      <c r="K646" s="1">
        <v>0</v>
      </c>
      <c r="L646" s="6" t="s">
        <v>249</v>
      </c>
      <c r="M646" s="1">
        <v>2011</v>
      </c>
      <c r="N646" s="1" t="s">
        <v>1961</v>
      </c>
      <c r="O646" s="1">
        <v>1</v>
      </c>
      <c r="P646" s="1">
        <v>0</v>
      </c>
      <c r="Q646" s="1">
        <v>0</v>
      </c>
      <c r="R646" s="1">
        <v>0</v>
      </c>
      <c r="S646" s="1" t="s">
        <v>235</v>
      </c>
    </row>
    <row r="647" spans="1:19" ht="14.45" customHeight="1" x14ac:dyDescent="0.25">
      <c r="A647" s="6">
        <v>648</v>
      </c>
      <c r="B647" s="6">
        <v>7109101</v>
      </c>
      <c r="C647" t="s">
        <v>967</v>
      </c>
      <c r="D647" s="1" t="s">
        <v>968</v>
      </c>
      <c r="E647" s="21">
        <v>16228.571428571429</v>
      </c>
      <c r="F647" s="1" t="s">
        <v>233</v>
      </c>
      <c r="G647" s="1" t="s">
        <v>233</v>
      </c>
      <c r="H647" s="6" t="s">
        <v>1951</v>
      </c>
      <c r="I647" s="6" t="s">
        <v>651</v>
      </c>
      <c r="J647" s="6" t="s">
        <v>1853</v>
      </c>
      <c r="K647" s="1">
        <v>0</v>
      </c>
      <c r="L647" s="6" t="s">
        <v>261</v>
      </c>
      <c r="M647" s="1">
        <v>2011</v>
      </c>
      <c r="N647" s="1" t="s">
        <v>1969</v>
      </c>
      <c r="O647" s="1">
        <v>0</v>
      </c>
      <c r="P647" s="1">
        <v>0</v>
      </c>
      <c r="Q647" s="1">
        <v>0</v>
      </c>
      <c r="R647" s="1">
        <v>0</v>
      </c>
      <c r="S647" s="1" t="s">
        <v>235</v>
      </c>
    </row>
    <row r="648" spans="1:19" ht="14.45" customHeight="1" x14ac:dyDescent="0.25">
      <c r="A648" s="6">
        <v>649</v>
      </c>
      <c r="B648" s="6">
        <v>7109101</v>
      </c>
      <c r="C648" t="s">
        <v>967</v>
      </c>
      <c r="D648" s="1" t="s">
        <v>968</v>
      </c>
      <c r="E648" s="21">
        <v>24000</v>
      </c>
      <c r="F648" s="1" t="s">
        <v>233</v>
      </c>
      <c r="G648" s="1" t="s">
        <v>233</v>
      </c>
      <c r="H648" s="6" t="s">
        <v>1951</v>
      </c>
      <c r="I648" s="6" t="s">
        <v>651</v>
      </c>
      <c r="J648" s="6" t="s">
        <v>1853</v>
      </c>
      <c r="K648" s="1">
        <v>0</v>
      </c>
      <c r="L648" s="6" t="s">
        <v>261</v>
      </c>
      <c r="M648" s="1">
        <v>2011</v>
      </c>
      <c r="N648" s="1" t="s">
        <v>1900</v>
      </c>
      <c r="O648" s="1">
        <v>0</v>
      </c>
      <c r="P648" s="1">
        <v>0</v>
      </c>
      <c r="Q648" s="1">
        <v>0</v>
      </c>
      <c r="R648" s="1">
        <v>0</v>
      </c>
      <c r="S648" s="1" t="s">
        <v>235</v>
      </c>
    </row>
    <row r="649" spans="1:19" ht="14.45" customHeight="1" x14ac:dyDescent="0.25">
      <c r="A649" s="6">
        <v>650</v>
      </c>
      <c r="B649" s="6">
        <v>7109101</v>
      </c>
      <c r="C649" t="s">
        <v>967</v>
      </c>
      <c r="D649" s="1" t="s">
        <v>968</v>
      </c>
      <c r="E649" s="21">
        <v>29189.18918918919</v>
      </c>
      <c r="F649" s="1" t="s">
        <v>233</v>
      </c>
      <c r="G649" s="1" t="s">
        <v>233</v>
      </c>
      <c r="H649" s="6" t="s">
        <v>1951</v>
      </c>
      <c r="I649" s="6" t="s">
        <v>654</v>
      </c>
      <c r="J649" s="6" t="s">
        <v>1852</v>
      </c>
      <c r="K649" s="1">
        <v>0</v>
      </c>
      <c r="L649" s="6" t="s">
        <v>268</v>
      </c>
      <c r="M649" s="1">
        <v>2012</v>
      </c>
      <c r="N649" s="1" t="s">
        <v>1965</v>
      </c>
      <c r="O649" s="1">
        <v>0</v>
      </c>
      <c r="P649" s="1">
        <v>0</v>
      </c>
      <c r="Q649" s="1">
        <v>0</v>
      </c>
      <c r="R649" s="1">
        <v>0</v>
      </c>
      <c r="S649" s="1" t="s">
        <v>235</v>
      </c>
    </row>
    <row r="650" spans="1:19" ht="14.45" customHeight="1" x14ac:dyDescent="0.25">
      <c r="A650" s="6">
        <v>651</v>
      </c>
      <c r="B650" s="6">
        <v>7109101</v>
      </c>
      <c r="C650" t="s">
        <v>967</v>
      </c>
      <c r="D650" s="1" t="s">
        <v>968</v>
      </c>
      <c r="E650" s="21">
        <v>17800</v>
      </c>
      <c r="F650" s="1" t="s">
        <v>233</v>
      </c>
      <c r="G650" s="1" t="s">
        <v>233</v>
      </c>
      <c r="H650" s="6" t="s">
        <v>1951</v>
      </c>
      <c r="I650" s="6" t="s">
        <v>656</v>
      </c>
      <c r="J650" s="6" t="s">
        <v>1849</v>
      </c>
      <c r="K650" s="1">
        <v>0</v>
      </c>
      <c r="L650" s="6" t="s">
        <v>282</v>
      </c>
      <c r="M650" s="1">
        <v>2015</v>
      </c>
      <c r="N650" s="1" t="s">
        <v>1875</v>
      </c>
      <c r="O650" s="1">
        <v>0</v>
      </c>
      <c r="P650" s="1">
        <v>0</v>
      </c>
      <c r="Q650" s="1">
        <v>0</v>
      </c>
      <c r="R650" s="1">
        <v>0</v>
      </c>
      <c r="S650" s="1" t="s">
        <v>235</v>
      </c>
    </row>
    <row r="651" spans="1:19" ht="14.45" customHeight="1" x14ac:dyDescent="0.25">
      <c r="A651" s="6">
        <v>652</v>
      </c>
      <c r="B651" s="6">
        <v>7109101</v>
      </c>
      <c r="C651" t="s">
        <v>967</v>
      </c>
      <c r="D651" s="1" t="s">
        <v>968</v>
      </c>
      <c r="E651" s="21">
        <v>25714.285714285717</v>
      </c>
      <c r="F651" s="1" t="s">
        <v>233</v>
      </c>
      <c r="G651" s="1" t="s">
        <v>233</v>
      </c>
      <c r="H651" s="6" t="s">
        <v>1951</v>
      </c>
      <c r="I651" s="6" t="s">
        <v>657</v>
      </c>
      <c r="J651" s="6" t="s">
        <v>1849</v>
      </c>
      <c r="K651" s="1">
        <v>0</v>
      </c>
      <c r="L651" s="6" t="s">
        <v>261</v>
      </c>
      <c r="M651" s="1">
        <v>2012</v>
      </c>
      <c r="N651" s="1" t="s">
        <v>1966</v>
      </c>
      <c r="O651" s="1">
        <v>0</v>
      </c>
      <c r="P651" s="1">
        <v>0</v>
      </c>
      <c r="Q651" s="1">
        <v>0</v>
      </c>
      <c r="R651" s="1">
        <v>0</v>
      </c>
      <c r="S651" s="1" t="s">
        <v>235</v>
      </c>
    </row>
    <row r="652" spans="1:19" ht="14.45" customHeight="1" x14ac:dyDescent="0.25">
      <c r="A652" s="6">
        <v>653</v>
      </c>
      <c r="B652" s="6">
        <v>7109101</v>
      </c>
      <c r="C652" t="s">
        <v>967</v>
      </c>
      <c r="D652" s="1" t="s">
        <v>968</v>
      </c>
      <c r="E652" s="21">
        <v>18100</v>
      </c>
      <c r="F652" s="1" t="s">
        <v>233</v>
      </c>
      <c r="G652" s="1" t="s">
        <v>233</v>
      </c>
      <c r="H652" s="6" t="s">
        <v>1951</v>
      </c>
      <c r="I652" s="6" t="s">
        <v>659</v>
      </c>
      <c r="J652" s="6" t="s">
        <v>1853</v>
      </c>
      <c r="K652" s="1">
        <v>0</v>
      </c>
      <c r="L652" s="6" t="s">
        <v>261</v>
      </c>
      <c r="M652" s="1">
        <v>2013</v>
      </c>
      <c r="N652" s="1" t="s">
        <v>237</v>
      </c>
      <c r="O652" s="1">
        <v>0</v>
      </c>
      <c r="P652" s="1">
        <v>0</v>
      </c>
      <c r="Q652" s="1">
        <v>0</v>
      </c>
      <c r="R652" s="1">
        <v>0</v>
      </c>
      <c r="S652" s="1" t="s">
        <v>235</v>
      </c>
    </row>
    <row r="653" spans="1:19" ht="14.45" customHeight="1" x14ac:dyDescent="0.25">
      <c r="A653" s="6">
        <v>654</v>
      </c>
      <c r="B653" s="6">
        <v>7109101</v>
      </c>
      <c r="C653" t="s">
        <v>967</v>
      </c>
      <c r="D653" s="1" t="s">
        <v>968</v>
      </c>
      <c r="E653" s="21">
        <v>35260</v>
      </c>
      <c r="F653" s="1" t="s">
        <v>233</v>
      </c>
      <c r="G653" s="1" t="s">
        <v>233</v>
      </c>
      <c r="H653" s="6" t="s">
        <v>1951</v>
      </c>
      <c r="I653" s="6" t="s">
        <v>962</v>
      </c>
      <c r="J653" s="6" t="s">
        <v>1854</v>
      </c>
      <c r="K653" s="1">
        <v>1</v>
      </c>
      <c r="L653" s="6" t="s">
        <v>242</v>
      </c>
      <c r="M653" s="1">
        <v>2012</v>
      </c>
      <c r="N653" s="1" t="s">
        <v>237</v>
      </c>
      <c r="O653" s="1">
        <v>0</v>
      </c>
      <c r="P653" s="1">
        <v>0</v>
      </c>
      <c r="Q653" s="1">
        <v>0</v>
      </c>
      <c r="R653" s="1">
        <v>0</v>
      </c>
      <c r="S653" s="1" t="s">
        <v>235</v>
      </c>
    </row>
    <row r="654" spans="1:19" ht="14.45" customHeight="1" x14ac:dyDescent="0.25">
      <c r="A654" s="6">
        <v>655</v>
      </c>
      <c r="B654" s="6">
        <v>7109101</v>
      </c>
      <c r="C654" t="s">
        <v>967</v>
      </c>
      <c r="D654" s="1" t="s">
        <v>968</v>
      </c>
      <c r="E654" s="21">
        <v>30810.81081081081</v>
      </c>
      <c r="F654" s="1" t="s">
        <v>233</v>
      </c>
      <c r="G654" s="1" t="s">
        <v>233</v>
      </c>
      <c r="H654" s="6" t="s">
        <v>1951</v>
      </c>
      <c r="I654" s="6" t="s">
        <v>668</v>
      </c>
      <c r="J654" s="6" t="s">
        <v>1853</v>
      </c>
      <c r="K654" s="1">
        <v>0</v>
      </c>
      <c r="L654" s="6" t="s">
        <v>252</v>
      </c>
      <c r="M654" s="1">
        <v>2014</v>
      </c>
      <c r="N654" s="1" t="s">
        <v>1965</v>
      </c>
      <c r="O654" s="1">
        <v>0</v>
      </c>
      <c r="P654" s="1">
        <v>0</v>
      </c>
      <c r="Q654" s="1">
        <v>0</v>
      </c>
      <c r="R654" s="1">
        <v>0</v>
      </c>
      <c r="S654" s="1" t="s">
        <v>235</v>
      </c>
    </row>
    <row r="655" spans="1:19" ht="14.45" customHeight="1" x14ac:dyDescent="0.25">
      <c r="A655" s="6">
        <v>656</v>
      </c>
      <c r="B655" s="6">
        <v>7109101</v>
      </c>
      <c r="C655" t="s">
        <v>967</v>
      </c>
      <c r="D655" s="1" t="s">
        <v>968</v>
      </c>
      <c r="E655" s="21" t="s">
        <v>237</v>
      </c>
      <c r="F655" s="1" t="s">
        <v>233</v>
      </c>
      <c r="G655" s="19">
        <v>123</v>
      </c>
      <c r="H655" s="6" t="s">
        <v>1951</v>
      </c>
      <c r="I655" s="6" t="s">
        <v>681</v>
      </c>
      <c r="J655" s="6" t="s">
        <v>1849</v>
      </c>
      <c r="K655" s="1">
        <v>0</v>
      </c>
      <c r="L655" s="6" t="s">
        <v>236</v>
      </c>
      <c r="M655" s="1">
        <v>2009</v>
      </c>
      <c r="N655" s="1" t="s">
        <v>237</v>
      </c>
      <c r="O655" s="1">
        <v>0</v>
      </c>
      <c r="P655" s="1">
        <v>0</v>
      </c>
      <c r="Q655" s="1">
        <v>0</v>
      </c>
      <c r="R655" s="1">
        <v>0</v>
      </c>
      <c r="S655" s="1" t="s">
        <v>251</v>
      </c>
    </row>
    <row r="656" spans="1:19" ht="14.45" customHeight="1" x14ac:dyDescent="0.25">
      <c r="A656" s="6">
        <v>657</v>
      </c>
      <c r="B656" s="6">
        <v>7109101</v>
      </c>
      <c r="C656" t="s">
        <v>967</v>
      </c>
      <c r="D656" s="1" t="s">
        <v>968</v>
      </c>
      <c r="E656" s="21">
        <v>8100</v>
      </c>
      <c r="F656" s="1" t="s">
        <v>233</v>
      </c>
      <c r="G656" s="1" t="s">
        <v>233</v>
      </c>
      <c r="H656" s="6" t="s">
        <v>1951</v>
      </c>
      <c r="I656" s="6" t="s">
        <v>687</v>
      </c>
      <c r="J656" s="6" t="s">
        <v>1853</v>
      </c>
      <c r="K656" s="1">
        <v>0</v>
      </c>
      <c r="L656" s="6" t="s">
        <v>238</v>
      </c>
      <c r="M656" s="1">
        <v>1999</v>
      </c>
      <c r="N656" s="1" t="s">
        <v>1882</v>
      </c>
      <c r="O656" s="1">
        <v>0</v>
      </c>
      <c r="P656" s="1" t="s">
        <v>1952</v>
      </c>
      <c r="Q656" s="1">
        <v>0</v>
      </c>
      <c r="R656" s="1">
        <v>0</v>
      </c>
      <c r="S656" s="1" t="s">
        <v>235</v>
      </c>
    </row>
    <row r="657" spans="1:19" ht="14.45" customHeight="1" x14ac:dyDescent="0.25">
      <c r="A657" s="6">
        <v>658</v>
      </c>
      <c r="B657" s="6">
        <v>7109101</v>
      </c>
      <c r="C657" t="s">
        <v>967</v>
      </c>
      <c r="D657" s="1" t="s">
        <v>968</v>
      </c>
      <c r="E657" s="21">
        <v>14800</v>
      </c>
      <c r="F657" s="1" t="s">
        <v>233</v>
      </c>
      <c r="G657" s="1" t="s">
        <v>233</v>
      </c>
      <c r="H657" s="6" t="s">
        <v>1951</v>
      </c>
      <c r="I657" s="6" t="s">
        <v>687</v>
      </c>
      <c r="J657" s="6" t="s">
        <v>1853</v>
      </c>
      <c r="K657" s="1">
        <v>0</v>
      </c>
      <c r="L657" s="6" t="s">
        <v>238</v>
      </c>
      <c r="M657" s="1">
        <v>1999</v>
      </c>
      <c r="N657" s="1" t="s">
        <v>1883</v>
      </c>
      <c r="O657" s="1">
        <v>0</v>
      </c>
      <c r="P657" s="1">
        <v>0</v>
      </c>
      <c r="Q657" s="1">
        <v>0</v>
      </c>
      <c r="R657" s="1">
        <v>0</v>
      </c>
      <c r="S657" s="1" t="s">
        <v>235</v>
      </c>
    </row>
    <row r="658" spans="1:19" ht="14.45" customHeight="1" x14ac:dyDescent="0.25">
      <c r="A658" s="6">
        <v>659</v>
      </c>
      <c r="B658" s="6">
        <v>7109101</v>
      </c>
      <c r="C658" t="s">
        <v>967</v>
      </c>
      <c r="D658" s="1" t="s">
        <v>968</v>
      </c>
      <c r="E658" s="21">
        <v>14836.363636363636</v>
      </c>
      <c r="F658" s="1" t="s">
        <v>233</v>
      </c>
      <c r="G658" s="1" t="s">
        <v>233</v>
      </c>
      <c r="H658" s="6" t="s">
        <v>1951</v>
      </c>
      <c r="I658" s="6" t="s">
        <v>702</v>
      </c>
      <c r="J658" s="6" t="s">
        <v>1853</v>
      </c>
      <c r="K658" s="1">
        <v>0</v>
      </c>
      <c r="L658" s="6" t="s">
        <v>250</v>
      </c>
      <c r="M658" s="1">
        <v>2012</v>
      </c>
      <c r="N658" s="1" t="s">
        <v>237</v>
      </c>
      <c r="O658" s="1">
        <v>0</v>
      </c>
      <c r="P658" s="1">
        <v>0</v>
      </c>
      <c r="Q658" s="1">
        <v>0</v>
      </c>
      <c r="R658" s="1">
        <v>0</v>
      </c>
      <c r="S658" s="1" t="s">
        <v>235</v>
      </c>
    </row>
    <row r="659" spans="1:19" ht="14.45" customHeight="1" x14ac:dyDescent="0.25">
      <c r="A659" s="6">
        <v>660</v>
      </c>
      <c r="B659" s="6">
        <v>7109101</v>
      </c>
      <c r="C659" t="s">
        <v>967</v>
      </c>
      <c r="D659" s="1" t="s">
        <v>968</v>
      </c>
      <c r="E659" s="21">
        <v>29405.405405405407</v>
      </c>
      <c r="F659" s="1" t="s">
        <v>233</v>
      </c>
      <c r="G659" s="1" t="s">
        <v>233</v>
      </c>
      <c r="H659" s="6" t="s">
        <v>1951</v>
      </c>
      <c r="I659" s="6" t="s">
        <v>715</v>
      </c>
      <c r="J659" s="6" t="s">
        <v>1852</v>
      </c>
      <c r="K659" s="1">
        <v>0</v>
      </c>
      <c r="L659" s="6" t="s">
        <v>271</v>
      </c>
      <c r="M659" s="1">
        <v>2008</v>
      </c>
      <c r="N659" s="1" t="s">
        <v>1965</v>
      </c>
      <c r="O659" s="1">
        <v>0</v>
      </c>
      <c r="P659" s="1">
        <v>0</v>
      </c>
      <c r="Q659" s="1">
        <v>0</v>
      </c>
      <c r="R659" s="1">
        <v>0</v>
      </c>
      <c r="S659" s="1" t="s">
        <v>235</v>
      </c>
    </row>
    <row r="660" spans="1:19" ht="14.45" customHeight="1" x14ac:dyDescent="0.25">
      <c r="A660" s="6">
        <v>661</v>
      </c>
      <c r="B660" s="6">
        <v>7109101</v>
      </c>
      <c r="C660" t="s">
        <v>967</v>
      </c>
      <c r="D660" s="1" t="s">
        <v>968</v>
      </c>
      <c r="E660" s="21">
        <v>44378.37837837838</v>
      </c>
      <c r="F660" s="1" t="s">
        <v>233</v>
      </c>
      <c r="G660" s="1" t="s">
        <v>233</v>
      </c>
      <c r="H660" s="6" t="s">
        <v>1951</v>
      </c>
      <c r="I660" s="6" t="s">
        <v>718</v>
      </c>
      <c r="J660" s="6" t="s">
        <v>1853</v>
      </c>
      <c r="K660" s="1">
        <v>0</v>
      </c>
      <c r="L660" s="6" t="s">
        <v>252</v>
      </c>
      <c r="M660" s="1">
        <v>2010</v>
      </c>
      <c r="N660" s="1" t="s">
        <v>1965</v>
      </c>
      <c r="O660" s="1">
        <v>0</v>
      </c>
      <c r="P660" s="1">
        <v>0</v>
      </c>
      <c r="Q660" s="1">
        <v>0</v>
      </c>
      <c r="R660" s="1">
        <v>0</v>
      </c>
      <c r="S660" s="1" t="s">
        <v>235</v>
      </c>
    </row>
    <row r="661" spans="1:19" ht="14.45" customHeight="1" x14ac:dyDescent="0.25">
      <c r="A661" s="6">
        <v>662</v>
      </c>
      <c r="B661" s="6">
        <v>7109101</v>
      </c>
      <c r="C661" t="s">
        <v>967</v>
      </c>
      <c r="D661" s="1" t="s">
        <v>968</v>
      </c>
      <c r="E661" s="21">
        <v>25380.666666666668</v>
      </c>
      <c r="F661" s="1" t="s">
        <v>233</v>
      </c>
      <c r="G661" s="1" t="s">
        <v>233</v>
      </c>
      <c r="H661" s="6" t="s">
        <v>1951</v>
      </c>
      <c r="I661" s="6" t="s">
        <v>723</v>
      </c>
      <c r="J661" s="6" t="s">
        <v>1849</v>
      </c>
      <c r="K661" s="1">
        <v>0</v>
      </c>
      <c r="L661" s="6" t="s">
        <v>268</v>
      </c>
      <c r="M661" s="1">
        <v>2015</v>
      </c>
      <c r="N661" s="1" t="s">
        <v>1881</v>
      </c>
      <c r="O661" s="1">
        <v>0</v>
      </c>
      <c r="P661" s="1">
        <v>0</v>
      </c>
      <c r="Q661" s="1">
        <v>0</v>
      </c>
      <c r="R661" s="1">
        <v>0</v>
      </c>
      <c r="S661" s="1" t="s">
        <v>235</v>
      </c>
    </row>
    <row r="662" spans="1:19" ht="14.45" customHeight="1" x14ac:dyDescent="0.25">
      <c r="A662" s="6">
        <v>663</v>
      </c>
      <c r="B662" s="6">
        <v>7109101</v>
      </c>
      <c r="C662" t="s">
        <v>967</v>
      </c>
      <c r="D662" s="1" t="s">
        <v>968</v>
      </c>
      <c r="E662" s="21">
        <v>15933</v>
      </c>
      <c r="F662" s="1" t="s">
        <v>233</v>
      </c>
      <c r="G662" s="1" t="s">
        <v>233</v>
      </c>
      <c r="H662" s="6" t="s">
        <v>1951</v>
      </c>
      <c r="I662" s="6" t="s">
        <v>725</v>
      </c>
      <c r="J662" s="6" t="s">
        <v>1852</v>
      </c>
      <c r="K662" s="1">
        <v>0</v>
      </c>
      <c r="L662" s="6" t="s">
        <v>234</v>
      </c>
      <c r="M662" s="1">
        <v>2006</v>
      </c>
      <c r="N662" s="1" t="s">
        <v>237</v>
      </c>
      <c r="O662" s="1">
        <v>0</v>
      </c>
      <c r="P662" s="1">
        <v>0</v>
      </c>
      <c r="Q662" s="1">
        <v>0</v>
      </c>
      <c r="R662" s="1">
        <v>0</v>
      </c>
      <c r="S662" s="1" t="s">
        <v>235</v>
      </c>
    </row>
    <row r="663" spans="1:19" ht="14.45" customHeight="1" x14ac:dyDescent="0.25">
      <c r="A663" s="6">
        <v>664</v>
      </c>
      <c r="B663" s="6">
        <v>7109101</v>
      </c>
      <c r="C663" t="s">
        <v>967</v>
      </c>
      <c r="D663" s="1" t="s">
        <v>968</v>
      </c>
      <c r="E663" s="21">
        <v>25300</v>
      </c>
      <c r="F663" s="1" t="s">
        <v>233</v>
      </c>
      <c r="G663" s="1" t="s">
        <v>233</v>
      </c>
      <c r="H663" s="6" t="s">
        <v>1951</v>
      </c>
      <c r="I663" s="6" t="s">
        <v>725</v>
      </c>
      <c r="J663" s="6" t="s">
        <v>1852</v>
      </c>
      <c r="K663" s="1">
        <v>0</v>
      </c>
      <c r="L663" s="6" t="s">
        <v>234</v>
      </c>
      <c r="M663" s="1">
        <v>2006</v>
      </c>
      <c r="N663" s="1" t="s">
        <v>237</v>
      </c>
      <c r="O663" s="1">
        <v>0</v>
      </c>
      <c r="P663" s="1">
        <v>0</v>
      </c>
      <c r="Q663" s="1">
        <v>0</v>
      </c>
      <c r="R663" s="1">
        <v>0</v>
      </c>
      <c r="S663" s="1" t="s">
        <v>235</v>
      </c>
    </row>
    <row r="664" spans="1:19" ht="14.45" customHeight="1" x14ac:dyDescent="0.25">
      <c r="A664" s="6">
        <v>665</v>
      </c>
      <c r="B664" s="6">
        <v>7109101</v>
      </c>
      <c r="C664" t="s">
        <v>967</v>
      </c>
      <c r="D664" s="1" t="s">
        <v>968</v>
      </c>
      <c r="E664" s="21">
        <v>18200</v>
      </c>
      <c r="F664" s="1" t="s">
        <v>233</v>
      </c>
      <c r="G664" s="1" t="s">
        <v>233</v>
      </c>
      <c r="H664" s="6" t="s">
        <v>1951</v>
      </c>
      <c r="I664" s="6" t="s">
        <v>725</v>
      </c>
      <c r="J664" s="6" t="s">
        <v>1852</v>
      </c>
      <c r="K664" s="1">
        <v>0</v>
      </c>
      <c r="L664" s="6" t="s">
        <v>234</v>
      </c>
      <c r="M664" s="1">
        <v>2006</v>
      </c>
      <c r="N664" s="1" t="s">
        <v>1884</v>
      </c>
      <c r="O664" s="1">
        <v>0</v>
      </c>
      <c r="P664" s="1">
        <v>0</v>
      </c>
      <c r="Q664" s="1">
        <v>0</v>
      </c>
      <c r="R664" s="1">
        <v>0</v>
      </c>
      <c r="S664" s="1" t="s">
        <v>235</v>
      </c>
    </row>
    <row r="665" spans="1:19" ht="14.45" customHeight="1" x14ac:dyDescent="0.25">
      <c r="A665" s="6">
        <v>666</v>
      </c>
      <c r="B665" s="6">
        <v>7109101</v>
      </c>
      <c r="C665" t="s">
        <v>967</v>
      </c>
      <c r="D665" s="1" t="s">
        <v>968</v>
      </c>
      <c r="E665" s="21">
        <v>62857.142857142862</v>
      </c>
      <c r="F665" s="1" t="s">
        <v>233</v>
      </c>
      <c r="G665" s="1" t="s">
        <v>233</v>
      </c>
      <c r="H665" s="6" t="s">
        <v>1951</v>
      </c>
      <c r="I665" s="6" t="s">
        <v>453</v>
      </c>
      <c r="J665" s="6" t="s">
        <v>1853</v>
      </c>
      <c r="K665" s="1">
        <v>0</v>
      </c>
      <c r="L665" s="6" t="s">
        <v>245</v>
      </c>
      <c r="M665" s="1">
        <v>2015</v>
      </c>
      <c r="N665" s="1" t="s">
        <v>1966</v>
      </c>
      <c r="O665" s="1">
        <v>0</v>
      </c>
      <c r="P665" s="1" t="s">
        <v>1952</v>
      </c>
      <c r="Q665" s="1">
        <v>0</v>
      </c>
      <c r="R665" s="1">
        <v>0</v>
      </c>
      <c r="S665" s="1" t="s">
        <v>251</v>
      </c>
    </row>
    <row r="666" spans="1:19" ht="14.45" customHeight="1" x14ac:dyDescent="0.25">
      <c r="A666" s="6">
        <v>667</v>
      </c>
      <c r="B666" s="6">
        <v>7109101</v>
      </c>
      <c r="C666" t="s">
        <v>967</v>
      </c>
      <c r="D666" s="1" t="s">
        <v>968</v>
      </c>
      <c r="E666" s="21">
        <v>49459.45945945946</v>
      </c>
      <c r="F666" s="1" t="s">
        <v>233</v>
      </c>
      <c r="G666" s="1" t="s">
        <v>233</v>
      </c>
      <c r="H666" s="6" t="s">
        <v>1951</v>
      </c>
      <c r="I666" s="6" t="s">
        <v>666</v>
      </c>
      <c r="J666" s="6" t="s">
        <v>1852</v>
      </c>
      <c r="K666" s="1">
        <v>0</v>
      </c>
      <c r="L666" s="6" t="s">
        <v>245</v>
      </c>
      <c r="M666" s="1">
        <v>2015</v>
      </c>
      <c r="N666" s="1" t="s">
        <v>1965</v>
      </c>
      <c r="O666" s="1">
        <v>0</v>
      </c>
      <c r="P666" s="1">
        <v>0</v>
      </c>
      <c r="Q666" s="1">
        <v>0</v>
      </c>
      <c r="R666" s="1">
        <v>0</v>
      </c>
      <c r="S666" s="1" t="s">
        <v>251</v>
      </c>
    </row>
    <row r="667" spans="1:19" ht="14.45" customHeight="1" x14ac:dyDescent="0.25">
      <c r="A667" s="6">
        <v>668</v>
      </c>
      <c r="B667" s="6">
        <v>7109101</v>
      </c>
      <c r="C667" t="s">
        <v>967</v>
      </c>
      <c r="D667" s="1" t="s">
        <v>968</v>
      </c>
      <c r="E667" s="21">
        <v>19700</v>
      </c>
      <c r="F667" s="1" t="s">
        <v>233</v>
      </c>
      <c r="G667" s="1">
        <v>60</v>
      </c>
      <c r="H667" s="6" t="s">
        <v>1951</v>
      </c>
      <c r="I667" s="6" t="s">
        <v>559</v>
      </c>
      <c r="J667" s="6" t="s">
        <v>1853</v>
      </c>
      <c r="K667" s="1">
        <v>0</v>
      </c>
      <c r="L667" s="6" t="s">
        <v>283</v>
      </c>
      <c r="M667" s="1">
        <v>2016</v>
      </c>
      <c r="N667" s="1" t="s">
        <v>254</v>
      </c>
      <c r="O667" s="1">
        <v>0</v>
      </c>
      <c r="P667" s="1">
        <v>0</v>
      </c>
      <c r="Q667" s="1">
        <v>0</v>
      </c>
      <c r="R667" s="1" t="s">
        <v>1956</v>
      </c>
      <c r="S667" s="1" t="s">
        <v>251</v>
      </c>
    </row>
    <row r="668" spans="1:19" ht="14.45" customHeight="1" x14ac:dyDescent="0.25">
      <c r="A668" s="6">
        <v>669</v>
      </c>
      <c r="B668" s="6">
        <v>7109101</v>
      </c>
      <c r="C668" t="s">
        <v>967</v>
      </c>
      <c r="D668" s="1" t="s">
        <v>968</v>
      </c>
      <c r="E668" s="21">
        <v>57202.702702702707</v>
      </c>
      <c r="F668" s="1" t="s">
        <v>233</v>
      </c>
      <c r="G668" s="1" t="s">
        <v>233</v>
      </c>
      <c r="H668" s="6" t="s">
        <v>1951</v>
      </c>
      <c r="I668" s="6" t="s">
        <v>543</v>
      </c>
      <c r="J668" s="6" t="s">
        <v>1853</v>
      </c>
      <c r="K668" s="1">
        <v>0</v>
      </c>
      <c r="L668" s="6" t="s">
        <v>282</v>
      </c>
      <c r="M668" s="1">
        <v>2016</v>
      </c>
      <c r="N668" s="1" t="s">
        <v>1885</v>
      </c>
      <c r="O668" s="1">
        <v>0</v>
      </c>
      <c r="P668" s="1">
        <v>0</v>
      </c>
      <c r="Q668" s="1">
        <v>0</v>
      </c>
      <c r="R668" s="1">
        <v>0</v>
      </c>
      <c r="S668" s="1" t="s">
        <v>251</v>
      </c>
    </row>
    <row r="669" spans="1:19" ht="14.45" customHeight="1" x14ac:dyDescent="0.25">
      <c r="A669" s="6">
        <v>670</v>
      </c>
      <c r="B669" s="6">
        <v>7200101</v>
      </c>
      <c r="C669" t="s">
        <v>971</v>
      </c>
      <c r="D669" s="1" t="s">
        <v>972</v>
      </c>
      <c r="E669" s="21">
        <v>360</v>
      </c>
      <c r="F669" s="1" t="s">
        <v>233</v>
      </c>
      <c r="G669" s="1" t="s">
        <v>233</v>
      </c>
      <c r="H669" s="6" t="s">
        <v>1951</v>
      </c>
      <c r="I669" s="6" t="s">
        <v>323</v>
      </c>
      <c r="J669" s="6" t="s">
        <v>1852</v>
      </c>
      <c r="K669" s="1">
        <v>0</v>
      </c>
      <c r="L669" s="6" t="s">
        <v>284</v>
      </c>
      <c r="M669" s="1">
        <v>2014</v>
      </c>
      <c r="N669" s="1" t="s">
        <v>237</v>
      </c>
      <c r="O669" s="1">
        <v>0</v>
      </c>
      <c r="P669" s="1" t="s">
        <v>1952</v>
      </c>
      <c r="Q669" s="1">
        <v>0</v>
      </c>
      <c r="R669" s="1">
        <v>0</v>
      </c>
      <c r="S669" s="1" t="s">
        <v>235</v>
      </c>
    </row>
    <row r="670" spans="1:19" ht="14.45" customHeight="1" x14ac:dyDescent="0.25">
      <c r="A670" s="6">
        <v>671</v>
      </c>
      <c r="B670" s="6">
        <v>7200101</v>
      </c>
      <c r="C670" t="s">
        <v>971</v>
      </c>
      <c r="D670" s="1" t="s">
        <v>972</v>
      </c>
      <c r="E670" s="21">
        <v>8332</v>
      </c>
      <c r="F670" s="1" t="s">
        <v>233</v>
      </c>
      <c r="G670" s="1" t="s">
        <v>233</v>
      </c>
      <c r="H670" s="6" t="s">
        <v>1951</v>
      </c>
      <c r="I670" s="6" t="s">
        <v>334</v>
      </c>
      <c r="J670" s="6" t="s">
        <v>1852</v>
      </c>
      <c r="K670" s="1">
        <v>0</v>
      </c>
      <c r="L670" s="6" t="s">
        <v>252</v>
      </c>
      <c r="M670" s="1">
        <v>2006</v>
      </c>
      <c r="N670" s="1" t="s">
        <v>1886</v>
      </c>
      <c r="O670" s="1">
        <v>0</v>
      </c>
      <c r="P670" s="1">
        <v>0</v>
      </c>
      <c r="Q670" s="1">
        <v>0</v>
      </c>
      <c r="R670" s="1">
        <v>0</v>
      </c>
      <c r="S670" s="1" t="s">
        <v>235</v>
      </c>
    </row>
    <row r="671" spans="1:19" ht="14.45" customHeight="1" x14ac:dyDescent="0.25">
      <c r="A671" s="6">
        <v>672</v>
      </c>
      <c r="B671" s="6">
        <v>7200101</v>
      </c>
      <c r="C671" t="s">
        <v>971</v>
      </c>
      <c r="D671" s="1" t="s">
        <v>972</v>
      </c>
      <c r="E671" s="21">
        <v>6017</v>
      </c>
      <c r="F671" s="1" t="s">
        <v>233</v>
      </c>
      <c r="G671" s="1" t="s">
        <v>233</v>
      </c>
      <c r="H671" s="6" t="s">
        <v>1951</v>
      </c>
      <c r="I671" s="6" t="s">
        <v>335</v>
      </c>
      <c r="J671" s="6" t="s">
        <v>1852</v>
      </c>
      <c r="K671" s="1">
        <v>0</v>
      </c>
      <c r="L671" s="6" t="s">
        <v>252</v>
      </c>
      <c r="M671" s="1">
        <v>2009</v>
      </c>
      <c r="N671" s="1" t="s">
        <v>1886</v>
      </c>
      <c r="O671" s="1">
        <v>0</v>
      </c>
      <c r="P671" s="1">
        <v>0</v>
      </c>
      <c r="Q671" s="1">
        <v>0</v>
      </c>
      <c r="R671" s="1">
        <v>0</v>
      </c>
      <c r="S671" s="1" t="s">
        <v>235</v>
      </c>
    </row>
    <row r="672" spans="1:19" ht="14.45" customHeight="1" x14ac:dyDescent="0.25">
      <c r="A672" s="6">
        <v>673</v>
      </c>
      <c r="B672" s="6">
        <v>7200101</v>
      </c>
      <c r="C672" t="s">
        <v>971</v>
      </c>
      <c r="D672" s="1" t="s">
        <v>972</v>
      </c>
      <c r="E672" s="21">
        <v>8735.75</v>
      </c>
      <c r="F672" s="1" t="s">
        <v>233</v>
      </c>
      <c r="G672" s="1" t="s">
        <v>233</v>
      </c>
      <c r="H672" s="6" t="s">
        <v>1951</v>
      </c>
      <c r="I672" s="6" t="s">
        <v>339</v>
      </c>
      <c r="J672" s="6" t="s">
        <v>1852</v>
      </c>
      <c r="K672" s="1">
        <v>0</v>
      </c>
      <c r="L672" s="6" t="s">
        <v>271</v>
      </c>
      <c r="M672" s="1">
        <v>2009</v>
      </c>
      <c r="N672" s="1" t="s">
        <v>1887</v>
      </c>
      <c r="O672" s="1">
        <v>0</v>
      </c>
      <c r="P672" s="1">
        <v>0</v>
      </c>
      <c r="Q672" s="1">
        <v>0</v>
      </c>
      <c r="R672" s="1">
        <v>0</v>
      </c>
      <c r="S672" s="1" t="s">
        <v>235</v>
      </c>
    </row>
    <row r="673" spans="1:19" ht="14.45" customHeight="1" x14ac:dyDescent="0.25">
      <c r="A673" s="6">
        <v>674</v>
      </c>
      <c r="B673" s="6">
        <v>7200101</v>
      </c>
      <c r="C673" t="s">
        <v>971</v>
      </c>
      <c r="D673" s="1" t="s">
        <v>972</v>
      </c>
      <c r="E673" s="21">
        <v>1120</v>
      </c>
      <c r="F673" s="1" t="s">
        <v>233</v>
      </c>
      <c r="G673" s="1" t="s">
        <v>233</v>
      </c>
      <c r="H673" s="6" t="s">
        <v>1951</v>
      </c>
      <c r="I673" s="6" t="s">
        <v>433</v>
      </c>
      <c r="J673" s="6" t="s">
        <v>1853</v>
      </c>
      <c r="K673" s="1">
        <v>0</v>
      </c>
      <c r="L673" s="6" t="s">
        <v>249</v>
      </c>
      <c r="M673" s="1">
        <v>2008</v>
      </c>
      <c r="N673" s="1" t="s">
        <v>237</v>
      </c>
      <c r="O673" s="1">
        <v>0</v>
      </c>
      <c r="P673" s="1">
        <v>0</v>
      </c>
      <c r="Q673" s="1">
        <v>0</v>
      </c>
      <c r="R673" s="1">
        <v>0</v>
      </c>
      <c r="S673" s="1" t="s">
        <v>235</v>
      </c>
    </row>
    <row r="674" spans="1:19" ht="14.45" customHeight="1" x14ac:dyDescent="0.25">
      <c r="A674" s="6">
        <v>675</v>
      </c>
      <c r="B674" s="6">
        <v>7200101</v>
      </c>
      <c r="C674" t="s">
        <v>971</v>
      </c>
      <c r="D674" s="1" t="s">
        <v>972</v>
      </c>
      <c r="E674" s="21">
        <v>960</v>
      </c>
      <c r="F674" s="1" t="s">
        <v>233</v>
      </c>
      <c r="G674" s="1" t="s">
        <v>233</v>
      </c>
      <c r="H674" s="6" t="s">
        <v>1951</v>
      </c>
      <c r="I674" s="6" t="s">
        <v>433</v>
      </c>
      <c r="J674" s="6" t="s">
        <v>1853</v>
      </c>
      <c r="K674" s="1">
        <v>0</v>
      </c>
      <c r="L674" s="6" t="s">
        <v>249</v>
      </c>
      <c r="M674" s="1">
        <v>2008</v>
      </c>
      <c r="N674" s="1" t="s">
        <v>237</v>
      </c>
      <c r="O674" s="1">
        <v>0</v>
      </c>
      <c r="P674" s="1">
        <v>0</v>
      </c>
      <c r="Q674" s="1">
        <v>0</v>
      </c>
      <c r="R674" s="1">
        <v>0</v>
      </c>
      <c r="S674" s="1" t="s">
        <v>235</v>
      </c>
    </row>
    <row r="675" spans="1:19" ht="14.45" customHeight="1" x14ac:dyDescent="0.25">
      <c r="A675" s="6">
        <v>676</v>
      </c>
      <c r="B675" s="6">
        <v>7200101</v>
      </c>
      <c r="C675" t="s">
        <v>971</v>
      </c>
      <c r="D675" s="1" t="s">
        <v>972</v>
      </c>
      <c r="E675" s="21">
        <v>6080</v>
      </c>
      <c r="F675" s="1" t="s">
        <v>233</v>
      </c>
      <c r="G675" s="1" t="s">
        <v>233</v>
      </c>
      <c r="H675" s="6" t="s">
        <v>1951</v>
      </c>
      <c r="I675" s="6" t="s">
        <v>433</v>
      </c>
      <c r="J675" s="6" t="s">
        <v>1853</v>
      </c>
      <c r="K675" s="1">
        <v>0</v>
      </c>
      <c r="L675" s="6" t="s">
        <v>249</v>
      </c>
      <c r="M675" s="1">
        <v>2008</v>
      </c>
      <c r="N675" s="1" t="s">
        <v>237</v>
      </c>
      <c r="O675" s="1">
        <v>0</v>
      </c>
      <c r="P675" s="1">
        <v>0</v>
      </c>
      <c r="Q675" s="1">
        <v>0</v>
      </c>
      <c r="R675" s="1">
        <v>0</v>
      </c>
      <c r="S675" s="1" t="s">
        <v>235</v>
      </c>
    </row>
    <row r="676" spans="1:19" ht="14.45" customHeight="1" x14ac:dyDescent="0.25">
      <c r="A676" s="6">
        <v>677</v>
      </c>
      <c r="B676" s="6">
        <v>7200101</v>
      </c>
      <c r="C676" t="s">
        <v>971</v>
      </c>
      <c r="D676" s="1" t="s">
        <v>972</v>
      </c>
      <c r="E676" s="21">
        <v>1600</v>
      </c>
      <c r="F676" s="1" t="s">
        <v>233</v>
      </c>
      <c r="G676" s="1" t="s">
        <v>233</v>
      </c>
      <c r="H676" s="6" t="s">
        <v>1951</v>
      </c>
      <c r="I676" s="6" t="s">
        <v>433</v>
      </c>
      <c r="J676" s="6" t="s">
        <v>1853</v>
      </c>
      <c r="K676" s="1">
        <v>0</v>
      </c>
      <c r="L676" s="6" t="s">
        <v>249</v>
      </c>
      <c r="M676" s="1">
        <v>2008</v>
      </c>
      <c r="N676" s="1" t="s">
        <v>237</v>
      </c>
      <c r="O676" s="1">
        <v>0</v>
      </c>
      <c r="P676" s="1">
        <v>0</v>
      </c>
      <c r="Q676" s="1">
        <v>0</v>
      </c>
      <c r="R676" s="1">
        <v>0</v>
      </c>
      <c r="S676" s="1" t="s">
        <v>235</v>
      </c>
    </row>
    <row r="677" spans="1:19" ht="14.45" customHeight="1" x14ac:dyDescent="0.25">
      <c r="A677" s="6">
        <v>678</v>
      </c>
      <c r="B677" s="6">
        <v>7200101</v>
      </c>
      <c r="C677" t="s">
        <v>971</v>
      </c>
      <c r="D677" s="1" t="s">
        <v>972</v>
      </c>
      <c r="E677" s="21">
        <v>2880</v>
      </c>
      <c r="F677" s="1" t="s">
        <v>233</v>
      </c>
      <c r="G677" s="1" t="s">
        <v>233</v>
      </c>
      <c r="H677" s="6" t="s">
        <v>1951</v>
      </c>
      <c r="I677" s="6" t="s">
        <v>433</v>
      </c>
      <c r="J677" s="6" t="s">
        <v>1853</v>
      </c>
      <c r="K677" s="1">
        <v>0</v>
      </c>
      <c r="L677" s="6" t="s">
        <v>249</v>
      </c>
      <c r="M677" s="1">
        <v>2008</v>
      </c>
      <c r="N677" s="1" t="s">
        <v>237</v>
      </c>
      <c r="O677" s="1">
        <v>0</v>
      </c>
      <c r="P677" s="1">
        <v>0</v>
      </c>
      <c r="Q677" s="1">
        <v>0</v>
      </c>
      <c r="R677" s="1">
        <v>0</v>
      </c>
      <c r="S677" s="1" t="s">
        <v>235</v>
      </c>
    </row>
    <row r="678" spans="1:19" ht="14.45" customHeight="1" x14ac:dyDescent="0.25">
      <c r="A678" s="6">
        <v>679</v>
      </c>
      <c r="B678" s="6">
        <v>7200101</v>
      </c>
      <c r="C678" t="s">
        <v>971</v>
      </c>
      <c r="D678" s="1" t="s">
        <v>972</v>
      </c>
      <c r="E678" s="21">
        <v>4500</v>
      </c>
      <c r="F678" s="1" t="s">
        <v>233</v>
      </c>
      <c r="G678" s="1" t="s">
        <v>233</v>
      </c>
      <c r="H678" s="6" t="s">
        <v>1970</v>
      </c>
      <c r="I678" s="6" t="s">
        <v>440</v>
      </c>
      <c r="J678" s="6" t="s">
        <v>1849</v>
      </c>
      <c r="K678" s="1">
        <v>0</v>
      </c>
      <c r="L678" s="6" t="s">
        <v>259</v>
      </c>
      <c r="M678" s="1">
        <v>2011</v>
      </c>
      <c r="N678" s="1" t="s">
        <v>1888</v>
      </c>
      <c r="O678" s="1">
        <v>0</v>
      </c>
      <c r="P678" s="1">
        <v>0</v>
      </c>
      <c r="Q678" s="1">
        <v>0</v>
      </c>
      <c r="R678" s="1">
        <v>0</v>
      </c>
      <c r="S678" s="1" t="s">
        <v>235</v>
      </c>
    </row>
    <row r="679" spans="1:19" ht="14.45" customHeight="1" x14ac:dyDescent="0.25">
      <c r="A679" s="6">
        <v>680</v>
      </c>
      <c r="B679" s="6">
        <v>7200101</v>
      </c>
      <c r="C679" t="s">
        <v>971</v>
      </c>
      <c r="D679" s="1" t="s">
        <v>972</v>
      </c>
      <c r="E679" s="21">
        <v>5400</v>
      </c>
      <c r="F679" s="1" t="s">
        <v>233</v>
      </c>
      <c r="G679" s="1" t="s">
        <v>233</v>
      </c>
      <c r="H679" s="6" t="s">
        <v>1970</v>
      </c>
      <c r="I679" s="6" t="s">
        <v>440</v>
      </c>
      <c r="J679" s="6" t="s">
        <v>1849</v>
      </c>
      <c r="K679" s="1">
        <v>0</v>
      </c>
      <c r="L679" s="6" t="s">
        <v>259</v>
      </c>
      <c r="M679" s="1">
        <v>2011</v>
      </c>
      <c r="N679" s="1" t="s">
        <v>1888</v>
      </c>
      <c r="O679" s="1">
        <v>0</v>
      </c>
      <c r="P679" s="1">
        <v>0</v>
      </c>
      <c r="Q679" s="1">
        <v>0</v>
      </c>
      <c r="R679" s="1">
        <v>0</v>
      </c>
      <c r="S679" s="1" t="s">
        <v>235</v>
      </c>
    </row>
    <row r="680" spans="1:19" ht="14.45" customHeight="1" x14ac:dyDescent="0.25">
      <c r="A680" s="6">
        <v>681</v>
      </c>
      <c r="B680" s="6">
        <v>7200101</v>
      </c>
      <c r="C680" t="s">
        <v>971</v>
      </c>
      <c r="D680" s="1" t="s">
        <v>972</v>
      </c>
      <c r="E680" s="21">
        <v>6600</v>
      </c>
      <c r="F680" s="1" t="s">
        <v>233</v>
      </c>
      <c r="G680" s="1" t="s">
        <v>233</v>
      </c>
      <c r="H680" s="6" t="s">
        <v>1970</v>
      </c>
      <c r="I680" s="6" t="s">
        <v>440</v>
      </c>
      <c r="J680" s="6" t="s">
        <v>1849</v>
      </c>
      <c r="K680" s="1">
        <v>0</v>
      </c>
      <c r="L680" s="6" t="s">
        <v>259</v>
      </c>
      <c r="M680" s="1">
        <v>2011</v>
      </c>
      <c r="N680" s="1" t="s">
        <v>237</v>
      </c>
      <c r="O680" s="1">
        <v>0</v>
      </c>
      <c r="P680" s="1">
        <v>0</v>
      </c>
      <c r="Q680" s="1">
        <v>0</v>
      </c>
      <c r="R680" s="1">
        <v>0</v>
      </c>
      <c r="S680" s="1" t="s">
        <v>235</v>
      </c>
    </row>
    <row r="681" spans="1:19" ht="14.45" customHeight="1" x14ac:dyDescent="0.25">
      <c r="A681" s="6">
        <v>682</v>
      </c>
      <c r="B681" s="6">
        <v>7200101</v>
      </c>
      <c r="C681" t="s">
        <v>971</v>
      </c>
      <c r="D681" s="1" t="s">
        <v>972</v>
      </c>
      <c r="E681" s="21">
        <v>1200</v>
      </c>
      <c r="F681" s="1" t="s">
        <v>233</v>
      </c>
      <c r="G681" s="1" t="s">
        <v>233</v>
      </c>
      <c r="H681" s="6" t="s">
        <v>1951</v>
      </c>
      <c r="I681" s="6" t="s">
        <v>973</v>
      </c>
      <c r="J681" s="6" t="s">
        <v>1849</v>
      </c>
      <c r="K681" s="1">
        <v>0</v>
      </c>
      <c r="L681" s="6" t="s">
        <v>261</v>
      </c>
      <c r="M681" s="1">
        <v>2009</v>
      </c>
      <c r="N681" s="1" t="s">
        <v>1857</v>
      </c>
      <c r="O681" s="1">
        <v>1</v>
      </c>
      <c r="P681" s="1">
        <v>0</v>
      </c>
      <c r="Q681" s="1">
        <v>0</v>
      </c>
      <c r="R681" s="1">
        <v>0</v>
      </c>
      <c r="S681" s="1" t="s">
        <v>235</v>
      </c>
    </row>
    <row r="682" spans="1:19" ht="14.45" customHeight="1" x14ac:dyDescent="0.25">
      <c r="A682" s="6">
        <v>683</v>
      </c>
      <c r="B682" s="6">
        <v>7200101</v>
      </c>
      <c r="C682" t="s">
        <v>971</v>
      </c>
      <c r="D682" s="1" t="s">
        <v>972</v>
      </c>
      <c r="E682" s="21">
        <v>845</v>
      </c>
      <c r="F682" s="1" t="s">
        <v>233</v>
      </c>
      <c r="G682" s="1" t="s">
        <v>233</v>
      </c>
      <c r="H682" s="6" t="s">
        <v>1951</v>
      </c>
      <c r="I682" s="6" t="s">
        <v>512</v>
      </c>
      <c r="J682" s="6" t="s">
        <v>1853</v>
      </c>
      <c r="K682" s="1">
        <v>0</v>
      </c>
      <c r="L682" s="6" t="s">
        <v>285</v>
      </c>
      <c r="M682" s="1">
        <v>2010</v>
      </c>
      <c r="N682" s="1" t="s">
        <v>1889</v>
      </c>
      <c r="O682" s="1">
        <v>1</v>
      </c>
      <c r="P682" s="1">
        <v>0</v>
      </c>
      <c r="Q682" s="1">
        <v>0</v>
      </c>
      <c r="R682" s="1">
        <v>0</v>
      </c>
      <c r="S682" s="1" t="s">
        <v>235</v>
      </c>
    </row>
    <row r="683" spans="1:19" ht="14.45" customHeight="1" x14ac:dyDescent="0.25">
      <c r="A683" s="6">
        <v>684</v>
      </c>
      <c r="B683" s="6">
        <v>7200101</v>
      </c>
      <c r="C683" t="s">
        <v>971</v>
      </c>
      <c r="D683" s="1" t="s">
        <v>972</v>
      </c>
      <c r="E683" s="21">
        <v>500</v>
      </c>
      <c r="F683" s="1" t="s">
        <v>233</v>
      </c>
      <c r="G683" s="1" t="s">
        <v>233</v>
      </c>
      <c r="H683" s="6" t="s">
        <v>1951</v>
      </c>
      <c r="I683" s="6" t="s">
        <v>512</v>
      </c>
      <c r="J683" s="6" t="s">
        <v>1853</v>
      </c>
      <c r="K683" s="1">
        <v>0</v>
      </c>
      <c r="L683" s="6" t="s">
        <v>285</v>
      </c>
      <c r="M683" s="1">
        <v>2010</v>
      </c>
      <c r="N683" s="1" t="s">
        <v>1889</v>
      </c>
      <c r="O683" s="1">
        <v>1</v>
      </c>
      <c r="P683" s="1">
        <v>0</v>
      </c>
      <c r="Q683" s="1">
        <v>0</v>
      </c>
      <c r="R683" s="1">
        <v>0</v>
      </c>
      <c r="S683" s="1" t="s">
        <v>235</v>
      </c>
    </row>
    <row r="684" spans="1:19" ht="14.45" customHeight="1" x14ac:dyDescent="0.25">
      <c r="A684" s="6">
        <v>685</v>
      </c>
      <c r="B684" s="6">
        <v>7200101</v>
      </c>
      <c r="C684" t="s">
        <v>971</v>
      </c>
      <c r="D684" s="1" t="s">
        <v>972</v>
      </c>
      <c r="E684" s="21">
        <v>700</v>
      </c>
      <c r="F684" s="1" t="s">
        <v>233</v>
      </c>
      <c r="G684" s="1" t="s">
        <v>233</v>
      </c>
      <c r="H684" s="6" t="s">
        <v>1951</v>
      </c>
      <c r="I684" s="6" t="s">
        <v>512</v>
      </c>
      <c r="J684" s="6" t="s">
        <v>1853</v>
      </c>
      <c r="K684" s="1">
        <v>0</v>
      </c>
      <c r="L684" s="6" t="s">
        <v>243</v>
      </c>
      <c r="M684" s="1">
        <v>2010</v>
      </c>
      <c r="N684" s="1" t="s">
        <v>1889</v>
      </c>
      <c r="O684" s="1">
        <v>1</v>
      </c>
      <c r="P684" s="1">
        <v>0</v>
      </c>
      <c r="Q684" s="1">
        <v>0</v>
      </c>
      <c r="R684" s="1">
        <v>0</v>
      </c>
      <c r="S684" s="1" t="s">
        <v>235</v>
      </c>
    </row>
    <row r="685" spans="1:19" ht="14.45" customHeight="1" x14ac:dyDescent="0.25">
      <c r="A685" s="6">
        <v>686</v>
      </c>
      <c r="B685" s="6">
        <v>7200101</v>
      </c>
      <c r="C685" t="s">
        <v>971</v>
      </c>
      <c r="D685" s="1" t="s">
        <v>972</v>
      </c>
      <c r="E685" s="21">
        <v>1800</v>
      </c>
      <c r="F685" s="1" t="s">
        <v>233</v>
      </c>
      <c r="G685" s="1" t="s">
        <v>233</v>
      </c>
      <c r="H685" s="6" t="s">
        <v>1951</v>
      </c>
      <c r="I685" s="6" t="s">
        <v>974</v>
      </c>
      <c r="J685" s="6" t="s">
        <v>1852</v>
      </c>
      <c r="K685" s="1">
        <v>0</v>
      </c>
      <c r="L685" s="6" t="s">
        <v>258</v>
      </c>
      <c r="M685" s="1">
        <v>2005</v>
      </c>
      <c r="N685" s="1" t="s">
        <v>1890</v>
      </c>
      <c r="O685" s="1">
        <v>1</v>
      </c>
      <c r="P685" s="1">
        <v>0</v>
      </c>
      <c r="Q685" s="1">
        <v>0</v>
      </c>
      <c r="R685" s="1">
        <v>0</v>
      </c>
      <c r="S685" s="1" t="s">
        <v>235</v>
      </c>
    </row>
    <row r="686" spans="1:19" ht="14.45" customHeight="1" x14ac:dyDescent="0.25">
      <c r="A686" s="6">
        <v>687</v>
      </c>
      <c r="B686" s="6">
        <v>7200101</v>
      </c>
      <c r="C686" t="s">
        <v>971</v>
      </c>
      <c r="D686" s="1" t="s">
        <v>972</v>
      </c>
      <c r="E686" s="21">
        <v>19400</v>
      </c>
      <c r="F686" s="1" t="s">
        <v>233</v>
      </c>
      <c r="G686" s="1" t="s">
        <v>233</v>
      </c>
      <c r="H686" s="6" t="s">
        <v>1951</v>
      </c>
      <c r="I686" s="6" t="s">
        <v>549</v>
      </c>
      <c r="J686" s="6" t="s">
        <v>1849</v>
      </c>
      <c r="K686" s="1">
        <v>0</v>
      </c>
      <c r="L686" s="6" t="s">
        <v>258</v>
      </c>
      <c r="M686" s="1">
        <v>2010</v>
      </c>
      <c r="N686" s="1" t="s">
        <v>1886</v>
      </c>
      <c r="O686" s="1">
        <v>0</v>
      </c>
      <c r="P686" s="1" t="s">
        <v>1952</v>
      </c>
      <c r="Q686" s="1">
        <v>0</v>
      </c>
      <c r="R686" s="1">
        <v>0</v>
      </c>
      <c r="S686" s="1" t="s">
        <v>235</v>
      </c>
    </row>
    <row r="687" spans="1:19" ht="14.45" customHeight="1" x14ac:dyDescent="0.25">
      <c r="A687" s="6">
        <v>688</v>
      </c>
      <c r="B687" s="6">
        <v>7200101</v>
      </c>
      <c r="C687" t="s">
        <v>971</v>
      </c>
      <c r="D687" s="1" t="s">
        <v>972</v>
      </c>
      <c r="E687" s="21">
        <v>3490</v>
      </c>
      <c r="F687" s="1" t="s">
        <v>233</v>
      </c>
      <c r="G687" s="1" t="s">
        <v>233</v>
      </c>
      <c r="H687" s="6" t="s">
        <v>1951</v>
      </c>
      <c r="I687" s="6" t="s">
        <v>551</v>
      </c>
      <c r="J687" s="6" t="s">
        <v>1849</v>
      </c>
      <c r="K687" s="1">
        <v>0</v>
      </c>
      <c r="L687" s="6" t="s">
        <v>258</v>
      </c>
      <c r="M687" s="1">
        <v>2011</v>
      </c>
      <c r="N687" s="1" t="s">
        <v>237</v>
      </c>
      <c r="O687" s="1">
        <v>0</v>
      </c>
      <c r="P687" s="1">
        <v>0</v>
      </c>
      <c r="Q687" s="1">
        <v>0</v>
      </c>
      <c r="R687" s="1">
        <v>0</v>
      </c>
      <c r="S687" s="1" t="s">
        <v>235</v>
      </c>
    </row>
    <row r="688" spans="1:19" ht="14.45" customHeight="1" x14ac:dyDescent="0.25">
      <c r="A688" s="6">
        <v>689</v>
      </c>
      <c r="B688" s="6">
        <v>7200101</v>
      </c>
      <c r="C688" t="s">
        <v>971</v>
      </c>
      <c r="D688" s="1" t="s">
        <v>972</v>
      </c>
      <c r="E688" s="21">
        <v>10430</v>
      </c>
      <c r="F688" s="1" t="s">
        <v>233</v>
      </c>
      <c r="G688" s="1" t="s">
        <v>233</v>
      </c>
      <c r="H688" s="6" t="s">
        <v>1951</v>
      </c>
      <c r="I688" s="6" t="s">
        <v>551</v>
      </c>
      <c r="J688" s="6" t="s">
        <v>1849</v>
      </c>
      <c r="K688" s="1">
        <v>0</v>
      </c>
      <c r="L688" s="6" t="s">
        <v>258</v>
      </c>
      <c r="M688" s="1">
        <v>2011</v>
      </c>
      <c r="N688" s="1" t="s">
        <v>237</v>
      </c>
      <c r="O688" s="1">
        <v>0</v>
      </c>
      <c r="P688" s="1">
        <v>0</v>
      </c>
      <c r="Q688" s="1">
        <v>0</v>
      </c>
      <c r="R688" s="1">
        <v>0</v>
      </c>
      <c r="S688" s="1" t="s">
        <v>235</v>
      </c>
    </row>
    <row r="689" spans="1:19" ht="14.45" customHeight="1" x14ac:dyDescent="0.25">
      <c r="A689" s="6">
        <v>690</v>
      </c>
      <c r="B689" s="6">
        <v>7200101</v>
      </c>
      <c r="C689" t="s">
        <v>971</v>
      </c>
      <c r="D689" s="1" t="s">
        <v>972</v>
      </c>
      <c r="E689" s="21">
        <v>6250</v>
      </c>
      <c r="F689" s="1" t="s">
        <v>233</v>
      </c>
      <c r="G689" s="1" t="s">
        <v>233</v>
      </c>
      <c r="H689" s="6" t="s">
        <v>1951</v>
      </c>
      <c r="I689" s="6" t="s">
        <v>551</v>
      </c>
      <c r="J689" s="6" t="s">
        <v>1849</v>
      </c>
      <c r="K689" s="1">
        <v>0</v>
      </c>
      <c r="L689" s="6" t="s">
        <v>258</v>
      </c>
      <c r="M689" s="1">
        <v>2011</v>
      </c>
      <c r="N689" s="1" t="s">
        <v>237</v>
      </c>
      <c r="O689" s="1">
        <v>0</v>
      </c>
      <c r="P689" s="1">
        <v>0</v>
      </c>
      <c r="Q689" s="1">
        <v>0</v>
      </c>
      <c r="R689" s="1">
        <v>0</v>
      </c>
      <c r="S689" s="1" t="s">
        <v>235</v>
      </c>
    </row>
    <row r="690" spans="1:19" ht="14.45" customHeight="1" x14ac:dyDescent="0.25">
      <c r="A690" s="6">
        <v>691</v>
      </c>
      <c r="B690" s="6">
        <v>7200101</v>
      </c>
      <c r="C690" t="s">
        <v>971</v>
      </c>
      <c r="D690" s="1" t="s">
        <v>972</v>
      </c>
      <c r="E690" s="21">
        <v>6876.6666666666661</v>
      </c>
      <c r="F690" s="1" t="s">
        <v>233</v>
      </c>
      <c r="G690" s="1" t="s">
        <v>233</v>
      </c>
      <c r="H690" s="6" t="s">
        <v>1951</v>
      </c>
      <c r="I690" s="6" t="s">
        <v>551</v>
      </c>
      <c r="J690" s="6" t="s">
        <v>1849</v>
      </c>
      <c r="K690" s="1">
        <v>0</v>
      </c>
      <c r="L690" s="6" t="s">
        <v>258</v>
      </c>
      <c r="M690" s="1">
        <v>2011</v>
      </c>
      <c r="N690" s="1" t="s">
        <v>237</v>
      </c>
      <c r="O690" s="1">
        <v>0</v>
      </c>
      <c r="P690" s="1">
        <v>0</v>
      </c>
      <c r="Q690" s="1">
        <v>0</v>
      </c>
      <c r="R690" s="1">
        <v>0</v>
      </c>
      <c r="S690" s="1" t="s">
        <v>235</v>
      </c>
    </row>
    <row r="691" spans="1:19" ht="14.45" customHeight="1" x14ac:dyDescent="0.25">
      <c r="A691" s="6">
        <v>692</v>
      </c>
      <c r="B691" s="6">
        <v>7200101</v>
      </c>
      <c r="C691" t="s">
        <v>971</v>
      </c>
      <c r="D691" s="1" t="s">
        <v>972</v>
      </c>
      <c r="E691" s="21">
        <v>3130</v>
      </c>
      <c r="F691" s="1" t="s">
        <v>233</v>
      </c>
      <c r="G691" s="1" t="s">
        <v>233</v>
      </c>
      <c r="H691" s="6" t="s">
        <v>1951</v>
      </c>
      <c r="I691" s="6" t="s">
        <v>551</v>
      </c>
      <c r="J691" s="6" t="s">
        <v>1849</v>
      </c>
      <c r="K691" s="1">
        <v>0</v>
      </c>
      <c r="L691" s="6" t="s">
        <v>258</v>
      </c>
      <c r="M691" s="1">
        <v>2011</v>
      </c>
      <c r="N691" s="1" t="s">
        <v>237</v>
      </c>
      <c r="O691" s="1">
        <v>0</v>
      </c>
      <c r="P691" s="1">
        <v>0</v>
      </c>
      <c r="Q691" s="1">
        <v>0</v>
      </c>
      <c r="R691" s="1">
        <v>0</v>
      </c>
      <c r="S691" s="1" t="s">
        <v>235</v>
      </c>
    </row>
    <row r="692" spans="1:19" ht="14.45" customHeight="1" x14ac:dyDescent="0.25">
      <c r="A692" s="6">
        <v>693</v>
      </c>
      <c r="B692" s="6">
        <v>7200101</v>
      </c>
      <c r="C692" t="s">
        <v>971</v>
      </c>
      <c r="D692" s="1" t="s">
        <v>972</v>
      </c>
      <c r="E692" s="21">
        <v>938</v>
      </c>
      <c r="F692" s="1" t="s">
        <v>233</v>
      </c>
      <c r="G692" s="1" t="s">
        <v>233</v>
      </c>
      <c r="H692" s="6" t="s">
        <v>1951</v>
      </c>
      <c r="I692" s="6" t="s">
        <v>551</v>
      </c>
      <c r="J692" s="6" t="s">
        <v>1849</v>
      </c>
      <c r="K692" s="1">
        <v>0</v>
      </c>
      <c r="L692" s="6" t="s">
        <v>258</v>
      </c>
      <c r="M692" s="1">
        <v>2011</v>
      </c>
      <c r="N692" s="1" t="s">
        <v>237</v>
      </c>
      <c r="O692" s="1">
        <v>0</v>
      </c>
      <c r="P692" s="1">
        <v>0</v>
      </c>
      <c r="Q692" s="1">
        <v>0</v>
      </c>
      <c r="R692" s="1">
        <v>0</v>
      </c>
      <c r="S692" s="1" t="s">
        <v>235</v>
      </c>
    </row>
    <row r="693" spans="1:19" ht="14.45" customHeight="1" x14ac:dyDescent="0.25">
      <c r="A693" s="6">
        <v>694</v>
      </c>
      <c r="B693" s="6">
        <v>7200101</v>
      </c>
      <c r="C693" t="s">
        <v>971</v>
      </c>
      <c r="D693" s="1" t="s">
        <v>972</v>
      </c>
      <c r="E693" s="21">
        <v>3490</v>
      </c>
      <c r="F693" s="1" t="s">
        <v>233</v>
      </c>
      <c r="G693" s="1" t="s">
        <v>233</v>
      </c>
      <c r="H693" s="6" t="s">
        <v>1951</v>
      </c>
      <c r="I693" s="6" t="s">
        <v>551</v>
      </c>
      <c r="J693" s="6" t="s">
        <v>1849</v>
      </c>
      <c r="K693" s="1">
        <v>0</v>
      </c>
      <c r="L693" s="6" t="s">
        <v>258</v>
      </c>
      <c r="M693" s="1">
        <v>2011</v>
      </c>
      <c r="N693" s="1" t="s">
        <v>237</v>
      </c>
      <c r="O693" s="1">
        <v>0</v>
      </c>
      <c r="P693" s="1">
        <v>0</v>
      </c>
      <c r="Q693" s="1">
        <v>0</v>
      </c>
      <c r="R693" s="1">
        <v>0</v>
      </c>
      <c r="S693" s="1" t="s">
        <v>235</v>
      </c>
    </row>
    <row r="694" spans="1:19" ht="14.45" customHeight="1" x14ac:dyDescent="0.25">
      <c r="A694" s="6">
        <v>695</v>
      </c>
      <c r="B694" s="6">
        <v>7200101</v>
      </c>
      <c r="C694" t="s">
        <v>971</v>
      </c>
      <c r="D694" s="1" t="s">
        <v>972</v>
      </c>
      <c r="E694" s="21">
        <v>8410</v>
      </c>
      <c r="F694" s="1" t="s">
        <v>233</v>
      </c>
      <c r="G694" s="1" t="s">
        <v>233</v>
      </c>
      <c r="H694" s="6" t="s">
        <v>1951</v>
      </c>
      <c r="I694" s="6" t="s">
        <v>551</v>
      </c>
      <c r="J694" s="6" t="s">
        <v>1849</v>
      </c>
      <c r="K694" s="1">
        <v>0</v>
      </c>
      <c r="L694" s="6" t="s">
        <v>258</v>
      </c>
      <c r="M694" s="1">
        <v>2011</v>
      </c>
      <c r="N694" s="1" t="s">
        <v>237</v>
      </c>
      <c r="O694" s="1">
        <v>0</v>
      </c>
      <c r="P694" s="1">
        <v>0</v>
      </c>
      <c r="Q694" s="1">
        <v>0</v>
      </c>
      <c r="R694" s="1">
        <v>0</v>
      </c>
      <c r="S694" s="1" t="s">
        <v>235</v>
      </c>
    </row>
    <row r="695" spans="1:19" ht="14.45" customHeight="1" x14ac:dyDescent="0.25">
      <c r="A695" s="6">
        <v>696</v>
      </c>
      <c r="B695" s="6">
        <v>7200101</v>
      </c>
      <c r="C695" t="s">
        <v>971</v>
      </c>
      <c r="D695" s="1" t="s">
        <v>972</v>
      </c>
      <c r="E695" s="21">
        <v>6940</v>
      </c>
      <c r="F695" s="1" t="s">
        <v>233</v>
      </c>
      <c r="G695" s="1" t="s">
        <v>233</v>
      </c>
      <c r="H695" s="6" t="s">
        <v>1951</v>
      </c>
      <c r="I695" s="6" t="s">
        <v>551</v>
      </c>
      <c r="J695" s="6" t="s">
        <v>1849</v>
      </c>
      <c r="K695" s="1">
        <v>0</v>
      </c>
      <c r="L695" s="6" t="s">
        <v>258</v>
      </c>
      <c r="M695" s="1">
        <v>2011</v>
      </c>
      <c r="N695" s="1" t="s">
        <v>237</v>
      </c>
      <c r="O695" s="1">
        <v>0</v>
      </c>
      <c r="P695" s="1">
        <v>0</v>
      </c>
      <c r="Q695" s="1">
        <v>0</v>
      </c>
      <c r="R695" s="1">
        <v>0</v>
      </c>
      <c r="S695" s="1" t="s">
        <v>235</v>
      </c>
    </row>
    <row r="696" spans="1:19" ht="14.45" customHeight="1" x14ac:dyDescent="0.25">
      <c r="A696" s="6">
        <v>697</v>
      </c>
      <c r="B696" s="6">
        <v>7200101</v>
      </c>
      <c r="C696" t="s">
        <v>971</v>
      </c>
      <c r="D696" s="1" t="s">
        <v>972</v>
      </c>
      <c r="E696" s="21">
        <v>780</v>
      </c>
      <c r="F696" s="1" t="s">
        <v>233</v>
      </c>
      <c r="G696" s="1" t="s">
        <v>233</v>
      </c>
      <c r="H696" s="6" t="s">
        <v>1951</v>
      </c>
      <c r="I696" s="6" t="s">
        <v>551</v>
      </c>
      <c r="J696" s="6" t="s">
        <v>1849</v>
      </c>
      <c r="K696" s="1">
        <v>0</v>
      </c>
      <c r="L696" s="6" t="s">
        <v>258</v>
      </c>
      <c r="M696" s="1">
        <v>2011</v>
      </c>
      <c r="N696" s="1" t="s">
        <v>237</v>
      </c>
      <c r="O696" s="1">
        <v>0</v>
      </c>
      <c r="P696" s="1" t="s">
        <v>1952</v>
      </c>
      <c r="Q696" s="1">
        <v>0</v>
      </c>
      <c r="R696" s="1">
        <v>0</v>
      </c>
      <c r="S696" s="1" t="s">
        <v>235</v>
      </c>
    </row>
    <row r="697" spans="1:19" ht="14.45" customHeight="1" x14ac:dyDescent="0.25">
      <c r="A697" s="6">
        <v>698</v>
      </c>
      <c r="B697" s="6">
        <v>7200101</v>
      </c>
      <c r="C697" t="s">
        <v>971</v>
      </c>
      <c r="D697" s="1" t="s">
        <v>972</v>
      </c>
      <c r="E697" s="21">
        <v>7136.666666666667</v>
      </c>
      <c r="F697" s="1" t="s">
        <v>233</v>
      </c>
      <c r="G697" s="1" t="s">
        <v>233</v>
      </c>
      <c r="H697" s="6" t="s">
        <v>1951</v>
      </c>
      <c r="I697" s="6" t="s">
        <v>551</v>
      </c>
      <c r="J697" s="6" t="s">
        <v>1849</v>
      </c>
      <c r="K697" s="1">
        <v>0</v>
      </c>
      <c r="L697" s="6" t="s">
        <v>258</v>
      </c>
      <c r="M697" s="1">
        <v>2011</v>
      </c>
      <c r="N697" s="1" t="s">
        <v>237</v>
      </c>
      <c r="O697" s="1">
        <v>0</v>
      </c>
      <c r="P697" s="1">
        <v>0</v>
      </c>
      <c r="Q697" s="1">
        <v>0</v>
      </c>
      <c r="R697" s="1">
        <v>0</v>
      </c>
      <c r="S697" s="1" t="s">
        <v>235</v>
      </c>
    </row>
    <row r="698" spans="1:19" ht="14.45" customHeight="1" x14ac:dyDescent="0.25">
      <c r="A698" s="6">
        <v>699</v>
      </c>
      <c r="B698" s="6">
        <v>7200101</v>
      </c>
      <c r="C698" t="s">
        <v>971</v>
      </c>
      <c r="D698" s="1" t="s">
        <v>972</v>
      </c>
      <c r="E698" s="21">
        <v>14240</v>
      </c>
      <c r="F698" s="1" t="s">
        <v>233</v>
      </c>
      <c r="G698" s="1" t="s">
        <v>233</v>
      </c>
      <c r="H698" s="6" t="s">
        <v>1951</v>
      </c>
      <c r="I698" s="6" t="s">
        <v>551</v>
      </c>
      <c r="J698" s="6" t="s">
        <v>1849</v>
      </c>
      <c r="K698" s="1">
        <v>0</v>
      </c>
      <c r="L698" s="6" t="s">
        <v>258</v>
      </c>
      <c r="M698" s="1">
        <v>2011</v>
      </c>
      <c r="N698" s="1" t="s">
        <v>237</v>
      </c>
      <c r="O698" s="1">
        <v>0</v>
      </c>
      <c r="P698" s="1" t="s">
        <v>1952</v>
      </c>
      <c r="Q698" s="1">
        <v>0</v>
      </c>
      <c r="R698" s="1">
        <v>0</v>
      </c>
      <c r="S698" s="1" t="s">
        <v>235</v>
      </c>
    </row>
    <row r="699" spans="1:19" ht="14.45" customHeight="1" x14ac:dyDescent="0.25">
      <c r="A699" s="6">
        <v>700</v>
      </c>
      <c r="B699" s="6">
        <v>7200101</v>
      </c>
      <c r="C699" t="s">
        <v>971</v>
      </c>
      <c r="D699" s="1" t="s">
        <v>972</v>
      </c>
      <c r="E699" s="21">
        <v>6322.5</v>
      </c>
      <c r="F699" s="1" t="s">
        <v>233</v>
      </c>
      <c r="G699" s="1" t="s">
        <v>233</v>
      </c>
      <c r="H699" s="6" t="s">
        <v>1951</v>
      </c>
      <c r="I699" s="6" t="s">
        <v>551</v>
      </c>
      <c r="J699" s="6" t="s">
        <v>1849</v>
      </c>
      <c r="K699" s="1">
        <v>0</v>
      </c>
      <c r="L699" s="6" t="s">
        <v>258</v>
      </c>
      <c r="M699" s="1">
        <v>2011</v>
      </c>
      <c r="N699" s="1" t="s">
        <v>237</v>
      </c>
      <c r="O699" s="1">
        <v>0</v>
      </c>
      <c r="P699" s="1">
        <v>0</v>
      </c>
      <c r="Q699" s="1">
        <v>0</v>
      </c>
      <c r="R699" s="1">
        <v>0</v>
      </c>
      <c r="S699" s="1" t="s">
        <v>235</v>
      </c>
    </row>
    <row r="700" spans="1:19" ht="14.45" customHeight="1" x14ac:dyDescent="0.25">
      <c r="A700" s="6">
        <v>701</v>
      </c>
      <c r="B700" s="6">
        <v>7200101</v>
      </c>
      <c r="C700" t="s">
        <v>971</v>
      </c>
      <c r="D700" s="1" t="s">
        <v>972</v>
      </c>
      <c r="E700" s="21">
        <v>1540</v>
      </c>
      <c r="F700" s="1" t="s">
        <v>233</v>
      </c>
      <c r="G700" s="1" t="s">
        <v>233</v>
      </c>
      <c r="H700" s="6" t="s">
        <v>1951</v>
      </c>
      <c r="I700" s="6" t="s">
        <v>551</v>
      </c>
      <c r="J700" s="6" t="s">
        <v>1849</v>
      </c>
      <c r="K700" s="1">
        <v>0</v>
      </c>
      <c r="L700" s="6" t="s">
        <v>258</v>
      </c>
      <c r="M700" s="1">
        <v>2011</v>
      </c>
      <c r="N700" s="1" t="s">
        <v>237</v>
      </c>
      <c r="O700" s="1">
        <v>0</v>
      </c>
      <c r="P700" s="1">
        <v>0</v>
      </c>
      <c r="Q700" s="1">
        <v>0</v>
      </c>
      <c r="R700" s="1">
        <v>0</v>
      </c>
      <c r="S700" s="1" t="s">
        <v>235</v>
      </c>
    </row>
    <row r="701" spans="1:19" ht="14.45" customHeight="1" x14ac:dyDescent="0.25">
      <c r="A701" s="6">
        <v>702</v>
      </c>
      <c r="B701" s="6">
        <v>7200101</v>
      </c>
      <c r="C701" t="s">
        <v>971</v>
      </c>
      <c r="D701" s="1" t="s">
        <v>972</v>
      </c>
      <c r="E701" s="21">
        <v>994</v>
      </c>
      <c r="F701" s="1" t="s">
        <v>233</v>
      </c>
      <c r="G701" s="1" t="s">
        <v>233</v>
      </c>
      <c r="H701" s="6" t="s">
        <v>1951</v>
      </c>
      <c r="I701" s="6" t="s">
        <v>560</v>
      </c>
      <c r="J701" s="6" t="s">
        <v>1852</v>
      </c>
      <c r="K701" s="1">
        <v>0</v>
      </c>
      <c r="L701" s="6" t="s">
        <v>249</v>
      </c>
      <c r="M701" s="1">
        <v>2001</v>
      </c>
      <c r="N701" s="1" t="s">
        <v>237</v>
      </c>
      <c r="O701" s="1">
        <v>0</v>
      </c>
      <c r="P701" s="1">
        <v>0</v>
      </c>
      <c r="Q701" s="1">
        <v>0</v>
      </c>
      <c r="R701" s="1">
        <v>0</v>
      </c>
      <c r="S701" s="1" t="s">
        <v>235</v>
      </c>
    </row>
    <row r="702" spans="1:19" ht="14.45" customHeight="1" x14ac:dyDescent="0.25">
      <c r="A702" s="6">
        <v>703</v>
      </c>
      <c r="B702" s="6">
        <v>7200101</v>
      </c>
      <c r="C702" t="s">
        <v>971</v>
      </c>
      <c r="D702" s="1" t="s">
        <v>972</v>
      </c>
      <c r="E702" s="21" t="s">
        <v>237</v>
      </c>
      <c r="F702" s="1" t="s">
        <v>233</v>
      </c>
      <c r="G702" s="19">
        <v>227.27172789833566</v>
      </c>
      <c r="H702" s="6" t="s">
        <v>1951</v>
      </c>
      <c r="I702" s="6" t="s">
        <v>580</v>
      </c>
      <c r="J702" s="6" t="s">
        <v>1851</v>
      </c>
      <c r="K702" s="1">
        <v>0</v>
      </c>
      <c r="L702" s="6" t="s">
        <v>243</v>
      </c>
      <c r="M702" s="1">
        <v>2008</v>
      </c>
      <c r="N702" s="1" t="s">
        <v>237</v>
      </c>
      <c r="O702" s="1">
        <v>0</v>
      </c>
      <c r="P702" s="1">
        <v>0</v>
      </c>
      <c r="Q702" s="1">
        <v>0</v>
      </c>
      <c r="R702" s="1">
        <v>0</v>
      </c>
      <c r="S702" s="1" t="s">
        <v>251</v>
      </c>
    </row>
    <row r="703" spans="1:19" ht="14.45" customHeight="1" x14ac:dyDescent="0.25">
      <c r="A703" s="6">
        <v>704</v>
      </c>
      <c r="B703" s="6">
        <v>7200101</v>
      </c>
      <c r="C703" t="s">
        <v>971</v>
      </c>
      <c r="D703" s="1" t="s">
        <v>972</v>
      </c>
      <c r="E703" s="21">
        <v>1933.33</v>
      </c>
      <c r="F703" s="1" t="s">
        <v>233</v>
      </c>
      <c r="G703" s="1" t="s">
        <v>233</v>
      </c>
      <c r="H703" s="6" t="s">
        <v>1951</v>
      </c>
      <c r="I703" s="6" t="s">
        <v>634</v>
      </c>
      <c r="J703" s="6" t="s">
        <v>1849</v>
      </c>
      <c r="K703" s="1">
        <v>0</v>
      </c>
      <c r="L703" s="6" t="s">
        <v>271</v>
      </c>
      <c r="M703" s="1">
        <v>2007</v>
      </c>
      <c r="N703" s="1" t="s">
        <v>1891</v>
      </c>
      <c r="O703" s="1">
        <v>0</v>
      </c>
      <c r="P703" s="1">
        <v>0</v>
      </c>
      <c r="Q703" s="1">
        <v>0</v>
      </c>
      <c r="R703" s="1">
        <v>0</v>
      </c>
      <c r="S703" s="1" t="s">
        <v>235</v>
      </c>
    </row>
    <row r="704" spans="1:19" ht="14.45" customHeight="1" x14ac:dyDescent="0.25">
      <c r="A704" s="6">
        <v>705</v>
      </c>
      <c r="B704" s="6">
        <v>7200101</v>
      </c>
      <c r="C704" t="s">
        <v>971</v>
      </c>
      <c r="D704" s="1" t="s">
        <v>972</v>
      </c>
      <c r="E704" s="21">
        <v>2100</v>
      </c>
      <c r="F704" s="1" t="s">
        <v>233</v>
      </c>
      <c r="G704" s="1" t="s">
        <v>233</v>
      </c>
      <c r="H704" s="6" t="s">
        <v>1951</v>
      </c>
      <c r="I704" s="6" t="s">
        <v>634</v>
      </c>
      <c r="J704" s="6" t="s">
        <v>1849</v>
      </c>
      <c r="K704" s="1">
        <v>0</v>
      </c>
      <c r="L704" s="6" t="s">
        <v>271</v>
      </c>
      <c r="M704" s="1">
        <v>2007</v>
      </c>
      <c r="N704" s="1" t="s">
        <v>1887</v>
      </c>
      <c r="O704" s="1">
        <v>0</v>
      </c>
      <c r="P704" s="1">
        <v>0</v>
      </c>
      <c r="Q704" s="1">
        <v>0</v>
      </c>
      <c r="R704" s="1">
        <v>0</v>
      </c>
      <c r="S704" s="1" t="s">
        <v>235</v>
      </c>
    </row>
    <row r="705" spans="1:19" ht="14.45" customHeight="1" x14ac:dyDescent="0.25">
      <c r="A705" s="6">
        <v>706</v>
      </c>
      <c r="B705" s="6">
        <v>7200101</v>
      </c>
      <c r="C705" t="s">
        <v>971</v>
      </c>
      <c r="D705" s="1" t="s">
        <v>972</v>
      </c>
      <c r="E705" s="21">
        <v>2160</v>
      </c>
      <c r="F705" s="1" t="s">
        <v>233</v>
      </c>
      <c r="G705" s="1" t="s">
        <v>233</v>
      </c>
      <c r="H705" s="6" t="s">
        <v>1951</v>
      </c>
      <c r="I705" s="6" t="s">
        <v>636</v>
      </c>
      <c r="J705" s="6" t="s">
        <v>1849</v>
      </c>
      <c r="K705" s="1">
        <v>0</v>
      </c>
      <c r="L705" s="6" t="s">
        <v>240</v>
      </c>
      <c r="M705" s="1">
        <v>2009</v>
      </c>
      <c r="N705" s="1" t="s">
        <v>1887</v>
      </c>
      <c r="O705" s="1">
        <v>0</v>
      </c>
      <c r="P705" s="1">
        <v>0</v>
      </c>
      <c r="Q705" s="1">
        <v>0</v>
      </c>
      <c r="R705" s="1">
        <v>0</v>
      </c>
      <c r="S705" s="1" t="s">
        <v>235</v>
      </c>
    </row>
    <row r="706" spans="1:19" ht="14.45" customHeight="1" x14ac:dyDescent="0.25">
      <c r="A706" s="6">
        <v>707</v>
      </c>
      <c r="B706" s="6">
        <v>7200101</v>
      </c>
      <c r="C706" t="s">
        <v>971</v>
      </c>
      <c r="D706" s="1" t="s">
        <v>972</v>
      </c>
      <c r="E706" s="21">
        <v>1056.8666666666666</v>
      </c>
      <c r="F706" s="1" t="s">
        <v>233</v>
      </c>
      <c r="G706" s="1" t="s">
        <v>233</v>
      </c>
      <c r="H706" s="6" t="s">
        <v>1951</v>
      </c>
      <c r="I706" s="6" t="s">
        <v>648</v>
      </c>
      <c r="J706" s="6" t="s">
        <v>1849</v>
      </c>
      <c r="K706" s="1">
        <v>0</v>
      </c>
      <c r="L706" s="6" t="s">
        <v>258</v>
      </c>
      <c r="M706" s="1">
        <v>2011</v>
      </c>
      <c r="N706" s="1" t="s">
        <v>237</v>
      </c>
      <c r="O706" s="1">
        <v>0</v>
      </c>
      <c r="P706" s="1">
        <v>0</v>
      </c>
      <c r="Q706" s="1">
        <v>0</v>
      </c>
      <c r="R706" s="1">
        <v>0</v>
      </c>
      <c r="S706" s="1" t="s">
        <v>235</v>
      </c>
    </row>
    <row r="707" spans="1:19" ht="14.45" customHeight="1" x14ac:dyDescent="0.25">
      <c r="A707" s="6">
        <v>708</v>
      </c>
      <c r="B707" s="6">
        <v>7200101</v>
      </c>
      <c r="C707" t="s">
        <v>971</v>
      </c>
      <c r="D707" s="1" t="s">
        <v>972</v>
      </c>
      <c r="E707" s="21">
        <v>7915</v>
      </c>
      <c r="F707" s="1" t="s">
        <v>233</v>
      </c>
      <c r="G707" s="1" t="s">
        <v>233</v>
      </c>
      <c r="H707" s="6" t="s">
        <v>1951</v>
      </c>
      <c r="I707" s="6" t="s">
        <v>975</v>
      </c>
      <c r="J707" s="6" t="s">
        <v>1854</v>
      </c>
      <c r="K707" s="1">
        <v>1</v>
      </c>
      <c r="L707" s="6" t="s">
        <v>259</v>
      </c>
      <c r="M707" s="1">
        <v>2005</v>
      </c>
      <c r="N707" s="1" t="s">
        <v>1892</v>
      </c>
      <c r="O707" s="1">
        <v>0</v>
      </c>
      <c r="P707" s="1">
        <v>0</v>
      </c>
      <c r="Q707" s="1">
        <v>0</v>
      </c>
      <c r="R707" s="1">
        <v>0</v>
      </c>
      <c r="S707" s="1" t="s">
        <v>235</v>
      </c>
    </row>
    <row r="708" spans="1:19" ht="14.45" customHeight="1" x14ac:dyDescent="0.25">
      <c r="A708" s="6">
        <v>709</v>
      </c>
      <c r="B708" s="6">
        <v>7200101</v>
      </c>
      <c r="C708" t="s">
        <v>971</v>
      </c>
      <c r="D708" s="1" t="s">
        <v>972</v>
      </c>
      <c r="E708" s="21">
        <v>5411.25</v>
      </c>
      <c r="F708" s="1" t="s">
        <v>233</v>
      </c>
      <c r="G708" s="1" t="s">
        <v>233</v>
      </c>
      <c r="H708" s="6" t="s">
        <v>1951</v>
      </c>
      <c r="I708" s="6" t="s">
        <v>691</v>
      </c>
      <c r="J708" s="6" t="s">
        <v>1849</v>
      </c>
      <c r="K708" s="1">
        <v>0</v>
      </c>
      <c r="L708" s="6" t="s">
        <v>286</v>
      </c>
      <c r="M708" s="1">
        <v>2009</v>
      </c>
      <c r="N708" s="1" t="s">
        <v>237</v>
      </c>
      <c r="O708" s="1">
        <v>0</v>
      </c>
      <c r="P708" s="1">
        <v>0</v>
      </c>
      <c r="Q708" s="1">
        <v>0</v>
      </c>
      <c r="R708" s="1">
        <v>0</v>
      </c>
      <c r="S708" s="1" t="s">
        <v>235</v>
      </c>
    </row>
    <row r="709" spans="1:19" ht="14.45" customHeight="1" x14ac:dyDescent="0.25">
      <c r="A709" s="6">
        <v>710</v>
      </c>
      <c r="B709" s="6">
        <v>7200101</v>
      </c>
      <c r="C709" t="s">
        <v>971</v>
      </c>
      <c r="D709" s="1" t="s">
        <v>972</v>
      </c>
      <c r="E709" s="21">
        <v>20856</v>
      </c>
      <c r="F709" s="1" t="s">
        <v>233</v>
      </c>
      <c r="G709" s="1" t="s">
        <v>233</v>
      </c>
      <c r="H709" s="6" t="s">
        <v>1951</v>
      </c>
      <c r="I709" s="6" t="s">
        <v>976</v>
      </c>
      <c r="J709" s="6" t="s">
        <v>1851</v>
      </c>
      <c r="K709" s="1">
        <v>0</v>
      </c>
      <c r="L709" s="6" t="s">
        <v>259</v>
      </c>
      <c r="M709" s="1">
        <v>2006</v>
      </c>
      <c r="N709" s="1" t="s">
        <v>1893</v>
      </c>
      <c r="O709" s="1">
        <v>1</v>
      </c>
      <c r="P709" s="1">
        <v>0</v>
      </c>
      <c r="Q709" s="1">
        <v>0</v>
      </c>
      <c r="R709" s="1">
        <v>0</v>
      </c>
      <c r="S709" s="1" t="s">
        <v>235</v>
      </c>
    </row>
    <row r="710" spans="1:19" ht="14.45" customHeight="1" x14ac:dyDescent="0.25">
      <c r="A710" s="6">
        <v>711</v>
      </c>
      <c r="B710" s="6">
        <v>7200101</v>
      </c>
      <c r="C710" t="s">
        <v>971</v>
      </c>
      <c r="D710" s="1" t="s">
        <v>972</v>
      </c>
      <c r="E710" s="21">
        <v>1537</v>
      </c>
      <c r="F710" s="1" t="s">
        <v>233</v>
      </c>
      <c r="G710" s="1" t="s">
        <v>233</v>
      </c>
      <c r="H710" s="6" t="s">
        <v>1951</v>
      </c>
      <c r="I710" s="6" t="s">
        <v>709</v>
      </c>
      <c r="J710" s="6" t="s">
        <v>1853</v>
      </c>
      <c r="K710" s="1">
        <v>0</v>
      </c>
      <c r="L710" s="6" t="s">
        <v>258</v>
      </c>
      <c r="M710" s="1">
        <v>2010</v>
      </c>
      <c r="N710" s="1" t="s">
        <v>237</v>
      </c>
      <c r="O710" s="1">
        <v>0</v>
      </c>
      <c r="P710" s="1">
        <v>0</v>
      </c>
      <c r="Q710" s="1">
        <v>0</v>
      </c>
      <c r="R710" s="1">
        <v>0</v>
      </c>
      <c r="S710" s="1" t="s">
        <v>235</v>
      </c>
    </row>
    <row r="711" spans="1:19" ht="14.45" customHeight="1" x14ac:dyDescent="0.25">
      <c r="A711" s="6">
        <v>712</v>
      </c>
      <c r="B711" s="6">
        <v>7200101</v>
      </c>
      <c r="C711" t="s">
        <v>971</v>
      </c>
      <c r="D711" s="1" t="s">
        <v>972</v>
      </c>
      <c r="E711" s="21">
        <v>9570</v>
      </c>
      <c r="F711" s="1" t="s">
        <v>233</v>
      </c>
      <c r="G711" s="1" t="s">
        <v>233</v>
      </c>
      <c r="H711" s="6" t="s">
        <v>1951</v>
      </c>
      <c r="I711" s="6" t="s">
        <v>710</v>
      </c>
      <c r="J711" s="6" t="s">
        <v>1853</v>
      </c>
      <c r="K711" s="1">
        <v>0</v>
      </c>
      <c r="L711" s="6" t="s">
        <v>258</v>
      </c>
      <c r="M711" s="1">
        <v>2011</v>
      </c>
      <c r="N711" s="1" t="s">
        <v>237</v>
      </c>
      <c r="O711" s="1">
        <v>0</v>
      </c>
      <c r="P711" s="1">
        <v>0</v>
      </c>
      <c r="Q711" s="1">
        <v>0</v>
      </c>
      <c r="R711" s="1">
        <v>0</v>
      </c>
      <c r="S711" s="1" t="s">
        <v>235</v>
      </c>
    </row>
    <row r="712" spans="1:19" ht="14.45" customHeight="1" x14ac:dyDescent="0.25">
      <c r="A712" s="6">
        <v>713</v>
      </c>
      <c r="B712" s="6">
        <v>7200101</v>
      </c>
      <c r="C712" t="s">
        <v>971</v>
      </c>
      <c r="D712" s="1" t="s">
        <v>972</v>
      </c>
      <c r="E712" s="21">
        <v>3720</v>
      </c>
      <c r="F712" s="1" t="s">
        <v>233</v>
      </c>
      <c r="G712" s="1" t="s">
        <v>233</v>
      </c>
      <c r="H712" s="6" t="s">
        <v>1951</v>
      </c>
      <c r="I712" s="6" t="s">
        <v>728</v>
      </c>
      <c r="J712" s="6" t="s">
        <v>1849</v>
      </c>
      <c r="K712" s="1">
        <v>0</v>
      </c>
      <c r="L712" s="6" t="s">
        <v>261</v>
      </c>
      <c r="M712" s="1">
        <v>2009</v>
      </c>
      <c r="N712" s="1" t="s">
        <v>1890</v>
      </c>
      <c r="O712" s="1">
        <v>1</v>
      </c>
      <c r="P712" s="1">
        <v>0</v>
      </c>
      <c r="Q712" s="1">
        <v>0</v>
      </c>
      <c r="R712" s="1">
        <v>0</v>
      </c>
      <c r="S712" s="1" t="s">
        <v>235</v>
      </c>
    </row>
    <row r="713" spans="1:19" ht="14.45" customHeight="1" x14ac:dyDescent="0.25">
      <c r="A713" s="6">
        <v>714</v>
      </c>
      <c r="B713" s="6">
        <v>7200101</v>
      </c>
      <c r="C713" t="s">
        <v>971</v>
      </c>
      <c r="D713" s="1" t="s">
        <v>972</v>
      </c>
      <c r="E713" s="21">
        <v>3840</v>
      </c>
      <c r="F713" s="1" t="s">
        <v>233</v>
      </c>
      <c r="G713" s="1" t="s">
        <v>233</v>
      </c>
      <c r="H713" s="6" t="s">
        <v>1951</v>
      </c>
      <c r="I713" s="6" t="s">
        <v>728</v>
      </c>
      <c r="J713" s="6" t="s">
        <v>1849</v>
      </c>
      <c r="K713" s="1">
        <v>0</v>
      </c>
      <c r="L713" s="6" t="s">
        <v>261</v>
      </c>
      <c r="M713" s="1">
        <v>2009</v>
      </c>
      <c r="N713" s="1" t="s">
        <v>1888</v>
      </c>
      <c r="O713" s="1">
        <v>0</v>
      </c>
      <c r="P713" s="1">
        <v>0</v>
      </c>
      <c r="Q713" s="1">
        <v>0</v>
      </c>
      <c r="R713" s="1">
        <v>0</v>
      </c>
      <c r="S713" s="1" t="s">
        <v>235</v>
      </c>
    </row>
    <row r="714" spans="1:19" ht="14.45" customHeight="1" x14ac:dyDescent="0.25">
      <c r="A714" s="6">
        <v>715</v>
      </c>
      <c r="B714" s="6">
        <v>7200101</v>
      </c>
      <c r="C714" t="s">
        <v>971</v>
      </c>
      <c r="D714" s="1" t="s">
        <v>972</v>
      </c>
      <c r="E714" s="21">
        <v>980</v>
      </c>
      <c r="F714" s="1" t="s">
        <v>233</v>
      </c>
      <c r="G714" s="1" t="s">
        <v>233</v>
      </c>
      <c r="H714" s="6" t="s">
        <v>1951</v>
      </c>
      <c r="I714" s="6" t="s">
        <v>728</v>
      </c>
      <c r="J714" s="6" t="s">
        <v>1849</v>
      </c>
      <c r="K714" s="1">
        <v>0</v>
      </c>
      <c r="L714" s="6" t="s">
        <v>261</v>
      </c>
      <c r="M714" s="1">
        <v>2009</v>
      </c>
      <c r="N714" s="1" t="s">
        <v>1890</v>
      </c>
      <c r="O714" s="1">
        <v>1</v>
      </c>
      <c r="P714" s="1">
        <v>0</v>
      </c>
      <c r="Q714" s="1">
        <v>0</v>
      </c>
      <c r="R714" s="1">
        <v>0</v>
      </c>
      <c r="S714" s="1" t="s">
        <v>235</v>
      </c>
    </row>
    <row r="715" spans="1:19" ht="14.45" customHeight="1" x14ac:dyDescent="0.25">
      <c r="A715" s="6">
        <v>716</v>
      </c>
      <c r="B715" s="6">
        <v>7200101</v>
      </c>
      <c r="C715" t="s">
        <v>971</v>
      </c>
      <c r="D715" s="1" t="s">
        <v>972</v>
      </c>
      <c r="E715" s="21">
        <v>1390</v>
      </c>
      <c r="F715" s="1" t="s">
        <v>233</v>
      </c>
      <c r="G715" s="1" t="s">
        <v>233</v>
      </c>
      <c r="H715" s="6" t="s">
        <v>1951</v>
      </c>
      <c r="I715" s="6" t="s">
        <v>728</v>
      </c>
      <c r="J715" s="6" t="s">
        <v>1849</v>
      </c>
      <c r="K715" s="1">
        <v>0</v>
      </c>
      <c r="L715" s="6" t="s">
        <v>261</v>
      </c>
      <c r="M715" s="1">
        <v>2009</v>
      </c>
      <c r="N715" s="1" t="s">
        <v>1889</v>
      </c>
      <c r="O715" s="1">
        <v>1</v>
      </c>
      <c r="P715" s="1">
        <v>0</v>
      </c>
      <c r="Q715" s="1">
        <v>0</v>
      </c>
      <c r="R715" s="1">
        <v>0</v>
      </c>
      <c r="S715" s="1" t="s">
        <v>235</v>
      </c>
    </row>
    <row r="716" spans="1:19" ht="14.45" customHeight="1" x14ac:dyDescent="0.25">
      <c r="A716" s="6">
        <v>717</v>
      </c>
      <c r="B716" s="6">
        <v>7200101</v>
      </c>
      <c r="C716" t="s">
        <v>971</v>
      </c>
      <c r="D716" s="1" t="s">
        <v>972</v>
      </c>
      <c r="E716" s="21">
        <v>1455</v>
      </c>
      <c r="F716" s="1" t="s">
        <v>233</v>
      </c>
      <c r="G716" s="1" t="s">
        <v>233</v>
      </c>
      <c r="H716" s="6" t="s">
        <v>1951</v>
      </c>
      <c r="I716" s="6" t="s">
        <v>728</v>
      </c>
      <c r="J716" s="6" t="s">
        <v>1849</v>
      </c>
      <c r="K716" s="1">
        <v>0</v>
      </c>
      <c r="L716" s="6" t="s">
        <v>261</v>
      </c>
      <c r="M716" s="1">
        <v>2009</v>
      </c>
      <c r="N716" s="1" t="s">
        <v>1890</v>
      </c>
      <c r="O716" s="1">
        <v>1</v>
      </c>
      <c r="P716" s="1">
        <v>0</v>
      </c>
      <c r="Q716" s="1">
        <v>0</v>
      </c>
      <c r="R716" s="1">
        <v>0</v>
      </c>
      <c r="S716" s="1" t="s">
        <v>235</v>
      </c>
    </row>
    <row r="717" spans="1:19" ht="14.45" customHeight="1" x14ac:dyDescent="0.25">
      <c r="A717" s="6">
        <v>718</v>
      </c>
      <c r="B717" s="6">
        <v>7200101</v>
      </c>
      <c r="C717" t="s">
        <v>971</v>
      </c>
      <c r="D717" s="1" t="s">
        <v>972</v>
      </c>
      <c r="E717" s="21">
        <v>2470</v>
      </c>
      <c r="F717" s="1" t="s">
        <v>233</v>
      </c>
      <c r="G717" s="1" t="s">
        <v>233</v>
      </c>
      <c r="H717" s="6" t="s">
        <v>1951</v>
      </c>
      <c r="I717" s="6" t="s">
        <v>728</v>
      </c>
      <c r="J717" s="6" t="s">
        <v>1849</v>
      </c>
      <c r="K717" s="1">
        <v>0</v>
      </c>
      <c r="L717" s="6" t="s">
        <v>261</v>
      </c>
      <c r="M717" s="1">
        <v>2009</v>
      </c>
      <c r="N717" s="1" t="s">
        <v>1894</v>
      </c>
      <c r="O717" s="1">
        <v>1</v>
      </c>
      <c r="P717" s="1">
        <v>0</v>
      </c>
      <c r="Q717" s="1">
        <v>0</v>
      </c>
      <c r="R717" s="1">
        <v>0</v>
      </c>
      <c r="S717" s="1" t="s">
        <v>235</v>
      </c>
    </row>
    <row r="718" spans="1:19" ht="14.45" customHeight="1" x14ac:dyDescent="0.25">
      <c r="A718" s="6">
        <v>719</v>
      </c>
      <c r="B718" s="6">
        <v>7200101</v>
      </c>
      <c r="C718" t="s">
        <v>971</v>
      </c>
      <c r="D718" s="1" t="s">
        <v>972</v>
      </c>
      <c r="E718" s="21">
        <v>2500</v>
      </c>
      <c r="F718" s="1" t="s">
        <v>233</v>
      </c>
      <c r="G718" s="1" t="s">
        <v>233</v>
      </c>
      <c r="H718" s="6" t="s">
        <v>1951</v>
      </c>
      <c r="I718" s="6" t="s">
        <v>728</v>
      </c>
      <c r="J718" s="6" t="s">
        <v>1849</v>
      </c>
      <c r="K718" s="1">
        <v>0</v>
      </c>
      <c r="L718" s="6" t="s">
        <v>261</v>
      </c>
      <c r="M718" s="1">
        <v>2009</v>
      </c>
      <c r="N718" s="1" t="s">
        <v>1895</v>
      </c>
      <c r="O718" s="1">
        <v>0</v>
      </c>
      <c r="P718" s="1">
        <v>0</v>
      </c>
      <c r="Q718" s="1">
        <v>0</v>
      </c>
      <c r="R718" s="1">
        <v>0</v>
      </c>
      <c r="S718" s="1" t="s">
        <v>235</v>
      </c>
    </row>
    <row r="719" spans="1:19" ht="14.45" customHeight="1" x14ac:dyDescent="0.25">
      <c r="A719" s="6">
        <v>720</v>
      </c>
      <c r="B719" s="6">
        <v>7200101</v>
      </c>
      <c r="C719" t="s">
        <v>971</v>
      </c>
      <c r="D719" s="1" t="s">
        <v>972</v>
      </c>
      <c r="E719" s="21">
        <v>3101.5</v>
      </c>
      <c r="F719" s="1" t="s">
        <v>233</v>
      </c>
      <c r="G719" s="1" t="s">
        <v>233</v>
      </c>
      <c r="H719" s="6" t="s">
        <v>1951</v>
      </c>
      <c r="I719" s="6" t="s">
        <v>728</v>
      </c>
      <c r="J719" s="6" t="s">
        <v>1849</v>
      </c>
      <c r="K719" s="1">
        <v>0</v>
      </c>
      <c r="L719" s="6" t="s">
        <v>261</v>
      </c>
      <c r="M719" s="1">
        <v>2009</v>
      </c>
      <c r="N719" s="1" t="s">
        <v>1886</v>
      </c>
      <c r="O719" s="1">
        <v>0</v>
      </c>
      <c r="P719" s="1">
        <v>0</v>
      </c>
      <c r="Q719" s="1">
        <v>0</v>
      </c>
      <c r="R719" s="1">
        <v>0</v>
      </c>
      <c r="S719" s="1" t="s">
        <v>235</v>
      </c>
    </row>
    <row r="720" spans="1:19" ht="14.45" customHeight="1" x14ac:dyDescent="0.25">
      <c r="A720" s="6">
        <v>721</v>
      </c>
      <c r="B720" s="6">
        <v>7200101</v>
      </c>
      <c r="C720" t="s">
        <v>971</v>
      </c>
      <c r="D720" s="1" t="s">
        <v>972</v>
      </c>
      <c r="E720" s="21">
        <v>4200</v>
      </c>
      <c r="F720" s="1" t="s">
        <v>233</v>
      </c>
      <c r="G720" s="1" t="s">
        <v>233</v>
      </c>
      <c r="H720" s="6" t="s">
        <v>1951</v>
      </c>
      <c r="I720" s="6" t="s">
        <v>728</v>
      </c>
      <c r="J720" s="6" t="s">
        <v>1849</v>
      </c>
      <c r="K720" s="1">
        <v>0</v>
      </c>
      <c r="L720" s="6" t="s">
        <v>261</v>
      </c>
      <c r="M720" s="1">
        <v>2009</v>
      </c>
      <c r="N720" s="1" t="s">
        <v>1896</v>
      </c>
      <c r="O720" s="1">
        <v>1</v>
      </c>
      <c r="P720" s="1">
        <v>0</v>
      </c>
      <c r="Q720" s="1">
        <v>0</v>
      </c>
      <c r="R720" s="1">
        <v>0</v>
      </c>
      <c r="S720" s="1" t="s">
        <v>235</v>
      </c>
    </row>
    <row r="721" spans="1:19" ht="14.45" customHeight="1" x14ac:dyDescent="0.25">
      <c r="A721" s="6">
        <v>722</v>
      </c>
      <c r="B721" s="6">
        <v>7262101</v>
      </c>
      <c r="C721" t="s">
        <v>1246</v>
      </c>
      <c r="D721" s="1" t="s">
        <v>1980</v>
      </c>
      <c r="E721" s="21">
        <v>6320</v>
      </c>
      <c r="F721" s="1" t="s">
        <v>233</v>
      </c>
      <c r="G721" s="1" t="s">
        <v>233</v>
      </c>
      <c r="H721" s="6" t="s">
        <v>1951</v>
      </c>
      <c r="I721" s="6" t="s">
        <v>433</v>
      </c>
      <c r="J721" s="6" t="s">
        <v>1853</v>
      </c>
      <c r="K721" s="1">
        <v>0</v>
      </c>
      <c r="L721" s="6" t="s">
        <v>249</v>
      </c>
      <c r="M721" s="1">
        <v>2008</v>
      </c>
      <c r="N721" s="1" t="s">
        <v>237</v>
      </c>
      <c r="O721" s="1">
        <v>0</v>
      </c>
      <c r="P721" s="1">
        <v>0</v>
      </c>
      <c r="Q721" s="1">
        <v>0</v>
      </c>
      <c r="R721" s="1">
        <v>0</v>
      </c>
      <c r="S721" s="1" t="s">
        <v>235</v>
      </c>
    </row>
    <row r="722" spans="1:19" ht="14.45" customHeight="1" x14ac:dyDescent="0.25">
      <c r="A722" s="6">
        <v>723</v>
      </c>
      <c r="B722" s="6">
        <v>7260101</v>
      </c>
      <c r="C722" t="s">
        <v>977</v>
      </c>
      <c r="D722" s="1" t="s">
        <v>1981</v>
      </c>
      <c r="E722" s="21">
        <v>9680</v>
      </c>
      <c r="F722" s="1" t="s">
        <v>233</v>
      </c>
      <c r="G722" s="1" t="s">
        <v>233</v>
      </c>
      <c r="H722" s="6" t="s">
        <v>1951</v>
      </c>
      <c r="I722" s="6" t="s">
        <v>433</v>
      </c>
      <c r="J722" s="6" t="s">
        <v>1853</v>
      </c>
      <c r="K722" s="1">
        <v>0</v>
      </c>
      <c r="L722" s="6" t="s">
        <v>249</v>
      </c>
      <c r="M722" s="1">
        <v>2008</v>
      </c>
      <c r="N722" s="1" t="s">
        <v>237</v>
      </c>
      <c r="O722" s="1">
        <v>0</v>
      </c>
      <c r="P722" s="1">
        <v>0</v>
      </c>
      <c r="Q722" s="1">
        <v>0</v>
      </c>
      <c r="R722" s="1">
        <v>0</v>
      </c>
      <c r="S722" s="1" t="s">
        <v>235</v>
      </c>
    </row>
    <row r="723" spans="1:19" ht="14.45" customHeight="1" x14ac:dyDescent="0.25">
      <c r="A723" s="6">
        <v>724</v>
      </c>
      <c r="B723" s="6">
        <v>7262101</v>
      </c>
      <c r="C723" t="s">
        <v>1246</v>
      </c>
      <c r="D723" s="1" t="s">
        <v>1980</v>
      </c>
      <c r="E723" s="21">
        <v>7200</v>
      </c>
      <c r="F723" s="1" t="s">
        <v>233</v>
      </c>
      <c r="G723" s="1" t="s">
        <v>233</v>
      </c>
      <c r="H723" s="6" t="s">
        <v>1951</v>
      </c>
      <c r="I723" s="6" t="s">
        <v>978</v>
      </c>
      <c r="J723" s="6" t="s">
        <v>1849</v>
      </c>
      <c r="K723" s="1">
        <v>0</v>
      </c>
      <c r="L723" s="6" t="s">
        <v>268</v>
      </c>
      <c r="M723" s="1">
        <v>2015</v>
      </c>
      <c r="N723" s="1" t="s">
        <v>1857</v>
      </c>
      <c r="O723" s="1">
        <v>1</v>
      </c>
      <c r="P723" s="1">
        <v>0</v>
      </c>
      <c r="Q723" s="1">
        <v>0</v>
      </c>
      <c r="R723" s="1">
        <v>0</v>
      </c>
      <c r="S723" s="1" t="s">
        <v>235</v>
      </c>
    </row>
    <row r="724" spans="1:19" ht="14.45" customHeight="1" x14ac:dyDescent="0.25">
      <c r="A724" s="6">
        <v>725</v>
      </c>
      <c r="B724" s="6">
        <v>7260101</v>
      </c>
      <c r="C724" t="s">
        <v>977</v>
      </c>
      <c r="D724" s="1" t="s">
        <v>1981</v>
      </c>
      <c r="E724" s="21">
        <v>28300</v>
      </c>
      <c r="F724" s="1" t="s">
        <v>233</v>
      </c>
      <c r="G724" s="1" t="s">
        <v>233</v>
      </c>
      <c r="H724" s="6" t="s">
        <v>1951</v>
      </c>
      <c r="I724" s="6" t="s">
        <v>551</v>
      </c>
      <c r="J724" s="6" t="s">
        <v>1849</v>
      </c>
      <c r="K724" s="1">
        <v>0</v>
      </c>
      <c r="L724" s="6" t="s">
        <v>258</v>
      </c>
      <c r="M724" s="1">
        <v>2011</v>
      </c>
      <c r="N724" s="1" t="s">
        <v>237</v>
      </c>
      <c r="O724" s="1">
        <v>0</v>
      </c>
      <c r="P724" s="1">
        <v>0</v>
      </c>
      <c r="Q724" s="1">
        <v>0</v>
      </c>
      <c r="R724" s="1">
        <v>0</v>
      </c>
      <c r="S724" s="1" t="s">
        <v>235</v>
      </c>
    </row>
    <row r="725" spans="1:19" ht="14.45" customHeight="1" x14ac:dyDescent="0.25">
      <c r="A725" s="6">
        <v>726</v>
      </c>
      <c r="B725" s="6">
        <v>7260101</v>
      </c>
      <c r="C725" t="s">
        <v>977</v>
      </c>
      <c r="D725" s="1" t="s">
        <v>1981</v>
      </c>
      <c r="E725" s="21">
        <v>25287.64</v>
      </c>
      <c r="F725" s="1" t="s">
        <v>233</v>
      </c>
      <c r="G725" s="1" t="s">
        <v>233</v>
      </c>
      <c r="H725" s="6" t="s">
        <v>1951</v>
      </c>
      <c r="I725" s="6" t="s">
        <v>733</v>
      </c>
      <c r="J725" s="6" t="s">
        <v>1853</v>
      </c>
      <c r="K725" s="1">
        <v>0</v>
      </c>
      <c r="L725" s="6" t="s">
        <v>239</v>
      </c>
      <c r="M725" s="1">
        <v>2008</v>
      </c>
      <c r="N725" s="1" t="s">
        <v>237</v>
      </c>
      <c r="O725" s="1">
        <v>0</v>
      </c>
      <c r="P725" s="1">
        <v>0</v>
      </c>
      <c r="Q725" s="1">
        <v>0</v>
      </c>
      <c r="R725" s="1">
        <v>0</v>
      </c>
      <c r="S725" s="1" t="s">
        <v>235</v>
      </c>
    </row>
    <row r="726" spans="1:19" ht="14.45" customHeight="1" x14ac:dyDescent="0.25">
      <c r="A726" s="6">
        <v>727</v>
      </c>
      <c r="B726" s="6">
        <v>7260101</v>
      </c>
      <c r="C726" t="s">
        <v>977</v>
      </c>
      <c r="D726" s="1" t="s">
        <v>1981</v>
      </c>
      <c r="E726" s="21">
        <v>19700</v>
      </c>
      <c r="F726" s="1" t="s">
        <v>233</v>
      </c>
      <c r="G726" s="1" t="s">
        <v>233</v>
      </c>
      <c r="H726" s="6" t="s">
        <v>1951</v>
      </c>
      <c r="I726" s="6" t="s">
        <v>734</v>
      </c>
      <c r="J726" s="6" t="s">
        <v>1853</v>
      </c>
      <c r="K726" s="1">
        <v>0</v>
      </c>
      <c r="L726" s="6" t="s">
        <v>287</v>
      </c>
      <c r="M726" s="1">
        <v>2011</v>
      </c>
      <c r="N726" s="1" t="s">
        <v>237</v>
      </c>
      <c r="O726" s="1">
        <v>0</v>
      </c>
      <c r="P726" s="1">
        <v>0</v>
      </c>
      <c r="Q726" s="1">
        <v>0</v>
      </c>
      <c r="R726" s="1">
        <v>0</v>
      </c>
      <c r="S726" s="1" t="s">
        <v>235</v>
      </c>
    </row>
    <row r="727" spans="1:19" ht="14.45" customHeight="1" x14ac:dyDescent="0.25">
      <c r="A727" s="6">
        <v>728</v>
      </c>
      <c r="B727" s="6">
        <v>7260101</v>
      </c>
      <c r="C727" t="s">
        <v>977</v>
      </c>
      <c r="D727" s="1" t="s">
        <v>1981</v>
      </c>
      <c r="E727" s="21">
        <v>22930</v>
      </c>
      <c r="F727" s="1" t="s">
        <v>233</v>
      </c>
      <c r="G727" s="1" t="s">
        <v>233</v>
      </c>
      <c r="H727" s="6" t="s">
        <v>1951</v>
      </c>
      <c r="I727" s="6" t="s">
        <v>734</v>
      </c>
      <c r="J727" s="6" t="s">
        <v>1853</v>
      </c>
      <c r="K727" s="1">
        <v>0</v>
      </c>
      <c r="L727" s="6" t="s">
        <v>287</v>
      </c>
      <c r="M727" s="1">
        <v>2011</v>
      </c>
      <c r="N727" s="1" t="s">
        <v>1857</v>
      </c>
      <c r="O727" s="1">
        <v>1</v>
      </c>
      <c r="P727" s="1">
        <v>0</v>
      </c>
      <c r="Q727" s="1">
        <v>0</v>
      </c>
      <c r="R727" s="1">
        <v>0</v>
      </c>
      <c r="S727" s="1" t="s">
        <v>235</v>
      </c>
    </row>
    <row r="728" spans="1:19" ht="14.45" customHeight="1" x14ac:dyDescent="0.25">
      <c r="A728" s="6">
        <v>729</v>
      </c>
      <c r="B728" s="6">
        <v>7263101</v>
      </c>
      <c r="C728" t="s">
        <v>979</v>
      </c>
      <c r="D728" s="1" t="s">
        <v>980</v>
      </c>
      <c r="E728" s="21">
        <v>1920</v>
      </c>
      <c r="F728" s="1" t="s">
        <v>233</v>
      </c>
      <c r="G728" s="1" t="s">
        <v>233</v>
      </c>
      <c r="H728" s="6" t="s">
        <v>1951</v>
      </c>
      <c r="I728" s="6" t="s">
        <v>433</v>
      </c>
      <c r="J728" s="6" t="s">
        <v>1853</v>
      </c>
      <c r="K728" s="1">
        <v>0</v>
      </c>
      <c r="L728" s="6" t="s">
        <v>249</v>
      </c>
      <c r="M728" s="1">
        <v>2008</v>
      </c>
      <c r="N728" s="1" t="s">
        <v>237</v>
      </c>
      <c r="O728" s="1">
        <v>0</v>
      </c>
      <c r="P728" s="1">
        <v>0</v>
      </c>
      <c r="Q728" s="1">
        <v>0</v>
      </c>
      <c r="R728" s="1">
        <v>0</v>
      </c>
      <c r="S728" s="1" t="s">
        <v>235</v>
      </c>
    </row>
    <row r="729" spans="1:19" ht="14.45" customHeight="1" x14ac:dyDescent="0.25">
      <c r="A729" s="6">
        <v>730</v>
      </c>
      <c r="B729" s="6">
        <v>7263101</v>
      </c>
      <c r="C729" t="s">
        <v>979</v>
      </c>
      <c r="D729" s="1" t="s">
        <v>980</v>
      </c>
      <c r="E729" s="21">
        <v>83.1</v>
      </c>
      <c r="F729" s="1" t="s">
        <v>233</v>
      </c>
      <c r="G729" s="1" t="s">
        <v>233</v>
      </c>
      <c r="H729" s="6" t="s">
        <v>1951</v>
      </c>
      <c r="I729" s="6" t="s">
        <v>549</v>
      </c>
      <c r="J729" s="6" t="s">
        <v>1849</v>
      </c>
      <c r="K729" s="1">
        <v>0</v>
      </c>
      <c r="L729" s="6" t="s">
        <v>258</v>
      </c>
      <c r="M729" s="1">
        <v>2010</v>
      </c>
      <c r="N729" s="1" t="s">
        <v>1886</v>
      </c>
      <c r="O729" s="1">
        <v>0</v>
      </c>
      <c r="P729" s="1">
        <v>0</v>
      </c>
      <c r="Q729" s="1">
        <v>0</v>
      </c>
      <c r="R729" s="1">
        <v>0</v>
      </c>
      <c r="S729" s="1" t="s">
        <v>235</v>
      </c>
    </row>
    <row r="730" spans="1:19" ht="14.45" customHeight="1" x14ac:dyDescent="0.25">
      <c r="A730" s="6">
        <v>731</v>
      </c>
      <c r="B730" s="6">
        <v>7263101</v>
      </c>
      <c r="C730" t="s">
        <v>979</v>
      </c>
      <c r="D730" s="1" t="s">
        <v>980</v>
      </c>
      <c r="E730" s="21">
        <v>13901.7</v>
      </c>
      <c r="F730" s="1" t="s">
        <v>233</v>
      </c>
      <c r="G730" s="1" t="s">
        <v>233</v>
      </c>
      <c r="H730" s="6" t="s">
        <v>1951</v>
      </c>
      <c r="I730" s="6" t="s">
        <v>550</v>
      </c>
      <c r="J730" s="6" t="s">
        <v>1849</v>
      </c>
      <c r="K730" s="1">
        <v>0</v>
      </c>
      <c r="L730" s="6" t="s">
        <v>258</v>
      </c>
      <c r="M730" s="1">
        <v>2010</v>
      </c>
      <c r="N730" s="1" t="s">
        <v>237</v>
      </c>
      <c r="O730" s="1">
        <v>0</v>
      </c>
      <c r="P730" s="1">
        <v>0</v>
      </c>
      <c r="Q730" s="1">
        <v>0</v>
      </c>
      <c r="R730" s="1">
        <v>0</v>
      </c>
      <c r="S730" s="1" t="s">
        <v>235</v>
      </c>
    </row>
    <row r="731" spans="1:19" ht="14.45" customHeight="1" x14ac:dyDescent="0.25">
      <c r="A731" s="6">
        <v>732</v>
      </c>
      <c r="B731" s="6">
        <v>7263101</v>
      </c>
      <c r="C731" t="s">
        <v>979</v>
      </c>
      <c r="D731" s="1" t="s">
        <v>980</v>
      </c>
      <c r="E731" s="21">
        <v>9512.2000000000007</v>
      </c>
      <c r="F731" s="1" t="s">
        <v>233</v>
      </c>
      <c r="G731" s="1" t="s">
        <v>233</v>
      </c>
      <c r="H731" s="6" t="s">
        <v>1951</v>
      </c>
      <c r="I731" s="6" t="s">
        <v>550</v>
      </c>
      <c r="J731" s="6" t="s">
        <v>1849</v>
      </c>
      <c r="K731" s="1">
        <v>0</v>
      </c>
      <c r="L731" s="6" t="s">
        <v>258</v>
      </c>
      <c r="M731" s="1">
        <v>2010</v>
      </c>
      <c r="N731" s="1" t="s">
        <v>1857</v>
      </c>
      <c r="O731" s="1">
        <v>1</v>
      </c>
      <c r="P731" s="1">
        <v>0</v>
      </c>
      <c r="Q731" s="1">
        <v>0</v>
      </c>
      <c r="R731" s="1">
        <v>0</v>
      </c>
      <c r="S731" s="1" t="s">
        <v>235</v>
      </c>
    </row>
    <row r="732" spans="1:19" ht="14.45" customHeight="1" x14ac:dyDescent="0.25">
      <c r="A732" s="6">
        <v>733</v>
      </c>
      <c r="B732" s="6">
        <v>7263101</v>
      </c>
      <c r="C732" t="s">
        <v>979</v>
      </c>
      <c r="D732" s="1" t="s">
        <v>980</v>
      </c>
      <c r="E732" s="21">
        <v>2540</v>
      </c>
      <c r="F732" s="1" t="s">
        <v>233</v>
      </c>
      <c r="G732" s="1" t="s">
        <v>233</v>
      </c>
      <c r="H732" s="6" t="s">
        <v>1951</v>
      </c>
      <c r="I732" s="6" t="s">
        <v>728</v>
      </c>
      <c r="J732" s="6" t="s">
        <v>1849</v>
      </c>
      <c r="K732" s="1">
        <v>0</v>
      </c>
      <c r="L732" s="6" t="s">
        <v>261</v>
      </c>
      <c r="M732" s="1">
        <v>2009</v>
      </c>
      <c r="N732" s="1" t="s">
        <v>237</v>
      </c>
      <c r="O732" s="1">
        <v>0</v>
      </c>
      <c r="P732" s="1">
        <v>0</v>
      </c>
      <c r="Q732" s="1">
        <v>0</v>
      </c>
      <c r="R732" s="1">
        <v>0</v>
      </c>
      <c r="S732" s="1" t="s">
        <v>235</v>
      </c>
    </row>
    <row r="733" spans="1:19" ht="14.45" customHeight="1" x14ac:dyDescent="0.25">
      <c r="A733" s="6">
        <v>734</v>
      </c>
      <c r="B733" s="6">
        <v>7265101</v>
      </c>
      <c r="C733" t="s">
        <v>981</v>
      </c>
      <c r="D733" s="1" t="s">
        <v>982</v>
      </c>
      <c r="E733" s="21">
        <v>7350</v>
      </c>
      <c r="F733" s="1" t="s">
        <v>233</v>
      </c>
      <c r="G733" s="1" t="s">
        <v>233</v>
      </c>
      <c r="H733" s="6" t="s">
        <v>1951</v>
      </c>
      <c r="I733" s="6" t="s">
        <v>551</v>
      </c>
      <c r="J733" s="6" t="s">
        <v>1849</v>
      </c>
      <c r="K733" s="1">
        <v>0</v>
      </c>
      <c r="L733" s="6" t="s">
        <v>258</v>
      </c>
      <c r="M733" s="1">
        <v>2011</v>
      </c>
      <c r="N733" s="1" t="s">
        <v>237</v>
      </c>
      <c r="O733" s="1">
        <v>0</v>
      </c>
      <c r="P733" s="1">
        <v>0</v>
      </c>
      <c r="Q733" s="1">
        <v>0</v>
      </c>
      <c r="R733" s="1">
        <v>0</v>
      </c>
      <c r="S733" s="1" t="s">
        <v>235</v>
      </c>
    </row>
    <row r="734" spans="1:19" ht="14.45" customHeight="1" x14ac:dyDescent="0.25">
      <c r="A734" s="6">
        <v>735</v>
      </c>
      <c r="B734" s="6">
        <v>7265101</v>
      </c>
      <c r="C734" t="s">
        <v>981</v>
      </c>
      <c r="D734" s="1" t="s">
        <v>982</v>
      </c>
      <c r="E734" s="21">
        <v>6390</v>
      </c>
      <c r="F734" s="1" t="s">
        <v>233</v>
      </c>
      <c r="G734" s="1" t="s">
        <v>233</v>
      </c>
      <c r="H734" s="6" t="s">
        <v>1951</v>
      </c>
      <c r="I734" s="6" t="s">
        <v>551</v>
      </c>
      <c r="J734" s="6" t="s">
        <v>1849</v>
      </c>
      <c r="K734" s="1">
        <v>0</v>
      </c>
      <c r="L734" s="6" t="s">
        <v>258</v>
      </c>
      <c r="M734" s="1">
        <v>2011</v>
      </c>
      <c r="N734" s="1" t="s">
        <v>237</v>
      </c>
      <c r="O734" s="1">
        <v>0</v>
      </c>
      <c r="P734" s="1">
        <v>0</v>
      </c>
      <c r="Q734" s="1">
        <v>0</v>
      </c>
      <c r="R734" s="1">
        <v>0</v>
      </c>
      <c r="S734" s="1" t="s">
        <v>235</v>
      </c>
    </row>
    <row r="735" spans="1:19" ht="14.45" customHeight="1" x14ac:dyDescent="0.25">
      <c r="A735" s="6">
        <v>736</v>
      </c>
      <c r="B735" s="6">
        <v>7265101</v>
      </c>
      <c r="C735" t="s">
        <v>981</v>
      </c>
      <c r="D735" s="1" t="s">
        <v>982</v>
      </c>
      <c r="E735" s="21">
        <v>6910</v>
      </c>
      <c r="F735" s="1" t="s">
        <v>233</v>
      </c>
      <c r="G735" s="1" t="s">
        <v>233</v>
      </c>
      <c r="H735" s="6" t="s">
        <v>1951</v>
      </c>
      <c r="I735" s="6" t="s">
        <v>551</v>
      </c>
      <c r="J735" s="6" t="s">
        <v>1849</v>
      </c>
      <c r="K735" s="1">
        <v>0</v>
      </c>
      <c r="L735" s="6" t="s">
        <v>258</v>
      </c>
      <c r="M735" s="1">
        <v>2011</v>
      </c>
      <c r="N735" s="1" t="s">
        <v>237</v>
      </c>
      <c r="O735" s="1">
        <v>0</v>
      </c>
      <c r="P735" s="1">
        <v>0</v>
      </c>
      <c r="Q735" s="1">
        <v>0</v>
      </c>
      <c r="R735" s="1">
        <v>0</v>
      </c>
      <c r="S735" s="1" t="s">
        <v>235</v>
      </c>
    </row>
    <row r="736" spans="1:19" ht="14.45" customHeight="1" x14ac:dyDescent="0.25">
      <c r="A736" s="6">
        <v>737</v>
      </c>
      <c r="B736" s="6">
        <v>7265101</v>
      </c>
      <c r="C736" t="s">
        <v>981</v>
      </c>
      <c r="D736" s="1" t="s">
        <v>982</v>
      </c>
      <c r="E736" s="21">
        <v>7828.6111111111113</v>
      </c>
      <c r="F736" s="1" t="s">
        <v>233</v>
      </c>
      <c r="G736" s="1" t="s">
        <v>233</v>
      </c>
      <c r="H736" s="6" t="s">
        <v>1951</v>
      </c>
      <c r="I736" s="6" t="s">
        <v>983</v>
      </c>
      <c r="J736" s="6" t="s">
        <v>1849</v>
      </c>
      <c r="K736" s="1">
        <v>0</v>
      </c>
      <c r="L736" s="6" t="s">
        <v>258</v>
      </c>
      <c r="M736" s="1">
        <v>2012</v>
      </c>
      <c r="N736" s="1" t="s">
        <v>1857</v>
      </c>
      <c r="O736" s="1">
        <v>1</v>
      </c>
      <c r="P736" s="1">
        <v>0</v>
      </c>
      <c r="Q736" s="1">
        <v>0</v>
      </c>
      <c r="R736" s="1">
        <v>0</v>
      </c>
      <c r="S736" s="1" t="s">
        <v>235</v>
      </c>
    </row>
    <row r="737" spans="1:19" ht="14.45" customHeight="1" x14ac:dyDescent="0.25">
      <c r="A737" s="6">
        <v>738</v>
      </c>
      <c r="B737" s="6">
        <v>7270401</v>
      </c>
      <c r="C737" t="s">
        <v>984</v>
      </c>
      <c r="D737" s="1" t="s">
        <v>985</v>
      </c>
      <c r="E737" s="21">
        <v>3360</v>
      </c>
      <c r="F737" s="1" t="s">
        <v>233</v>
      </c>
      <c r="G737" s="1" t="s">
        <v>233</v>
      </c>
      <c r="H737" s="6" t="s">
        <v>1951</v>
      </c>
      <c r="I737" s="6" t="s">
        <v>433</v>
      </c>
      <c r="J737" s="6" t="s">
        <v>1853</v>
      </c>
      <c r="K737" s="1">
        <v>0</v>
      </c>
      <c r="L737" s="6" t="s">
        <v>249</v>
      </c>
      <c r="M737" s="1">
        <v>2008</v>
      </c>
      <c r="N737" s="1" t="s">
        <v>237</v>
      </c>
      <c r="O737" s="1">
        <v>0</v>
      </c>
      <c r="P737" s="1">
        <v>0</v>
      </c>
      <c r="Q737" s="1">
        <v>0</v>
      </c>
      <c r="R737" s="1">
        <v>0</v>
      </c>
      <c r="S737" s="1" t="s">
        <v>235</v>
      </c>
    </row>
    <row r="738" spans="1:19" ht="14.45" customHeight="1" x14ac:dyDescent="0.25">
      <c r="A738" s="6">
        <v>739</v>
      </c>
      <c r="B738" s="6">
        <v>7270401</v>
      </c>
      <c r="C738" t="s">
        <v>984</v>
      </c>
      <c r="D738" s="1" t="s">
        <v>985</v>
      </c>
      <c r="E738" s="21">
        <v>5300</v>
      </c>
      <c r="F738" s="1" t="s">
        <v>233</v>
      </c>
      <c r="G738" s="1" t="s">
        <v>233</v>
      </c>
      <c r="H738" s="6" t="s">
        <v>1970</v>
      </c>
      <c r="I738" s="6" t="s">
        <v>440</v>
      </c>
      <c r="J738" s="6" t="s">
        <v>1849</v>
      </c>
      <c r="K738" s="1">
        <v>0</v>
      </c>
      <c r="L738" s="6" t="s">
        <v>259</v>
      </c>
      <c r="M738" s="1">
        <v>2011</v>
      </c>
      <c r="N738" s="1" t="s">
        <v>1890</v>
      </c>
      <c r="O738" s="1">
        <v>1</v>
      </c>
      <c r="P738" s="1">
        <v>0</v>
      </c>
      <c r="Q738" s="1">
        <v>0</v>
      </c>
      <c r="R738" s="1">
        <v>0</v>
      </c>
      <c r="S738" s="1" t="s">
        <v>235</v>
      </c>
    </row>
    <row r="739" spans="1:19" ht="14.45" customHeight="1" x14ac:dyDescent="0.25">
      <c r="A739" s="6">
        <v>740</v>
      </c>
      <c r="B739" s="6">
        <v>7270401</v>
      </c>
      <c r="C739" t="s">
        <v>984</v>
      </c>
      <c r="D739" s="1" t="s">
        <v>985</v>
      </c>
      <c r="E739" s="21">
        <v>4300</v>
      </c>
      <c r="F739" s="1" t="s">
        <v>233</v>
      </c>
      <c r="G739" s="1" t="s">
        <v>233</v>
      </c>
      <c r="H739" s="6" t="s">
        <v>1951</v>
      </c>
      <c r="I739" s="6" t="s">
        <v>506</v>
      </c>
      <c r="J739" s="6" t="s">
        <v>1849</v>
      </c>
      <c r="K739" s="1">
        <v>0</v>
      </c>
      <c r="L739" s="6" t="s">
        <v>261</v>
      </c>
      <c r="M739" s="1">
        <v>2008</v>
      </c>
      <c r="N739" s="1" t="s">
        <v>1888</v>
      </c>
      <c r="O739" s="1">
        <v>0</v>
      </c>
      <c r="P739" s="1" t="s">
        <v>1952</v>
      </c>
      <c r="Q739" s="1">
        <v>0</v>
      </c>
      <c r="R739" s="1">
        <v>0</v>
      </c>
      <c r="S739" s="1" t="s">
        <v>235</v>
      </c>
    </row>
    <row r="740" spans="1:19" ht="14.45" customHeight="1" x14ac:dyDescent="0.25">
      <c r="A740" s="6">
        <v>741</v>
      </c>
      <c r="B740" s="6">
        <v>7270401</v>
      </c>
      <c r="C740" t="s">
        <v>984</v>
      </c>
      <c r="D740" s="1" t="s">
        <v>985</v>
      </c>
      <c r="E740" s="21">
        <v>700</v>
      </c>
      <c r="F740" s="1" t="s">
        <v>233</v>
      </c>
      <c r="G740" s="1" t="s">
        <v>233</v>
      </c>
      <c r="H740" s="6" t="s">
        <v>1951</v>
      </c>
      <c r="I740" s="6" t="s">
        <v>512</v>
      </c>
      <c r="J740" s="6" t="s">
        <v>1853</v>
      </c>
      <c r="K740" s="1">
        <v>0</v>
      </c>
      <c r="L740" s="6" t="s">
        <v>288</v>
      </c>
      <c r="M740" s="1">
        <v>2010</v>
      </c>
      <c r="N740" s="1" t="s">
        <v>1889</v>
      </c>
      <c r="O740" s="1">
        <v>1</v>
      </c>
      <c r="P740" s="1">
        <v>0</v>
      </c>
      <c r="Q740" s="1">
        <v>0</v>
      </c>
      <c r="R740" s="1">
        <v>0</v>
      </c>
      <c r="S740" s="1" t="s">
        <v>235</v>
      </c>
    </row>
    <row r="741" spans="1:19" ht="14.45" customHeight="1" x14ac:dyDescent="0.25">
      <c r="A741" s="6">
        <v>742</v>
      </c>
      <c r="B741" s="6">
        <v>7270401</v>
      </c>
      <c r="C741" t="s">
        <v>984</v>
      </c>
      <c r="D741" s="1" t="s">
        <v>985</v>
      </c>
      <c r="E741" s="21">
        <v>2600</v>
      </c>
      <c r="F741" s="1" t="s">
        <v>233</v>
      </c>
      <c r="G741" s="1" t="s">
        <v>233</v>
      </c>
      <c r="H741" s="6" t="s">
        <v>1951</v>
      </c>
      <c r="I741" s="6" t="s">
        <v>512</v>
      </c>
      <c r="J741" s="6" t="s">
        <v>1853</v>
      </c>
      <c r="K741" s="1">
        <v>0</v>
      </c>
      <c r="L741" s="6" t="s">
        <v>288</v>
      </c>
      <c r="M741" s="1">
        <v>2010</v>
      </c>
      <c r="N741" s="1" t="s">
        <v>1897</v>
      </c>
      <c r="O741" s="1">
        <v>0</v>
      </c>
      <c r="P741" s="1">
        <v>0</v>
      </c>
      <c r="Q741" s="1">
        <v>0</v>
      </c>
      <c r="R741" s="1">
        <v>0</v>
      </c>
      <c r="S741" s="1" t="s">
        <v>235</v>
      </c>
    </row>
    <row r="742" spans="1:19" ht="14.45" customHeight="1" x14ac:dyDescent="0.25">
      <c r="A742" s="6">
        <v>743</v>
      </c>
      <c r="B742" s="6">
        <v>7270401</v>
      </c>
      <c r="C742" t="s">
        <v>984</v>
      </c>
      <c r="D742" s="1" t="s">
        <v>985</v>
      </c>
      <c r="E742" s="21">
        <v>3360</v>
      </c>
      <c r="F742" s="1" t="s">
        <v>233</v>
      </c>
      <c r="G742" s="1" t="s">
        <v>233</v>
      </c>
      <c r="H742" s="6" t="s">
        <v>1951</v>
      </c>
      <c r="I742" s="6" t="s">
        <v>534</v>
      </c>
      <c r="J742" s="6" t="s">
        <v>1849</v>
      </c>
      <c r="K742" s="1">
        <v>0</v>
      </c>
      <c r="L742" s="6" t="s">
        <v>289</v>
      </c>
      <c r="M742" s="1">
        <v>2009</v>
      </c>
      <c r="N742" s="1" t="s">
        <v>237</v>
      </c>
      <c r="O742" s="1">
        <v>0</v>
      </c>
      <c r="P742" s="1">
        <v>0</v>
      </c>
      <c r="Q742" s="1">
        <v>0</v>
      </c>
      <c r="R742" s="1">
        <v>0</v>
      </c>
      <c r="S742" s="1" t="s">
        <v>235</v>
      </c>
    </row>
    <row r="743" spans="1:19" ht="14.45" customHeight="1" x14ac:dyDescent="0.25">
      <c r="A743" s="6">
        <v>744</v>
      </c>
      <c r="B743" s="6">
        <v>7270401</v>
      </c>
      <c r="C743" t="s">
        <v>984</v>
      </c>
      <c r="D743" s="1" t="s">
        <v>985</v>
      </c>
      <c r="E743" s="21">
        <v>1760</v>
      </c>
      <c r="F743" s="1" t="s">
        <v>233</v>
      </c>
      <c r="G743" s="1" t="s">
        <v>233</v>
      </c>
      <c r="H743" s="6" t="s">
        <v>1951</v>
      </c>
      <c r="I743" s="6" t="s">
        <v>688</v>
      </c>
      <c r="J743" s="6" t="s">
        <v>1849</v>
      </c>
      <c r="K743" s="1">
        <v>0</v>
      </c>
      <c r="L743" s="6" t="s">
        <v>261</v>
      </c>
      <c r="M743" s="1">
        <v>2010</v>
      </c>
      <c r="N743" s="1" t="s">
        <v>1888</v>
      </c>
      <c r="O743" s="1">
        <v>0</v>
      </c>
      <c r="P743" s="1" t="s">
        <v>1952</v>
      </c>
      <c r="Q743" s="1">
        <v>0</v>
      </c>
      <c r="R743" s="1">
        <v>0</v>
      </c>
      <c r="S743" s="1" t="s">
        <v>235</v>
      </c>
    </row>
    <row r="744" spans="1:19" ht="14.45" customHeight="1" x14ac:dyDescent="0.25">
      <c r="A744" s="6">
        <v>745</v>
      </c>
      <c r="B744" s="6">
        <v>7270401</v>
      </c>
      <c r="C744" t="s">
        <v>984</v>
      </c>
      <c r="D744" s="1" t="s">
        <v>985</v>
      </c>
      <c r="E744" s="21">
        <v>2466.666666666667</v>
      </c>
      <c r="F744" s="1" t="s">
        <v>233</v>
      </c>
      <c r="G744" s="1" t="s">
        <v>233</v>
      </c>
      <c r="H744" s="6" t="s">
        <v>1951</v>
      </c>
      <c r="I744" s="6" t="s">
        <v>986</v>
      </c>
      <c r="J744" s="6" t="s">
        <v>1853</v>
      </c>
      <c r="K744" s="1">
        <v>0</v>
      </c>
      <c r="L744" s="6" t="s">
        <v>239</v>
      </c>
      <c r="M744" s="1">
        <v>2011</v>
      </c>
      <c r="N744" s="1" t="s">
        <v>1857</v>
      </c>
      <c r="O744" s="1">
        <v>1</v>
      </c>
      <c r="P744" s="1">
        <v>0</v>
      </c>
      <c r="Q744" s="1">
        <v>0</v>
      </c>
      <c r="R744" s="1">
        <v>0</v>
      </c>
      <c r="S744" s="1" t="s">
        <v>235</v>
      </c>
    </row>
    <row r="745" spans="1:19" ht="14.45" customHeight="1" x14ac:dyDescent="0.25">
      <c r="A745" s="6">
        <v>746</v>
      </c>
      <c r="B745" s="6">
        <v>7270401</v>
      </c>
      <c r="C745" t="s">
        <v>984</v>
      </c>
      <c r="D745" s="1" t="s">
        <v>985</v>
      </c>
      <c r="E745" s="21">
        <v>2400.0000000000005</v>
      </c>
      <c r="F745" s="1" t="s">
        <v>233</v>
      </c>
      <c r="G745" s="1" t="s">
        <v>233</v>
      </c>
      <c r="H745" s="6" t="s">
        <v>1951</v>
      </c>
      <c r="I745" s="6" t="s">
        <v>689</v>
      </c>
      <c r="J745" s="6" t="s">
        <v>1849</v>
      </c>
      <c r="K745" s="1">
        <v>0</v>
      </c>
      <c r="L745" s="6" t="s">
        <v>261</v>
      </c>
      <c r="M745" s="1">
        <v>2011</v>
      </c>
      <c r="N745" s="1" t="s">
        <v>237</v>
      </c>
      <c r="O745" s="1">
        <v>0</v>
      </c>
      <c r="P745" s="1">
        <v>0</v>
      </c>
      <c r="Q745" s="1">
        <v>0</v>
      </c>
      <c r="R745" s="1">
        <v>0</v>
      </c>
      <c r="S745" s="1" t="s">
        <v>235</v>
      </c>
    </row>
    <row r="746" spans="1:19" ht="14.45" customHeight="1" x14ac:dyDescent="0.25">
      <c r="A746" s="6">
        <v>747</v>
      </c>
      <c r="B746" s="6">
        <v>7270401</v>
      </c>
      <c r="C746" t="s">
        <v>984</v>
      </c>
      <c r="D746" s="1" t="s">
        <v>985</v>
      </c>
      <c r="E746" s="21">
        <v>2230</v>
      </c>
      <c r="F746" s="1" t="s">
        <v>233</v>
      </c>
      <c r="G746" s="1" t="s">
        <v>233</v>
      </c>
      <c r="H746" s="6" t="s">
        <v>1951</v>
      </c>
      <c r="I746" s="6" t="s">
        <v>728</v>
      </c>
      <c r="J746" s="6" t="s">
        <v>1849</v>
      </c>
      <c r="K746" s="1">
        <v>0</v>
      </c>
      <c r="L746" s="6" t="s">
        <v>261</v>
      </c>
      <c r="M746" s="1">
        <v>2009</v>
      </c>
      <c r="N746" s="1" t="s">
        <v>1898</v>
      </c>
      <c r="O746" s="1">
        <v>0</v>
      </c>
      <c r="P746" s="1">
        <v>0</v>
      </c>
      <c r="Q746" s="1">
        <v>0</v>
      </c>
      <c r="R746" s="1">
        <v>0</v>
      </c>
      <c r="S746" s="1" t="s">
        <v>235</v>
      </c>
    </row>
    <row r="747" spans="1:19" ht="14.45" customHeight="1" x14ac:dyDescent="0.25">
      <c r="A747" s="6">
        <v>748</v>
      </c>
      <c r="B747" s="6">
        <v>7270401</v>
      </c>
      <c r="C747" t="s">
        <v>984</v>
      </c>
      <c r="D747" s="1" t="s">
        <v>985</v>
      </c>
      <c r="E747" s="21">
        <v>2435</v>
      </c>
      <c r="F747" s="1" t="s">
        <v>233</v>
      </c>
      <c r="G747" s="1" t="s">
        <v>233</v>
      </c>
      <c r="H747" s="6" t="s">
        <v>1951</v>
      </c>
      <c r="I747" s="6" t="s">
        <v>728</v>
      </c>
      <c r="J747" s="6" t="s">
        <v>1849</v>
      </c>
      <c r="K747" s="1">
        <v>0</v>
      </c>
      <c r="L747" s="6" t="s">
        <v>261</v>
      </c>
      <c r="M747" s="1">
        <v>2009</v>
      </c>
      <c r="N747" s="1" t="s">
        <v>1897</v>
      </c>
      <c r="O747" s="1">
        <v>0</v>
      </c>
      <c r="P747" s="1">
        <v>0</v>
      </c>
      <c r="Q747" s="1">
        <v>0</v>
      </c>
      <c r="R747" s="1">
        <v>0</v>
      </c>
      <c r="S747" s="1" t="s">
        <v>235</v>
      </c>
    </row>
    <row r="748" spans="1:19" ht="14.45" customHeight="1" x14ac:dyDescent="0.25">
      <c r="A748" s="6">
        <v>749</v>
      </c>
      <c r="B748" s="6">
        <v>7270401</v>
      </c>
      <c r="C748" t="s">
        <v>984</v>
      </c>
      <c r="D748" s="1" t="s">
        <v>985</v>
      </c>
      <c r="E748" s="21">
        <v>2950</v>
      </c>
      <c r="F748" s="1" t="s">
        <v>233</v>
      </c>
      <c r="G748" s="1" t="s">
        <v>233</v>
      </c>
      <c r="H748" s="6" t="s">
        <v>1951</v>
      </c>
      <c r="I748" s="6" t="s">
        <v>728</v>
      </c>
      <c r="J748" s="6" t="s">
        <v>1849</v>
      </c>
      <c r="K748" s="1">
        <v>0</v>
      </c>
      <c r="L748" s="6" t="s">
        <v>261</v>
      </c>
      <c r="M748" s="1">
        <v>2009</v>
      </c>
      <c r="N748" s="1" t="s">
        <v>1889</v>
      </c>
      <c r="O748" s="1">
        <v>1</v>
      </c>
      <c r="P748" s="1">
        <v>0</v>
      </c>
      <c r="Q748" s="1">
        <v>0</v>
      </c>
      <c r="R748" s="1">
        <v>0</v>
      </c>
      <c r="S748" s="1" t="s">
        <v>235</v>
      </c>
    </row>
    <row r="749" spans="1:19" ht="14.45" customHeight="1" x14ac:dyDescent="0.25">
      <c r="A749" s="6">
        <v>750</v>
      </c>
      <c r="B749" s="6">
        <v>7270401</v>
      </c>
      <c r="C749" t="s">
        <v>984</v>
      </c>
      <c r="D749" s="1" t="s">
        <v>985</v>
      </c>
      <c r="E749" s="21">
        <v>3620</v>
      </c>
      <c r="F749" s="1" t="s">
        <v>233</v>
      </c>
      <c r="G749" s="1" t="s">
        <v>233</v>
      </c>
      <c r="H749" s="6" t="s">
        <v>1951</v>
      </c>
      <c r="I749" s="6" t="s">
        <v>728</v>
      </c>
      <c r="J749" s="6" t="s">
        <v>1849</v>
      </c>
      <c r="K749" s="1">
        <v>0</v>
      </c>
      <c r="L749" s="6" t="s">
        <v>261</v>
      </c>
      <c r="M749" s="1">
        <v>2009</v>
      </c>
      <c r="N749" s="1" t="s">
        <v>1888</v>
      </c>
      <c r="O749" s="1">
        <v>0</v>
      </c>
      <c r="P749" s="1">
        <v>0</v>
      </c>
      <c r="Q749" s="1">
        <v>0</v>
      </c>
      <c r="R749" s="1">
        <v>0</v>
      </c>
      <c r="S749" s="1" t="s">
        <v>235</v>
      </c>
    </row>
    <row r="750" spans="1:19" ht="14.45" customHeight="1" x14ac:dyDescent="0.25">
      <c r="A750" s="6">
        <v>751</v>
      </c>
      <c r="B750" s="6">
        <v>7400101</v>
      </c>
      <c r="C750" t="s">
        <v>987</v>
      </c>
      <c r="D750" s="1" t="s">
        <v>972</v>
      </c>
      <c r="E750" s="21">
        <v>2753</v>
      </c>
      <c r="F750" s="1" t="s">
        <v>233</v>
      </c>
      <c r="G750" s="1" t="s">
        <v>233</v>
      </c>
      <c r="H750" s="6" t="s">
        <v>1951</v>
      </c>
      <c r="I750" s="6" t="s">
        <v>335</v>
      </c>
      <c r="J750" s="6" t="s">
        <v>1852</v>
      </c>
      <c r="K750" s="1">
        <v>0</v>
      </c>
      <c r="L750" s="6" t="s">
        <v>252</v>
      </c>
      <c r="M750" s="1">
        <v>2009</v>
      </c>
      <c r="N750" s="1" t="s">
        <v>1886</v>
      </c>
      <c r="O750" s="1">
        <v>0</v>
      </c>
      <c r="P750" s="1">
        <v>0</v>
      </c>
      <c r="Q750" s="1">
        <v>0</v>
      </c>
      <c r="R750" s="1">
        <v>0</v>
      </c>
      <c r="S750" s="1" t="s">
        <v>235</v>
      </c>
    </row>
    <row r="751" spans="1:19" ht="14.45" customHeight="1" x14ac:dyDescent="0.25">
      <c r="A751" s="6">
        <v>752</v>
      </c>
      <c r="B751" s="6">
        <v>7400101</v>
      </c>
      <c r="C751" t="s">
        <v>987</v>
      </c>
      <c r="D751" s="1" t="s">
        <v>972</v>
      </c>
      <c r="E751" s="21">
        <v>3601</v>
      </c>
      <c r="F751" s="1" t="s">
        <v>233</v>
      </c>
      <c r="G751" s="1" t="s">
        <v>233</v>
      </c>
      <c r="H751" s="6" t="s">
        <v>1951</v>
      </c>
      <c r="I751" s="6" t="s">
        <v>335</v>
      </c>
      <c r="J751" s="6" t="s">
        <v>1852</v>
      </c>
      <c r="K751" s="1">
        <v>0</v>
      </c>
      <c r="L751" s="6" t="s">
        <v>257</v>
      </c>
      <c r="M751" s="1">
        <v>2009</v>
      </c>
      <c r="N751" s="1" t="s">
        <v>1886</v>
      </c>
      <c r="O751" s="1">
        <v>0</v>
      </c>
      <c r="P751" s="1">
        <v>0</v>
      </c>
      <c r="Q751" s="1">
        <v>0</v>
      </c>
      <c r="R751" s="1">
        <v>0</v>
      </c>
      <c r="S751" s="1" t="s">
        <v>235</v>
      </c>
    </row>
    <row r="752" spans="1:19" ht="14.45" customHeight="1" x14ac:dyDescent="0.25">
      <c r="A752" s="6">
        <v>753</v>
      </c>
      <c r="B752" s="6">
        <v>7400101</v>
      </c>
      <c r="C752" t="s">
        <v>987</v>
      </c>
      <c r="D752" s="1" t="s">
        <v>972</v>
      </c>
      <c r="E752" s="21">
        <v>8930</v>
      </c>
      <c r="F752" s="1" t="s">
        <v>233</v>
      </c>
      <c r="G752" s="1" t="s">
        <v>233</v>
      </c>
      <c r="H752" s="6" t="s">
        <v>1951</v>
      </c>
      <c r="I752" s="6" t="s">
        <v>437</v>
      </c>
      <c r="J752" s="6" t="s">
        <v>1849</v>
      </c>
      <c r="K752" s="1">
        <v>0</v>
      </c>
      <c r="L752" s="6" t="s">
        <v>241</v>
      </c>
      <c r="M752" s="1">
        <v>2013</v>
      </c>
      <c r="N752" s="1" t="s">
        <v>237</v>
      </c>
      <c r="O752" s="1">
        <v>0</v>
      </c>
      <c r="P752" s="1" t="s">
        <v>1952</v>
      </c>
      <c r="Q752" s="1">
        <v>0</v>
      </c>
      <c r="R752" s="1">
        <v>0</v>
      </c>
      <c r="S752" s="1" t="s">
        <v>235</v>
      </c>
    </row>
    <row r="753" spans="1:19" ht="14.45" customHeight="1" x14ac:dyDescent="0.25">
      <c r="A753" s="6">
        <v>754</v>
      </c>
      <c r="B753" s="6">
        <v>7400101</v>
      </c>
      <c r="C753" t="s">
        <v>987</v>
      </c>
      <c r="D753" s="1" t="s">
        <v>972</v>
      </c>
      <c r="E753" s="21">
        <v>1800</v>
      </c>
      <c r="F753" s="1" t="s">
        <v>233</v>
      </c>
      <c r="G753" s="1" t="s">
        <v>233</v>
      </c>
      <c r="H753" s="6" t="s">
        <v>1951</v>
      </c>
      <c r="I753" s="6" t="s">
        <v>441</v>
      </c>
      <c r="J753" s="6" t="s">
        <v>1852</v>
      </c>
      <c r="K753" s="1">
        <v>0</v>
      </c>
      <c r="L753" s="6" t="s">
        <v>234</v>
      </c>
      <c r="M753" s="1">
        <v>2011</v>
      </c>
      <c r="N753" s="1" t="s">
        <v>1887</v>
      </c>
      <c r="O753" s="1">
        <v>0</v>
      </c>
      <c r="P753" s="1">
        <v>0</v>
      </c>
      <c r="Q753" s="1">
        <v>0</v>
      </c>
      <c r="R753" s="1">
        <v>0</v>
      </c>
      <c r="S753" s="1" t="s">
        <v>235</v>
      </c>
    </row>
    <row r="754" spans="1:19" ht="14.45" customHeight="1" x14ac:dyDescent="0.25">
      <c r="A754" s="6">
        <v>755</v>
      </c>
      <c r="B754" s="6">
        <v>7400101</v>
      </c>
      <c r="C754" t="s">
        <v>987</v>
      </c>
      <c r="D754" s="1" t="s">
        <v>972</v>
      </c>
      <c r="E754" s="21">
        <v>1886.6666666666667</v>
      </c>
      <c r="F754" s="1" t="s">
        <v>233</v>
      </c>
      <c r="G754" s="1" t="s">
        <v>233</v>
      </c>
      <c r="H754" s="6" t="s">
        <v>1951</v>
      </c>
      <c r="I754" s="6" t="s">
        <v>488</v>
      </c>
      <c r="J754" s="6" t="s">
        <v>1852</v>
      </c>
      <c r="K754" s="1">
        <v>0</v>
      </c>
      <c r="L754" s="6" t="s">
        <v>252</v>
      </c>
      <c r="M754" s="1">
        <v>2009</v>
      </c>
      <c r="N754" s="1" t="s">
        <v>1886</v>
      </c>
      <c r="O754" s="1">
        <v>0</v>
      </c>
      <c r="P754" s="1">
        <v>0</v>
      </c>
      <c r="Q754" s="1">
        <v>0</v>
      </c>
      <c r="R754" s="1">
        <v>0</v>
      </c>
      <c r="S754" s="1" t="s">
        <v>235</v>
      </c>
    </row>
    <row r="755" spans="1:19" ht="14.45" customHeight="1" x14ac:dyDescent="0.25">
      <c r="A755" s="6">
        <v>756</v>
      </c>
      <c r="B755" s="6">
        <v>7400101</v>
      </c>
      <c r="C755" t="s">
        <v>987</v>
      </c>
      <c r="D755" s="1" t="s">
        <v>972</v>
      </c>
      <c r="E755" s="21">
        <v>3880</v>
      </c>
      <c r="F755" s="1" t="s">
        <v>233</v>
      </c>
      <c r="G755" s="1" t="s">
        <v>233</v>
      </c>
      <c r="H755" s="6" t="s">
        <v>1951</v>
      </c>
      <c r="I755" s="6" t="s">
        <v>551</v>
      </c>
      <c r="J755" s="6" t="s">
        <v>1849</v>
      </c>
      <c r="K755" s="1">
        <v>0</v>
      </c>
      <c r="L755" s="6" t="s">
        <v>258</v>
      </c>
      <c r="M755" s="1">
        <v>2011</v>
      </c>
      <c r="N755" s="1" t="s">
        <v>237</v>
      </c>
      <c r="O755" s="1">
        <v>0</v>
      </c>
      <c r="P755" s="1">
        <v>0</v>
      </c>
      <c r="Q755" s="1">
        <v>0</v>
      </c>
      <c r="R755" s="1">
        <v>0</v>
      </c>
      <c r="S755" s="1" t="s">
        <v>235</v>
      </c>
    </row>
    <row r="756" spans="1:19" ht="14.45" customHeight="1" x14ac:dyDescent="0.25">
      <c r="A756" s="6">
        <v>757</v>
      </c>
      <c r="B756" s="6">
        <v>7400101</v>
      </c>
      <c r="C756" t="s">
        <v>987</v>
      </c>
      <c r="D756" s="1" t="s">
        <v>972</v>
      </c>
      <c r="E756" s="21">
        <v>6474.3666666666659</v>
      </c>
      <c r="F756" s="1" t="s">
        <v>233</v>
      </c>
      <c r="G756" s="1" t="s">
        <v>233</v>
      </c>
      <c r="H756" s="6" t="s">
        <v>1951</v>
      </c>
      <c r="I756" s="6" t="s">
        <v>669</v>
      </c>
      <c r="J756" s="6" t="s">
        <v>1852</v>
      </c>
      <c r="K756" s="1">
        <v>0</v>
      </c>
      <c r="L756" s="6" t="s">
        <v>259</v>
      </c>
      <c r="M756" s="1">
        <v>2013</v>
      </c>
      <c r="N756" s="1" t="s">
        <v>237</v>
      </c>
      <c r="O756" s="1">
        <v>0</v>
      </c>
      <c r="P756" s="1">
        <v>0</v>
      </c>
      <c r="Q756" s="1">
        <v>0</v>
      </c>
      <c r="R756" s="1">
        <v>0</v>
      </c>
      <c r="S756" s="1" t="s">
        <v>235</v>
      </c>
    </row>
    <row r="757" spans="1:19" ht="14.45" customHeight="1" x14ac:dyDescent="0.25">
      <c r="A757" s="6">
        <v>758</v>
      </c>
      <c r="B757" s="6">
        <v>7400101</v>
      </c>
      <c r="C757" t="s">
        <v>987</v>
      </c>
      <c r="D757" s="1" t="s">
        <v>972</v>
      </c>
      <c r="E757" s="21">
        <v>1667.3333333333333</v>
      </c>
      <c r="F757" s="1" t="s">
        <v>233</v>
      </c>
      <c r="G757" s="1" t="s">
        <v>233</v>
      </c>
      <c r="H757" s="6" t="s">
        <v>1951</v>
      </c>
      <c r="I757" s="6" t="s">
        <v>670</v>
      </c>
      <c r="J757" s="6" t="s">
        <v>1852</v>
      </c>
      <c r="K757" s="1">
        <v>0</v>
      </c>
      <c r="L757" s="6" t="s">
        <v>259</v>
      </c>
      <c r="M757" s="1">
        <v>2013</v>
      </c>
      <c r="N757" s="1" t="s">
        <v>237</v>
      </c>
      <c r="O757" s="1">
        <v>0</v>
      </c>
      <c r="P757" s="1" t="s">
        <v>1952</v>
      </c>
      <c r="Q757" s="1">
        <v>0</v>
      </c>
      <c r="R757" s="1">
        <v>0</v>
      </c>
      <c r="S757" s="1" t="s">
        <v>235</v>
      </c>
    </row>
    <row r="758" spans="1:19" ht="14.45" customHeight="1" x14ac:dyDescent="0.25">
      <c r="A758" s="6">
        <v>759</v>
      </c>
      <c r="B758" s="6">
        <v>7400101</v>
      </c>
      <c r="C758" t="s">
        <v>987</v>
      </c>
      <c r="D758" s="1" t="s">
        <v>972</v>
      </c>
      <c r="E758" s="21">
        <v>1905.5</v>
      </c>
      <c r="F758" s="1" t="s">
        <v>233</v>
      </c>
      <c r="G758" s="1" t="s">
        <v>233</v>
      </c>
      <c r="H758" s="6" t="s">
        <v>1951</v>
      </c>
      <c r="I758" s="6" t="s">
        <v>670</v>
      </c>
      <c r="J758" s="6" t="s">
        <v>1852</v>
      </c>
      <c r="K758" s="1">
        <v>0</v>
      </c>
      <c r="L758" s="6" t="s">
        <v>269</v>
      </c>
      <c r="M758" s="1">
        <v>2013</v>
      </c>
      <c r="N758" s="1" t="s">
        <v>237</v>
      </c>
      <c r="O758" s="1">
        <v>0</v>
      </c>
      <c r="P758" s="1">
        <v>0</v>
      </c>
      <c r="Q758" s="1">
        <v>0</v>
      </c>
      <c r="R758" s="1">
        <v>0</v>
      </c>
      <c r="S758" s="1" t="s">
        <v>235</v>
      </c>
    </row>
    <row r="759" spans="1:19" ht="14.45" customHeight="1" x14ac:dyDescent="0.25">
      <c r="A759" s="6">
        <v>760</v>
      </c>
      <c r="B759" s="6">
        <v>7400101</v>
      </c>
      <c r="C759" t="s">
        <v>987</v>
      </c>
      <c r="D759" s="1" t="s">
        <v>972</v>
      </c>
      <c r="E759" s="21">
        <v>4300</v>
      </c>
      <c r="F759" s="1" t="s">
        <v>233</v>
      </c>
      <c r="G759" s="1" t="s">
        <v>233</v>
      </c>
      <c r="H759" s="6" t="s">
        <v>1951</v>
      </c>
      <c r="I759" s="6" t="s">
        <v>684</v>
      </c>
      <c r="J759" s="6" t="s">
        <v>1849</v>
      </c>
      <c r="K759" s="1">
        <v>0</v>
      </c>
      <c r="L759" s="6" t="s">
        <v>250</v>
      </c>
      <c r="M759" s="1">
        <v>2012</v>
      </c>
      <c r="N759" s="1" t="s">
        <v>1899</v>
      </c>
      <c r="O759" s="1">
        <v>0</v>
      </c>
      <c r="P759" s="1">
        <v>0</v>
      </c>
      <c r="Q759" s="1">
        <v>0</v>
      </c>
      <c r="R759" s="1">
        <v>0</v>
      </c>
      <c r="S759" s="1" t="s">
        <v>235</v>
      </c>
    </row>
    <row r="760" spans="1:19" ht="14.45" customHeight="1" x14ac:dyDescent="0.25">
      <c r="A760" s="6">
        <v>761</v>
      </c>
      <c r="B760" s="6">
        <v>7400101</v>
      </c>
      <c r="C760" t="s">
        <v>987</v>
      </c>
      <c r="D760" s="1" t="s">
        <v>972</v>
      </c>
      <c r="E760" s="21" t="s">
        <v>237</v>
      </c>
      <c r="F760" s="1" t="s">
        <v>233</v>
      </c>
      <c r="G760" s="19">
        <v>500</v>
      </c>
      <c r="H760" s="6" t="s">
        <v>1951</v>
      </c>
      <c r="I760" s="6" t="s">
        <v>1975</v>
      </c>
      <c r="J760" s="6" t="s">
        <v>1849</v>
      </c>
      <c r="K760" s="1">
        <v>0</v>
      </c>
      <c r="L760" s="6" t="s">
        <v>234</v>
      </c>
      <c r="M760" s="1">
        <v>2005</v>
      </c>
      <c r="N760" s="1" t="s">
        <v>237</v>
      </c>
      <c r="O760" s="1">
        <v>0</v>
      </c>
      <c r="P760" s="1">
        <v>0</v>
      </c>
      <c r="Q760" s="1">
        <v>0</v>
      </c>
      <c r="R760" s="1">
        <v>0</v>
      </c>
      <c r="S760" s="1" t="s">
        <v>235</v>
      </c>
    </row>
    <row r="761" spans="1:19" ht="14.45" customHeight="1" x14ac:dyDescent="0.25">
      <c r="A761" s="6">
        <v>762</v>
      </c>
      <c r="B761" s="6">
        <v>7400101</v>
      </c>
      <c r="C761" t="s">
        <v>987</v>
      </c>
      <c r="D761" s="1" t="s">
        <v>972</v>
      </c>
      <c r="E761" s="21" t="s">
        <v>237</v>
      </c>
      <c r="F761" s="1" t="s">
        <v>233</v>
      </c>
      <c r="G761" s="19">
        <v>55.5</v>
      </c>
      <c r="H761" s="6" t="s">
        <v>1951</v>
      </c>
      <c r="I761" s="6" t="s">
        <v>1977</v>
      </c>
      <c r="J761" s="6" t="s">
        <v>1852</v>
      </c>
      <c r="K761" s="1">
        <v>0</v>
      </c>
      <c r="L761" s="6" t="s">
        <v>280</v>
      </c>
      <c r="M761" s="1">
        <v>2007</v>
      </c>
      <c r="N761" s="1" t="s">
        <v>237</v>
      </c>
      <c r="O761" s="1">
        <v>0</v>
      </c>
      <c r="P761" s="1">
        <v>0</v>
      </c>
      <c r="Q761" s="1">
        <v>0</v>
      </c>
      <c r="R761" s="1">
        <v>0</v>
      </c>
      <c r="S761" s="1" t="s">
        <v>235</v>
      </c>
    </row>
    <row r="762" spans="1:19" ht="14.45" customHeight="1" x14ac:dyDescent="0.25">
      <c r="A762" s="6">
        <v>763</v>
      </c>
      <c r="B762" s="6">
        <v>7600101</v>
      </c>
      <c r="C762" t="s">
        <v>988</v>
      </c>
      <c r="D762" s="1" t="s">
        <v>972</v>
      </c>
      <c r="E762" s="21" t="s">
        <v>237</v>
      </c>
      <c r="F762" s="1" t="s">
        <v>233</v>
      </c>
      <c r="G762" s="19">
        <v>101</v>
      </c>
      <c r="H762" s="6" t="s">
        <v>1951</v>
      </c>
      <c r="I762" s="6" t="s">
        <v>465</v>
      </c>
      <c r="J762" s="6" t="s">
        <v>1849</v>
      </c>
      <c r="K762" s="1">
        <v>0</v>
      </c>
      <c r="L762" s="6" t="s">
        <v>234</v>
      </c>
      <c r="M762" s="1">
        <v>2007</v>
      </c>
      <c r="N762" s="1" t="s">
        <v>237</v>
      </c>
      <c r="O762" s="1">
        <v>0</v>
      </c>
      <c r="P762" s="1">
        <v>0</v>
      </c>
      <c r="Q762" s="1">
        <v>0</v>
      </c>
      <c r="R762" s="1">
        <v>0</v>
      </c>
      <c r="S762" s="1" t="s">
        <v>235</v>
      </c>
    </row>
    <row r="763" spans="1:19" ht="14.45" customHeight="1" x14ac:dyDescent="0.25">
      <c r="A763" s="6">
        <v>764</v>
      </c>
      <c r="B763" s="6">
        <v>7600101</v>
      </c>
      <c r="C763" t="s">
        <v>988</v>
      </c>
      <c r="D763" s="1" t="s">
        <v>972</v>
      </c>
      <c r="E763" s="21">
        <v>1040</v>
      </c>
      <c r="F763" s="1" t="s">
        <v>233</v>
      </c>
      <c r="G763" s="1" t="s">
        <v>233</v>
      </c>
      <c r="H763" s="6" t="s">
        <v>1951</v>
      </c>
      <c r="I763" s="6" t="s">
        <v>989</v>
      </c>
      <c r="J763" s="6" t="s">
        <v>1853</v>
      </c>
      <c r="K763" s="1">
        <v>0</v>
      </c>
      <c r="L763" s="6" t="s">
        <v>261</v>
      </c>
      <c r="M763" s="1">
        <v>2010</v>
      </c>
      <c r="N763" s="1" t="s">
        <v>1857</v>
      </c>
      <c r="O763" s="1">
        <v>1</v>
      </c>
      <c r="P763" s="1">
        <v>0</v>
      </c>
      <c r="Q763" s="1">
        <v>0</v>
      </c>
      <c r="R763" s="1">
        <v>0</v>
      </c>
      <c r="S763" s="1" t="s">
        <v>235</v>
      </c>
    </row>
    <row r="764" spans="1:19" ht="14.45" customHeight="1" x14ac:dyDescent="0.25">
      <c r="A764" s="6">
        <v>765</v>
      </c>
      <c r="B764" s="6">
        <v>7600101</v>
      </c>
      <c r="C764" t="s">
        <v>988</v>
      </c>
      <c r="D764" s="1" t="s">
        <v>972</v>
      </c>
      <c r="E764" s="21">
        <v>2132.5000000000005</v>
      </c>
      <c r="F764" s="1" t="s">
        <v>233</v>
      </c>
      <c r="G764" s="1" t="s">
        <v>233</v>
      </c>
      <c r="H764" s="6" t="s">
        <v>1951</v>
      </c>
      <c r="I764" s="6" t="s">
        <v>551</v>
      </c>
      <c r="J764" s="6" t="s">
        <v>1849</v>
      </c>
      <c r="K764" s="1">
        <v>0</v>
      </c>
      <c r="L764" s="6" t="s">
        <v>258</v>
      </c>
      <c r="M764" s="1">
        <v>2011</v>
      </c>
      <c r="N764" s="1" t="s">
        <v>237</v>
      </c>
      <c r="O764" s="1">
        <v>0</v>
      </c>
      <c r="P764" s="1">
        <v>0</v>
      </c>
      <c r="Q764" s="1">
        <v>0</v>
      </c>
      <c r="R764" s="1">
        <v>0</v>
      </c>
      <c r="S764" s="1" t="s">
        <v>235</v>
      </c>
    </row>
    <row r="765" spans="1:19" ht="14.45" customHeight="1" x14ac:dyDescent="0.25">
      <c r="A765" s="6">
        <v>766</v>
      </c>
      <c r="B765" s="6">
        <v>7600101</v>
      </c>
      <c r="C765" t="s">
        <v>988</v>
      </c>
      <c r="D765" s="1" t="s">
        <v>972</v>
      </c>
      <c r="E765" s="21">
        <v>756.5</v>
      </c>
      <c r="F765" s="1" t="s">
        <v>233</v>
      </c>
      <c r="G765" s="1" t="s">
        <v>233</v>
      </c>
      <c r="H765" s="6" t="s">
        <v>1951</v>
      </c>
      <c r="I765" s="6" t="s">
        <v>737</v>
      </c>
      <c r="J765" s="6" t="s">
        <v>1854</v>
      </c>
      <c r="K765" s="1">
        <v>1</v>
      </c>
      <c r="L765" s="6" t="s">
        <v>246</v>
      </c>
      <c r="M765" s="1">
        <v>2010</v>
      </c>
      <c r="N765" s="1" t="s">
        <v>237</v>
      </c>
      <c r="O765" s="1">
        <v>0</v>
      </c>
      <c r="P765" s="1">
        <v>0</v>
      </c>
      <c r="Q765" s="1">
        <v>0</v>
      </c>
      <c r="R765" s="1">
        <v>0</v>
      </c>
      <c r="S765" s="1" t="s">
        <v>235</v>
      </c>
    </row>
    <row r="766" spans="1:19" ht="14.45" customHeight="1" x14ac:dyDescent="0.25">
      <c r="A766" s="6">
        <v>767</v>
      </c>
      <c r="B766" s="6">
        <v>7600101</v>
      </c>
      <c r="C766" t="s">
        <v>988</v>
      </c>
      <c r="D766" s="1" t="s">
        <v>972</v>
      </c>
      <c r="E766" s="21">
        <v>6078</v>
      </c>
      <c r="F766" s="1" t="s">
        <v>233</v>
      </c>
      <c r="G766" s="1" t="s">
        <v>233</v>
      </c>
      <c r="H766" s="6" t="s">
        <v>1951</v>
      </c>
      <c r="I766" s="6" t="s">
        <v>642</v>
      </c>
      <c r="J766" s="6" t="s">
        <v>1853</v>
      </c>
      <c r="K766" s="1">
        <v>0</v>
      </c>
      <c r="L766" s="6" t="s">
        <v>241</v>
      </c>
      <c r="M766" s="1">
        <v>2011</v>
      </c>
      <c r="N766" s="1" t="s">
        <v>237</v>
      </c>
      <c r="O766" s="1">
        <v>0</v>
      </c>
      <c r="P766" s="1">
        <v>0</v>
      </c>
      <c r="Q766" s="1">
        <v>0</v>
      </c>
      <c r="R766" s="1">
        <v>0</v>
      </c>
      <c r="S766" s="1" t="s">
        <v>235</v>
      </c>
    </row>
    <row r="767" spans="1:19" ht="14.45" customHeight="1" x14ac:dyDescent="0.25">
      <c r="A767" s="6">
        <v>768</v>
      </c>
      <c r="B767" s="6">
        <v>7600101</v>
      </c>
      <c r="C767" t="s">
        <v>988</v>
      </c>
      <c r="D767" s="1" t="s">
        <v>972</v>
      </c>
      <c r="E767" s="21">
        <v>2900</v>
      </c>
      <c r="F767" s="1" t="s">
        <v>233</v>
      </c>
      <c r="G767" s="1" t="s">
        <v>233</v>
      </c>
      <c r="H767" s="6" t="s">
        <v>1951</v>
      </c>
      <c r="I767" s="6" t="s">
        <v>668</v>
      </c>
      <c r="J767" s="6" t="s">
        <v>1853</v>
      </c>
      <c r="K767" s="1">
        <v>0</v>
      </c>
      <c r="L767" s="6" t="s">
        <v>252</v>
      </c>
      <c r="M767" s="1">
        <v>2014</v>
      </c>
      <c r="N767" s="1" t="s">
        <v>1873</v>
      </c>
      <c r="O767" s="1">
        <v>0</v>
      </c>
      <c r="P767" s="1">
        <v>0</v>
      </c>
      <c r="Q767" s="1">
        <v>0</v>
      </c>
      <c r="R767" s="1">
        <v>0</v>
      </c>
      <c r="S767" s="1" t="s">
        <v>235</v>
      </c>
    </row>
    <row r="768" spans="1:19" ht="14.45" customHeight="1" x14ac:dyDescent="0.25">
      <c r="A768" s="6">
        <v>769</v>
      </c>
      <c r="B768" s="6">
        <v>7600101</v>
      </c>
      <c r="C768" t="s">
        <v>988</v>
      </c>
      <c r="D768" s="1" t="s">
        <v>972</v>
      </c>
      <c r="E768" s="21" t="s">
        <v>237</v>
      </c>
      <c r="F768" s="1" t="s">
        <v>233</v>
      </c>
      <c r="G768" s="19">
        <v>161</v>
      </c>
      <c r="H768" s="6" t="s">
        <v>1951</v>
      </c>
      <c r="I768" s="6" t="s">
        <v>681</v>
      </c>
      <c r="J768" s="6" t="s">
        <v>1849</v>
      </c>
      <c r="K768" s="1">
        <v>0</v>
      </c>
      <c r="L768" s="6" t="s">
        <v>236</v>
      </c>
      <c r="M768" s="1">
        <v>2009</v>
      </c>
      <c r="N768" s="1" t="s">
        <v>237</v>
      </c>
      <c r="O768" s="1">
        <v>0</v>
      </c>
      <c r="P768" s="1">
        <v>0</v>
      </c>
      <c r="Q768" s="1">
        <v>0</v>
      </c>
      <c r="R768" s="1">
        <v>0</v>
      </c>
      <c r="S768" s="1" t="s">
        <v>251</v>
      </c>
    </row>
    <row r="769" spans="1:19" ht="14.45" customHeight="1" x14ac:dyDescent="0.25">
      <c r="A769" s="6">
        <v>770</v>
      </c>
      <c r="B769" s="6">
        <v>7600101</v>
      </c>
      <c r="C769" t="s">
        <v>988</v>
      </c>
      <c r="D769" s="1" t="s">
        <v>972</v>
      </c>
      <c r="E769" s="21">
        <v>5346.833333333333</v>
      </c>
      <c r="F769" s="1" t="s">
        <v>233</v>
      </c>
      <c r="G769" s="1" t="s">
        <v>233</v>
      </c>
      <c r="H769" s="6" t="s">
        <v>1951</v>
      </c>
      <c r="I769" s="6" t="s">
        <v>711</v>
      </c>
      <c r="J769" s="6" t="s">
        <v>1853</v>
      </c>
      <c r="K769" s="1">
        <v>0</v>
      </c>
      <c r="L769" s="6" t="s">
        <v>258</v>
      </c>
      <c r="M769" s="1">
        <v>2012</v>
      </c>
      <c r="N769" s="1" t="s">
        <v>237</v>
      </c>
      <c r="O769" s="1">
        <v>0</v>
      </c>
      <c r="P769" s="1">
        <v>0</v>
      </c>
      <c r="Q769" s="1">
        <v>0</v>
      </c>
      <c r="R769" s="1">
        <v>0</v>
      </c>
      <c r="S769" s="1" t="s">
        <v>235</v>
      </c>
    </row>
    <row r="770" spans="1:19" ht="14.45" customHeight="1" x14ac:dyDescent="0.25">
      <c r="A770" s="6">
        <v>771</v>
      </c>
      <c r="B770" s="6">
        <v>7600101</v>
      </c>
      <c r="C770" t="s">
        <v>988</v>
      </c>
      <c r="D770" s="1" t="s">
        <v>972</v>
      </c>
      <c r="E770" s="21">
        <v>2210.8024691358028</v>
      </c>
      <c r="F770" s="1" t="s">
        <v>233</v>
      </c>
      <c r="G770" s="1" t="s">
        <v>233</v>
      </c>
      <c r="H770" s="6" t="s">
        <v>1951</v>
      </c>
      <c r="I770" s="6" t="s">
        <v>990</v>
      </c>
      <c r="J770" s="6" t="s">
        <v>1849</v>
      </c>
      <c r="K770" s="1">
        <v>0</v>
      </c>
      <c r="L770" s="6" t="s">
        <v>258</v>
      </c>
      <c r="M770" s="1">
        <v>2013</v>
      </c>
      <c r="N770" s="1" t="s">
        <v>1857</v>
      </c>
      <c r="O770" s="1">
        <v>1</v>
      </c>
      <c r="P770" s="1">
        <v>0</v>
      </c>
      <c r="Q770" s="1">
        <v>0</v>
      </c>
      <c r="R770" s="1">
        <v>0</v>
      </c>
      <c r="S770" s="1" t="s">
        <v>235</v>
      </c>
    </row>
    <row r="771" spans="1:19" ht="14.45" customHeight="1" x14ac:dyDescent="0.25">
      <c r="A771" s="6">
        <v>772</v>
      </c>
      <c r="B771" s="6">
        <v>7700101</v>
      </c>
      <c r="C771" t="s">
        <v>991</v>
      </c>
      <c r="D771" s="1" t="s">
        <v>992</v>
      </c>
      <c r="E771" s="21">
        <v>624.65000000000009</v>
      </c>
      <c r="F771" s="1" t="s">
        <v>233</v>
      </c>
      <c r="G771" s="1" t="s">
        <v>233</v>
      </c>
      <c r="H771" s="6" t="s">
        <v>1951</v>
      </c>
      <c r="I771" s="6" t="s">
        <v>481</v>
      </c>
      <c r="J771" s="6" t="s">
        <v>1852</v>
      </c>
      <c r="K771" s="1">
        <v>0</v>
      </c>
      <c r="L771" s="6" t="s">
        <v>236</v>
      </c>
      <c r="M771" s="1">
        <v>2011</v>
      </c>
      <c r="N771" s="1" t="s">
        <v>1856</v>
      </c>
      <c r="O771" s="1">
        <v>0</v>
      </c>
      <c r="P771" s="1">
        <v>0</v>
      </c>
      <c r="Q771" s="1">
        <v>0</v>
      </c>
      <c r="R771" s="1">
        <v>0</v>
      </c>
      <c r="S771" s="1" t="s">
        <v>235</v>
      </c>
    </row>
    <row r="772" spans="1:19" ht="14.45" customHeight="1" x14ac:dyDescent="0.25">
      <c r="A772" s="6">
        <v>773</v>
      </c>
      <c r="B772" s="6">
        <v>7700101</v>
      </c>
      <c r="C772" t="s">
        <v>991</v>
      </c>
      <c r="D772" s="1" t="s">
        <v>992</v>
      </c>
      <c r="E772" s="21" t="s">
        <v>237</v>
      </c>
      <c r="F772" s="21">
        <v>7687.7940345406287</v>
      </c>
      <c r="G772" s="1" t="s">
        <v>233</v>
      </c>
      <c r="H772" s="6" t="s">
        <v>1951</v>
      </c>
      <c r="I772" s="6" t="s">
        <v>593</v>
      </c>
      <c r="J772" s="6" t="s">
        <v>1853</v>
      </c>
      <c r="K772" s="1">
        <v>0</v>
      </c>
      <c r="L772" s="6" t="s">
        <v>245</v>
      </c>
      <c r="M772" s="1">
        <v>2011</v>
      </c>
      <c r="N772" s="1" t="s">
        <v>1856</v>
      </c>
      <c r="O772" s="1">
        <v>0</v>
      </c>
      <c r="P772" s="1">
        <v>0</v>
      </c>
      <c r="Q772" s="1">
        <v>0</v>
      </c>
      <c r="R772" s="1">
        <v>0</v>
      </c>
      <c r="S772" s="1" t="s">
        <v>251</v>
      </c>
    </row>
    <row r="773" spans="1:19" ht="14.45" customHeight="1" x14ac:dyDescent="0.25">
      <c r="A773" s="6">
        <v>774</v>
      </c>
      <c r="B773" s="6">
        <v>7700201</v>
      </c>
      <c r="C773" t="s">
        <v>749</v>
      </c>
      <c r="D773" s="1" t="s">
        <v>750</v>
      </c>
      <c r="E773" s="21">
        <v>1541.6666666666665</v>
      </c>
      <c r="F773" s="1" t="s">
        <v>233</v>
      </c>
      <c r="G773" s="1" t="s">
        <v>233</v>
      </c>
      <c r="H773" s="6" t="s">
        <v>1954</v>
      </c>
      <c r="I773" s="6" t="s">
        <v>313</v>
      </c>
      <c r="J773" s="6" t="s">
        <v>1849</v>
      </c>
      <c r="K773" s="1">
        <v>0</v>
      </c>
      <c r="L773" s="6" t="s">
        <v>234</v>
      </c>
      <c r="M773" s="1">
        <v>2012</v>
      </c>
      <c r="N773" s="1" t="s">
        <v>1856</v>
      </c>
      <c r="O773" s="1">
        <v>0</v>
      </c>
      <c r="P773" s="1">
        <v>0</v>
      </c>
      <c r="Q773" s="1">
        <v>0</v>
      </c>
      <c r="R773" s="1">
        <v>0</v>
      </c>
      <c r="S773" s="1" t="s">
        <v>251</v>
      </c>
    </row>
    <row r="774" spans="1:19" ht="14.45" customHeight="1" x14ac:dyDescent="0.25">
      <c r="A774" s="6">
        <v>775</v>
      </c>
      <c r="B774" s="6">
        <v>7700602</v>
      </c>
      <c r="C774" t="s">
        <v>993</v>
      </c>
      <c r="D774" s="1" t="s">
        <v>994</v>
      </c>
      <c r="E774" s="21">
        <v>1855.6701030927836</v>
      </c>
      <c r="F774" s="1" t="s">
        <v>233</v>
      </c>
      <c r="G774" s="1" t="s">
        <v>233</v>
      </c>
      <c r="H774" s="6" t="s">
        <v>1951</v>
      </c>
      <c r="I774" s="6" t="s">
        <v>435</v>
      </c>
      <c r="J774" s="6" t="s">
        <v>1853</v>
      </c>
      <c r="K774" s="1">
        <v>0</v>
      </c>
      <c r="L774" s="6" t="s">
        <v>249</v>
      </c>
      <c r="M774" s="1">
        <v>2010</v>
      </c>
      <c r="N774" s="1" t="s">
        <v>1856</v>
      </c>
      <c r="O774" s="1">
        <v>0</v>
      </c>
      <c r="P774" s="1">
        <v>0</v>
      </c>
      <c r="Q774" s="1">
        <v>0</v>
      </c>
      <c r="R774" s="1">
        <v>0</v>
      </c>
      <c r="S774" s="1" t="s">
        <v>235</v>
      </c>
    </row>
    <row r="775" spans="1:19" ht="14.45" customHeight="1" x14ac:dyDescent="0.25">
      <c r="A775" s="6">
        <v>776</v>
      </c>
      <c r="B775" s="6">
        <v>7700602</v>
      </c>
      <c r="C775" t="s">
        <v>993</v>
      </c>
      <c r="D775" s="1" t="s">
        <v>994</v>
      </c>
      <c r="E775" s="21">
        <v>4800</v>
      </c>
      <c r="F775" s="1" t="s">
        <v>233</v>
      </c>
      <c r="G775" s="1" t="s">
        <v>233</v>
      </c>
      <c r="H775" s="6" t="s">
        <v>1954</v>
      </c>
      <c r="I775" s="6" t="s">
        <v>313</v>
      </c>
      <c r="J775" s="6" t="s">
        <v>1849</v>
      </c>
      <c r="K775" s="1">
        <v>0</v>
      </c>
      <c r="L775" s="6" t="s">
        <v>234</v>
      </c>
      <c r="M775" s="1">
        <v>2012</v>
      </c>
      <c r="N775" s="1" t="s">
        <v>1856</v>
      </c>
      <c r="O775" s="1">
        <v>0</v>
      </c>
      <c r="P775" s="1">
        <v>0</v>
      </c>
      <c r="Q775" s="1">
        <v>0</v>
      </c>
      <c r="R775" s="1">
        <v>0</v>
      </c>
      <c r="S775" s="1" t="s">
        <v>251</v>
      </c>
    </row>
    <row r="776" spans="1:19" ht="14.45" customHeight="1" x14ac:dyDescent="0.25">
      <c r="A776" s="6">
        <v>777</v>
      </c>
      <c r="B776" s="6">
        <v>7700602</v>
      </c>
      <c r="C776" t="s">
        <v>993</v>
      </c>
      <c r="D776" s="1" t="s">
        <v>994</v>
      </c>
      <c r="E776" s="21" t="s">
        <v>237</v>
      </c>
      <c r="F776" s="1" t="s">
        <v>233</v>
      </c>
      <c r="G776" s="19">
        <v>0.9</v>
      </c>
      <c r="H776" s="6" t="s">
        <v>1951</v>
      </c>
      <c r="I776" s="6" t="s">
        <v>720</v>
      </c>
      <c r="J776" s="6" t="s">
        <v>1849</v>
      </c>
      <c r="K776" s="1">
        <v>0</v>
      </c>
      <c r="L776" s="6" t="s">
        <v>255</v>
      </c>
      <c r="M776" s="1">
        <v>2006</v>
      </c>
      <c r="N776" s="1" t="s">
        <v>1856</v>
      </c>
      <c r="O776" s="1">
        <v>0</v>
      </c>
      <c r="P776" s="1">
        <v>0</v>
      </c>
      <c r="Q776" s="1">
        <v>0</v>
      </c>
      <c r="R776" s="1">
        <v>0</v>
      </c>
      <c r="S776" s="1" t="s">
        <v>235</v>
      </c>
    </row>
    <row r="777" spans="1:19" ht="14.45" customHeight="1" x14ac:dyDescent="0.25">
      <c r="A777" s="6">
        <v>778</v>
      </c>
      <c r="B777" s="6">
        <v>7700701</v>
      </c>
      <c r="C777" t="s">
        <v>995</v>
      </c>
      <c r="D777" s="1" t="s">
        <v>992</v>
      </c>
      <c r="E777" s="21">
        <v>401</v>
      </c>
      <c r="F777" s="1" t="s">
        <v>233</v>
      </c>
      <c r="G777" s="1" t="s">
        <v>233</v>
      </c>
      <c r="H777" s="6" t="s">
        <v>1951</v>
      </c>
      <c r="I777" s="6" t="s">
        <v>431</v>
      </c>
      <c r="J777" s="6" t="s">
        <v>1849</v>
      </c>
      <c r="K777" s="1">
        <v>0</v>
      </c>
      <c r="L777" s="6" t="s">
        <v>269</v>
      </c>
      <c r="M777" s="1">
        <v>2012</v>
      </c>
      <c r="N777" s="1" t="s">
        <v>1856</v>
      </c>
      <c r="O777" s="1">
        <v>0</v>
      </c>
      <c r="P777" s="1">
        <v>0</v>
      </c>
      <c r="Q777" s="1">
        <v>0</v>
      </c>
      <c r="R777" s="1">
        <v>0</v>
      </c>
      <c r="S777" s="1" t="s">
        <v>235</v>
      </c>
    </row>
    <row r="778" spans="1:19" ht="14.45" customHeight="1" x14ac:dyDescent="0.25">
      <c r="A778" s="6">
        <v>779</v>
      </c>
      <c r="B778" s="6">
        <v>7700701</v>
      </c>
      <c r="C778" t="s">
        <v>995</v>
      </c>
      <c r="D778" s="1" t="s">
        <v>992</v>
      </c>
      <c r="E778" s="21">
        <v>510</v>
      </c>
      <c r="F778" s="1" t="s">
        <v>233</v>
      </c>
      <c r="G778" s="1" t="s">
        <v>233</v>
      </c>
      <c r="H778" s="6" t="s">
        <v>1951</v>
      </c>
      <c r="I778" s="6" t="s">
        <v>674</v>
      </c>
      <c r="J778" s="6" t="s">
        <v>1849</v>
      </c>
      <c r="K778" s="1">
        <v>0</v>
      </c>
      <c r="L778" s="6" t="s">
        <v>269</v>
      </c>
      <c r="M778" s="1">
        <v>2012</v>
      </c>
      <c r="N778" s="1" t="s">
        <v>1856</v>
      </c>
      <c r="O778" s="1">
        <v>0</v>
      </c>
      <c r="P778" s="1">
        <v>0</v>
      </c>
      <c r="Q778" s="1">
        <v>0</v>
      </c>
      <c r="R778" s="1">
        <v>0</v>
      </c>
      <c r="S778" s="1" t="s">
        <v>235</v>
      </c>
    </row>
    <row r="779" spans="1:19" ht="14.45" customHeight="1" x14ac:dyDescent="0.25">
      <c r="A779" s="6">
        <v>780</v>
      </c>
      <c r="B779" s="6">
        <v>7700701</v>
      </c>
      <c r="C779" t="s">
        <v>995</v>
      </c>
      <c r="D779" s="1" t="s">
        <v>992</v>
      </c>
      <c r="E779" s="21">
        <v>906</v>
      </c>
      <c r="F779" s="1">
        <v>2570</v>
      </c>
      <c r="G779" s="1" t="s">
        <v>233</v>
      </c>
      <c r="H779" s="6" t="s">
        <v>1951</v>
      </c>
      <c r="I779" s="6" t="s">
        <v>412</v>
      </c>
      <c r="J779" s="6" t="s">
        <v>1852</v>
      </c>
      <c r="K779" s="1">
        <v>0</v>
      </c>
      <c r="L779" s="6" t="s">
        <v>253</v>
      </c>
      <c r="M779" s="1">
        <v>2012</v>
      </c>
      <c r="N779" s="1" t="s">
        <v>1856</v>
      </c>
      <c r="O779" s="1">
        <v>0</v>
      </c>
      <c r="P779" s="1">
        <v>0</v>
      </c>
      <c r="Q779" s="1">
        <v>0</v>
      </c>
      <c r="R779" s="1">
        <v>0</v>
      </c>
      <c r="S779" s="1" t="s">
        <v>251</v>
      </c>
    </row>
    <row r="780" spans="1:19" ht="14.45" customHeight="1" x14ac:dyDescent="0.25">
      <c r="A780" s="6">
        <v>781</v>
      </c>
      <c r="B780" s="6">
        <v>7701101</v>
      </c>
      <c r="C780" t="s">
        <v>996</v>
      </c>
      <c r="D780" s="1" t="s">
        <v>992</v>
      </c>
      <c r="E780" s="21">
        <v>1600</v>
      </c>
      <c r="F780" s="1" t="s">
        <v>233</v>
      </c>
      <c r="G780" s="1" t="s">
        <v>233</v>
      </c>
      <c r="H780" s="6" t="s">
        <v>1954</v>
      </c>
      <c r="I780" s="6" t="s">
        <v>313</v>
      </c>
      <c r="J780" s="6" t="s">
        <v>1849</v>
      </c>
      <c r="K780" s="1">
        <v>0</v>
      </c>
      <c r="L780" s="6" t="s">
        <v>234</v>
      </c>
      <c r="M780" s="1">
        <v>2012</v>
      </c>
      <c r="N780" s="1" t="s">
        <v>1856</v>
      </c>
      <c r="O780" s="1">
        <v>0</v>
      </c>
      <c r="P780" s="1">
        <v>0</v>
      </c>
      <c r="Q780" s="1">
        <v>0</v>
      </c>
      <c r="R780" s="1">
        <v>0</v>
      </c>
      <c r="S780" s="1" t="s">
        <v>251</v>
      </c>
    </row>
    <row r="781" spans="1:19" ht="14.45" customHeight="1" x14ac:dyDescent="0.25">
      <c r="A781" s="6">
        <v>782</v>
      </c>
      <c r="B781" s="6">
        <v>7701404</v>
      </c>
      <c r="C781" t="s">
        <v>997</v>
      </c>
      <c r="D781" s="1" t="s">
        <v>998</v>
      </c>
      <c r="E781" s="21">
        <v>3000</v>
      </c>
      <c r="F781" s="1" t="s">
        <v>233</v>
      </c>
      <c r="G781" s="19" t="s">
        <v>233</v>
      </c>
      <c r="H781" s="6" t="s">
        <v>1954</v>
      </c>
      <c r="I781" s="6" t="s">
        <v>429</v>
      </c>
      <c r="J781" s="6" t="s">
        <v>1849</v>
      </c>
      <c r="K781" s="1">
        <v>0</v>
      </c>
      <c r="L781" s="6" t="s">
        <v>234</v>
      </c>
      <c r="M781" s="1">
        <v>2015</v>
      </c>
      <c r="N781" s="1" t="s">
        <v>237</v>
      </c>
      <c r="O781" s="1">
        <v>0</v>
      </c>
      <c r="P781" s="1">
        <v>0</v>
      </c>
      <c r="Q781" s="1">
        <v>0</v>
      </c>
      <c r="R781" s="1">
        <v>0</v>
      </c>
      <c r="S781" s="1" t="s">
        <v>251</v>
      </c>
    </row>
    <row r="782" spans="1:19" ht="14.45" customHeight="1" x14ac:dyDescent="0.25">
      <c r="A782" s="6">
        <v>783</v>
      </c>
      <c r="B782" s="6">
        <v>7700201</v>
      </c>
      <c r="C782" t="s">
        <v>749</v>
      </c>
      <c r="D782" s="1" t="s">
        <v>750</v>
      </c>
      <c r="E782" s="21">
        <v>1126.7</v>
      </c>
      <c r="F782" s="1" t="s">
        <v>233</v>
      </c>
      <c r="G782" s="1" t="s">
        <v>233</v>
      </c>
      <c r="H782" s="6" t="s">
        <v>1954</v>
      </c>
      <c r="I782" s="6" t="s">
        <v>703</v>
      </c>
      <c r="J782" s="6" t="s">
        <v>1849</v>
      </c>
      <c r="K782" s="1">
        <v>0</v>
      </c>
      <c r="L782" s="6" t="s">
        <v>236</v>
      </c>
      <c r="M782" s="1">
        <v>2014</v>
      </c>
      <c r="N782" s="1" t="s">
        <v>1856</v>
      </c>
      <c r="O782" s="1">
        <v>0</v>
      </c>
      <c r="P782" s="1">
        <v>0</v>
      </c>
      <c r="Q782" s="1">
        <v>0</v>
      </c>
      <c r="R782" s="1">
        <v>0</v>
      </c>
      <c r="S782" s="1" t="s">
        <v>235</v>
      </c>
    </row>
    <row r="783" spans="1:19" ht="14.45" customHeight="1" x14ac:dyDescent="0.25">
      <c r="A783" s="6">
        <v>784</v>
      </c>
      <c r="B783" s="6">
        <v>7702603</v>
      </c>
      <c r="C783" t="s">
        <v>999</v>
      </c>
      <c r="D783" s="1" t="s">
        <v>1000</v>
      </c>
      <c r="E783" s="21">
        <v>14500</v>
      </c>
      <c r="F783" s="1" t="s">
        <v>233</v>
      </c>
      <c r="G783" s="1" t="s">
        <v>233</v>
      </c>
      <c r="H783" s="6" t="s">
        <v>1954</v>
      </c>
      <c r="I783" s="6" t="s">
        <v>429</v>
      </c>
      <c r="J783" s="6" t="s">
        <v>1849</v>
      </c>
      <c r="K783" s="1">
        <v>0</v>
      </c>
      <c r="L783" s="6" t="s">
        <v>234</v>
      </c>
      <c r="M783" s="1">
        <v>2015</v>
      </c>
      <c r="N783" s="1" t="s">
        <v>1864</v>
      </c>
      <c r="O783" s="1">
        <v>0</v>
      </c>
      <c r="P783" s="1">
        <v>0</v>
      </c>
      <c r="Q783" s="1">
        <v>0</v>
      </c>
      <c r="R783" s="1">
        <v>0</v>
      </c>
      <c r="S783" s="1" t="s">
        <v>251</v>
      </c>
    </row>
    <row r="784" spans="1:19" ht="14.45" customHeight="1" x14ac:dyDescent="0.25">
      <c r="A784" s="6">
        <v>785</v>
      </c>
      <c r="B784" s="6">
        <v>7703402</v>
      </c>
      <c r="C784" t="s">
        <v>1001</v>
      </c>
      <c r="D784" s="1" t="s">
        <v>1002</v>
      </c>
      <c r="E784" s="21">
        <v>3500</v>
      </c>
      <c r="F784" s="1" t="s">
        <v>233</v>
      </c>
      <c r="G784" s="1" t="s">
        <v>233</v>
      </c>
      <c r="H784" s="6" t="s">
        <v>1954</v>
      </c>
      <c r="I784" s="6" t="s">
        <v>429</v>
      </c>
      <c r="J784" s="6" t="s">
        <v>1849</v>
      </c>
      <c r="K784" s="1">
        <v>0</v>
      </c>
      <c r="L784" s="6" t="s">
        <v>234</v>
      </c>
      <c r="M784" s="1">
        <v>2015</v>
      </c>
      <c r="N784" s="1" t="s">
        <v>1856</v>
      </c>
      <c r="O784" s="1">
        <v>0</v>
      </c>
      <c r="P784" s="1">
        <v>0</v>
      </c>
      <c r="Q784" s="1">
        <v>0</v>
      </c>
      <c r="R784" s="1">
        <v>0</v>
      </c>
      <c r="S784" s="1" t="s">
        <v>251</v>
      </c>
    </row>
    <row r="785" spans="1:19" ht="14.45" customHeight="1" x14ac:dyDescent="0.25">
      <c r="A785" s="6">
        <v>786</v>
      </c>
      <c r="B785" s="6">
        <v>7800103</v>
      </c>
      <c r="C785" t="s">
        <v>1003</v>
      </c>
      <c r="D785" s="1" t="s">
        <v>1004</v>
      </c>
      <c r="E785" s="21">
        <v>2700</v>
      </c>
      <c r="F785" s="1" t="s">
        <v>233</v>
      </c>
      <c r="G785" s="1" t="s">
        <v>233</v>
      </c>
      <c r="H785" s="6" t="s">
        <v>1951</v>
      </c>
      <c r="I785" s="6" t="s">
        <v>337</v>
      </c>
      <c r="J785" s="6" t="s">
        <v>1852</v>
      </c>
      <c r="K785" s="1">
        <v>0</v>
      </c>
      <c r="L785" s="6" t="s">
        <v>234</v>
      </c>
      <c r="M785" s="1">
        <v>2012</v>
      </c>
      <c r="N785" s="1" t="s">
        <v>1900</v>
      </c>
      <c r="O785" s="1">
        <v>0</v>
      </c>
      <c r="P785" s="1">
        <v>0</v>
      </c>
      <c r="Q785" s="1">
        <v>0</v>
      </c>
      <c r="R785" s="1">
        <v>0</v>
      </c>
      <c r="S785" s="1" t="s">
        <v>235</v>
      </c>
    </row>
    <row r="786" spans="1:19" ht="14.45" customHeight="1" x14ac:dyDescent="0.25">
      <c r="A786" s="6">
        <v>787</v>
      </c>
      <c r="B786" s="6">
        <v>7800103</v>
      </c>
      <c r="C786" t="s">
        <v>1003</v>
      </c>
      <c r="D786" s="1" t="s">
        <v>1004</v>
      </c>
      <c r="E786" s="21">
        <v>2613</v>
      </c>
      <c r="F786" s="1" t="s">
        <v>233</v>
      </c>
      <c r="G786" s="1" t="s">
        <v>233</v>
      </c>
      <c r="H786" s="6" t="s">
        <v>1951</v>
      </c>
      <c r="I786" s="6" t="s">
        <v>425</v>
      </c>
      <c r="J786" s="6" t="s">
        <v>1853</v>
      </c>
      <c r="K786" s="1">
        <v>0</v>
      </c>
      <c r="L786" s="6" t="s">
        <v>268</v>
      </c>
      <c r="M786" s="1">
        <v>2013</v>
      </c>
      <c r="N786" s="1" t="s">
        <v>1873</v>
      </c>
      <c r="O786" s="1">
        <v>0</v>
      </c>
      <c r="P786" s="1">
        <v>0</v>
      </c>
      <c r="Q786" s="1">
        <v>0</v>
      </c>
      <c r="R786" s="1">
        <v>0</v>
      </c>
      <c r="S786" s="1" t="s">
        <v>235</v>
      </c>
    </row>
    <row r="787" spans="1:19" ht="14.45" customHeight="1" x14ac:dyDescent="0.25">
      <c r="A787" s="6">
        <v>788</v>
      </c>
      <c r="B787" s="6">
        <v>7800103</v>
      </c>
      <c r="C787" t="s">
        <v>1003</v>
      </c>
      <c r="D787" s="1" t="s">
        <v>1004</v>
      </c>
      <c r="E787" s="21">
        <v>3446</v>
      </c>
      <c r="F787" s="1" t="s">
        <v>233</v>
      </c>
      <c r="G787" s="1" t="s">
        <v>233</v>
      </c>
      <c r="H787" s="6" t="s">
        <v>1951</v>
      </c>
      <c r="I787" s="6" t="s">
        <v>425</v>
      </c>
      <c r="J787" s="6" t="s">
        <v>1853</v>
      </c>
      <c r="K787" s="1">
        <v>0</v>
      </c>
      <c r="L787" s="6" t="s">
        <v>268</v>
      </c>
      <c r="M787" s="1">
        <v>2013</v>
      </c>
      <c r="N787" s="1" t="s">
        <v>1901</v>
      </c>
      <c r="O787" s="1">
        <v>0</v>
      </c>
      <c r="P787" s="1">
        <v>0</v>
      </c>
      <c r="Q787" s="1">
        <v>0</v>
      </c>
      <c r="R787" s="1">
        <v>0</v>
      </c>
      <c r="S787" s="1" t="s">
        <v>235</v>
      </c>
    </row>
    <row r="788" spans="1:19" ht="14.45" customHeight="1" x14ac:dyDescent="0.25">
      <c r="A788" s="6">
        <v>789</v>
      </c>
      <c r="B788" s="6">
        <v>7800103</v>
      </c>
      <c r="C788" t="s">
        <v>1003</v>
      </c>
      <c r="D788" s="1" t="s">
        <v>1004</v>
      </c>
      <c r="E788" s="21">
        <v>3707</v>
      </c>
      <c r="F788" s="1" t="s">
        <v>233</v>
      </c>
      <c r="G788" s="1" t="s">
        <v>233</v>
      </c>
      <c r="H788" s="6" t="s">
        <v>1951</v>
      </c>
      <c r="I788" s="6" t="s">
        <v>425</v>
      </c>
      <c r="J788" s="6" t="s">
        <v>1853</v>
      </c>
      <c r="K788" s="1">
        <v>0</v>
      </c>
      <c r="L788" s="6" t="s">
        <v>268</v>
      </c>
      <c r="M788" s="1">
        <v>2013</v>
      </c>
      <c r="N788" s="1" t="s">
        <v>1873</v>
      </c>
      <c r="O788" s="1">
        <v>0</v>
      </c>
      <c r="P788" s="1">
        <v>0</v>
      </c>
      <c r="Q788" s="1">
        <v>0</v>
      </c>
      <c r="R788" s="1">
        <v>0</v>
      </c>
      <c r="S788" s="1" t="s">
        <v>235</v>
      </c>
    </row>
    <row r="789" spans="1:19" ht="14.45" customHeight="1" x14ac:dyDescent="0.25">
      <c r="A789" s="6">
        <v>790</v>
      </c>
      <c r="B789" s="6">
        <v>7800103</v>
      </c>
      <c r="C789" t="s">
        <v>1003</v>
      </c>
      <c r="D789" s="1" t="s">
        <v>1004</v>
      </c>
      <c r="E789" s="21">
        <v>2960.5263157894738</v>
      </c>
      <c r="F789" s="1" t="s">
        <v>233</v>
      </c>
      <c r="G789" s="1" t="s">
        <v>233</v>
      </c>
      <c r="H789" s="6" t="s">
        <v>1951</v>
      </c>
      <c r="I789" s="6" t="s">
        <v>433</v>
      </c>
      <c r="J789" s="6" t="s">
        <v>1853</v>
      </c>
      <c r="K789" s="1">
        <v>0</v>
      </c>
      <c r="L789" s="6" t="s">
        <v>245</v>
      </c>
      <c r="M789" s="1">
        <v>2008</v>
      </c>
      <c r="N789" s="1" t="s">
        <v>1902</v>
      </c>
      <c r="O789" s="1">
        <v>0</v>
      </c>
      <c r="P789" s="1">
        <v>0</v>
      </c>
      <c r="Q789" s="1">
        <v>0</v>
      </c>
      <c r="R789" s="1">
        <v>0</v>
      </c>
      <c r="S789" s="1" t="s">
        <v>235</v>
      </c>
    </row>
    <row r="790" spans="1:19" ht="14.45" customHeight="1" x14ac:dyDescent="0.25">
      <c r="A790" s="6">
        <v>791</v>
      </c>
      <c r="B790" s="6">
        <v>7800103</v>
      </c>
      <c r="C790" t="s">
        <v>1003</v>
      </c>
      <c r="D790" s="1" t="s">
        <v>1004</v>
      </c>
      <c r="E790" s="21">
        <v>4263.1578947368425</v>
      </c>
      <c r="F790" s="1" t="s">
        <v>233</v>
      </c>
      <c r="G790" s="1" t="s">
        <v>233</v>
      </c>
      <c r="H790" s="6" t="s">
        <v>1951</v>
      </c>
      <c r="I790" s="6" t="s">
        <v>433</v>
      </c>
      <c r="J790" s="6" t="s">
        <v>1853</v>
      </c>
      <c r="K790" s="1">
        <v>0</v>
      </c>
      <c r="L790" s="6" t="s">
        <v>249</v>
      </c>
      <c r="M790" s="1">
        <v>2008</v>
      </c>
      <c r="N790" s="1" t="s">
        <v>1902</v>
      </c>
      <c r="O790" s="1">
        <v>0</v>
      </c>
      <c r="P790" s="1">
        <v>0</v>
      </c>
      <c r="Q790" s="1">
        <v>0</v>
      </c>
      <c r="R790" s="1">
        <v>0</v>
      </c>
      <c r="S790" s="1" t="s">
        <v>235</v>
      </c>
    </row>
    <row r="791" spans="1:19" ht="14.45" customHeight="1" x14ac:dyDescent="0.25">
      <c r="A791" s="6">
        <v>792</v>
      </c>
      <c r="B791" s="6">
        <v>7800103</v>
      </c>
      <c r="C791" t="s">
        <v>1003</v>
      </c>
      <c r="D791" s="1" t="s">
        <v>1004</v>
      </c>
      <c r="E791" s="21">
        <v>2777.7777777777778</v>
      </c>
      <c r="F791" s="1" t="s">
        <v>233</v>
      </c>
      <c r="G791" s="1" t="s">
        <v>233</v>
      </c>
      <c r="H791" s="6" t="s">
        <v>1951</v>
      </c>
      <c r="I791" s="6" t="s">
        <v>434</v>
      </c>
      <c r="J791" s="6" t="s">
        <v>1853</v>
      </c>
      <c r="K791" s="1">
        <v>0</v>
      </c>
      <c r="L791" s="6" t="s">
        <v>249</v>
      </c>
      <c r="M791" s="1">
        <v>2008</v>
      </c>
      <c r="N791" s="1" t="s">
        <v>1902</v>
      </c>
      <c r="O791" s="1">
        <v>0</v>
      </c>
      <c r="P791" s="1">
        <v>0</v>
      </c>
      <c r="Q791" s="1">
        <v>0</v>
      </c>
      <c r="R791" s="1">
        <v>0</v>
      </c>
      <c r="S791" s="1" t="s">
        <v>235</v>
      </c>
    </row>
    <row r="792" spans="1:19" ht="14.45" customHeight="1" x14ac:dyDescent="0.25">
      <c r="A792" s="6">
        <v>793</v>
      </c>
      <c r="B792" s="6">
        <v>7800103</v>
      </c>
      <c r="C792" t="s">
        <v>1003</v>
      </c>
      <c r="D792" s="1" t="s">
        <v>1004</v>
      </c>
      <c r="E792" s="21">
        <v>2349.3975903614455</v>
      </c>
      <c r="F792" s="1" t="s">
        <v>233</v>
      </c>
      <c r="G792" s="1" t="s">
        <v>233</v>
      </c>
      <c r="H792" s="6" t="s">
        <v>1951</v>
      </c>
      <c r="I792" s="6" t="s">
        <v>452</v>
      </c>
      <c r="J792" s="6" t="s">
        <v>1852</v>
      </c>
      <c r="K792" s="1">
        <v>0</v>
      </c>
      <c r="L792" s="6" t="s">
        <v>239</v>
      </c>
      <c r="M792" s="1">
        <v>2009</v>
      </c>
      <c r="N792" s="1" t="s">
        <v>1900</v>
      </c>
      <c r="O792" s="1">
        <v>0</v>
      </c>
      <c r="P792" s="1">
        <v>0</v>
      </c>
      <c r="Q792" s="1">
        <v>0</v>
      </c>
      <c r="R792" s="1">
        <v>0</v>
      </c>
      <c r="S792" s="1" t="s">
        <v>235</v>
      </c>
    </row>
    <row r="793" spans="1:19" ht="14.45" customHeight="1" x14ac:dyDescent="0.25">
      <c r="A793" s="6">
        <v>794</v>
      </c>
      <c r="B793" s="6">
        <v>7800103</v>
      </c>
      <c r="C793" t="s">
        <v>1003</v>
      </c>
      <c r="D793" s="1" t="s">
        <v>1004</v>
      </c>
      <c r="E793" s="21" t="s">
        <v>237</v>
      </c>
      <c r="F793" s="1" t="s">
        <v>233</v>
      </c>
      <c r="G793" s="19">
        <v>16</v>
      </c>
      <c r="H793" s="6" t="s">
        <v>1951</v>
      </c>
      <c r="I793" s="6" t="s">
        <v>465</v>
      </c>
      <c r="J793" s="6" t="s">
        <v>1849</v>
      </c>
      <c r="K793" s="1">
        <v>0</v>
      </c>
      <c r="L793" s="6" t="s">
        <v>234</v>
      </c>
      <c r="M793" s="1">
        <v>2007</v>
      </c>
      <c r="N793" s="1" t="s">
        <v>237</v>
      </c>
      <c r="O793" s="1">
        <v>0</v>
      </c>
      <c r="P793" s="1">
        <v>0</v>
      </c>
      <c r="Q793" s="1">
        <v>0</v>
      </c>
      <c r="R793" s="1">
        <v>0</v>
      </c>
      <c r="S793" s="1" t="s">
        <v>235</v>
      </c>
    </row>
    <row r="794" spans="1:19" ht="14.45" customHeight="1" x14ac:dyDescent="0.25">
      <c r="A794" s="6">
        <v>795</v>
      </c>
      <c r="B794" s="6">
        <v>7800103</v>
      </c>
      <c r="C794" t="s">
        <v>1003</v>
      </c>
      <c r="D794" s="1" t="s">
        <v>1004</v>
      </c>
      <c r="E794" s="21">
        <v>1875</v>
      </c>
      <c r="F794" s="1" t="s">
        <v>233</v>
      </c>
      <c r="G794" s="1" t="s">
        <v>233</v>
      </c>
      <c r="H794" s="6" t="s">
        <v>1951</v>
      </c>
      <c r="I794" s="6" t="s">
        <v>470</v>
      </c>
      <c r="J794" s="6" t="s">
        <v>1853</v>
      </c>
      <c r="K794" s="1">
        <v>0</v>
      </c>
      <c r="L794" s="6" t="s">
        <v>245</v>
      </c>
      <c r="M794" s="1">
        <v>2010</v>
      </c>
      <c r="N794" s="1" t="s">
        <v>1902</v>
      </c>
      <c r="O794" s="1">
        <v>0</v>
      </c>
      <c r="P794" s="1">
        <v>0</v>
      </c>
      <c r="Q794" s="1">
        <v>0</v>
      </c>
      <c r="R794" s="1">
        <v>0</v>
      </c>
      <c r="S794" s="1" t="s">
        <v>235</v>
      </c>
    </row>
    <row r="795" spans="1:19" ht="14.45" customHeight="1" x14ac:dyDescent="0.25">
      <c r="A795" s="6">
        <v>796</v>
      </c>
      <c r="B795" s="6">
        <v>7800103</v>
      </c>
      <c r="C795" t="s">
        <v>1003</v>
      </c>
      <c r="D795" s="1" t="s">
        <v>1004</v>
      </c>
      <c r="E795" s="21">
        <v>2935.5</v>
      </c>
      <c r="F795" s="1" t="s">
        <v>233</v>
      </c>
      <c r="G795" s="1" t="s">
        <v>233</v>
      </c>
      <c r="H795" s="6" t="s">
        <v>1951</v>
      </c>
      <c r="I795" s="6" t="s">
        <v>470</v>
      </c>
      <c r="J795" s="6" t="s">
        <v>1853</v>
      </c>
      <c r="K795" s="1">
        <v>0</v>
      </c>
      <c r="L795" s="6" t="s">
        <v>252</v>
      </c>
      <c r="M795" s="1">
        <v>2010</v>
      </c>
      <c r="N795" s="1" t="s">
        <v>1902</v>
      </c>
      <c r="O795" s="1">
        <v>0</v>
      </c>
      <c r="P795" s="1">
        <v>0</v>
      </c>
      <c r="Q795" s="1">
        <v>0</v>
      </c>
      <c r="R795" s="1">
        <v>0</v>
      </c>
      <c r="S795" s="1" t="s">
        <v>235</v>
      </c>
    </row>
    <row r="796" spans="1:19" ht="14.45" customHeight="1" x14ac:dyDescent="0.25">
      <c r="A796" s="6">
        <v>797</v>
      </c>
      <c r="B796" s="6">
        <v>7800103</v>
      </c>
      <c r="C796" t="s">
        <v>1003</v>
      </c>
      <c r="D796" s="1" t="s">
        <v>1004</v>
      </c>
      <c r="E796" s="21">
        <v>2400</v>
      </c>
      <c r="F796" s="1" t="s">
        <v>233</v>
      </c>
      <c r="G796" s="1" t="s">
        <v>233</v>
      </c>
      <c r="H796" s="6" t="s">
        <v>1951</v>
      </c>
      <c r="I796" s="6" t="s">
        <v>471</v>
      </c>
      <c r="J796" s="6" t="s">
        <v>1849</v>
      </c>
      <c r="K796" s="1">
        <v>0</v>
      </c>
      <c r="L796" s="6" t="s">
        <v>245</v>
      </c>
      <c r="M796" s="1">
        <v>2012</v>
      </c>
      <c r="N796" s="1" t="s">
        <v>1902</v>
      </c>
      <c r="O796" s="1">
        <v>0</v>
      </c>
      <c r="P796" s="1">
        <v>0</v>
      </c>
      <c r="Q796" s="1">
        <v>0</v>
      </c>
      <c r="R796" s="1">
        <v>0</v>
      </c>
      <c r="S796" s="1" t="s">
        <v>235</v>
      </c>
    </row>
    <row r="797" spans="1:19" ht="14.45" customHeight="1" x14ac:dyDescent="0.25">
      <c r="A797" s="6">
        <v>798</v>
      </c>
      <c r="B797" s="6">
        <v>7800103</v>
      </c>
      <c r="C797" t="s">
        <v>1003</v>
      </c>
      <c r="D797" s="1" t="s">
        <v>1004</v>
      </c>
      <c r="E797" s="21">
        <v>3170</v>
      </c>
      <c r="F797" s="1" t="s">
        <v>233</v>
      </c>
      <c r="G797" s="1" t="s">
        <v>233</v>
      </c>
      <c r="H797" s="6" t="s">
        <v>1951</v>
      </c>
      <c r="I797" s="6" t="s">
        <v>471</v>
      </c>
      <c r="J797" s="6" t="s">
        <v>1849</v>
      </c>
      <c r="K797" s="1">
        <v>0</v>
      </c>
      <c r="L797" s="6" t="s">
        <v>252</v>
      </c>
      <c r="M797" s="1">
        <v>2012</v>
      </c>
      <c r="N797" s="1" t="s">
        <v>1902</v>
      </c>
      <c r="O797" s="1">
        <v>0</v>
      </c>
      <c r="P797" s="1">
        <v>0</v>
      </c>
      <c r="Q797" s="1">
        <v>0</v>
      </c>
      <c r="R797" s="1">
        <v>0</v>
      </c>
      <c r="S797" s="1" t="s">
        <v>235</v>
      </c>
    </row>
    <row r="798" spans="1:19" ht="14.45" customHeight="1" x14ac:dyDescent="0.25">
      <c r="A798" s="6">
        <v>799</v>
      </c>
      <c r="B798" s="6">
        <v>7800103</v>
      </c>
      <c r="C798" t="s">
        <v>1003</v>
      </c>
      <c r="D798" s="1" t="s">
        <v>1004</v>
      </c>
      <c r="E798" s="21">
        <v>6900</v>
      </c>
      <c r="F798" s="1" t="s">
        <v>233</v>
      </c>
      <c r="G798" s="1" t="s">
        <v>233</v>
      </c>
      <c r="H798" s="6" t="s">
        <v>1951</v>
      </c>
      <c r="I798" s="6" t="s">
        <v>490</v>
      </c>
      <c r="J798" s="6" t="s">
        <v>1851</v>
      </c>
      <c r="K798" s="1">
        <v>0</v>
      </c>
      <c r="L798" s="6" t="s">
        <v>238</v>
      </c>
      <c r="M798" s="1">
        <v>2013</v>
      </c>
      <c r="N798" s="1" t="s">
        <v>1902</v>
      </c>
      <c r="O798" s="1">
        <v>0</v>
      </c>
      <c r="P798" s="1">
        <v>0</v>
      </c>
      <c r="Q798" s="1">
        <v>0</v>
      </c>
      <c r="R798" s="1">
        <v>0</v>
      </c>
      <c r="S798" s="1" t="s">
        <v>235</v>
      </c>
    </row>
    <row r="799" spans="1:19" ht="14.45" customHeight="1" x14ac:dyDescent="0.25">
      <c r="A799" s="6">
        <v>800</v>
      </c>
      <c r="B799" s="6">
        <v>7800103</v>
      </c>
      <c r="C799" t="s">
        <v>1003</v>
      </c>
      <c r="D799" s="1" t="s">
        <v>1004</v>
      </c>
      <c r="E799" s="21">
        <v>1100</v>
      </c>
      <c r="F799" s="1" t="s">
        <v>233</v>
      </c>
      <c r="G799" s="1" t="s">
        <v>233</v>
      </c>
      <c r="H799" s="6" t="s">
        <v>1951</v>
      </c>
      <c r="I799" s="6" t="s">
        <v>501</v>
      </c>
      <c r="J799" s="6" t="s">
        <v>1852</v>
      </c>
      <c r="K799" s="1">
        <v>0</v>
      </c>
      <c r="L799" s="6" t="s">
        <v>238</v>
      </c>
      <c r="M799" s="1">
        <v>2008</v>
      </c>
      <c r="N799" s="1" t="s">
        <v>237</v>
      </c>
      <c r="O799" s="1">
        <v>0</v>
      </c>
      <c r="P799" s="1" t="s">
        <v>1952</v>
      </c>
      <c r="Q799" s="1">
        <v>0</v>
      </c>
      <c r="R799" s="1">
        <v>0</v>
      </c>
      <c r="S799" s="1" t="s">
        <v>235</v>
      </c>
    </row>
    <row r="800" spans="1:19" ht="14.45" customHeight="1" x14ac:dyDescent="0.25">
      <c r="A800" s="6">
        <v>801</v>
      </c>
      <c r="B800" s="6">
        <v>7800103</v>
      </c>
      <c r="C800" t="s">
        <v>1003</v>
      </c>
      <c r="D800" s="1" t="s">
        <v>1004</v>
      </c>
      <c r="E800" s="21">
        <v>2900</v>
      </c>
      <c r="F800" s="1" t="s">
        <v>233</v>
      </c>
      <c r="G800" s="1" t="s">
        <v>233</v>
      </c>
      <c r="H800" s="6" t="s">
        <v>1951</v>
      </c>
      <c r="I800" s="6" t="s">
        <v>515</v>
      </c>
      <c r="J800" s="6" t="s">
        <v>1853</v>
      </c>
      <c r="K800" s="1">
        <v>0</v>
      </c>
      <c r="L800" s="6" t="s">
        <v>239</v>
      </c>
      <c r="M800" s="1">
        <v>2011</v>
      </c>
      <c r="N800" s="1" t="s">
        <v>1875</v>
      </c>
      <c r="O800" s="1">
        <v>0</v>
      </c>
      <c r="P800" s="1">
        <v>0</v>
      </c>
      <c r="Q800" s="1">
        <v>0</v>
      </c>
      <c r="R800" s="1">
        <v>0</v>
      </c>
      <c r="S800" s="1" t="s">
        <v>235</v>
      </c>
    </row>
    <row r="801" spans="1:19" ht="14.45" customHeight="1" x14ac:dyDescent="0.25">
      <c r="A801" s="6">
        <v>802</v>
      </c>
      <c r="B801" s="6">
        <v>7800103</v>
      </c>
      <c r="C801" t="s">
        <v>1003</v>
      </c>
      <c r="D801" s="1" t="s">
        <v>1004</v>
      </c>
      <c r="E801" s="21">
        <v>2460</v>
      </c>
      <c r="F801" s="1" t="s">
        <v>233</v>
      </c>
      <c r="G801" s="1" t="s">
        <v>233</v>
      </c>
      <c r="H801" s="6" t="s">
        <v>1951</v>
      </c>
      <c r="I801" s="6" t="s">
        <v>521</v>
      </c>
      <c r="J801" s="6" t="s">
        <v>1853</v>
      </c>
      <c r="K801" s="1">
        <v>0</v>
      </c>
      <c r="L801" s="6" t="s">
        <v>284</v>
      </c>
      <c r="M801" s="1">
        <v>2014</v>
      </c>
      <c r="N801" s="1" t="s">
        <v>1900</v>
      </c>
      <c r="O801" s="1">
        <v>0</v>
      </c>
      <c r="P801" s="1">
        <v>0</v>
      </c>
      <c r="Q801" s="1">
        <v>0</v>
      </c>
      <c r="R801" s="1">
        <v>0</v>
      </c>
      <c r="S801" s="1" t="s">
        <v>235</v>
      </c>
    </row>
    <row r="802" spans="1:19" ht="14.45" customHeight="1" x14ac:dyDescent="0.25">
      <c r="A802" s="6">
        <v>803</v>
      </c>
      <c r="B802" s="6">
        <v>7800103</v>
      </c>
      <c r="C802" t="s">
        <v>1003</v>
      </c>
      <c r="D802" s="1" t="s">
        <v>1004</v>
      </c>
      <c r="E802" s="21">
        <v>8170</v>
      </c>
      <c r="F802" s="1" t="s">
        <v>233</v>
      </c>
      <c r="G802" s="1" t="s">
        <v>233</v>
      </c>
      <c r="H802" s="6" t="s">
        <v>1951</v>
      </c>
      <c r="I802" s="6" t="s">
        <v>560</v>
      </c>
      <c r="J802" s="6" t="s">
        <v>1852</v>
      </c>
      <c r="K802" s="1">
        <v>0</v>
      </c>
      <c r="L802" s="6" t="s">
        <v>249</v>
      </c>
      <c r="M802" s="1">
        <v>2001</v>
      </c>
      <c r="N802" s="1" t="s">
        <v>237</v>
      </c>
      <c r="O802" s="1">
        <v>0</v>
      </c>
      <c r="P802" s="1" t="s">
        <v>1952</v>
      </c>
      <c r="Q802" s="1">
        <v>0</v>
      </c>
      <c r="R802" s="1">
        <v>0</v>
      </c>
      <c r="S802" s="1" t="s">
        <v>235</v>
      </c>
    </row>
    <row r="803" spans="1:19" ht="14.45" customHeight="1" x14ac:dyDescent="0.25">
      <c r="A803" s="6">
        <v>804</v>
      </c>
      <c r="B803" s="6">
        <v>7800103</v>
      </c>
      <c r="C803" t="s">
        <v>1003</v>
      </c>
      <c r="D803" s="1" t="s">
        <v>1004</v>
      </c>
      <c r="E803" s="21">
        <v>4410</v>
      </c>
      <c r="F803" s="1" t="s">
        <v>233</v>
      </c>
      <c r="G803" s="1" t="s">
        <v>233</v>
      </c>
      <c r="H803" s="6" t="s">
        <v>1951</v>
      </c>
      <c r="I803" s="6" t="s">
        <v>578</v>
      </c>
      <c r="J803" s="6" t="s">
        <v>1853</v>
      </c>
      <c r="K803" s="1">
        <v>0</v>
      </c>
      <c r="L803" s="6" t="s">
        <v>234</v>
      </c>
      <c r="M803" s="1">
        <v>2012</v>
      </c>
      <c r="N803" s="1" t="s">
        <v>1875</v>
      </c>
      <c r="O803" s="1">
        <v>0</v>
      </c>
      <c r="P803" s="1">
        <v>0</v>
      </c>
      <c r="Q803" s="1">
        <v>0</v>
      </c>
      <c r="R803" s="1">
        <v>0</v>
      </c>
      <c r="S803" s="1" t="s">
        <v>235</v>
      </c>
    </row>
    <row r="804" spans="1:19" ht="14.45" customHeight="1" x14ac:dyDescent="0.25">
      <c r="A804" s="6">
        <v>805</v>
      </c>
      <c r="B804" s="6">
        <v>7800103</v>
      </c>
      <c r="C804" t="s">
        <v>1003</v>
      </c>
      <c r="D804" s="1" t="s">
        <v>1004</v>
      </c>
      <c r="E804" s="21">
        <v>5130</v>
      </c>
      <c r="F804" s="1" t="s">
        <v>233</v>
      </c>
      <c r="G804" s="1" t="s">
        <v>233</v>
      </c>
      <c r="H804" s="6" t="s">
        <v>1951</v>
      </c>
      <c r="I804" s="6" t="s">
        <v>578</v>
      </c>
      <c r="J804" s="6" t="s">
        <v>1853</v>
      </c>
      <c r="K804" s="1">
        <v>0</v>
      </c>
      <c r="L804" s="6" t="s">
        <v>234</v>
      </c>
      <c r="M804" s="1">
        <v>2012</v>
      </c>
      <c r="N804" s="1" t="s">
        <v>1903</v>
      </c>
      <c r="O804" s="1">
        <v>0</v>
      </c>
      <c r="P804" s="1">
        <v>0</v>
      </c>
      <c r="Q804" s="1">
        <v>0</v>
      </c>
      <c r="R804" s="1">
        <v>0</v>
      </c>
      <c r="S804" s="1" t="s">
        <v>235</v>
      </c>
    </row>
    <row r="805" spans="1:19" ht="14.45" customHeight="1" x14ac:dyDescent="0.25">
      <c r="A805" s="6">
        <v>806</v>
      </c>
      <c r="B805" s="6">
        <v>7800103</v>
      </c>
      <c r="C805" t="s">
        <v>1003</v>
      </c>
      <c r="D805" s="1" t="s">
        <v>1004</v>
      </c>
      <c r="E805" s="21">
        <v>5660</v>
      </c>
      <c r="F805" s="1" t="s">
        <v>233</v>
      </c>
      <c r="G805" s="1" t="s">
        <v>233</v>
      </c>
      <c r="H805" s="6" t="s">
        <v>1951</v>
      </c>
      <c r="I805" s="6" t="s">
        <v>578</v>
      </c>
      <c r="J805" s="6" t="s">
        <v>1853</v>
      </c>
      <c r="K805" s="1">
        <v>0</v>
      </c>
      <c r="L805" s="6" t="s">
        <v>234</v>
      </c>
      <c r="M805" s="1">
        <v>2012</v>
      </c>
      <c r="N805" s="1" t="s">
        <v>1904</v>
      </c>
      <c r="O805" s="1">
        <v>0</v>
      </c>
      <c r="P805" s="1">
        <v>0</v>
      </c>
      <c r="Q805" s="1">
        <v>0</v>
      </c>
      <c r="R805" s="1">
        <v>0</v>
      </c>
      <c r="S805" s="1" t="s">
        <v>235</v>
      </c>
    </row>
    <row r="806" spans="1:19" ht="14.45" customHeight="1" x14ac:dyDescent="0.25">
      <c r="A806" s="6">
        <v>807</v>
      </c>
      <c r="B806" s="6">
        <v>7800103</v>
      </c>
      <c r="C806" t="s">
        <v>1003</v>
      </c>
      <c r="D806" s="1" t="s">
        <v>1004</v>
      </c>
      <c r="E806" s="21">
        <v>1600</v>
      </c>
      <c r="F806" s="1" t="s">
        <v>233</v>
      </c>
      <c r="G806" s="1" t="s">
        <v>233</v>
      </c>
      <c r="H806" s="6" t="s">
        <v>1951</v>
      </c>
      <c r="I806" s="6" t="s">
        <v>579</v>
      </c>
      <c r="J806" s="6" t="s">
        <v>1853</v>
      </c>
      <c r="K806" s="1">
        <v>0</v>
      </c>
      <c r="L806" s="6" t="s">
        <v>275</v>
      </c>
      <c r="M806" s="1">
        <v>2011</v>
      </c>
      <c r="N806" s="1" t="s">
        <v>1900</v>
      </c>
      <c r="O806" s="1">
        <v>0</v>
      </c>
      <c r="P806" s="1">
        <v>0</v>
      </c>
      <c r="Q806" s="1">
        <v>0</v>
      </c>
      <c r="R806" s="1">
        <v>0</v>
      </c>
      <c r="S806" s="1" t="s">
        <v>235</v>
      </c>
    </row>
    <row r="807" spans="1:19" ht="14.45" customHeight="1" x14ac:dyDescent="0.25">
      <c r="A807" s="6">
        <v>808</v>
      </c>
      <c r="B807" s="6">
        <v>7800103</v>
      </c>
      <c r="C807" t="s">
        <v>1003</v>
      </c>
      <c r="D807" s="1" t="s">
        <v>1004</v>
      </c>
      <c r="E807" s="21">
        <v>3210</v>
      </c>
      <c r="F807" s="1" t="s">
        <v>233</v>
      </c>
      <c r="G807" s="1" t="s">
        <v>233</v>
      </c>
      <c r="H807" s="6" t="s">
        <v>1951</v>
      </c>
      <c r="I807" s="6" t="s">
        <v>596</v>
      </c>
      <c r="J807" s="6" t="s">
        <v>1849</v>
      </c>
      <c r="K807" s="1">
        <v>0</v>
      </c>
      <c r="L807" s="6" t="s">
        <v>240</v>
      </c>
      <c r="M807" s="1">
        <v>2008</v>
      </c>
      <c r="N807" s="1" t="s">
        <v>1902</v>
      </c>
      <c r="O807" s="1">
        <v>0</v>
      </c>
      <c r="P807" s="1">
        <v>0</v>
      </c>
      <c r="Q807" s="1">
        <v>0</v>
      </c>
      <c r="R807" s="1">
        <v>0</v>
      </c>
      <c r="S807" s="1" t="s">
        <v>235</v>
      </c>
    </row>
    <row r="808" spans="1:19" ht="14.45" customHeight="1" x14ac:dyDescent="0.25">
      <c r="A808" s="6">
        <v>809</v>
      </c>
      <c r="B808" s="6">
        <v>7800103</v>
      </c>
      <c r="C808" t="s">
        <v>1003</v>
      </c>
      <c r="D808" s="1" t="s">
        <v>1004</v>
      </c>
      <c r="E808" s="21">
        <v>3850</v>
      </c>
      <c r="F808" s="1" t="s">
        <v>233</v>
      </c>
      <c r="G808" s="1" t="s">
        <v>233</v>
      </c>
      <c r="H808" s="6" t="s">
        <v>1951</v>
      </c>
      <c r="I808" s="6" t="s">
        <v>623</v>
      </c>
      <c r="J808" s="6" t="s">
        <v>1849</v>
      </c>
      <c r="K808" s="1">
        <v>0</v>
      </c>
      <c r="L808" s="6" t="s">
        <v>259</v>
      </c>
      <c r="M808" s="1">
        <v>2011</v>
      </c>
      <c r="N808" s="1" t="s">
        <v>1900</v>
      </c>
      <c r="O808" s="1">
        <v>0</v>
      </c>
      <c r="P808" s="1">
        <v>0</v>
      </c>
      <c r="Q808" s="1">
        <v>0</v>
      </c>
      <c r="R808" s="1">
        <v>0</v>
      </c>
      <c r="S808" s="1" t="s">
        <v>235</v>
      </c>
    </row>
    <row r="809" spans="1:19" ht="14.45" customHeight="1" x14ac:dyDescent="0.25">
      <c r="A809" s="6">
        <v>810</v>
      </c>
      <c r="B809" s="6">
        <v>7800103</v>
      </c>
      <c r="C809" t="s">
        <v>1003</v>
      </c>
      <c r="D809" s="1" t="s">
        <v>1004</v>
      </c>
      <c r="E809" s="21">
        <v>801.1</v>
      </c>
      <c r="F809" s="1" t="s">
        <v>233</v>
      </c>
      <c r="G809" s="1" t="s">
        <v>233</v>
      </c>
      <c r="H809" s="6" t="s">
        <v>1951</v>
      </c>
      <c r="I809" s="6" t="s">
        <v>737</v>
      </c>
      <c r="J809" s="6" t="s">
        <v>1854</v>
      </c>
      <c r="K809" s="1">
        <v>1</v>
      </c>
      <c r="L809" s="6" t="s">
        <v>246</v>
      </c>
      <c r="M809" s="1">
        <v>2010</v>
      </c>
      <c r="N809" s="1" t="s">
        <v>1900</v>
      </c>
      <c r="O809" s="1">
        <v>0</v>
      </c>
      <c r="P809" s="1">
        <v>0</v>
      </c>
      <c r="Q809" s="1">
        <v>0</v>
      </c>
      <c r="R809" s="1">
        <v>0</v>
      </c>
      <c r="S809" s="1" t="s">
        <v>235</v>
      </c>
    </row>
    <row r="810" spans="1:19" ht="14.45" customHeight="1" x14ac:dyDescent="0.25">
      <c r="A810" s="6">
        <v>811</v>
      </c>
      <c r="B810" s="6">
        <v>7800103</v>
      </c>
      <c r="C810" t="s">
        <v>1003</v>
      </c>
      <c r="D810" s="1" t="s">
        <v>1004</v>
      </c>
      <c r="E810" s="21">
        <v>1395</v>
      </c>
      <c r="F810" s="1" t="s">
        <v>233</v>
      </c>
      <c r="G810" s="1" t="s">
        <v>233</v>
      </c>
      <c r="H810" s="6" t="s">
        <v>1951</v>
      </c>
      <c r="I810" s="6" t="s">
        <v>635</v>
      </c>
      <c r="J810" s="6" t="s">
        <v>1852</v>
      </c>
      <c r="K810" s="1">
        <v>0</v>
      </c>
      <c r="L810" s="6" t="s">
        <v>238</v>
      </c>
      <c r="M810" s="1">
        <v>2008</v>
      </c>
      <c r="N810" s="1" t="s">
        <v>1873</v>
      </c>
      <c r="O810" s="1">
        <v>0</v>
      </c>
      <c r="P810" s="1" t="s">
        <v>1952</v>
      </c>
      <c r="Q810" s="1">
        <v>0</v>
      </c>
      <c r="R810" s="1">
        <v>0</v>
      </c>
      <c r="S810" s="1" t="s">
        <v>235</v>
      </c>
    </row>
    <row r="811" spans="1:19" ht="14.45" customHeight="1" x14ac:dyDescent="0.25">
      <c r="A811" s="6">
        <v>812</v>
      </c>
      <c r="B811" s="6">
        <v>7800103</v>
      </c>
      <c r="C811" t="s">
        <v>1003</v>
      </c>
      <c r="D811" s="1" t="s">
        <v>1004</v>
      </c>
      <c r="E811" s="21">
        <v>8719</v>
      </c>
      <c r="F811" s="1" t="s">
        <v>233</v>
      </c>
      <c r="G811" s="1" t="s">
        <v>233</v>
      </c>
      <c r="H811" s="6" t="s">
        <v>1951</v>
      </c>
      <c r="I811" s="6" t="s">
        <v>642</v>
      </c>
      <c r="J811" s="6" t="s">
        <v>1853</v>
      </c>
      <c r="K811" s="1">
        <v>0</v>
      </c>
      <c r="L811" s="6" t="s">
        <v>241</v>
      </c>
      <c r="M811" s="1">
        <v>2011</v>
      </c>
      <c r="N811" s="1" t="s">
        <v>1873</v>
      </c>
      <c r="O811" s="1">
        <v>0</v>
      </c>
      <c r="P811" s="1" t="s">
        <v>1952</v>
      </c>
      <c r="Q811" s="1">
        <v>0</v>
      </c>
      <c r="R811" s="1">
        <v>0</v>
      </c>
      <c r="S811" s="1" t="s">
        <v>235</v>
      </c>
    </row>
    <row r="812" spans="1:19" ht="14.45" customHeight="1" x14ac:dyDescent="0.25">
      <c r="A812" s="6">
        <v>813</v>
      </c>
      <c r="B812" s="6">
        <v>7800103</v>
      </c>
      <c r="C812" t="s">
        <v>1003</v>
      </c>
      <c r="D812" s="1" t="s">
        <v>1004</v>
      </c>
      <c r="E812" s="21">
        <v>3600</v>
      </c>
      <c r="F812" s="1" t="s">
        <v>233</v>
      </c>
      <c r="G812" s="1" t="s">
        <v>233</v>
      </c>
      <c r="H812" s="6" t="s">
        <v>1951</v>
      </c>
      <c r="I812" s="6" t="s">
        <v>645</v>
      </c>
      <c r="J812" s="6" t="s">
        <v>1849</v>
      </c>
      <c r="K812" s="1">
        <v>0</v>
      </c>
      <c r="L812" s="6" t="s">
        <v>249</v>
      </c>
      <c r="M812" s="1">
        <v>2011</v>
      </c>
      <c r="N812" s="1" t="s">
        <v>1902</v>
      </c>
      <c r="O812" s="1">
        <v>0</v>
      </c>
      <c r="P812" s="1">
        <v>0</v>
      </c>
      <c r="Q812" s="1">
        <v>0</v>
      </c>
      <c r="R812" s="1">
        <v>0</v>
      </c>
      <c r="S812" s="1" t="s">
        <v>235</v>
      </c>
    </row>
    <row r="813" spans="1:19" ht="14.45" customHeight="1" x14ac:dyDescent="0.25">
      <c r="A813" s="6">
        <v>814</v>
      </c>
      <c r="B813" s="6">
        <v>7800103</v>
      </c>
      <c r="C813" t="s">
        <v>1003</v>
      </c>
      <c r="D813" s="1" t="s">
        <v>1004</v>
      </c>
      <c r="E813" s="21">
        <v>5660</v>
      </c>
      <c r="F813" s="1" t="s">
        <v>233</v>
      </c>
      <c r="G813" s="1" t="s">
        <v>233</v>
      </c>
      <c r="H813" s="6" t="s">
        <v>1951</v>
      </c>
      <c r="I813" s="6" t="s">
        <v>962</v>
      </c>
      <c r="J813" s="6" t="s">
        <v>1854</v>
      </c>
      <c r="K813" s="1">
        <v>1</v>
      </c>
      <c r="L813" s="6" t="s">
        <v>242</v>
      </c>
      <c r="M813" s="1">
        <v>2012</v>
      </c>
      <c r="N813" s="1" t="s">
        <v>1902</v>
      </c>
      <c r="O813" s="1">
        <v>0</v>
      </c>
      <c r="P813" s="1">
        <v>0</v>
      </c>
      <c r="Q813" s="1">
        <v>0</v>
      </c>
      <c r="R813" s="1">
        <v>0</v>
      </c>
      <c r="S813" s="1" t="s">
        <v>235</v>
      </c>
    </row>
    <row r="814" spans="1:19" ht="14.45" customHeight="1" x14ac:dyDescent="0.25">
      <c r="A814" s="6">
        <v>815</v>
      </c>
      <c r="B814" s="6">
        <v>7800103</v>
      </c>
      <c r="C814" t="s">
        <v>1003</v>
      </c>
      <c r="D814" s="1" t="s">
        <v>1004</v>
      </c>
      <c r="E814" s="21">
        <v>2800</v>
      </c>
      <c r="F814" s="1" t="s">
        <v>233</v>
      </c>
      <c r="G814" s="1" t="s">
        <v>233</v>
      </c>
      <c r="H814" s="6" t="s">
        <v>1951</v>
      </c>
      <c r="I814" s="6" t="s">
        <v>668</v>
      </c>
      <c r="J814" s="6" t="s">
        <v>1853</v>
      </c>
      <c r="K814" s="1">
        <v>0</v>
      </c>
      <c r="L814" s="6" t="s">
        <v>252</v>
      </c>
      <c r="M814" s="1">
        <v>2014</v>
      </c>
      <c r="N814" s="1" t="s">
        <v>1873</v>
      </c>
      <c r="O814" s="1">
        <v>0</v>
      </c>
      <c r="P814" s="1">
        <v>0</v>
      </c>
      <c r="Q814" s="1">
        <v>0</v>
      </c>
      <c r="R814" s="1">
        <v>0</v>
      </c>
      <c r="S814" s="1" t="s">
        <v>235</v>
      </c>
    </row>
    <row r="815" spans="1:19" ht="14.45" customHeight="1" x14ac:dyDescent="0.25">
      <c r="A815" s="6">
        <v>816</v>
      </c>
      <c r="B815" s="6">
        <v>7800103</v>
      </c>
      <c r="C815" t="s">
        <v>1003</v>
      </c>
      <c r="D815" s="1" t="s">
        <v>1004</v>
      </c>
      <c r="E815" s="21" t="s">
        <v>237</v>
      </c>
      <c r="F815" s="1" t="s">
        <v>233</v>
      </c>
      <c r="G815" s="19">
        <v>37</v>
      </c>
      <c r="H815" s="6" t="s">
        <v>1951</v>
      </c>
      <c r="I815" s="6" t="s">
        <v>681</v>
      </c>
      <c r="J815" s="6" t="s">
        <v>1849</v>
      </c>
      <c r="K815" s="1">
        <v>0</v>
      </c>
      <c r="L815" s="6" t="s">
        <v>236</v>
      </c>
      <c r="M815" s="1">
        <v>2009</v>
      </c>
      <c r="N815" s="1" t="s">
        <v>237</v>
      </c>
      <c r="O815" s="1">
        <v>0</v>
      </c>
      <c r="P815" s="1">
        <v>0</v>
      </c>
      <c r="Q815" s="1">
        <v>0</v>
      </c>
      <c r="R815" s="1">
        <v>0</v>
      </c>
      <c r="S815" s="1" t="s">
        <v>251</v>
      </c>
    </row>
    <row r="816" spans="1:19" ht="14.45" customHeight="1" x14ac:dyDescent="0.25">
      <c r="A816" s="6">
        <v>817</v>
      </c>
      <c r="B816" s="6">
        <v>7800103</v>
      </c>
      <c r="C816" t="s">
        <v>1003</v>
      </c>
      <c r="D816" s="1" t="s">
        <v>1004</v>
      </c>
      <c r="E816" s="21">
        <v>1457</v>
      </c>
      <c r="F816" s="1" t="s">
        <v>233</v>
      </c>
      <c r="G816" s="1" t="s">
        <v>233</v>
      </c>
      <c r="H816" s="6" t="s">
        <v>1951</v>
      </c>
      <c r="I816" s="6" t="s">
        <v>686</v>
      </c>
      <c r="J816" s="6" t="s">
        <v>1852</v>
      </c>
      <c r="K816" s="1">
        <v>0</v>
      </c>
      <c r="L816" s="6" t="s">
        <v>290</v>
      </c>
      <c r="M816" s="1">
        <v>2012</v>
      </c>
      <c r="N816" s="1" t="s">
        <v>1873</v>
      </c>
      <c r="O816" s="1">
        <v>0</v>
      </c>
      <c r="P816" s="1">
        <v>0</v>
      </c>
      <c r="Q816" s="1">
        <v>0</v>
      </c>
      <c r="R816" s="1">
        <v>0</v>
      </c>
      <c r="S816" s="1" t="s">
        <v>235</v>
      </c>
    </row>
    <row r="817" spans="1:19" ht="14.45" customHeight="1" x14ac:dyDescent="0.25">
      <c r="A817" s="6">
        <v>818</v>
      </c>
      <c r="B817" s="6">
        <v>7800103</v>
      </c>
      <c r="C817" t="s">
        <v>1003</v>
      </c>
      <c r="D817" s="1" t="s">
        <v>1004</v>
      </c>
      <c r="E817" s="21">
        <v>2489</v>
      </c>
      <c r="F817" s="1" t="s">
        <v>233</v>
      </c>
      <c r="G817" s="1" t="s">
        <v>233</v>
      </c>
      <c r="H817" s="6" t="s">
        <v>1951</v>
      </c>
      <c r="I817" s="6" t="s">
        <v>692</v>
      </c>
      <c r="J817" s="6" t="s">
        <v>1849</v>
      </c>
      <c r="K817" s="1">
        <v>0</v>
      </c>
      <c r="L817" s="6" t="s">
        <v>291</v>
      </c>
      <c r="M817" s="1">
        <v>2013</v>
      </c>
      <c r="N817" s="1" t="s">
        <v>1902</v>
      </c>
      <c r="O817" s="1">
        <v>0</v>
      </c>
      <c r="P817" s="1">
        <v>0</v>
      </c>
      <c r="Q817" s="1">
        <v>0</v>
      </c>
      <c r="R817" s="1">
        <v>0</v>
      </c>
      <c r="S817" s="1" t="s">
        <v>235</v>
      </c>
    </row>
    <row r="818" spans="1:19" ht="14.45" customHeight="1" x14ac:dyDescent="0.25">
      <c r="A818" s="6">
        <v>819</v>
      </c>
      <c r="B818" s="6">
        <v>7800103</v>
      </c>
      <c r="C818" t="s">
        <v>1003</v>
      </c>
      <c r="D818" s="1" t="s">
        <v>1004</v>
      </c>
      <c r="E818" s="21">
        <v>1640</v>
      </c>
      <c r="F818" s="1" t="s">
        <v>233</v>
      </c>
      <c r="G818" s="1" t="s">
        <v>233</v>
      </c>
      <c r="H818" s="6" t="s">
        <v>1951</v>
      </c>
      <c r="I818" s="6" t="s">
        <v>700</v>
      </c>
      <c r="J818" s="6" t="s">
        <v>1853</v>
      </c>
      <c r="K818" s="1">
        <v>0</v>
      </c>
      <c r="L818" s="6" t="s">
        <v>239</v>
      </c>
      <c r="M818" s="1">
        <v>2008</v>
      </c>
      <c r="N818" s="1" t="s">
        <v>1902</v>
      </c>
      <c r="O818" s="1">
        <v>0</v>
      </c>
      <c r="P818" s="1">
        <v>0</v>
      </c>
      <c r="Q818" s="1">
        <v>0</v>
      </c>
      <c r="R818" s="1">
        <v>0</v>
      </c>
      <c r="S818" s="1" t="s">
        <v>235</v>
      </c>
    </row>
    <row r="819" spans="1:19" ht="14.45" customHeight="1" x14ac:dyDescent="0.25">
      <c r="A819" s="6">
        <v>820</v>
      </c>
      <c r="B819" s="6">
        <v>7800103</v>
      </c>
      <c r="C819" t="s">
        <v>1003</v>
      </c>
      <c r="D819" s="1" t="s">
        <v>1004</v>
      </c>
      <c r="E819" s="21">
        <v>4570</v>
      </c>
      <c r="F819" s="1" t="s">
        <v>233</v>
      </c>
      <c r="G819" s="1" t="s">
        <v>233</v>
      </c>
      <c r="H819" s="6" t="s">
        <v>1951</v>
      </c>
      <c r="I819" s="6" t="s">
        <v>725</v>
      </c>
      <c r="J819" s="6" t="s">
        <v>1852</v>
      </c>
      <c r="K819" s="1">
        <v>0</v>
      </c>
      <c r="L819" s="6" t="s">
        <v>234</v>
      </c>
      <c r="M819" s="1">
        <v>2006</v>
      </c>
      <c r="N819" s="1" t="s">
        <v>1900</v>
      </c>
      <c r="O819" s="1">
        <v>0</v>
      </c>
      <c r="P819" s="1">
        <v>0</v>
      </c>
      <c r="Q819" s="1">
        <v>0</v>
      </c>
      <c r="R819" s="1">
        <v>0</v>
      </c>
      <c r="S819" s="1" t="s">
        <v>235</v>
      </c>
    </row>
    <row r="820" spans="1:19" ht="14.45" customHeight="1" x14ac:dyDescent="0.25">
      <c r="A820" s="6">
        <v>821</v>
      </c>
      <c r="B820" s="6">
        <v>7800103</v>
      </c>
      <c r="C820" t="s">
        <v>1003</v>
      </c>
      <c r="D820" s="1" t="s">
        <v>1004</v>
      </c>
      <c r="E820" s="21">
        <v>6680</v>
      </c>
      <c r="F820" s="1" t="s">
        <v>233</v>
      </c>
      <c r="G820" s="1" t="s">
        <v>233</v>
      </c>
      <c r="H820" s="6" t="s">
        <v>1951</v>
      </c>
      <c r="I820" s="6" t="s">
        <v>725</v>
      </c>
      <c r="J820" s="6" t="s">
        <v>1852</v>
      </c>
      <c r="K820" s="1">
        <v>0</v>
      </c>
      <c r="L820" s="6" t="s">
        <v>234</v>
      </c>
      <c r="M820" s="1">
        <v>2006</v>
      </c>
      <c r="N820" s="1" t="s">
        <v>1905</v>
      </c>
      <c r="O820" s="1">
        <v>0</v>
      </c>
      <c r="P820" s="1">
        <v>0</v>
      </c>
      <c r="Q820" s="1">
        <v>0</v>
      </c>
      <c r="R820" s="1">
        <v>0</v>
      </c>
      <c r="S820" s="1" t="s">
        <v>235</v>
      </c>
    </row>
    <row r="821" spans="1:19" ht="14.45" customHeight="1" x14ac:dyDescent="0.25">
      <c r="A821" s="6">
        <v>822</v>
      </c>
      <c r="B821" s="6">
        <v>7800103</v>
      </c>
      <c r="C821" t="s">
        <v>1003</v>
      </c>
      <c r="D821" s="1" t="s">
        <v>1004</v>
      </c>
      <c r="E821" s="21">
        <v>1753</v>
      </c>
      <c r="F821" s="1" t="s">
        <v>233</v>
      </c>
      <c r="G821" s="1" t="s">
        <v>233</v>
      </c>
      <c r="H821" s="6" t="s">
        <v>1951</v>
      </c>
      <c r="I821" s="6" t="s">
        <v>472</v>
      </c>
      <c r="J821" s="6" t="s">
        <v>1849</v>
      </c>
      <c r="K821" s="1">
        <v>0</v>
      </c>
      <c r="L821" s="6" t="s">
        <v>245</v>
      </c>
      <c r="M821" s="1">
        <v>2012</v>
      </c>
      <c r="N821" s="1" t="s">
        <v>1902</v>
      </c>
      <c r="O821" s="1">
        <v>0</v>
      </c>
      <c r="P821" s="1">
        <v>0</v>
      </c>
      <c r="Q821" s="1">
        <v>0</v>
      </c>
      <c r="R821" s="1">
        <v>0</v>
      </c>
      <c r="S821" s="1" t="s">
        <v>251</v>
      </c>
    </row>
    <row r="822" spans="1:19" ht="14.45" customHeight="1" x14ac:dyDescent="0.25">
      <c r="A822" s="6">
        <v>823</v>
      </c>
      <c r="B822" s="6">
        <v>7801702</v>
      </c>
      <c r="C822" t="s">
        <v>1005</v>
      </c>
      <c r="D822" s="1" t="s">
        <v>1006</v>
      </c>
      <c r="E822" s="21" t="s">
        <v>237</v>
      </c>
      <c r="F822" s="21">
        <v>4474.4591510944665</v>
      </c>
      <c r="G822" s="1" t="s">
        <v>233</v>
      </c>
      <c r="H822" s="6" t="s">
        <v>1951</v>
      </c>
      <c r="I822" s="6" t="s">
        <v>594</v>
      </c>
      <c r="J822" s="6" t="s">
        <v>1853</v>
      </c>
      <c r="K822" s="1">
        <v>0</v>
      </c>
      <c r="L822" s="6" t="s">
        <v>245</v>
      </c>
      <c r="M822" s="1">
        <v>2012</v>
      </c>
      <c r="N822" s="1" t="s">
        <v>237</v>
      </c>
      <c r="O822" s="1">
        <v>0</v>
      </c>
      <c r="P822" s="1">
        <v>0</v>
      </c>
      <c r="Q822" s="1">
        <v>0</v>
      </c>
      <c r="R822" s="1">
        <v>0</v>
      </c>
      <c r="S822" s="1" t="s">
        <v>251</v>
      </c>
    </row>
    <row r="823" spans="1:19" ht="14.45" customHeight="1" x14ac:dyDescent="0.25">
      <c r="A823" s="6">
        <v>824</v>
      </c>
      <c r="B823" s="6">
        <v>7801702</v>
      </c>
      <c r="C823" t="s">
        <v>1005</v>
      </c>
      <c r="D823" s="1" t="s">
        <v>1006</v>
      </c>
      <c r="E823" s="21">
        <v>3760</v>
      </c>
      <c r="F823" s="1" t="s">
        <v>233</v>
      </c>
      <c r="G823" s="1" t="s">
        <v>233</v>
      </c>
      <c r="H823" s="6" t="s">
        <v>1951</v>
      </c>
      <c r="I823" s="6" t="s">
        <v>336</v>
      </c>
      <c r="J823" s="6" t="s">
        <v>1849</v>
      </c>
      <c r="K823" s="1">
        <v>0</v>
      </c>
      <c r="L823" s="6" t="s">
        <v>234</v>
      </c>
      <c r="M823" s="1">
        <v>2009</v>
      </c>
      <c r="N823" s="1" t="s">
        <v>237</v>
      </c>
      <c r="O823" s="1">
        <v>0</v>
      </c>
      <c r="P823" s="1">
        <v>0</v>
      </c>
      <c r="Q823" s="1">
        <v>0</v>
      </c>
      <c r="R823" s="1">
        <v>0</v>
      </c>
      <c r="S823" s="1" t="s">
        <v>251</v>
      </c>
    </row>
    <row r="824" spans="1:19" ht="14.45" customHeight="1" x14ac:dyDescent="0.25">
      <c r="A824" s="6">
        <v>825</v>
      </c>
      <c r="B824" s="6">
        <v>6503603</v>
      </c>
      <c r="C824" t="s">
        <v>800</v>
      </c>
      <c r="D824" s="1">
        <v>120810</v>
      </c>
      <c r="E824" s="21">
        <v>4100</v>
      </c>
      <c r="F824" s="1" t="s">
        <v>233</v>
      </c>
      <c r="G824" s="1" t="s">
        <v>233</v>
      </c>
      <c r="H824" s="6" t="s">
        <v>1951</v>
      </c>
      <c r="I824" s="6" t="s">
        <v>592</v>
      </c>
      <c r="J824" s="6" t="s">
        <v>1853</v>
      </c>
      <c r="K824" s="1">
        <v>0</v>
      </c>
      <c r="L824" s="6" t="s">
        <v>238</v>
      </c>
      <c r="M824" s="1">
        <v>2016</v>
      </c>
      <c r="N824" s="1" t="s">
        <v>237</v>
      </c>
      <c r="O824" s="1">
        <v>0</v>
      </c>
      <c r="P824" s="1">
        <v>0</v>
      </c>
      <c r="Q824" s="1">
        <v>0</v>
      </c>
      <c r="R824" s="1">
        <v>0</v>
      </c>
      <c r="S824" s="1" t="s">
        <v>251</v>
      </c>
    </row>
    <row r="825" spans="1:19" ht="14.45" customHeight="1" x14ac:dyDescent="0.25">
      <c r="A825" s="6">
        <v>826</v>
      </c>
      <c r="B825" s="6">
        <v>7803301</v>
      </c>
      <c r="C825" t="s">
        <v>1009</v>
      </c>
      <c r="D825" s="1" t="s">
        <v>1010</v>
      </c>
      <c r="E825" s="21">
        <v>3000</v>
      </c>
      <c r="F825" s="1" t="s">
        <v>233</v>
      </c>
      <c r="G825" s="1" t="s">
        <v>233</v>
      </c>
      <c r="H825" s="6" t="s">
        <v>1951</v>
      </c>
      <c r="I825" s="6" t="s">
        <v>337</v>
      </c>
      <c r="J825" s="6" t="s">
        <v>1852</v>
      </c>
      <c r="K825" s="1">
        <v>0</v>
      </c>
      <c r="L825" s="6" t="s">
        <v>234</v>
      </c>
      <c r="M825" s="1">
        <v>2012</v>
      </c>
      <c r="N825" s="1" t="s">
        <v>237</v>
      </c>
      <c r="O825" s="1">
        <v>0</v>
      </c>
      <c r="P825" s="1">
        <v>0</v>
      </c>
      <c r="Q825" s="1">
        <v>0</v>
      </c>
      <c r="R825" s="1">
        <v>0</v>
      </c>
      <c r="S825" s="1" t="s">
        <v>235</v>
      </c>
    </row>
    <row r="826" spans="1:19" ht="14.45" customHeight="1" x14ac:dyDescent="0.25">
      <c r="A826" s="6">
        <v>827</v>
      </c>
      <c r="B826" s="6">
        <v>7803301</v>
      </c>
      <c r="C826" t="s">
        <v>1009</v>
      </c>
      <c r="D826" s="1" t="s">
        <v>1010</v>
      </c>
      <c r="E826" s="21">
        <v>3035</v>
      </c>
      <c r="F826" s="1" t="s">
        <v>233</v>
      </c>
      <c r="G826" s="1" t="s">
        <v>233</v>
      </c>
      <c r="H826" s="6" t="s">
        <v>1951</v>
      </c>
      <c r="I826" s="6" t="s">
        <v>418</v>
      </c>
      <c r="J826" s="6" t="s">
        <v>1853</v>
      </c>
      <c r="K826" s="1">
        <v>0</v>
      </c>
      <c r="L826" s="6" t="s">
        <v>252</v>
      </c>
      <c r="M826" s="1">
        <v>2008</v>
      </c>
      <c r="N826" s="1" t="s">
        <v>237</v>
      </c>
      <c r="O826" s="1">
        <v>0</v>
      </c>
      <c r="P826" s="1">
        <v>0</v>
      </c>
      <c r="Q826" s="1">
        <v>0</v>
      </c>
      <c r="R826" s="1">
        <v>0</v>
      </c>
      <c r="S826" s="1" t="s">
        <v>235</v>
      </c>
    </row>
    <row r="827" spans="1:19" ht="14.45" customHeight="1" x14ac:dyDescent="0.25">
      <c r="A827" s="6">
        <v>828</v>
      </c>
      <c r="B827" s="6">
        <v>7803301</v>
      </c>
      <c r="C827" t="s">
        <v>1009</v>
      </c>
      <c r="D827" s="1" t="s">
        <v>1010</v>
      </c>
      <c r="E827" s="21">
        <v>3869.9999999999995</v>
      </c>
      <c r="F827" s="1" t="s">
        <v>233</v>
      </c>
      <c r="G827" s="1" t="s">
        <v>233</v>
      </c>
      <c r="H827" s="6" t="s">
        <v>1951</v>
      </c>
      <c r="I827" s="6" t="s">
        <v>428</v>
      </c>
      <c r="J827" s="6" t="s">
        <v>1849</v>
      </c>
      <c r="K827" s="1">
        <v>0</v>
      </c>
      <c r="L827" s="6" t="s">
        <v>234</v>
      </c>
      <c r="M827" s="1">
        <v>2012</v>
      </c>
      <c r="N827" s="1" t="s">
        <v>1850</v>
      </c>
      <c r="O827" s="1">
        <v>1</v>
      </c>
      <c r="P827" s="1">
        <v>0</v>
      </c>
      <c r="Q827" s="1">
        <v>0</v>
      </c>
      <c r="R827" s="1">
        <v>0</v>
      </c>
      <c r="S827" s="1" t="s">
        <v>235</v>
      </c>
    </row>
    <row r="828" spans="1:19" ht="14.45" customHeight="1" x14ac:dyDescent="0.25">
      <c r="A828" s="6">
        <v>829</v>
      </c>
      <c r="B828" s="6">
        <v>7803301</v>
      </c>
      <c r="C828" t="s">
        <v>1009</v>
      </c>
      <c r="D828" s="1" t="s">
        <v>1010</v>
      </c>
      <c r="E828" s="21">
        <v>2266.6666666666665</v>
      </c>
      <c r="F828" s="1" t="s">
        <v>233</v>
      </c>
      <c r="G828" s="1" t="s">
        <v>233</v>
      </c>
      <c r="H828" s="6" t="s">
        <v>1951</v>
      </c>
      <c r="I828" s="6" t="s">
        <v>433</v>
      </c>
      <c r="J828" s="6" t="s">
        <v>1853</v>
      </c>
      <c r="K828" s="1">
        <v>0</v>
      </c>
      <c r="L828" s="6" t="s">
        <v>249</v>
      </c>
      <c r="M828" s="1">
        <v>2008</v>
      </c>
      <c r="N828" s="1" t="s">
        <v>237</v>
      </c>
      <c r="O828" s="1">
        <v>0</v>
      </c>
      <c r="P828" s="1">
        <v>0</v>
      </c>
      <c r="Q828" s="1">
        <v>0</v>
      </c>
      <c r="R828" s="1">
        <v>0</v>
      </c>
      <c r="S828" s="1" t="s">
        <v>235</v>
      </c>
    </row>
    <row r="829" spans="1:19" ht="14.45" customHeight="1" x14ac:dyDescent="0.25">
      <c r="A829" s="6">
        <v>830</v>
      </c>
      <c r="B829" s="6">
        <v>7803301</v>
      </c>
      <c r="C829" t="s">
        <v>1009</v>
      </c>
      <c r="D829" s="1" t="s">
        <v>1010</v>
      </c>
      <c r="E829" s="21">
        <v>1696.6666666666665</v>
      </c>
      <c r="F829" s="1" t="s">
        <v>233</v>
      </c>
      <c r="G829" s="1" t="s">
        <v>233</v>
      </c>
      <c r="H829" s="6" t="s">
        <v>1951</v>
      </c>
      <c r="I829" s="6" t="s">
        <v>452</v>
      </c>
      <c r="J829" s="6" t="s">
        <v>1852</v>
      </c>
      <c r="K829" s="1">
        <v>0</v>
      </c>
      <c r="L829" s="6" t="s">
        <v>239</v>
      </c>
      <c r="M829" s="1">
        <v>2009</v>
      </c>
      <c r="N829" s="1" t="s">
        <v>237</v>
      </c>
      <c r="O829" s="1">
        <v>0</v>
      </c>
      <c r="P829" s="1" t="s">
        <v>1952</v>
      </c>
      <c r="Q829" s="1">
        <v>0</v>
      </c>
      <c r="R829" s="1">
        <v>0</v>
      </c>
      <c r="S829" s="1" t="s">
        <v>235</v>
      </c>
    </row>
    <row r="830" spans="1:19" ht="14.45" customHeight="1" x14ac:dyDescent="0.25">
      <c r="A830" s="6">
        <v>831</v>
      </c>
      <c r="B830" s="6">
        <v>7803301</v>
      </c>
      <c r="C830" t="s">
        <v>1009</v>
      </c>
      <c r="D830" s="1" t="s">
        <v>1010</v>
      </c>
      <c r="E830" s="21" t="s">
        <v>237</v>
      </c>
      <c r="F830" s="1" t="s">
        <v>233</v>
      </c>
      <c r="G830" s="19">
        <v>22.222222222222221</v>
      </c>
      <c r="H830" s="6" t="s">
        <v>1951</v>
      </c>
      <c r="I830" s="6" t="s">
        <v>1975</v>
      </c>
      <c r="J830" s="6" t="s">
        <v>1849</v>
      </c>
      <c r="K830" s="1">
        <v>0</v>
      </c>
      <c r="L830" s="6" t="s">
        <v>234</v>
      </c>
      <c r="M830" s="1">
        <v>2005</v>
      </c>
      <c r="N830" s="1" t="s">
        <v>237</v>
      </c>
      <c r="O830" s="1">
        <v>0</v>
      </c>
      <c r="P830" s="1">
        <v>0</v>
      </c>
      <c r="Q830" s="1">
        <v>0</v>
      </c>
      <c r="R830" s="1">
        <v>0</v>
      </c>
      <c r="S830" s="1" t="s">
        <v>235</v>
      </c>
    </row>
    <row r="831" spans="1:19" ht="14.45" customHeight="1" x14ac:dyDescent="0.25">
      <c r="A831" s="6">
        <v>832</v>
      </c>
      <c r="B831" s="6">
        <v>7803301</v>
      </c>
      <c r="C831" t="s">
        <v>1009</v>
      </c>
      <c r="D831" s="1" t="s">
        <v>1010</v>
      </c>
      <c r="E831" s="21" t="s">
        <v>237</v>
      </c>
      <c r="F831" s="1" t="s">
        <v>233</v>
      </c>
      <c r="G831" s="19">
        <v>11.999999999999998</v>
      </c>
      <c r="H831" s="6" t="s">
        <v>1951</v>
      </c>
      <c r="I831" s="6" t="s">
        <v>465</v>
      </c>
      <c r="J831" s="6" t="s">
        <v>1849</v>
      </c>
      <c r="K831" s="1">
        <v>0</v>
      </c>
      <c r="L831" s="6" t="s">
        <v>234</v>
      </c>
      <c r="M831" s="1">
        <v>2007</v>
      </c>
      <c r="N831" s="1" t="s">
        <v>237</v>
      </c>
      <c r="O831" s="1">
        <v>0</v>
      </c>
      <c r="P831" s="1">
        <v>0</v>
      </c>
      <c r="Q831" s="1">
        <v>0</v>
      </c>
      <c r="R831" s="1" t="s">
        <v>1956</v>
      </c>
      <c r="S831" s="1" t="s">
        <v>235</v>
      </c>
    </row>
    <row r="832" spans="1:19" ht="14.45" customHeight="1" x14ac:dyDescent="0.25">
      <c r="A832" s="6">
        <v>833</v>
      </c>
      <c r="B832" s="6">
        <v>7803301</v>
      </c>
      <c r="C832" t="s">
        <v>1009</v>
      </c>
      <c r="D832" s="1" t="s">
        <v>1010</v>
      </c>
      <c r="E832" s="21">
        <v>3900</v>
      </c>
      <c r="F832" s="1" t="s">
        <v>233</v>
      </c>
      <c r="G832" s="1" t="s">
        <v>233</v>
      </c>
      <c r="H832" s="6" t="s">
        <v>1951</v>
      </c>
      <c r="I832" s="6" t="s">
        <v>484</v>
      </c>
      <c r="J832" s="6" t="s">
        <v>1852</v>
      </c>
      <c r="K832" s="1">
        <v>0</v>
      </c>
      <c r="L832" s="6" t="s">
        <v>234</v>
      </c>
      <c r="M832" s="1">
        <v>2015</v>
      </c>
      <c r="N832" s="1" t="s">
        <v>237</v>
      </c>
      <c r="O832" s="1">
        <v>0</v>
      </c>
      <c r="P832" s="1">
        <v>0</v>
      </c>
      <c r="Q832" s="1">
        <v>0</v>
      </c>
      <c r="R832" s="1">
        <v>0</v>
      </c>
      <c r="S832" s="1" t="s">
        <v>235</v>
      </c>
    </row>
    <row r="833" spans="1:19" ht="14.45" customHeight="1" x14ac:dyDescent="0.25">
      <c r="A833" s="6">
        <v>834</v>
      </c>
      <c r="B833" s="6">
        <v>7803301</v>
      </c>
      <c r="C833" t="s">
        <v>1009</v>
      </c>
      <c r="D833" s="1" t="s">
        <v>1010</v>
      </c>
      <c r="E833" s="21">
        <v>4250</v>
      </c>
      <c r="F833" s="1" t="s">
        <v>233</v>
      </c>
      <c r="G833" s="1" t="s">
        <v>233</v>
      </c>
      <c r="H833" s="6" t="s">
        <v>1951</v>
      </c>
      <c r="I833" s="6" t="s">
        <v>484</v>
      </c>
      <c r="J833" s="6" t="s">
        <v>1852</v>
      </c>
      <c r="K833" s="1">
        <v>0</v>
      </c>
      <c r="L833" s="6" t="s">
        <v>249</v>
      </c>
      <c r="M833" s="1">
        <v>2015</v>
      </c>
      <c r="N833" s="1" t="s">
        <v>237</v>
      </c>
      <c r="O833" s="1">
        <v>0</v>
      </c>
      <c r="P833" s="1">
        <v>0</v>
      </c>
      <c r="Q833" s="1">
        <v>0</v>
      </c>
      <c r="R833" s="1">
        <v>0</v>
      </c>
      <c r="S833" s="1" t="s">
        <v>235</v>
      </c>
    </row>
    <row r="834" spans="1:19" ht="14.45" customHeight="1" x14ac:dyDescent="0.25">
      <c r="A834" s="6">
        <v>835</v>
      </c>
      <c r="B834" s="6">
        <v>7803301</v>
      </c>
      <c r="C834" t="s">
        <v>1009</v>
      </c>
      <c r="D834" s="1" t="s">
        <v>1010</v>
      </c>
      <c r="E834" s="21">
        <v>4038</v>
      </c>
      <c r="F834" s="1" t="s">
        <v>233</v>
      </c>
      <c r="G834" s="1" t="s">
        <v>233</v>
      </c>
      <c r="H834" s="6" t="s">
        <v>1951</v>
      </c>
      <c r="I834" s="6" t="s">
        <v>1011</v>
      </c>
      <c r="J834" s="6" t="s">
        <v>1852</v>
      </c>
      <c r="K834" s="1">
        <v>0</v>
      </c>
      <c r="L834" s="6" t="s">
        <v>249</v>
      </c>
      <c r="M834" s="1">
        <v>2008</v>
      </c>
      <c r="N834" s="1" t="s">
        <v>1859</v>
      </c>
      <c r="O834" s="1">
        <v>0</v>
      </c>
      <c r="P834" s="1">
        <v>0</v>
      </c>
      <c r="Q834" s="1">
        <v>0</v>
      </c>
      <c r="R834" s="1">
        <v>0</v>
      </c>
      <c r="S834" s="1" t="s">
        <v>235</v>
      </c>
    </row>
    <row r="835" spans="1:19" ht="14.45" customHeight="1" x14ac:dyDescent="0.25">
      <c r="A835" s="6">
        <v>836</v>
      </c>
      <c r="B835" s="6">
        <v>7803301</v>
      </c>
      <c r="C835" t="s">
        <v>1009</v>
      </c>
      <c r="D835" s="1" t="s">
        <v>1010</v>
      </c>
      <c r="E835" s="21">
        <v>4800</v>
      </c>
      <c r="F835" s="1" t="s">
        <v>233</v>
      </c>
      <c r="G835" s="1" t="s">
        <v>233</v>
      </c>
      <c r="H835" s="6" t="s">
        <v>1951</v>
      </c>
      <c r="I835" s="6" t="s">
        <v>490</v>
      </c>
      <c r="J835" s="6" t="s">
        <v>1851</v>
      </c>
      <c r="K835" s="1">
        <v>0</v>
      </c>
      <c r="L835" s="6" t="s">
        <v>238</v>
      </c>
      <c r="M835" s="1">
        <v>2013</v>
      </c>
      <c r="N835" s="1" t="s">
        <v>237</v>
      </c>
      <c r="O835" s="1">
        <v>0</v>
      </c>
      <c r="P835" s="1">
        <v>0</v>
      </c>
      <c r="Q835" s="1">
        <v>0</v>
      </c>
      <c r="R835" s="1">
        <v>0</v>
      </c>
      <c r="S835" s="1" t="s">
        <v>235</v>
      </c>
    </row>
    <row r="836" spans="1:19" ht="14.45" customHeight="1" x14ac:dyDescent="0.25">
      <c r="A836" s="6">
        <v>837</v>
      </c>
      <c r="B836" s="6">
        <v>7803301</v>
      </c>
      <c r="C836" t="s">
        <v>1009</v>
      </c>
      <c r="D836" s="1" t="s">
        <v>1010</v>
      </c>
      <c r="E836" s="21">
        <v>1750</v>
      </c>
      <c r="F836" s="1" t="s">
        <v>233</v>
      </c>
      <c r="G836" s="1" t="s">
        <v>233</v>
      </c>
      <c r="H836" s="6" t="s">
        <v>1951</v>
      </c>
      <c r="I836" s="6" t="s">
        <v>515</v>
      </c>
      <c r="J836" s="6" t="s">
        <v>1853</v>
      </c>
      <c r="K836" s="1">
        <v>0</v>
      </c>
      <c r="L836" s="6" t="s">
        <v>239</v>
      </c>
      <c r="M836" s="1">
        <v>2011</v>
      </c>
      <c r="N836" s="1" t="s">
        <v>237</v>
      </c>
      <c r="O836" s="1">
        <v>0</v>
      </c>
      <c r="P836" s="1">
        <v>0</v>
      </c>
      <c r="Q836" s="1">
        <v>0</v>
      </c>
      <c r="R836" s="1">
        <v>0</v>
      </c>
      <c r="S836" s="1" t="s">
        <v>235</v>
      </c>
    </row>
    <row r="837" spans="1:19" ht="14.45" customHeight="1" x14ac:dyDescent="0.25">
      <c r="A837" s="6">
        <v>838</v>
      </c>
      <c r="B837" s="6">
        <v>7803301</v>
      </c>
      <c r="C837" t="s">
        <v>1009</v>
      </c>
      <c r="D837" s="1" t="s">
        <v>1010</v>
      </c>
      <c r="E837" s="21">
        <v>2700</v>
      </c>
      <c r="F837" s="21">
        <v>3220</v>
      </c>
      <c r="G837" s="19">
        <v>15.3</v>
      </c>
      <c r="H837" s="6" t="s">
        <v>1954</v>
      </c>
      <c r="I837" s="6" t="s">
        <v>1012</v>
      </c>
      <c r="J837" s="6" t="s">
        <v>1849</v>
      </c>
      <c r="K837" s="1">
        <v>0</v>
      </c>
      <c r="L837" s="6" t="s">
        <v>236</v>
      </c>
      <c r="M837" s="1">
        <v>2013</v>
      </c>
      <c r="N837" s="1" t="s">
        <v>1859</v>
      </c>
      <c r="O837" s="1">
        <v>0</v>
      </c>
      <c r="P837" s="1">
        <v>0</v>
      </c>
      <c r="Q837" s="1">
        <v>0</v>
      </c>
      <c r="R837" s="1">
        <v>0</v>
      </c>
      <c r="S837" s="1" t="s">
        <v>235</v>
      </c>
    </row>
    <row r="838" spans="1:19" ht="14.45" customHeight="1" x14ac:dyDescent="0.25">
      <c r="A838" s="6">
        <v>839</v>
      </c>
      <c r="B838" s="6">
        <v>7803301</v>
      </c>
      <c r="C838" t="s">
        <v>1009</v>
      </c>
      <c r="D838" s="1" t="s">
        <v>1010</v>
      </c>
      <c r="E838" s="21">
        <v>3185</v>
      </c>
      <c r="F838" s="1" t="s">
        <v>233</v>
      </c>
      <c r="G838" s="1" t="s">
        <v>233</v>
      </c>
      <c r="H838" s="6" t="s">
        <v>1951</v>
      </c>
      <c r="I838" s="6" t="s">
        <v>578</v>
      </c>
      <c r="J838" s="6" t="s">
        <v>1852</v>
      </c>
      <c r="K838" s="1">
        <v>0</v>
      </c>
      <c r="L838" s="6" t="s">
        <v>234</v>
      </c>
      <c r="M838" s="1">
        <v>2012</v>
      </c>
      <c r="N838" s="1" t="s">
        <v>237</v>
      </c>
      <c r="O838" s="1">
        <v>0</v>
      </c>
      <c r="P838" s="1">
        <v>0</v>
      </c>
      <c r="Q838" s="1">
        <v>0</v>
      </c>
      <c r="R838" s="1">
        <v>0</v>
      </c>
      <c r="S838" s="1" t="s">
        <v>235</v>
      </c>
    </row>
    <row r="839" spans="1:19" ht="14.45" customHeight="1" x14ac:dyDescent="0.25">
      <c r="A839" s="6">
        <v>840</v>
      </c>
      <c r="B839" s="6">
        <v>7803301</v>
      </c>
      <c r="C839" t="s">
        <v>1009</v>
      </c>
      <c r="D839" s="1" t="s">
        <v>1010</v>
      </c>
      <c r="E839" s="21">
        <v>3380</v>
      </c>
      <c r="F839" s="1" t="s">
        <v>233</v>
      </c>
      <c r="G839" s="1" t="s">
        <v>233</v>
      </c>
      <c r="H839" s="6" t="s">
        <v>1951</v>
      </c>
      <c r="I839" s="6" t="s">
        <v>578</v>
      </c>
      <c r="J839" s="6" t="s">
        <v>1852</v>
      </c>
      <c r="K839" s="1">
        <v>0</v>
      </c>
      <c r="L839" s="6" t="s">
        <v>234</v>
      </c>
      <c r="M839" s="1">
        <v>2012</v>
      </c>
      <c r="N839" s="1" t="s">
        <v>1906</v>
      </c>
      <c r="O839" s="1">
        <v>0</v>
      </c>
      <c r="P839" s="1">
        <v>0</v>
      </c>
      <c r="Q839" s="1">
        <v>0</v>
      </c>
      <c r="R839" s="1">
        <v>0</v>
      </c>
      <c r="S839" s="1" t="s">
        <v>235</v>
      </c>
    </row>
    <row r="840" spans="1:19" ht="14.45" customHeight="1" x14ac:dyDescent="0.25">
      <c r="A840" s="6">
        <v>841</v>
      </c>
      <c r="B840" s="6">
        <v>7803301</v>
      </c>
      <c r="C840" t="s">
        <v>1009</v>
      </c>
      <c r="D840" s="1" t="s">
        <v>1010</v>
      </c>
      <c r="E840" s="21">
        <v>3420</v>
      </c>
      <c r="F840" s="1" t="s">
        <v>233</v>
      </c>
      <c r="G840" s="1" t="s">
        <v>233</v>
      </c>
      <c r="H840" s="6" t="s">
        <v>1951</v>
      </c>
      <c r="I840" s="6" t="s">
        <v>578</v>
      </c>
      <c r="J840" s="6" t="s">
        <v>1852</v>
      </c>
      <c r="K840" s="1">
        <v>0</v>
      </c>
      <c r="L840" s="6" t="s">
        <v>234</v>
      </c>
      <c r="M840" s="1">
        <v>2012</v>
      </c>
      <c r="N840" s="1" t="s">
        <v>1859</v>
      </c>
      <c r="O840" s="1">
        <v>0</v>
      </c>
      <c r="P840" s="1">
        <v>0</v>
      </c>
      <c r="Q840" s="1">
        <v>0</v>
      </c>
      <c r="R840" s="1">
        <v>0</v>
      </c>
      <c r="S840" s="1" t="s">
        <v>235</v>
      </c>
    </row>
    <row r="841" spans="1:19" ht="14.45" customHeight="1" x14ac:dyDescent="0.25">
      <c r="A841" s="6">
        <v>842</v>
      </c>
      <c r="B841" s="6">
        <v>7803301</v>
      </c>
      <c r="C841" t="s">
        <v>1009</v>
      </c>
      <c r="D841" s="1" t="s">
        <v>1010</v>
      </c>
      <c r="E841" s="21">
        <v>1700</v>
      </c>
      <c r="F841" s="1" t="s">
        <v>233</v>
      </c>
      <c r="G841" s="1" t="s">
        <v>233</v>
      </c>
      <c r="H841" s="6" t="s">
        <v>1951</v>
      </c>
      <c r="I841" s="6" t="s">
        <v>579</v>
      </c>
      <c r="J841" s="6" t="s">
        <v>1853</v>
      </c>
      <c r="K841" s="1">
        <v>0</v>
      </c>
      <c r="L841" s="6" t="s">
        <v>233</v>
      </c>
      <c r="M841" s="1">
        <v>2011</v>
      </c>
      <c r="N841" s="1" t="s">
        <v>237</v>
      </c>
      <c r="O841" s="1">
        <v>0</v>
      </c>
      <c r="P841" s="1">
        <v>0</v>
      </c>
      <c r="Q841" s="1">
        <v>0</v>
      </c>
      <c r="R841" s="1">
        <v>0</v>
      </c>
      <c r="S841" s="1" t="s">
        <v>235</v>
      </c>
    </row>
    <row r="842" spans="1:19" ht="14.45" customHeight="1" x14ac:dyDescent="0.25">
      <c r="A842" s="6">
        <v>843</v>
      </c>
      <c r="B842" s="6">
        <v>7803301</v>
      </c>
      <c r="C842" t="s">
        <v>1009</v>
      </c>
      <c r="D842" s="1" t="s">
        <v>1010</v>
      </c>
      <c r="E842" s="21" t="s">
        <v>237</v>
      </c>
      <c r="F842" s="1" t="s">
        <v>233</v>
      </c>
      <c r="G842" s="19">
        <v>24.998067782200408</v>
      </c>
      <c r="H842" s="6" t="s">
        <v>1951</v>
      </c>
      <c r="I842" s="6" t="s">
        <v>580</v>
      </c>
      <c r="J842" s="6" t="s">
        <v>1851</v>
      </c>
      <c r="K842" s="1">
        <v>0</v>
      </c>
      <c r="L842" s="6" t="s">
        <v>243</v>
      </c>
      <c r="M842" s="1">
        <v>2008</v>
      </c>
      <c r="N842" s="1" t="s">
        <v>237</v>
      </c>
      <c r="O842" s="1">
        <v>0</v>
      </c>
      <c r="P842" s="1">
        <v>0</v>
      </c>
      <c r="Q842" s="1">
        <v>0</v>
      </c>
      <c r="R842" s="1">
        <v>0</v>
      </c>
      <c r="S842" s="1" t="s">
        <v>251</v>
      </c>
    </row>
    <row r="843" spans="1:19" ht="14.45" customHeight="1" x14ac:dyDescent="0.25">
      <c r="A843" s="6">
        <v>844</v>
      </c>
      <c r="B843" s="6">
        <v>7803301</v>
      </c>
      <c r="C843" t="s">
        <v>1009</v>
      </c>
      <c r="D843" s="1" t="s">
        <v>1010</v>
      </c>
      <c r="E843" s="21" t="s">
        <v>237</v>
      </c>
      <c r="F843" s="21">
        <v>2924.9223048831886</v>
      </c>
      <c r="G843" s="1" t="s">
        <v>233</v>
      </c>
      <c r="H843" s="6" t="s">
        <v>1951</v>
      </c>
      <c r="I843" s="6" t="s">
        <v>594</v>
      </c>
      <c r="J843" s="6" t="s">
        <v>1853</v>
      </c>
      <c r="K843" s="1">
        <v>0</v>
      </c>
      <c r="L843" s="6" t="s">
        <v>245</v>
      </c>
      <c r="M843" s="1">
        <v>2012</v>
      </c>
      <c r="N843" s="1" t="s">
        <v>237</v>
      </c>
      <c r="O843" s="1">
        <v>0</v>
      </c>
      <c r="P843" s="1">
        <v>0</v>
      </c>
      <c r="Q843" s="1">
        <v>0</v>
      </c>
      <c r="R843" s="1">
        <v>0</v>
      </c>
      <c r="S843" s="1" t="s">
        <v>251</v>
      </c>
    </row>
    <row r="844" spans="1:19" ht="14.45" customHeight="1" x14ac:dyDescent="0.25">
      <c r="A844" s="6">
        <v>845</v>
      </c>
      <c r="B844" s="6">
        <v>7803301</v>
      </c>
      <c r="C844" t="s">
        <v>1009</v>
      </c>
      <c r="D844" s="1" t="s">
        <v>1010</v>
      </c>
      <c r="E844" s="21">
        <v>668</v>
      </c>
      <c r="F844" s="1" t="s">
        <v>233</v>
      </c>
      <c r="G844" s="1" t="s">
        <v>233</v>
      </c>
      <c r="H844" s="6" t="s">
        <v>1951</v>
      </c>
      <c r="I844" s="6" t="s">
        <v>737</v>
      </c>
      <c r="J844" s="6" t="s">
        <v>1854</v>
      </c>
      <c r="K844" s="1">
        <v>1</v>
      </c>
      <c r="L844" s="6" t="s">
        <v>246</v>
      </c>
      <c r="M844" s="1">
        <v>2010</v>
      </c>
      <c r="N844" s="1" t="s">
        <v>237</v>
      </c>
      <c r="O844" s="1">
        <v>0</v>
      </c>
      <c r="P844" s="1">
        <v>0</v>
      </c>
      <c r="Q844" s="1">
        <v>0</v>
      </c>
      <c r="R844" s="1">
        <v>0</v>
      </c>
      <c r="S844" s="1" t="s">
        <v>235</v>
      </c>
    </row>
    <row r="845" spans="1:19" ht="14.45" customHeight="1" x14ac:dyDescent="0.25">
      <c r="A845" s="6">
        <v>846</v>
      </c>
      <c r="B845" s="6">
        <v>7803301</v>
      </c>
      <c r="C845" t="s">
        <v>1009</v>
      </c>
      <c r="D845" s="1" t="s">
        <v>1010</v>
      </c>
      <c r="E845" s="21">
        <v>1800</v>
      </c>
      <c r="F845" s="1" t="s">
        <v>233</v>
      </c>
      <c r="G845" s="1" t="s">
        <v>233</v>
      </c>
      <c r="H845" s="6" t="s">
        <v>1951</v>
      </c>
      <c r="I845" s="6" t="s">
        <v>668</v>
      </c>
      <c r="J845" s="6" t="s">
        <v>1853</v>
      </c>
      <c r="K845" s="1">
        <v>0</v>
      </c>
      <c r="L845" s="6" t="s">
        <v>252</v>
      </c>
      <c r="M845" s="1">
        <v>2014</v>
      </c>
      <c r="N845" s="1" t="s">
        <v>237</v>
      </c>
      <c r="O845" s="1">
        <v>0</v>
      </c>
      <c r="P845" s="1">
        <v>0</v>
      </c>
      <c r="Q845" s="1">
        <v>0</v>
      </c>
      <c r="R845" s="1">
        <v>0</v>
      </c>
      <c r="S845" s="1" t="s">
        <v>235</v>
      </c>
    </row>
    <row r="846" spans="1:19" ht="14.45" customHeight="1" x14ac:dyDescent="0.25">
      <c r="A846" s="6">
        <v>847</v>
      </c>
      <c r="B846" s="6">
        <v>7803301</v>
      </c>
      <c r="C846" t="s">
        <v>1009</v>
      </c>
      <c r="D846" s="1" t="s">
        <v>1010</v>
      </c>
      <c r="E846" s="21" t="s">
        <v>237</v>
      </c>
      <c r="F846" s="1" t="s">
        <v>233</v>
      </c>
      <c r="G846" s="19">
        <v>28</v>
      </c>
      <c r="H846" s="6" t="s">
        <v>1951</v>
      </c>
      <c r="I846" s="6" t="s">
        <v>681</v>
      </c>
      <c r="J846" s="6" t="s">
        <v>1849</v>
      </c>
      <c r="K846" s="1">
        <v>0</v>
      </c>
      <c r="L846" s="6" t="s">
        <v>236</v>
      </c>
      <c r="M846" s="1">
        <v>2009</v>
      </c>
      <c r="N846" s="1" t="s">
        <v>237</v>
      </c>
      <c r="O846" s="1">
        <v>0</v>
      </c>
      <c r="P846" s="1">
        <v>0</v>
      </c>
      <c r="Q846" s="1">
        <v>0</v>
      </c>
      <c r="R846" s="1" t="s">
        <v>1956</v>
      </c>
      <c r="S846" s="1" t="s">
        <v>251</v>
      </c>
    </row>
    <row r="847" spans="1:19" ht="14.45" customHeight="1" x14ac:dyDescent="0.25">
      <c r="A847" s="6">
        <v>848</v>
      </c>
      <c r="B847" s="6">
        <v>7803301</v>
      </c>
      <c r="C847" t="s">
        <v>1009</v>
      </c>
      <c r="D847" s="1" t="s">
        <v>1010</v>
      </c>
      <c r="E847" s="21">
        <v>4417.9487179487187</v>
      </c>
      <c r="F847" s="1" t="s">
        <v>233</v>
      </c>
      <c r="G847" s="1" t="s">
        <v>233</v>
      </c>
      <c r="H847" s="6" t="s">
        <v>1954</v>
      </c>
      <c r="I847" s="6" t="s">
        <v>313</v>
      </c>
      <c r="J847" s="6" t="s">
        <v>1849</v>
      </c>
      <c r="K847" s="1">
        <v>0</v>
      </c>
      <c r="L847" s="6" t="s">
        <v>234</v>
      </c>
      <c r="M847" s="1">
        <v>2012</v>
      </c>
      <c r="N847" s="1" t="s">
        <v>237</v>
      </c>
      <c r="O847" s="1">
        <v>0</v>
      </c>
      <c r="P847" s="1">
        <v>0</v>
      </c>
      <c r="Q847" s="1">
        <v>0</v>
      </c>
      <c r="R847" s="1">
        <v>0</v>
      </c>
      <c r="S847" s="1" t="s">
        <v>251</v>
      </c>
    </row>
    <row r="848" spans="1:19" ht="14.45" customHeight="1" x14ac:dyDescent="0.25">
      <c r="A848" s="6">
        <v>849</v>
      </c>
      <c r="B848" s="6">
        <v>7803301</v>
      </c>
      <c r="C848" t="s">
        <v>1009</v>
      </c>
      <c r="D848" s="1" t="s">
        <v>1010</v>
      </c>
      <c r="E848" s="21">
        <v>4933.3333333333339</v>
      </c>
      <c r="F848" s="1" t="s">
        <v>233</v>
      </c>
      <c r="G848" s="1" t="s">
        <v>233</v>
      </c>
      <c r="H848" s="6" t="s">
        <v>1954</v>
      </c>
      <c r="I848" s="6" t="s">
        <v>313</v>
      </c>
      <c r="J848" s="6" t="s">
        <v>1849</v>
      </c>
      <c r="K848" s="1">
        <v>0</v>
      </c>
      <c r="L848" s="6" t="s">
        <v>234</v>
      </c>
      <c r="M848" s="1">
        <v>2012</v>
      </c>
      <c r="N848" s="1" t="s">
        <v>1859</v>
      </c>
      <c r="O848" s="1">
        <v>0</v>
      </c>
      <c r="P848" s="1">
        <v>0</v>
      </c>
      <c r="Q848" s="1">
        <v>0</v>
      </c>
      <c r="R848" s="1">
        <v>0</v>
      </c>
      <c r="S848" s="1" t="s">
        <v>251</v>
      </c>
    </row>
    <row r="849" spans="1:19" ht="14.45" customHeight="1" x14ac:dyDescent="0.25">
      <c r="A849" s="6">
        <v>850</v>
      </c>
      <c r="B849" s="6">
        <v>7803301</v>
      </c>
      <c r="C849" t="s">
        <v>1009</v>
      </c>
      <c r="D849" s="1" t="s">
        <v>1010</v>
      </c>
      <c r="E849" s="21">
        <v>2618.181818181818</v>
      </c>
      <c r="F849" s="1" t="s">
        <v>233</v>
      </c>
      <c r="G849" s="1" t="s">
        <v>233</v>
      </c>
      <c r="H849" s="6" t="s">
        <v>1951</v>
      </c>
      <c r="I849" s="6" t="s">
        <v>702</v>
      </c>
      <c r="J849" s="6" t="s">
        <v>1853</v>
      </c>
      <c r="K849" s="1">
        <v>0</v>
      </c>
      <c r="L849" s="6" t="s">
        <v>250</v>
      </c>
      <c r="M849" s="1">
        <v>2012</v>
      </c>
      <c r="N849" s="1" t="s">
        <v>237</v>
      </c>
      <c r="O849" s="1">
        <v>0</v>
      </c>
      <c r="P849" s="1">
        <v>0</v>
      </c>
      <c r="Q849" s="1">
        <v>0</v>
      </c>
      <c r="R849" s="1">
        <v>0</v>
      </c>
      <c r="S849" s="1" t="s">
        <v>235</v>
      </c>
    </row>
    <row r="850" spans="1:19" ht="14.45" customHeight="1" x14ac:dyDescent="0.25">
      <c r="A850" s="6">
        <v>851</v>
      </c>
      <c r="B850" s="6">
        <v>7803301</v>
      </c>
      <c r="C850" t="s">
        <v>1009</v>
      </c>
      <c r="D850" s="1" t="s">
        <v>1010</v>
      </c>
      <c r="E850" s="21">
        <v>1640</v>
      </c>
      <c r="F850" s="1" t="s">
        <v>233</v>
      </c>
      <c r="G850" s="1" t="s">
        <v>233</v>
      </c>
      <c r="H850" s="6" t="s">
        <v>1951</v>
      </c>
      <c r="I850" s="6" t="s">
        <v>722</v>
      </c>
      <c r="J850" s="6" t="s">
        <v>1852</v>
      </c>
      <c r="K850" s="1">
        <v>0</v>
      </c>
      <c r="L850" s="6" t="s">
        <v>268</v>
      </c>
      <c r="M850" s="1">
        <v>2010</v>
      </c>
      <c r="N850" s="1" t="s">
        <v>237</v>
      </c>
      <c r="O850" s="1">
        <v>0</v>
      </c>
      <c r="P850" s="1" t="s">
        <v>1952</v>
      </c>
      <c r="Q850" s="1">
        <v>0</v>
      </c>
      <c r="R850" s="1">
        <v>0</v>
      </c>
      <c r="S850" s="1" t="s">
        <v>235</v>
      </c>
    </row>
    <row r="851" spans="1:19" ht="14.45" customHeight="1" x14ac:dyDescent="0.25">
      <c r="A851" s="6">
        <v>852</v>
      </c>
      <c r="B851" s="6">
        <v>7803301</v>
      </c>
      <c r="C851" t="s">
        <v>1009</v>
      </c>
      <c r="D851" s="1" t="s">
        <v>1010</v>
      </c>
      <c r="E851" s="21">
        <v>4600</v>
      </c>
      <c r="F851" s="1" t="s">
        <v>233</v>
      </c>
      <c r="G851" s="1" t="s">
        <v>233</v>
      </c>
      <c r="H851" s="6" t="s">
        <v>1951</v>
      </c>
      <c r="I851" s="6" t="s">
        <v>725</v>
      </c>
      <c r="J851" s="6" t="s">
        <v>1852</v>
      </c>
      <c r="K851" s="1">
        <v>0</v>
      </c>
      <c r="L851" s="6" t="s">
        <v>234</v>
      </c>
      <c r="M851" s="1">
        <v>2006</v>
      </c>
      <c r="N851" s="1" t="s">
        <v>237</v>
      </c>
      <c r="O851" s="1">
        <v>0</v>
      </c>
      <c r="P851" s="1">
        <v>0</v>
      </c>
      <c r="Q851" s="1">
        <v>0</v>
      </c>
      <c r="R851" s="1">
        <v>0</v>
      </c>
      <c r="S851" s="1" t="s">
        <v>235</v>
      </c>
    </row>
    <row r="852" spans="1:19" ht="14.45" customHeight="1" x14ac:dyDescent="0.25">
      <c r="A852" s="6">
        <v>853</v>
      </c>
      <c r="B852" s="6">
        <v>7803301</v>
      </c>
      <c r="C852" t="s">
        <v>1009</v>
      </c>
      <c r="D852" s="1" t="s">
        <v>1010</v>
      </c>
      <c r="E852" s="21">
        <v>5800</v>
      </c>
      <c r="F852" s="1" t="s">
        <v>233</v>
      </c>
      <c r="G852" s="1" t="s">
        <v>233</v>
      </c>
      <c r="H852" s="6" t="s">
        <v>1951</v>
      </c>
      <c r="I852" s="6" t="s">
        <v>725</v>
      </c>
      <c r="J852" s="6" t="s">
        <v>1852</v>
      </c>
      <c r="K852" s="1">
        <v>0</v>
      </c>
      <c r="L852" s="6" t="s">
        <v>234</v>
      </c>
      <c r="M852" s="1">
        <v>2006</v>
      </c>
      <c r="N852" s="1" t="s">
        <v>1859</v>
      </c>
      <c r="O852" s="1">
        <v>0</v>
      </c>
      <c r="P852" s="1" t="s">
        <v>1952</v>
      </c>
      <c r="Q852" s="1">
        <v>0</v>
      </c>
      <c r="R852" s="1">
        <v>0</v>
      </c>
      <c r="S852" s="1" t="s">
        <v>235</v>
      </c>
    </row>
    <row r="853" spans="1:19" ht="14.45" customHeight="1" x14ac:dyDescent="0.25">
      <c r="A853" s="6">
        <v>854</v>
      </c>
      <c r="B853" s="6">
        <v>7803301</v>
      </c>
      <c r="C853" t="s">
        <v>1009</v>
      </c>
      <c r="D853" s="1" t="s">
        <v>1010</v>
      </c>
      <c r="E853" s="21">
        <v>5000</v>
      </c>
      <c r="F853" s="1" t="s">
        <v>233</v>
      </c>
      <c r="G853" s="1" t="s">
        <v>233</v>
      </c>
      <c r="H853" s="6" t="s">
        <v>1954</v>
      </c>
      <c r="I853" s="6" t="s">
        <v>429</v>
      </c>
      <c r="J853" s="6" t="s">
        <v>1849</v>
      </c>
      <c r="K853" s="1">
        <v>0</v>
      </c>
      <c r="L853" s="6" t="s">
        <v>234</v>
      </c>
      <c r="M853" s="1">
        <v>2015</v>
      </c>
      <c r="N853" s="1" t="s">
        <v>1864</v>
      </c>
      <c r="O853" s="1">
        <v>0</v>
      </c>
      <c r="P853" s="1" t="s">
        <v>1952</v>
      </c>
      <c r="Q853" s="1">
        <v>0</v>
      </c>
      <c r="R853" s="1">
        <v>0</v>
      </c>
      <c r="S853" s="1" t="s">
        <v>251</v>
      </c>
    </row>
    <row r="854" spans="1:19" ht="14.45" customHeight="1" x14ac:dyDescent="0.25">
      <c r="A854" s="6">
        <v>855</v>
      </c>
      <c r="B854" s="6">
        <v>7803913</v>
      </c>
      <c r="C854" t="s">
        <v>1013</v>
      </c>
      <c r="D854" s="1" t="s">
        <v>1004</v>
      </c>
      <c r="E854" s="21" t="s">
        <v>237</v>
      </c>
      <c r="F854" s="21">
        <v>4474.4591510944665</v>
      </c>
      <c r="G854" s="1" t="s">
        <v>233</v>
      </c>
      <c r="H854" s="6" t="s">
        <v>1951</v>
      </c>
      <c r="I854" s="6" t="s">
        <v>594</v>
      </c>
      <c r="J854" s="6" t="s">
        <v>1853</v>
      </c>
      <c r="K854" s="1">
        <v>0</v>
      </c>
      <c r="L854" s="6" t="s">
        <v>245</v>
      </c>
      <c r="M854" s="1">
        <v>2012</v>
      </c>
      <c r="N854" s="1" t="s">
        <v>237</v>
      </c>
      <c r="O854" s="1">
        <v>0</v>
      </c>
      <c r="P854" s="1">
        <v>0</v>
      </c>
      <c r="Q854" s="1">
        <v>0</v>
      </c>
      <c r="R854" s="1">
        <v>0</v>
      </c>
      <c r="S854" s="1" t="s">
        <v>251</v>
      </c>
    </row>
    <row r="855" spans="1:19" ht="14.45" customHeight="1" x14ac:dyDescent="0.25">
      <c r="A855" s="6">
        <v>856</v>
      </c>
      <c r="B855" s="6">
        <v>7900101</v>
      </c>
      <c r="C855" t="s">
        <v>1014</v>
      </c>
      <c r="D855" s="1" t="s">
        <v>1015</v>
      </c>
      <c r="E855" s="21">
        <v>1260</v>
      </c>
      <c r="F855" s="1" t="s">
        <v>233</v>
      </c>
      <c r="G855" s="1" t="s">
        <v>233</v>
      </c>
      <c r="H855" s="6" t="s">
        <v>1951</v>
      </c>
      <c r="I855" s="6" t="s">
        <v>322</v>
      </c>
      <c r="J855" s="6" t="s">
        <v>1853</v>
      </c>
      <c r="K855" s="1">
        <v>0</v>
      </c>
      <c r="L855" s="6" t="s">
        <v>247</v>
      </c>
      <c r="M855" s="1">
        <v>2014</v>
      </c>
      <c r="N855" s="1" t="s">
        <v>237</v>
      </c>
      <c r="O855" s="1">
        <v>0</v>
      </c>
      <c r="P855" s="1">
        <v>0</v>
      </c>
      <c r="Q855" s="1">
        <v>0</v>
      </c>
      <c r="R855" s="1">
        <v>0</v>
      </c>
      <c r="S855" s="1" t="s">
        <v>235</v>
      </c>
    </row>
    <row r="856" spans="1:19" ht="14.45" customHeight="1" x14ac:dyDescent="0.25">
      <c r="A856" s="6">
        <v>857</v>
      </c>
      <c r="B856" s="6">
        <v>7900101</v>
      </c>
      <c r="C856" t="s">
        <v>1014</v>
      </c>
      <c r="D856" s="1" t="s">
        <v>1015</v>
      </c>
      <c r="E856" s="21">
        <v>1320</v>
      </c>
      <c r="F856" s="1" t="s">
        <v>233</v>
      </c>
      <c r="G856" s="1" t="s">
        <v>233</v>
      </c>
      <c r="H856" s="6" t="s">
        <v>1951</v>
      </c>
      <c r="I856" s="6" t="s">
        <v>322</v>
      </c>
      <c r="J856" s="6" t="s">
        <v>1853</v>
      </c>
      <c r="K856" s="1">
        <v>0</v>
      </c>
      <c r="L856" s="6" t="s">
        <v>252</v>
      </c>
      <c r="M856" s="1">
        <v>2014</v>
      </c>
      <c r="N856" s="1" t="s">
        <v>237</v>
      </c>
      <c r="O856" s="1">
        <v>0</v>
      </c>
      <c r="P856" s="1">
        <v>0</v>
      </c>
      <c r="Q856" s="1">
        <v>0</v>
      </c>
      <c r="R856" s="1">
        <v>0</v>
      </c>
      <c r="S856" s="1" t="s">
        <v>235</v>
      </c>
    </row>
    <row r="857" spans="1:19" ht="14.45" customHeight="1" x14ac:dyDescent="0.25">
      <c r="A857" s="6">
        <v>858</v>
      </c>
      <c r="B857" s="6">
        <v>7900101</v>
      </c>
      <c r="C857" t="s">
        <v>1014</v>
      </c>
      <c r="D857" s="1" t="s">
        <v>1015</v>
      </c>
      <c r="E857" s="21">
        <v>1310</v>
      </c>
      <c r="F857" s="1" t="s">
        <v>233</v>
      </c>
      <c r="G857" s="1" t="s">
        <v>233</v>
      </c>
      <c r="H857" s="6" t="s">
        <v>1951</v>
      </c>
      <c r="I857" s="6" t="s">
        <v>322</v>
      </c>
      <c r="J857" s="6" t="s">
        <v>1853</v>
      </c>
      <c r="K857" s="1">
        <v>0</v>
      </c>
      <c r="L857" s="6" t="s">
        <v>269</v>
      </c>
      <c r="M857" s="1">
        <v>2014</v>
      </c>
      <c r="N857" s="1" t="s">
        <v>237</v>
      </c>
      <c r="O857" s="1">
        <v>0</v>
      </c>
      <c r="P857" s="1">
        <v>0</v>
      </c>
      <c r="Q857" s="1">
        <v>0</v>
      </c>
      <c r="R857" s="1">
        <v>0</v>
      </c>
      <c r="S857" s="1" t="s">
        <v>235</v>
      </c>
    </row>
    <row r="858" spans="1:19" ht="14.45" customHeight="1" x14ac:dyDescent="0.25">
      <c r="A858" s="6">
        <v>859</v>
      </c>
      <c r="B858" s="6">
        <v>7900101</v>
      </c>
      <c r="C858" t="s">
        <v>1014</v>
      </c>
      <c r="D858" s="1" t="s">
        <v>1015</v>
      </c>
      <c r="E858" s="21">
        <v>1210</v>
      </c>
      <c r="F858" s="1" t="s">
        <v>233</v>
      </c>
      <c r="G858" s="1" t="s">
        <v>233</v>
      </c>
      <c r="H858" s="6" t="s">
        <v>1951</v>
      </c>
      <c r="I858" s="6" t="s">
        <v>322</v>
      </c>
      <c r="J858" s="6" t="s">
        <v>1853</v>
      </c>
      <c r="K858" s="1">
        <v>0</v>
      </c>
      <c r="L858" s="6" t="s">
        <v>236</v>
      </c>
      <c r="M858" s="1">
        <v>2014</v>
      </c>
      <c r="N858" s="1" t="s">
        <v>237</v>
      </c>
      <c r="O858" s="1">
        <v>0</v>
      </c>
      <c r="P858" s="1">
        <v>0</v>
      </c>
      <c r="Q858" s="1">
        <v>0</v>
      </c>
      <c r="R858" s="1">
        <v>0</v>
      </c>
      <c r="S858" s="1" t="s">
        <v>235</v>
      </c>
    </row>
    <row r="859" spans="1:19" ht="14.45" customHeight="1" x14ac:dyDescent="0.25">
      <c r="A859" s="6">
        <v>860</v>
      </c>
      <c r="B859" s="6">
        <v>7900101</v>
      </c>
      <c r="C859" t="s">
        <v>1014</v>
      </c>
      <c r="D859" s="1" t="s">
        <v>1015</v>
      </c>
      <c r="E859" s="21" t="s">
        <v>237</v>
      </c>
      <c r="F859" s="21">
        <v>1769.3333333333333</v>
      </c>
      <c r="G859" s="1" t="s">
        <v>233</v>
      </c>
      <c r="H859" s="6" t="s">
        <v>1951</v>
      </c>
      <c r="I859" s="6" t="s">
        <v>325</v>
      </c>
      <c r="J859" s="6" t="s">
        <v>1853</v>
      </c>
      <c r="K859" s="1">
        <v>0</v>
      </c>
      <c r="L859" s="6" t="s">
        <v>245</v>
      </c>
      <c r="M859" s="1">
        <v>2014</v>
      </c>
      <c r="N859" s="1" t="s">
        <v>1907</v>
      </c>
      <c r="O859" s="1">
        <v>0</v>
      </c>
      <c r="P859" s="1">
        <v>0</v>
      </c>
      <c r="Q859" s="1" t="s">
        <v>1953</v>
      </c>
      <c r="R859" s="1">
        <v>0</v>
      </c>
      <c r="S859" s="1" t="s">
        <v>235</v>
      </c>
    </row>
    <row r="860" spans="1:19" ht="14.45" customHeight="1" x14ac:dyDescent="0.25">
      <c r="A860" s="6">
        <v>861</v>
      </c>
      <c r="B860" s="6">
        <v>7900101</v>
      </c>
      <c r="C860" t="s">
        <v>1014</v>
      </c>
      <c r="D860" s="1" t="s">
        <v>1015</v>
      </c>
      <c r="E860" s="21">
        <v>1000</v>
      </c>
      <c r="F860" s="1" t="s">
        <v>233</v>
      </c>
      <c r="G860" s="1" t="s">
        <v>233</v>
      </c>
      <c r="H860" s="6" t="s">
        <v>1951</v>
      </c>
      <c r="I860" s="6" t="s">
        <v>337</v>
      </c>
      <c r="J860" s="6" t="s">
        <v>1852</v>
      </c>
      <c r="K860" s="1">
        <v>0</v>
      </c>
      <c r="L860" s="6" t="s">
        <v>234</v>
      </c>
      <c r="M860" s="1">
        <v>2012</v>
      </c>
      <c r="N860" s="1" t="s">
        <v>237</v>
      </c>
      <c r="O860" s="1">
        <v>0</v>
      </c>
      <c r="P860" s="1">
        <v>0</v>
      </c>
      <c r="Q860" s="1">
        <v>0</v>
      </c>
      <c r="R860" s="1">
        <v>0</v>
      </c>
      <c r="S860" s="1" t="s">
        <v>235</v>
      </c>
    </row>
    <row r="861" spans="1:19" ht="14.45" customHeight="1" x14ac:dyDescent="0.25">
      <c r="A861" s="6">
        <v>862</v>
      </c>
      <c r="B861" s="6">
        <v>7900101</v>
      </c>
      <c r="C861" t="s">
        <v>1014</v>
      </c>
      <c r="D861" s="1" t="s">
        <v>1015</v>
      </c>
      <c r="E861" s="21">
        <v>8480</v>
      </c>
      <c r="F861" s="1" t="s">
        <v>233</v>
      </c>
      <c r="G861" s="1" t="s">
        <v>233</v>
      </c>
      <c r="H861" s="6" t="s">
        <v>1951</v>
      </c>
      <c r="I861" s="6" t="s">
        <v>411</v>
      </c>
      <c r="J861" s="6" t="s">
        <v>1849</v>
      </c>
      <c r="K861" s="1">
        <v>0</v>
      </c>
      <c r="L861" s="6" t="s">
        <v>253</v>
      </c>
      <c r="M861" s="1">
        <v>2011</v>
      </c>
      <c r="N861" s="1" t="s">
        <v>237</v>
      </c>
      <c r="O861" s="1">
        <v>0</v>
      </c>
      <c r="P861" s="1" t="s">
        <v>1952</v>
      </c>
      <c r="Q861" s="1">
        <v>0</v>
      </c>
      <c r="R861" s="1">
        <v>0</v>
      </c>
      <c r="S861" s="1" t="s">
        <v>235</v>
      </c>
    </row>
    <row r="862" spans="1:19" ht="14.45" customHeight="1" x14ac:dyDescent="0.25">
      <c r="A862" s="6">
        <v>863</v>
      </c>
      <c r="B862" s="6">
        <v>7900101</v>
      </c>
      <c r="C862" t="s">
        <v>1014</v>
      </c>
      <c r="D862" s="1" t="s">
        <v>1015</v>
      </c>
      <c r="E862" s="21">
        <v>773.75</v>
      </c>
      <c r="F862" s="1" t="s">
        <v>233</v>
      </c>
      <c r="G862" s="1" t="s">
        <v>233</v>
      </c>
      <c r="H862" s="6" t="s">
        <v>1951</v>
      </c>
      <c r="I862" s="6" t="s">
        <v>416</v>
      </c>
      <c r="J862" s="6" t="s">
        <v>1853</v>
      </c>
      <c r="K862" s="1">
        <v>0</v>
      </c>
      <c r="L862" s="6" t="s">
        <v>272</v>
      </c>
      <c r="M862" s="1">
        <v>2009</v>
      </c>
      <c r="N862" s="1" t="s">
        <v>237</v>
      </c>
      <c r="O862" s="1">
        <v>0</v>
      </c>
      <c r="P862" s="1">
        <v>0</v>
      </c>
      <c r="Q862" s="1">
        <v>0</v>
      </c>
      <c r="R862" s="1">
        <v>0</v>
      </c>
      <c r="S862" s="1" t="s">
        <v>235</v>
      </c>
    </row>
    <row r="863" spans="1:19" ht="14.45" customHeight="1" x14ac:dyDescent="0.25">
      <c r="A863" s="6">
        <v>864</v>
      </c>
      <c r="B863" s="6">
        <v>7900101</v>
      </c>
      <c r="C863" t="s">
        <v>1014</v>
      </c>
      <c r="D863" s="1" t="s">
        <v>1015</v>
      </c>
      <c r="E863" s="21">
        <v>1205</v>
      </c>
      <c r="F863" s="1" t="s">
        <v>233</v>
      </c>
      <c r="G863" s="1" t="s">
        <v>233</v>
      </c>
      <c r="H863" s="6" t="s">
        <v>1951</v>
      </c>
      <c r="I863" s="6" t="s">
        <v>418</v>
      </c>
      <c r="J863" s="6" t="s">
        <v>1853</v>
      </c>
      <c r="K863" s="1">
        <v>0</v>
      </c>
      <c r="L863" s="6" t="s">
        <v>252</v>
      </c>
      <c r="M863" s="1">
        <v>2008</v>
      </c>
      <c r="N863" s="1" t="s">
        <v>237</v>
      </c>
      <c r="O863" s="1">
        <v>0</v>
      </c>
      <c r="P863" s="1">
        <v>0</v>
      </c>
      <c r="Q863" s="1">
        <v>0</v>
      </c>
      <c r="R863" s="1">
        <v>0</v>
      </c>
      <c r="S863" s="1" t="s">
        <v>235</v>
      </c>
    </row>
    <row r="864" spans="1:19" ht="14.45" customHeight="1" x14ac:dyDescent="0.25">
      <c r="A864" s="6">
        <v>865</v>
      </c>
      <c r="B864" s="6">
        <v>7900101</v>
      </c>
      <c r="C864" t="s">
        <v>1014</v>
      </c>
      <c r="D864" s="1" t="s">
        <v>1015</v>
      </c>
      <c r="E864" s="21">
        <v>1265.0000000000002</v>
      </c>
      <c r="F864" s="1" t="s">
        <v>233</v>
      </c>
      <c r="G864" s="1" t="s">
        <v>233</v>
      </c>
      <c r="H864" s="6" t="s">
        <v>1951</v>
      </c>
      <c r="I864" s="6" t="s">
        <v>419</v>
      </c>
      <c r="J864" s="6" t="s">
        <v>1853</v>
      </c>
      <c r="K864" s="1">
        <v>0</v>
      </c>
      <c r="L864" s="6" t="s">
        <v>236</v>
      </c>
      <c r="M864" s="1">
        <v>2012</v>
      </c>
      <c r="N864" s="1" t="s">
        <v>1908</v>
      </c>
      <c r="O864" s="1">
        <v>0</v>
      </c>
      <c r="P864" s="1">
        <v>0</v>
      </c>
      <c r="Q864" s="1">
        <v>0</v>
      </c>
      <c r="R864" s="1">
        <v>0</v>
      </c>
      <c r="S864" s="1" t="s">
        <v>235</v>
      </c>
    </row>
    <row r="865" spans="1:19" ht="14.45" customHeight="1" x14ac:dyDescent="0.25">
      <c r="A865" s="6">
        <v>866</v>
      </c>
      <c r="B865" s="6">
        <v>7900101</v>
      </c>
      <c r="C865" t="s">
        <v>1014</v>
      </c>
      <c r="D865" s="1" t="s">
        <v>1015</v>
      </c>
      <c r="E865" s="21">
        <v>870</v>
      </c>
      <c r="F865" s="1" t="s">
        <v>233</v>
      </c>
      <c r="G865" s="1" t="s">
        <v>233</v>
      </c>
      <c r="H865" s="6" t="s">
        <v>1951</v>
      </c>
      <c r="I865" s="6" t="s">
        <v>423</v>
      </c>
      <c r="J865" s="6" t="s">
        <v>1852</v>
      </c>
      <c r="K865" s="1">
        <v>0</v>
      </c>
      <c r="L865" s="6" t="s">
        <v>238</v>
      </c>
      <c r="M865" s="1">
        <v>2012</v>
      </c>
      <c r="N865" s="1" t="s">
        <v>237</v>
      </c>
      <c r="O865" s="1">
        <v>0</v>
      </c>
      <c r="P865" s="1">
        <v>0</v>
      </c>
      <c r="Q865" s="1">
        <v>0</v>
      </c>
      <c r="R865" s="1">
        <v>0</v>
      </c>
      <c r="S865" s="1" t="s">
        <v>235</v>
      </c>
    </row>
    <row r="866" spans="1:19" ht="14.45" customHeight="1" x14ac:dyDescent="0.25">
      <c r="A866" s="6">
        <v>867</v>
      </c>
      <c r="B866" s="6">
        <v>7900101</v>
      </c>
      <c r="C866" t="s">
        <v>1014</v>
      </c>
      <c r="D866" s="1" t="s">
        <v>1015</v>
      </c>
      <c r="E866" s="21">
        <v>880</v>
      </c>
      <c r="F866" s="1" t="s">
        <v>233</v>
      </c>
      <c r="G866" s="1" t="s">
        <v>233</v>
      </c>
      <c r="H866" s="6" t="s">
        <v>1951</v>
      </c>
      <c r="I866" s="6" t="s">
        <v>423</v>
      </c>
      <c r="J866" s="6" t="s">
        <v>1852</v>
      </c>
      <c r="K866" s="1">
        <v>0</v>
      </c>
      <c r="L866" s="6" t="s">
        <v>238</v>
      </c>
      <c r="M866" s="1">
        <v>2012</v>
      </c>
      <c r="N866" s="1" t="s">
        <v>1909</v>
      </c>
      <c r="O866" s="1">
        <v>0</v>
      </c>
      <c r="P866" s="1">
        <v>0</v>
      </c>
      <c r="Q866" s="1">
        <v>0</v>
      </c>
      <c r="R866" s="1">
        <v>0</v>
      </c>
      <c r="S866" s="1" t="s">
        <v>235</v>
      </c>
    </row>
    <row r="867" spans="1:19" ht="14.45" customHeight="1" x14ac:dyDescent="0.25">
      <c r="A867" s="6">
        <v>868</v>
      </c>
      <c r="B867" s="6">
        <v>7900101</v>
      </c>
      <c r="C867" t="s">
        <v>1014</v>
      </c>
      <c r="D867" s="1" t="s">
        <v>1015</v>
      </c>
      <c r="E867" s="21">
        <v>8300</v>
      </c>
      <c r="F867" s="1" t="s">
        <v>233</v>
      </c>
      <c r="G867" s="1" t="s">
        <v>233</v>
      </c>
      <c r="H867" s="6" t="s">
        <v>1951</v>
      </c>
      <c r="I867" s="6" t="s">
        <v>426</v>
      </c>
      <c r="J867" s="6" t="s">
        <v>1853</v>
      </c>
      <c r="K867" s="1">
        <v>0</v>
      </c>
      <c r="L867" s="6" t="s">
        <v>239</v>
      </c>
      <c r="M867" s="1">
        <v>2002</v>
      </c>
      <c r="N867" s="1" t="s">
        <v>1859</v>
      </c>
      <c r="O867" s="1">
        <v>0</v>
      </c>
      <c r="P867" s="1" t="s">
        <v>1952</v>
      </c>
      <c r="Q867" s="1">
        <v>0</v>
      </c>
      <c r="R867" s="1">
        <v>0</v>
      </c>
      <c r="S867" s="1" t="s">
        <v>235</v>
      </c>
    </row>
    <row r="868" spans="1:19" ht="14.45" customHeight="1" x14ac:dyDescent="0.25">
      <c r="A868" s="6">
        <v>869</v>
      </c>
      <c r="B868" s="6">
        <v>7900101</v>
      </c>
      <c r="C868" t="s">
        <v>1014</v>
      </c>
      <c r="D868" s="1" t="s">
        <v>1015</v>
      </c>
      <c r="E868" s="21">
        <v>1140</v>
      </c>
      <c r="F868" s="1" t="s">
        <v>233</v>
      </c>
      <c r="G868" s="1" t="s">
        <v>233</v>
      </c>
      <c r="H868" s="6" t="s">
        <v>1951</v>
      </c>
      <c r="I868" s="6" t="s">
        <v>427</v>
      </c>
      <c r="J868" s="6" t="s">
        <v>1849</v>
      </c>
      <c r="K868" s="1">
        <v>0</v>
      </c>
      <c r="L868" s="6" t="s">
        <v>233</v>
      </c>
      <c r="M868" s="1">
        <v>2008</v>
      </c>
      <c r="N868" s="1" t="s">
        <v>237</v>
      </c>
      <c r="O868" s="1">
        <v>0</v>
      </c>
      <c r="P868" s="1">
        <v>0</v>
      </c>
      <c r="Q868" s="1">
        <v>0</v>
      </c>
      <c r="R868" s="1">
        <v>0</v>
      </c>
      <c r="S868" s="1" t="s">
        <v>235</v>
      </c>
    </row>
    <row r="869" spans="1:19" ht="14.45" customHeight="1" x14ac:dyDescent="0.25">
      <c r="A869" s="6">
        <v>870</v>
      </c>
      <c r="B869" s="6">
        <v>7900101</v>
      </c>
      <c r="C869" t="s">
        <v>1014</v>
      </c>
      <c r="D869" s="1" t="s">
        <v>1015</v>
      </c>
      <c r="E869" s="21">
        <v>1200</v>
      </c>
      <c r="F869" s="1" t="s">
        <v>233</v>
      </c>
      <c r="G869" s="1" t="s">
        <v>233</v>
      </c>
      <c r="H869" s="6" t="s">
        <v>1951</v>
      </c>
      <c r="I869" s="6" t="s">
        <v>433</v>
      </c>
      <c r="J869" s="6" t="s">
        <v>1853</v>
      </c>
      <c r="K869" s="1">
        <v>0</v>
      </c>
      <c r="L869" s="6" t="s">
        <v>249</v>
      </c>
      <c r="M869" s="1">
        <v>2008</v>
      </c>
      <c r="N869" s="1" t="s">
        <v>237</v>
      </c>
      <c r="O869" s="1">
        <v>0</v>
      </c>
      <c r="P869" s="1">
        <v>0</v>
      </c>
      <c r="Q869" s="1">
        <v>0</v>
      </c>
      <c r="R869" s="1">
        <v>0</v>
      </c>
      <c r="S869" s="1" t="s">
        <v>235</v>
      </c>
    </row>
    <row r="870" spans="1:19" ht="14.45" customHeight="1" x14ac:dyDescent="0.25">
      <c r="A870" s="6">
        <v>871</v>
      </c>
      <c r="B870" s="6">
        <v>7900101</v>
      </c>
      <c r="C870" t="s">
        <v>1014</v>
      </c>
      <c r="D870" s="1" t="s">
        <v>1015</v>
      </c>
      <c r="E870" s="21">
        <v>1020</v>
      </c>
      <c r="F870" s="1" t="s">
        <v>233</v>
      </c>
      <c r="G870" s="1" t="s">
        <v>233</v>
      </c>
      <c r="H870" s="6" t="s">
        <v>1951</v>
      </c>
      <c r="I870" s="6" t="s">
        <v>436</v>
      </c>
      <c r="J870" s="6" t="s">
        <v>1853</v>
      </c>
      <c r="K870" s="1">
        <v>0</v>
      </c>
      <c r="L870" s="6" t="s">
        <v>261</v>
      </c>
      <c r="M870" s="1">
        <v>2013</v>
      </c>
      <c r="N870" s="1" t="s">
        <v>1908</v>
      </c>
      <c r="O870" s="1">
        <v>0</v>
      </c>
      <c r="P870" s="1">
        <v>0</v>
      </c>
      <c r="Q870" s="1">
        <v>0</v>
      </c>
      <c r="R870" s="1">
        <v>0</v>
      </c>
      <c r="S870" s="1" t="s">
        <v>235</v>
      </c>
    </row>
    <row r="871" spans="1:19" ht="14.45" customHeight="1" x14ac:dyDescent="0.25">
      <c r="A871" s="6">
        <v>872</v>
      </c>
      <c r="B871" s="6">
        <v>7900101</v>
      </c>
      <c r="C871" t="s">
        <v>1014</v>
      </c>
      <c r="D871" s="1" t="s">
        <v>1015</v>
      </c>
      <c r="E871" s="21">
        <v>1500</v>
      </c>
      <c r="F871" s="1" t="s">
        <v>233</v>
      </c>
      <c r="G871" s="1" t="s">
        <v>233</v>
      </c>
      <c r="H871" s="6" t="s">
        <v>1951</v>
      </c>
      <c r="I871" s="6" t="s">
        <v>444</v>
      </c>
      <c r="J871" s="6" t="s">
        <v>1853</v>
      </c>
      <c r="K871" s="1">
        <v>0</v>
      </c>
      <c r="L871" s="6" t="s">
        <v>255</v>
      </c>
      <c r="M871" s="1">
        <v>1998</v>
      </c>
      <c r="N871" s="1" t="s">
        <v>1907</v>
      </c>
      <c r="O871" s="1">
        <v>0</v>
      </c>
      <c r="P871" s="1">
        <v>0</v>
      </c>
      <c r="Q871" s="1">
        <v>0</v>
      </c>
      <c r="R871" s="1">
        <v>0</v>
      </c>
      <c r="S871" s="1" t="s">
        <v>235</v>
      </c>
    </row>
    <row r="872" spans="1:19" ht="14.45" customHeight="1" x14ac:dyDescent="0.25">
      <c r="A872" s="6">
        <v>873</v>
      </c>
      <c r="B872" s="6">
        <v>7900101</v>
      </c>
      <c r="C872" t="s">
        <v>1014</v>
      </c>
      <c r="D872" s="1" t="s">
        <v>1015</v>
      </c>
      <c r="E872" s="21">
        <v>1021</v>
      </c>
      <c r="F872" s="1" t="s">
        <v>233</v>
      </c>
      <c r="G872" s="1" t="s">
        <v>233</v>
      </c>
      <c r="H872" s="6" t="s">
        <v>1951</v>
      </c>
      <c r="I872" s="6" t="s">
        <v>447</v>
      </c>
      <c r="J872" s="6" t="s">
        <v>1852</v>
      </c>
      <c r="K872" s="1">
        <v>0</v>
      </c>
      <c r="L872" s="6" t="s">
        <v>284</v>
      </c>
      <c r="M872" s="1">
        <v>2010</v>
      </c>
      <c r="N872" s="1" t="s">
        <v>237</v>
      </c>
      <c r="O872" s="1">
        <v>0</v>
      </c>
      <c r="P872" s="1">
        <v>0</v>
      </c>
      <c r="Q872" s="1">
        <v>0</v>
      </c>
      <c r="R872" s="1">
        <v>0</v>
      </c>
      <c r="S872" s="1" t="s">
        <v>235</v>
      </c>
    </row>
    <row r="873" spans="1:19" ht="14.45" customHeight="1" x14ac:dyDescent="0.25">
      <c r="A873" s="6">
        <v>874</v>
      </c>
      <c r="B873" s="6">
        <v>7900101</v>
      </c>
      <c r="C873" t="s">
        <v>1014</v>
      </c>
      <c r="D873" s="1" t="s">
        <v>1015</v>
      </c>
      <c r="E873" s="21">
        <v>1050</v>
      </c>
      <c r="F873" s="1" t="s">
        <v>233</v>
      </c>
      <c r="G873" s="1" t="s">
        <v>233</v>
      </c>
      <c r="H873" s="6" t="s">
        <v>1951</v>
      </c>
      <c r="I873" s="6" t="s">
        <v>449</v>
      </c>
      <c r="J873" s="6" t="s">
        <v>1852</v>
      </c>
      <c r="K873" s="1">
        <v>0</v>
      </c>
      <c r="L873" s="6" t="s">
        <v>239</v>
      </c>
      <c r="M873" s="1">
        <v>2003</v>
      </c>
      <c r="N873" s="1" t="s">
        <v>1910</v>
      </c>
      <c r="O873" s="1">
        <v>0</v>
      </c>
      <c r="P873" s="1">
        <v>0</v>
      </c>
      <c r="Q873" s="1">
        <v>0</v>
      </c>
      <c r="R873" s="1">
        <v>0</v>
      </c>
      <c r="S873" s="1" t="s">
        <v>235</v>
      </c>
    </row>
    <row r="874" spans="1:19" ht="14.45" customHeight="1" x14ac:dyDescent="0.25">
      <c r="A874" s="6">
        <v>875</v>
      </c>
      <c r="B874" s="6">
        <v>7900101</v>
      </c>
      <c r="C874" t="s">
        <v>1014</v>
      </c>
      <c r="D874" s="1" t="s">
        <v>1015</v>
      </c>
      <c r="E874" s="21" t="s">
        <v>237</v>
      </c>
      <c r="F874" s="1" t="s">
        <v>233</v>
      </c>
      <c r="G874" s="19">
        <v>11.965811965811968</v>
      </c>
      <c r="H874" s="6" t="s">
        <v>1951</v>
      </c>
      <c r="I874" s="6" t="s">
        <v>1975</v>
      </c>
      <c r="J874" s="6" t="s">
        <v>1849</v>
      </c>
      <c r="K874" s="1">
        <v>0</v>
      </c>
      <c r="L874" s="6" t="s">
        <v>234</v>
      </c>
      <c r="M874" s="1">
        <v>2005</v>
      </c>
      <c r="N874" s="1" t="s">
        <v>237</v>
      </c>
      <c r="O874" s="1">
        <v>0</v>
      </c>
      <c r="P874" s="1">
        <v>0</v>
      </c>
      <c r="Q874" s="1">
        <v>0</v>
      </c>
      <c r="R874" s="1">
        <v>0</v>
      </c>
      <c r="S874" s="1" t="s">
        <v>235</v>
      </c>
    </row>
    <row r="875" spans="1:19" ht="14.45" customHeight="1" x14ac:dyDescent="0.25">
      <c r="A875" s="6">
        <v>876</v>
      </c>
      <c r="B875" s="6">
        <v>7900101</v>
      </c>
      <c r="C875" t="s">
        <v>1014</v>
      </c>
      <c r="D875" s="1" t="s">
        <v>1015</v>
      </c>
      <c r="E875" s="21" t="s">
        <v>237</v>
      </c>
      <c r="F875" s="1" t="s">
        <v>233</v>
      </c>
      <c r="G875" s="19">
        <v>15</v>
      </c>
      <c r="H875" s="6" t="s">
        <v>1951</v>
      </c>
      <c r="I875" s="6" t="s">
        <v>1977</v>
      </c>
      <c r="J875" s="6" t="s">
        <v>1849</v>
      </c>
      <c r="K875" s="1">
        <v>0</v>
      </c>
      <c r="L875" s="6" t="s">
        <v>233</v>
      </c>
      <c r="M875" s="1">
        <v>2007</v>
      </c>
      <c r="N875" s="1" t="s">
        <v>237</v>
      </c>
      <c r="O875" s="1">
        <v>0</v>
      </c>
      <c r="P875" s="1">
        <v>0</v>
      </c>
      <c r="Q875" s="1">
        <v>0</v>
      </c>
      <c r="R875" s="1">
        <v>0</v>
      </c>
      <c r="S875" s="1" t="s">
        <v>235</v>
      </c>
    </row>
    <row r="876" spans="1:19" ht="14.45" customHeight="1" x14ac:dyDescent="0.25">
      <c r="A876" s="6">
        <v>877</v>
      </c>
      <c r="B876" s="6">
        <v>7900101</v>
      </c>
      <c r="C876" t="s">
        <v>1014</v>
      </c>
      <c r="D876" s="1" t="s">
        <v>1015</v>
      </c>
      <c r="E876" s="21">
        <v>1109.9999999999998</v>
      </c>
      <c r="F876" s="1" t="s">
        <v>233</v>
      </c>
      <c r="G876" s="1" t="s">
        <v>233</v>
      </c>
      <c r="H876" s="6" t="s">
        <v>1951</v>
      </c>
      <c r="I876" s="6" t="s">
        <v>463</v>
      </c>
      <c r="J876" s="6" t="s">
        <v>1853</v>
      </c>
      <c r="K876" s="1">
        <v>0</v>
      </c>
      <c r="L876" s="6" t="s">
        <v>268</v>
      </c>
      <c r="M876" s="1">
        <v>2011</v>
      </c>
      <c r="N876" s="1" t="s">
        <v>237</v>
      </c>
      <c r="O876" s="1">
        <v>0</v>
      </c>
      <c r="P876" s="1">
        <v>0</v>
      </c>
      <c r="Q876" s="1">
        <v>0</v>
      </c>
      <c r="R876" s="1">
        <v>0</v>
      </c>
      <c r="S876" s="1" t="s">
        <v>235</v>
      </c>
    </row>
    <row r="877" spans="1:19" ht="14.45" customHeight="1" x14ac:dyDescent="0.25">
      <c r="A877" s="6">
        <v>878</v>
      </c>
      <c r="B877" s="6">
        <v>7900101</v>
      </c>
      <c r="C877" t="s">
        <v>1014</v>
      </c>
      <c r="D877" s="1" t="s">
        <v>1015</v>
      </c>
      <c r="E877" s="21" t="s">
        <v>237</v>
      </c>
      <c r="F877" s="1" t="s">
        <v>233</v>
      </c>
      <c r="G877" s="19">
        <v>14</v>
      </c>
      <c r="H877" s="6" t="s">
        <v>1951</v>
      </c>
      <c r="I877" s="6" t="s">
        <v>465</v>
      </c>
      <c r="J877" s="6" t="s">
        <v>1849</v>
      </c>
      <c r="K877" s="1">
        <v>0</v>
      </c>
      <c r="L877" s="6" t="s">
        <v>234</v>
      </c>
      <c r="M877" s="1">
        <v>2007</v>
      </c>
      <c r="N877" s="1" t="s">
        <v>1863</v>
      </c>
      <c r="O877" s="1">
        <v>0</v>
      </c>
      <c r="P877" s="1">
        <v>0</v>
      </c>
      <c r="Q877" s="1">
        <v>0</v>
      </c>
      <c r="R877" s="1">
        <v>0</v>
      </c>
      <c r="S877" s="1" t="s">
        <v>235</v>
      </c>
    </row>
    <row r="878" spans="1:19" ht="14.45" customHeight="1" x14ac:dyDescent="0.25">
      <c r="A878" s="6">
        <v>879</v>
      </c>
      <c r="B878" s="6">
        <v>7900101</v>
      </c>
      <c r="C878" t="s">
        <v>1014</v>
      </c>
      <c r="D878" s="1" t="s">
        <v>1015</v>
      </c>
      <c r="E878" s="21">
        <v>1110</v>
      </c>
      <c r="F878" s="1" t="s">
        <v>233</v>
      </c>
      <c r="G878" s="1" t="s">
        <v>233</v>
      </c>
      <c r="H878" s="6" t="s">
        <v>1951</v>
      </c>
      <c r="I878" s="6" t="s">
        <v>473</v>
      </c>
      <c r="J878" s="6" t="s">
        <v>1853</v>
      </c>
      <c r="K878" s="1">
        <v>0</v>
      </c>
      <c r="L878" s="6" t="s">
        <v>268</v>
      </c>
      <c r="M878" s="1">
        <v>2012</v>
      </c>
      <c r="N878" s="1" t="s">
        <v>1908</v>
      </c>
      <c r="O878" s="1">
        <v>0</v>
      </c>
      <c r="P878" s="1">
        <v>0</v>
      </c>
      <c r="Q878" s="1">
        <v>0</v>
      </c>
      <c r="R878" s="1">
        <v>0</v>
      </c>
      <c r="S878" s="1" t="s">
        <v>235</v>
      </c>
    </row>
    <row r="879" spans="1:19" ht="14.45" customHeight="1" x14ac:dyDescent="0.25">
      <c r="A879" s="6">
        <v>880</v>
      </c>
      <c r="B879" s="6">
        <v>7900101</v>
      </c>
      <c r="C879" t="s">
        <v>1014</v>
      </c>
      <c r="D879" s="1" t="s">
        <v>1015</v>
      </c>
      <c r="E879" s="21">
        <v>893.5</v>
      </c>
      <c r="F879" s="1" t="s">
        <v>233</v>
      </c>
      <c r="G879" s="1" t="s">
        <v>233</v>
      </c>
      <c r="H879" s="6" t="s">
        <v>1951</v>
      </c>
      <c r="I879" s="6" t="s">
        <v>474</v>
      </c>
      <c r="J879" s="6" t="s">
        <v>1853</v>
      </c>
      <c r="K879" s="1">
        <v>0</v>
      </c>
      <c r="L879" s="6" t="s">
        <v>259</v>
      </c>
      <c r="M879" s="1">
        <v>2004</v>
      </c>
      <c r="N879" s="1" t="s">
        <v>237</v>
      </c>
      <c r="O879" s="1">
        <v>0</v>
      </c>
      <c r="P879" s="1">
        <v>0</v>
      </c>
      <c r="Q879" s="1">
        <v>0</v>
      </c>
      <c r="R879" s="1">
        <v>0</v>
      </c>
      <c r="S879" s="1" t="s">
        <v>235</v>
      </c>
    </row>
    <row r="880" spans="1:19" ht="14.45" customHeight="1" x14ac:dyDescent="0.25">
      <c r="A880" s="6">
        <v>881</v>
      </c>
      <c r="B880" s="6">
        <v>7900101</v>
      </c>
      <c r="C880" t="s">
        <v>1014</v>
      </c>
      <c r="D880" s="1" t="s">
        <v>1015</v>
      </c>
      <c r="E880" s="21">
        <v>1556</v>
      </c>
      <c r="F880" s="1" t="s">
        <v>233</v>
      </c>
      <c r="G880" s="1" t="s">
        <v>233</v>
      </c>
      <c r="H880" s="6" t="s">
        <v>1951</v>
      </c>
      <c r="I880" s="6" t="s">
        <v>482</v>
      </c>
      <c r="J880" s="6" t="s">
        <v>1849</v>
      </c>
      <c r="K880" s="1">
        <v>0</v>
      </c>
      <c r="L880" s="6" t="s">
        <v>245</v>
      </c>
      <c r="M880" s="1">
        <v>2010</v>
      </c>
      <c r="N880" s="1" t="s">
        <v>237</v>
      </c>
      <c r="O880" s="1">
        <v>0</v>
      </c>
      <c r="P880" s="1">
        <v>0</v>
      </c>
      <c r="Q880" s="1">
        <v>0</v>
      </c>
      <c r="R880" s="1">
        <v>0</v>
      </c>
      <c r="S880" s="1" t="s">
        <v>235</v>
      </c>
    </row>
    <row r="881" spans="1:19" ht="14.45" customHeight="1" x14ac:dyDescent="0.25">
      <c r="A881" s="6">
        <v>882</v>
      </c>
      <c r="B881" s="6">
        <v>7900101</v>
      </c>
      <c r="C881" t="s">
        <v>1014</v>
      </c>
      <c r="D881" s="1" t="s">
        <v>1015</v>
      </c>
      <c r="E881" s="21">
        <v>683.66666666666663</v>
      </c>
      <c r="F881" s="1" t="s">
        <v>233</v>
      </c>
      <c r="G881" s="1" t="s">
        <v>233</v>
      </c>
      <c r="H881" s="6" t="s">
        <v>1951</v>
      </c>
      <c r="I881" s="6" t="s">
        <v>483</v>
      </c>
      <c r="J881" s="6" t="s">
        <v>1852</v>
      </c>
      <c r="K881" s="1">
        <v>0</v>
      </c>
      <c r="L881" s="6" t="s">
        <v>245</v>
      </c>
      <c r="M881" s="1">
        <v>2015</v>
      </c>
      <c r="N881" s="1" t="s">
        <v>1907</v>
      </c>
      <c r="O881" s="1">
        <v>0</v>
      </c>
      <c r="P881" s="1">
        <v>0</v>
      </c>
      <c r="Q881" s="1">
        <v>0</v>
      </c>
      <c r="R881" s="1">
        <v>0</v>
      </c>
      <c r="S881" s="1" t="s">
        <v>235</v>
      </c>
    </row>
    <row r="882" spans="1:19" ht="14.45" customHeight="1" x14ac:dyDescent="0.25">
      <c r="A882" s="6">
        <v>883</v>
      </c>
      <c r="B882" s="6">
        <v>7900101</v>
      </c>
      <c r="C882" t="s">
        <v>1014</v>
      </c>
      <c r="D882" s="1" t="s">
        <v>1015</v>
      </c>
      <c r="E882" s="21">
        <v>1150</v>
      </c>
      <c r="F882" s="1" t="s">
        <v>233</v>
      </c>
      <c r="G882" s="1" t="s">
        <v>233</v>
      </c>
      <c r="H882" s="6" t="s">
        <v>1951</v>
      </c>
      <c r="I882" s="6" t="s">
        <v>486</v>
      </c>
      <c r="J882" s="6" t="s">
        <v>1852</v>
      </c>
      <c r="K882" s="1">
        <v>0</v>
      </c>
      <c r="L882" s="6" t="s">
        <v>252</v>
      </c>
      <c r="M882" s="1">
        <v>2012</v>
      </c>
      <c r="N882" s="1" t="s">
        <v>237</v>
      </c>
      <c r="O882" s="1">
        <v>0</v>
      </c>
      <c r="P882" s="1">
        <v>0</v>
      </c>
      <c r="Q882" s="1">
        <v>0</v>
      </c>
      <c r="R882" s="1">
        <v>0</v>
      </c>
      <c r="S882" s="1" t="s">
        <v>235</v>
      </c>
    </row>
    <row r="883" spans="1:19" ht="14.45" customHeight="1" x14ac:dyDescent="0.25">
      <c r="A883" s="6">
        <v>884</v>
      </c>
      <c r="B883" s="6">
        <v>7900101</v>
      </c>
      <c r="C883" t="s">
        <v>1014</v>
      </c>
      <c r="D883" s="1" t="s">
        <v>1015</v>
      </c>
      <c r="E883" s="21">
        <v>1900</v>
      </c>
      <c r="F883" s="1" t="s">
        <v>233</v>
      </c>
      <c r="G883" s="1" t="s">
        <v>233</v>
      </c>
      <c r="H883" s="6" t="s">
        <v>1951</v>
      </c>
      <c r="I883" s="6" t="s">
        <v>490</v>
      </c>
      <c r="J883" s="6" t="s">
        <v>1851</v>
      </c>
      <c r="K883" s="1">
        <v>0</v>
      </c>
      <c r="L883" s="6" t="s">
        <v>238</v>
      </c>
      <c r="M883" s="1">
        <v>2013</v>
      </c>
      <c r="N883" s="1" t="s">
        <v>237</v>
      </c>
      <c r="O883" s="1">
        <v>0</v>
      </c>
      <c r="P883" s="1">
        <v>0</v>
      </c>
      <c r="Q883" s="1">
        <v>0</v>
      </c>
      <c r="R883" s="1">
        <v>0</v>
      </c>
      <c r="S883" s="1" t="s">
        <v>235</v>
      </c>
    </row>
    <row r="884" spans="1:19" ht="14.45" customHeight="1" x14ac:dyDescent="0.25">
      <c r="A884" s="6">
        <v>885</v>
      </c>
      <c r="B884" s="6">
        <v>7900101</v>
      </c>
      <c r="C884" t="s">
        <v>1014</v>
      </c>
      <c r="D884" s="1" t="s">
        <v>1015</v>
      </c>
      <c r="E884" s="21">
        <v>553.33333333333337</v>
      </c>
      <c r="F884" s="1" t="s">
        <v>233</v>
      </c>
      <c r="G884" s="1" t="s">
        <v>233</v>
      </c>
      <c r="H884" s="6" t="s">
        <v>1951</v>
      </c>
      <c r="I884" s="6" t="s">
        <v>493</v>
      </c>
      <c r="J884" s="6" t="s">
        <v>1851</v>
      </c>
      <c r="K884" s="1">
        <v>0</v>
      </c>
      <c r="L884" s="6" t="s">
        <v>261</v>
      </c>
      <c r="M884" s="1">
        <v>2002</v>
      </c>
      <c r="N884" s="1" t="s">
        <v>237</v>
      </c>
      <c r="O884" s="1">
        <v>0</v>
      </c>
      <c r="P884" s="1" t="s">
        <v>1952</v>
      </c>
      <c r="Q884" s="1">
        <v>0</v>
      </c>
      <c r="R884" s="1">
        <v>0</v>
      </c>
      <c r="S884" s="1" t="s">
        <v>235</v>
      </c>
    </row>
    <row r="885" spans="1:19" ht="14.45" customHeight="1" x14ac:dyDescent="0.25">
      <c r="A885" s="6">
        <v>886</v>
      </c>
      <c r="B885" s="6">
        <v>7900101</v>
      </c>
      <c r="C885" t="s">
        <v>1014</v>
      </c>
      <c r="D885" s="1" t="s">
        <v>1015</v>
      </c>
      <c r="E885" s="21">
        <v>1540</v>
      </c>
      <c r="F885" s="1" t="s">
        <v>233</v>
      </c>
      <c r="G885" s="1" t="s">
        <v>233</v>
      </c>
      <c r="H885" s="6" t="s">
        <v>1951</v>
      </c>
      <c r="I885" s="6" t="s">
        <v>498</v>
      </c>
      <c r="J885" s="6" t="s">
        <v>1849</v>
      </c>
      <c r="K885" s="1">
        <v>0</v>
      </c>
      <c r="L885" s="6" t="s">
        <v>236</v>
      </c>
      <c r="M885" s="1">
        <v>2010</v>
      </c>
      <c r="N885" s="1" t="s">
        <v>237</v>
      </c>
      <c r="O885" s="1">
        <v>0</v>
      </c>
      <c r="P885" s="1">
        <v>0</v>
      </c>
      <c r="Q885" s="1">
        <v>0</v>
      </c>
      <c r="R885" s="1">
        <v>0</v>
      </c>
      <c r="S885" s="1" t="s">
        <v>235</v>
      </c>
    </row>
    <row r="886" spans="1:19" ht="14.45" customHeight="1" x14ac:dyDescent="0.25">
      <c r="A886" s="6">
        <v>887</v>
      </c>
      <c r="B886" s="6">
        <v>7900101</v>
      </c>
      <c r="C886" t="s">
        <v>1014</v>
      </c>
      <c r="D886" s="1" t="s">
        <v>1015</v>
      </c>
      <c r="E886" s="21">
        <v>1500</v>
      </c>
      <c r="F886" s="1" t="s">
        <v>233</v>
      </c>
      <c r="G886" s="1" t="s">
        <v>233</v>
      </c>
      <c r="H886" s="6" t="s">
        <v>1951</v>
      </c>
      <c r="I886" s="6" t="s">
        <v>499</v>
      </c>
      <c r="J886" s="6" t="s">
        <v>1849</v>
      </c>
      <c r="K886" s="1">
        <v>0</v>
      </c>
      <c r="L886" s="6" t="s">
        <v>236</v>
      </c>
      <c r="M886" s="1">
        <v>2012</v>
      </c>
      <c r="N886" s="1" t="s">
        <v>237</v>
      </c>
      <c r="O886" s="1">
        <v>0</v>
      </c>
      <c r="P886" s="1">
        <v>0</v>
      </c>
      <c r="Q886" s="1">
        <v>0</v>
      </c>
      <c r="R886" s="1">
        <v>0</v>
      </c>
      <c r="S886" s="1" t="s">
        <v>235</v>
      </c>
    </row>
    <row r="887" spans="1:19" ht="14.45" customHeight="1" x14ac:dyDescent="0.25">
      <c r="A887" s="6">
        <v>888</v>
      </c>
      <c r="B887" s="6">
        <v>7900101</v>
      </c>
      <c r="C887" t="s">
        <v>1014</v>
      </c>
      <c r="D887" s="1" t="s">
        <v>1015</v>
      </c>
      <c r="E887" s="21">
        <v>1000</v>
      </c>
      <c r="F887" s="1" t="s">
        <v>233</v>
      </c>
      <c r="G887" s="1" t="s">
        <v>233</v>
      </c>
      <c r="H887" s="6" t="s">
        <v>1951</v>
      </c>
      <c r="I887" s="6" t="s">
        <v>508</v>
      </c>
      <c r="J887" s="6" t="s">
        <v>1853</v>
      </c>
      <c r="K887" s="1">
        <v>0</v>
      </c>
      <c r="L887" s="6" t="s">
        <v>272</v>
      </c>
      <c r="M887" s="1">
        <v>2011</v>
      </c>
      <c r="N887" s="1" t="s">
        <v>237</v>
      </c>
      <c r="O887" s="1">
        <v>0</v>
      </c>
      <c r="P887" s="1">
        <v>0</v>
      </c>
      <c r="Q887" s="1">
        <v>0</v>
      </c>
      <c r="R887" s="1">
        <v>0</v>
      </c>
      <c r="S887" s="1" t="s">
        <v>235</v>
      </c>
    </row>
    <row r="888" spans="1:19" ht="14.45" customHeight="1" x14ac:dyDescent="0.25">
      <c r="A888" s="6">
        <v>889</v>
      </c>
      <c r="B888" s="6">
        <v>7900101</v>
      </c>
      <c r="C888" t="s">
        <v>1014</v>
      </c>
      <c r="D888" s="1" t="s">
        <v>1015</v>
      </c>
      <c r="E888" s="21">
        <v>1160</v>
      </c>
      <c r="F888" s="1" t="s">
        <v>233</v>
      </c>
      <c r="G888" s="1" t="s">
        <v>233</v>
      </c>
      <c r="H888" s="6" t="s">
        <v>1951</v>
      </c>
      <c r="I888" s="6" t="s">
        <v>508</v>
      </c>
      <c r="J888" s="6" t="s">
        <v>1853</v>
      </c>
      <c r="K888" s="1">
        <v>0</v>
      </c>
      <c r="L888" s="6" t="s">
        <v>239</v>
      </c>
      <c r="M888" s="1">
        <v>2011</v>
      </c>
      <c r="N888" s="1" t="s">
        <v>237</v>
      </c>
      <c r="O888" s="1">
        <v>0</v>
      </c>
      <c r="P888" s="1">
        <v>0</v>
      </c>
      <c r="Q888" s="1">
        <v>0</v>
      </c>
      <c r="R888" s="1">
        <v>0</v>
      </c>
      <c r="S888" s="1" t="s">
        <v>235</v>
      </c>
    </row>
    <row r="889" spans="1:19" ht="14.45" customHeight="1" x14ac:dyDescent="0.25">
      <c r="A889" s="6">
        <v>890</v>
      </c>
      <c r="B889" s="6">
        <v>7900101</v>
      </c>
      <c r="C889" t="s">
        <v>1014</v>
      </c>
      <c r="D889" s="1" t="s">
        <v>1015</v>
      </c>
      <c r="E889" s="21">
        <v>1000</v>
      </c>
      <c r="F889" s="1" t="s">
        <v>233</v>
      </c>
      <c r="G889" s="1" t="s">
        <v>233</v>
      </c>
      <c r="H889" s="6" t="s">
        <v>1951</v>
      </c>
      <c r="I889" s="6" t="s">
        <v>509</v>
      </c>
      <c r="J889" s="6" t="s">
        <v>1853</v>
      </c>
      <c r="K889" s="1">
        <v>0</v>
      </c>
      <c r="L889" s="6" t="s">
        <v>261</v>
      </c>
      <c r="M889" s="1">
        <v>2011</v>
      </c>
      <c r="N889" s="1" t="s">
        <v>1907</v>
      </c>
      <c r="O889" s="1">
        <v>0</v>
      </c>
      <c r="P889" s="1">
        <v>0</v>
      </c>
      <c r="Q889" s="1">
        <v>0</v>
      </c>
      <c r="R889" s="1">
        <v>0</v>
      </c>
      <c r="S889" s="1" t="s">
        <v>235</v>
      </c>
    </row>
    <row r="890" spans="1:19" ht="14.45" customHeight="1" x14ac:dyDescent="0.25">
      <c r="A890" s="6">
        <v>891</v>
      </c>
      <c r="B890" s="6">
        <v>7900101</v>
      </c>
      <c r="C890" t="s">
        <v>1014</v>
      </c>
      <c r="D890" s="1" t="s">
        <v>1015</v>
      </c>
      <c r="E890" s="21">
        <v>1160</v>
      </c>
      <c r="F890" s="1" t="s">
        <v>233</v>
      </c>
      <c r="G890" s="1" t="s">
        <v>233</v>
      </c>
      <c r="H890" s="6" t="s">
        <v>1951</v>
      </c>
      <c r="I890" s="6" t="s">
        <v>509</v>
      </c>
      <c r="J890" s="6" t="s">
        <v>1853</v>
      </c>
      <c r="K890" s="1">
        <v>0</v>
      </c>
      <c r="L890" s="6" t="s">
        <v>239</v>
      </c>
      <c r="M890" s="1">
        <v>2011</v>
      </c>
      <c r="N890" s="1" t="s">
        <v>1907</v>
      </c>
      <c r="O890" s="1">
        <v>0</v>
      </c>
      <c r="P890" s="1">
        <v>0</v>
      </c>
      <c r="Q890" s="1">
        <v>0</v>
      </c>
      <c r="R890" s="1">
        <v>0</v>
      </c>
      <c r="S890" s="1" t="s">
        <v>235</v>
      </c>
    </row>
    <row r="891" spans="1:19" ht="14.45" customHeight="1" x14ac:dyDescent="0.25">
      <c r="A891" s="6">
        <v>892</v>
      </c>
      <c r="B891" s="6">
        <v>7900101</v>
      </c>
      <c r="C891" t="s">
        <v>1014</v>
      </c>
      <c r="D891" s="1" t="s">
        <v>1015</v>
      </c>
      <c r="E891" s="21">
        <v>1070</v>
      </c>
      <c r="F891" s="1" t="s">
        <v>233</v>
      </c>
      <c r="G891" s="1" t="s">
        <v>233</v>
      </c>
      <c r="H891" s="6" t="s">
        <v>1951</v>
      </c>
      <c r="I891" s="6" t="s">
        <v>1016</v>
      </c>
      <c r="J891" s="6" t="s">
        <v>1853</v>
      </c>
      <c r="K891" s="1">
        <v>0</v>
      </c>
      <c r="L891" s="6" t="s">
        <v>239</v>
      </c>
      <c r="M891" s="1">
        <v>2012</v>
      </c>
      <c r="N891" s="1" t="s">
        <v>1859</v>
      </c>
      <c r="O891" s="1">
        <v>0</v>
      </c>
      <c r="P891" s="1">
        <v>0</v>
      </c>
      <c r="Q891" s="1">
        <v>0</v>
      </c>
      <c r="R891" s="1">
        <v>0</v>
      </c>
      <c r="S891" s="1" t="s">
        <v>235</v>
      </c>
    </row>
    <row r="892" spans="1:19" ht="14.45" customHeight="1" x14ac:dyDescent="0.25">
      <c r="A892" s="6">
        <v>893</v>
      </c>
      <c r="B892" s="6">
        <v>7900101</v>
      </c>
      <c r="C892" t="s">
        <v>1014</v>
      </c>
      <c r="D892" s="1" t="s">
        <v>1015</v>
      </c>
      <c r="E892" s="21">
        <v>1130</v>
      </c>
      <c r="F892" s="1" t="s">
        <v>233</v>
      </c>
      <c r="G892" s="1" t="s">
        <v>233</v>
      </c>
      <c r="H892" s="6" t="s">
        <v>1951</v>
      </c>
      <c r="I892" s="6" t="s">
        <v>1016</v>
      </c>
      <c r="J892" s="6" t="s">
        <v>1853</v>
      </c>
      <c r="K892" s="1">
        <v>0</v>
      </c>
      <c r="L892" s="6" t="s">
        <v>239</v>
      </c>
      <c r="M892" s="1">
        <v>2012</v>
      </c>
      <c r="N892" s="1" t="s">
        <v>1859</v>
      </c>
      <c r="O892" s="1">
        <v>0</v>
      </c>
      <c r="P892" s="1">
        <v>0</v>
      </c>
      <c r="Q892" s="1">
        <v>0</v>
      </c>
      <c r="R892" s="1">
        <v>0</v>
      </c>
      <c r="S892" s="1" t="s">
        <v>235</v>
      </c>
    </row>
    <row r="893" spans="1:19" ht="14.45" customHeight="1" x14ac:dyDescent="0.25">
      <c r="A893" s="6">
        <v>894</v>
      </c>
      <c r="B893" s="6">
        <v>7900101</v>
      </c>
      <c r="C893" t="s">
        <v>1014</v>
      </c>
      <c r="D893" s="1" t="s">
        <v>1015</v>
      </c>
      <c r="E893" s="21">
        <v>1400</v>
      </c>
      <c r="F893" s="1" t="s">
        <v>233</v>
      </c>
      <c r="G893" s="1" t="s">
        <v>233</v>
      </c>
      <c r="H893" s="6" t="s">
        <v>1951</v>
      </c>
      <c r="I893" s="6" t="s">
        <v>510</v>
      </c>
      <c r="J893" s="6" t="s">
        <v>1853</v>
      </c>
      <c r="K893" s="1">
        <v>0</v>
      </c>
      <c r="L893" s="6" t="s">
        <v>233</v>
      </c>
      <c r="M893" s="1">
        <v>2014</v>
      </c>
      <c r="N893" s="1" t="s">
        <v>1907</v>
      </c>
      <c r="O893" s="1">
        <v>0</v>
      </c>
      <c r="P893" s="1">
        <v>0</v>
      </c>
      <c r="Q893" s="1">
        <v>0</v>
      </c>
      <c r="R893" s="1">
        <v>0</v>
      </c>
      <c r="S893" s="1" t="s">
        <v>235</v>
      </c>
    </row>
    <row r="894" spans="1:19" ht="14.45" customHeight="1" x14ac:dyDescent="0.25">
      <c r="A894" s="6">
        <v>895</v>
      </c>
      <c r="B894" s="6">
        <v>7900101</v>
      </c>
      <c r="C894" t="s">
        <v>1014</v>
      </c>
      <c r="D894" s="1" t="s">
        <v>1015</v>
      </c>
      <c r="E894" s="21">
        <v>814.5</v>
      </c>
      <c r="F894" s="1" t="s">
        <v>233</v>
      </c>
      <c r="G894" s="1" t="s">
        <v>233</v>
      </c>
      <c r="H894" s="6" t="s">
        <v>1951</v>
      </c>
      <c r="I894" s="6" t="s">
        <v>513</v>
      </c>
      <c r="J894" s="6" t="s">
        <v>1852</v>
      </c>
      <c r="K894" s="1">
        <v>0</v>
      </c>
      <c r="L894" s="6" t="s">
        <v>252</v>
      </c>
      <c r="M894" s="1">
        <v>2010</v>
      </c>
      <c r="N894" s="1" t="s">
        <v>237</v>
      </c>
      <c r="O894" s="1">
        <v>0</v>
      </c>
      <c r="P894" s="1">
        <v>0</v>
      </c>
      <c r="Q894" s="1">
        <v>0</v>
      </c>
      <c r="R894" s="1">
        <v>0</v>
      </c>
      <c r="S894" s="1" t="s">
        <v>235</v>
      </c>
    </row>
    <row r="895" spans="1:19" ht="14.45" customHeight="1" x14ac:dyDescent="0.25">
      <c r="A895" s="6">
        <v>896</v>
      </c>
      <c r="B895" s="6">
        <v>7900101</v>
      </c>
      <c r="C895" t="s">
        <v>1014</v>
      </c>
      <c r="D895" s="1" t="s">
        <v>1015</v>
      </c>
      <c r="E895" s="21">
        <v>750</v>
      </c>
      <c r="F895" s="1" t="s">
        <v>233</v>
      </c>
      <c r="G895" s="1" t="s">
        <v>233</v>
      </c>
      <c r="H895" s="6" t="s">
        <v>1951</v>
      </c>
      <c r="I895" s="6" t="s">
        <v>520</v>
      </c>
      <c r="J895" s="6" t="s">
        <v>1853</v>
      </c>
      <c r="K895" s="1">
        <v>0</v>
      </c>
      <c r="L895" s="6" t="s">
        <v>284</v>
      </c>
      <c r="M895" s="1">
        <v>2013</v>
      </c>
      <c r="N895" s="1" t="s">
        <v>1907</v>
      </c>
      <c r="O895" s="1">
        <v>0</v>
      </c>
      <c r="P895" s="1">
        <v>0</v>
      </c>
      <c r="Q895" s="1">
        <v>0</v>
      </c>
      <c r="R895" s="1">
        <v>0</v>
      </c>
      <c r="S895" s="1" t="s">
        <v>235</v>
      </c>
    </row>
    <row r="896" spans="1:19" ht="14.45" customHeight="1" x14ac:dyDescent="0.25">
      <c r="A896" s="6">
        <v>897</v>
      </c>
      <c r="B896" s="6">
        <v>7900101</v>
      </c>
      <c r="C896" t="s">
        <v>1014</v>
      </c>
      <c r="D896" s="1" t="s">
        <v>1015</v>
      </c>
      <c r="E896" s="21">
        <v>1608.39</v>
      </c>
      <c r="F896" s="1" t="s">
        <v>233</v>
      </c>
      <c r="G896" s="1" t="s">
        <v>233</v>
      </c>
      <c r="H896" s="6" t="s">
        <v>1954</v>
      </c>
      <c r="I896" s="6" t="s">
        <v>1017</v>
      </c>
      <c r="J896" s="6" t="s">
        <v>1849</v>
      </c>
      <c r="K896" s="1">
        <v>0</v>
      </c>
      <c r="L896" s="6" t="s">
        <v>236</v>
      </c>
      <c r="M896" s="1">
        <v>2010</v>
      </c>
      <c r="N896" s="1" t="s">
        <v>1859</v>
      </c>
      <c r="O896" s="1">
        <v>0</v>
      </c>
      <c r="P896" s="1">
        <v>0</v>
      </c>
      <c r="Q896" s="1">
        <v>0</v>
      </c>
      <c r="R896" s="1">
        <v>0</v>
      </c>
      <c r="S896" s="1" t="s">
        <v>235</v>
      </c>
    </row>
    <row r="897" spans="1:19" ht="14.45" customHeight="1" x14ac:dyDescent="0.25">
      <c r="A897" s="6">
        <v>898</v>
      </c>
      <c r="B897" s="6">
        <v>7900101</v>
      </c>
      <c r="C897" t="s">
        <v>1014</v>
      </c>
      <c r="D897" s="1" t="s">
        <v>1015</v>
      </c>
      <c r="E897" s="21">
        <v>1572</v>
      </c>
      <c r="F897" s="1" t="s">
        <v>233</v>
      </c>
      <c r="G897" s="1" t="s">
        <v>233</v>
      </c>
      <c r="H897" s="6" t="s">
        <v>1954</v>
      </c>
      <c r="I897" s="6" t="s">
        <v>524</v>
      </c>
      <c r="J897" s="6" t="s">
        <v>1849</v>
      </c>
      <c r="K897" s="1">
        <v>0</v>
      </c>
      <c r="L897" s="6" t="s">
        <v>236</v>
      </c>
      <c r="M897" s="1">
        <v>2010</v>
      </c>
      <c r="N897" s="1" t="s">
        <v>237</v>
      </c>
      <c r="O897" s="1">
        <v>0</v>
      </c>
      <c r="P897" s="1">
        <v>0</v>
      </c>
      <c r="Q897" s="1">
        <v>0</v>
      </c>
      <c r="R897" s="1">
        <v>0</v>
      </c>
      <c r="S897" s="1" t="s">
        <v>235</v>
      </c>
    </row>
    <row r="898" spans="1:19" ht="14.45" customHeight="1" x14ac:dyDescent="0.25">
      <c r="A898" s="6">
        <v>899</v>
      </c>
      <c r="B898" s="6">
        <v>7900101</v>
      </c>
      <c r="C898" t="s">
        <v>1014</v>
      </c>
      <c r="D898" s="1" t="s">
        <v>1015</v>
      </c>
      <c r="E898" s="21">
        <v>1644</v>
      </c>
      <c r="F898" s="1" t="s">
        <v>233</v>
      </c>
      <c r="G898" s="1" t="s">
        <v>233</v>
      </c>
      <c r="H898" s="6" t="s">
        <v>1954</v>
      </c>
      <c r="I898" s="6" t="s">
        <v>525</v>
      </c>
      <c r="J898" s="6" t="s">
        <v>1849</v>
      </c>
      <c r="K898" s="1">
        <v>0</v>
      </c>
      <c r="L898" s="6" t="s">
        <v>236</v>
      </c>
      <c r="M898" s="1">
        <v>2010</v>
      </c>
      <c r="N898" s="1" t="s">
        <v>237</v>
      </c>
      <c r="O898" s="1">
        <v>0</v>
      </c>
      <c r="P898" s="1">
        <v>0</v>
      </c>
      <c r="Q898" s="1">
        <v>0</v>
      </c>
      <c r="R898" s="1">
        <v>0</v>
      </c>
      <c r="S898" s="1" t="s">
        <v>235</v>
      </c>
    </row>
    <row r="899" spans="1:19" ht="14.45" customHeight="1" x14ac:dyDescent="0.25">
      <c r="A899" s="6">
        <v>900</v>
      </c>
      <c r="B899" s="6">
        <v>7900101</v>
      </c>
      <c r="C899" t="s">
        <v>1014</v>
      </c>
      <c r="D899" s="1" t="s">
        <v>1015</v>
      </c>
      <c r="E899" s="21">
        <v>1399.24</v>
      </c>
      <c r="F899" s="1" t="s">
        <v>233</v>
      </c>
      <c r="G899" s="1" t="s">
        <v>233</v>
      </c>
      <c r="H899" s="6" t="s">
        <v>1954</v>
      </c>
      <c r="I899" s="6" t="s">
        <v>1018</v>
      </c>
      <c r="J899" s="6" t="s">
        <v>1849</v>
      </c>
      <c r="K899" s="1">
        <v>0</v>
      </c>
      <c r="L899" s="6" t="s">
        <v>236</v>
      </c>
      <c r="M899" s="1">
        <v>2012</v>
      </c>
      <c r="N899" s="1" t="s">
        <v>1859</v>
      </c>
      <c r="O899" s="1">
        <v>0</v>
      </c>
      <c r="P899" s="1">
        <v>0</v>
      </c>
      <c r="Q899" s="1">
        <v>0</v>
      </c>
      <c r="R899" s="1">
        <v>0</v>
      </c>
      <c r="S899" s="1" t="s">
        <v>235</v>
      </c>
    </row>
    <row r="900" spans="1:19" ht="14.45" customHeight="1" x14ac:dyDescent="0.25">
      <c r="A900" s="6">
        <v>901</v>
      </c>
      <c r="B900" s="6">
        <v>7900101</v>
      </c>
      <c r="C900" t="s">
        <v>1014</v>
      </c>
      <c r="D900" s="1" t="s">
        <v>1015</v>
      </c>
      <c r="E900" s="21">
        <v>1440</v>
      </c>
      <c r="F900" s="21">
        <v>1340</v>
      </c>
      <c r="G900" s="19">
        <v>4.4333333333333327</v>
      </c>
      <c r="H900" s="6" t="s">
        <v>1954</v>
      </c>
      <c r="I900" s="6" t="s">
        <v>526</v>
      </c>
      <c r="J900" s="6" t="s">
        <v>1849</v>
      </c>
      <c r="K900" s="1">
        <v>0</v>
      </c>
      <c r="L900" s="6" t="s">
        <v>236</v>
      </c>
      <c r="M900" s="1">
        <v>2013</v>
      </c>
      <c r="N900" s="1" t="s">
        <v>237</v>
      </c>
      <c r="O900" s="1">
        <v>0</v>
      </c>
      <c r="P900" s="1">
        <v>0</v>
      </c>
      <c r="Q900" s="1">
        <v>0</v>
      </c>
      <c r="R900" s="1">
        <v>0</v>
      </c>
      <c r="S900" s="1" t="s">
        <v>235</v>
      </c>
    </row>
    <row r="901" spans="1:19" ht="14.45" customHeight="1" x14ac:dyDescent="0.25">
      <c r="A901" s="6">
        <v>902</v>
      </c>
      <c r="B901" s="6">
        <v>7900101</v>
      </c>
      <c r="C901" t="s">
        <v>1014</v>
      </c>
      <c r="D901" s="1" t="s">
        <v>1015</v>
      </c>
      <c r="E901" s="21">
        <v>1176.6666666666667</v>
      </c>
      <c r="F901" s="21">
        <v>933.33333333333337</v>
      </c>
      <c r="G901" s="19">
        <v>3.7666666666666671</v>
      </c>
      <c r="H901" s="6" t="s">
        <v>1954</v>
      </c>
      <c r="I901" s="6" t="s">
        <v>527</v>
      </c>
      <c r="J901" s="6" t="s">
        <v>1849</v>
      </c>
      <c r="K901" s="1">
        <v>0</v>
      </c>
      <c r="L901" s="6" t="s">
        <v>236</v>
      </c>
      <c r="M901" s="1">
        <v>2013</v>
      </c>
      <c r="N901" s="1" t="s">
        <v>237</v>
      </c>
      <c r="O901" s="1">
        <v>0</v>
      </c>
      <c r="P901" s="1">
        <v>0</v>
      </c>
      <c r="Q901" s="1" t="s">
        <v>1953</v>
      </c>
      <c r="R901" s="1">
        <v>0</v>
      </c>
      <c r="S901" s="1" t="s">
        <v>235</v>
      </c>
    </row>
    <row r="902" spans="1:19" ht="14.45" customHeight="1" x14ac:dyDescent="0.25">
      <c r="A902" s="6">
        <v>903</v>
      </c>
      <c r="B902" s="6">
        <v>7900101</v>
      </c>
      <c r="C902" t="s">
        <v>1014</v>
      </c>
      <c r="D902" s="1" t="s">
        <v>1015</v>
      </c>
      <c r="E902" s="21">
        <v>1600</v>
      </c>
      <c r="F902" s="21">
        <v>1580</v>
      </c>
      <c r="G902" s="19">
        <v>4.0999999999999996</v>
      </c>
      <c r="H902" s="6" t="s">
        <v>1954</v>
      </c>
      <c r="I902" s="6" t="s">
        <v>1019</v>
      </c>
      <c r="J902" s="6" t="s">
        <v>1849</v>
      </c>
      <c r="K902" s="1">
        <v>0</v>
      </c>
      <c r="L902" s="6" t="s">
        <v>236</v>
      </c>
      <c r="M902" s="1">
        <v>2013</v>
      </c>
      <c r="N902" s="1" t="s">
        <v>1859</v>
      </c>
      <c r="O902" s="1">
        <v>0</v>
      </c>
      <c r="P902" s="1">
        <v>0</v>
      </c>
      <c r="Q902" s="1">
        <v>0</v>
      </c>
      <c r="R902" s="1">
        <v>0</v>
      </c>
      <c r="S902" s="1" t="s">
        <v>235</v>
      </c>
    </row>
    <row r="903" spans="1:19" ht="14.45" customHeight="1" x14ac:dyDescent="0.25">
      <c r="A903" s="6">
        <v>904</v>
      </c>
      <c r="B903" s="6">
        <v>7900101</v>
      </c>
      <c r="C903" t="s">
        <v>1014</v>
      </c>
      <c r="D903" s="1" t="s">
        <v>1015</v>
      </c>
      <c r="E903" s="21">
        <v>1280</v>
      </c>
      <c r="F903" s="21">
        <v>1120</v>
      </c>
      <c r="G903" s="19">
        <v>3.5</v>
      </c>
      <c r="H903" s="6" t="s">
        <v>1954</v>
      </c>
      <c r="I903" s="6" t="s">
        <v>1020</v>
      </c>
      <c r="J903" s="6" t="s">
        <v>1849</v>
      </c>
      <c r="K903" s="1">
        <v>0</v>
      </c>
      <c r="L903" s="6" t="s">
        <v>236</v>
      </c>
      <c r="M903" s="1">
        <v>2013</v>
      </c>
      <c r="N903" s="1" t="s">
        <v>1859</v>
      </c>
      <c r="O903" s="1">
        <v>0</v>
      </c>
      <c r="P903" s="1">
        <v>0</v>
      </c>
      <c r="Q903" s="1">
        <v>0</v>
      </c>
      <c r="R903" s="1" t="s">
        <v>1956</v>
      </c>
      <c r="S903" s="1" t="s">
        <v>235</v>
      </c>
    </row>
    <row r="904" spans="1:19" ht="14.45" customHeight="1" x14ac:dyDescent="0.25">
      <c r="A904" s="6">
        <v>905</v>
      </c>
      <c r="B904" s="6">
        <v>7900101</v>
      </c>
      <c r="C904" t="s">
        <v>1014</v>
      </c>
      <c r="D904" s="1" t="s">
        <v>1015</v>
      </c>
      <c r="E904" s="21">
        <v>1315</v>
      </c>
      <c r="F904" s="1" t="s">
        <v>233</v>
      </c>
      <c r="G904" s="1" t="s">
        <v>233</v>
      </c>
      <c r="H904" s="6" t="s">
        <v>1951</v>
      </c>
      <c r="I904" s="6" t="s">
        <v>531</v>
      </c>
      <c r="J904" s="6" t="s">
        <v>1853</v>
      </c>
      <c r="K904" s="1">
        <v>0</v>
      </c>
      <c r="L904" s="6" t="s">
        <v>236</v>
      </c>
      <c r="M904" s="1">
        <v>2012</v>
      </c>
      <c r="N904" s="1" t="s">
        <v>1908</v>
      </c>
      <c r="O904" s="1">
        <v>0</v>
      </c>
      <c r="P904" s="1">
        <v>0</v>
      </c>
      <c r="Q904" s="1">
        <v>0</v>
      </c>
      <c r="R904" s="1">
        <v>0</v>
      </c>
      <c r="S904" s="1" t="s">
        <v>235</v>
      </c>
    </row>
    <row r="905" spans="1:19" ht="14.45" customHeight="1" x14ac:dyDescent="0.25">
      <c r="A905" s="6">
        <v>906</v>
      </c>
      <c r="B905" s="6">
        <v>7900101</v>
      </c>
      <c r="C905" t="s">
        <v>1014</v>
      </c>
      <c r="D905" s="1" t="s">
        <v>1015</v>
      </c>
      <c r="E905" s="21">
        <v>935</v>
      </c>
      <c r="F905" s="1" t="s">
        <v>233</v>
      </c>
      <c r="G905" s="1" t="s">
        <v>233</v>
      </c>
      <c r="H905" s="6" t="s">
        <v>1951</v>
      </c>
      <c r="I905" s="6" t="s">
        <v>532</v>
      </c>
      <c r="J905" s="6" t="s">
        <v>1849</v>
      </c>
      <c r="K905" s="1">
        <v>0</v>
      </c>
      <c r="L905" s="6" t="s">
        <v>269</v>
      </c>
      <c r="M905" s="1">
        <v>2013</v>
      </c>
      <c r="N905" s="1" t="s">
        <v>1907</v>
      </c>
      <c r="O905" s="1">
        <v>0</v>
      </c>
      <c r="P905" s="1">
        <v>0</v>
      </c>
      <c r="Q905" s="1">
        <v>0</v>
      </c>
      <c r="R905" s="1">
        <v>0</v>
      </c>
      <c r="S905" s="1" t="s">
        <v>235</v>
      </c>
    </row>
    <row r="906" spans="1:19" ht="14.45" customHeight="1" x14ac:dyDescent="0.25">
      <c r="A906" s="6">
        <v>907</v>
      </c>
      <c r="B906" s="6">
        <v>7900101</v>
      </c>
      <c r="C906" t="s">
        <v>1014</v>
      </c>
      <c r="D906" s="1" t="s">
        <v>1015</v>
      </c>
      <c r="E906" s="21">
        <v>1265.0000000000002</v>
      </c>
      <c r="F906" s="1" t="s">
        <v>233</v>
      </c>
      <c r="G906" s="1" t="s">
        <v>233</v>
      </c>
      <c r="H906" s="6" t="s">
        <v>1951</v>
      </c>
      <c r="I906" s="6" t="s">
        <v>532</v>
      </c>
      <c r="J906" s="6" t="s">
        <v>1849</v>
      </c>
      <c r="K906" s="1">
        <v>0</v>
      </c>
      <c r="L906" s="6" t="s">
        <v>259</v>
      </c>
      <c r="M906" s="1">
        <v>2013</v>
      </c>
      <c r="N906" s="1" t="s">
        <v>1911</v>
      </c>
      <c r="O906" s="1">
        <v>0</v>
      </c>
      <c r="P906" s="1">
        <v>0</v>
      </c>
      <c r="Q906" s="1">
        <v>0</v>
      </c>
      <c r="R906" s="1">
        <v>0</v>
      </c>
      <c r="S906" s="1" t="s">
        <v>235</v>
      </c>
    </row>
    <row r="907" spans="1:19" ht="14.45" customHeight="1" x14ac:dyDescent="0.25">
      <c r="A907" s="6">
        <v>908</v>
      </c>
      <c r="B907" s="6">
        <v>7900101</v>
      </c>
      <c r="C907" t="s">
        <v>1014</v>
      </c>
      <c r="D907" s="1" t="s">
        <v>1015</v>
      </c>
      <c r="E907" s="21">
        <v>1406.0000000000002</v>
      </c>
      <c r="F907" s="1" t="s">
        <v>233</v>
      </c>
      <c r="G907" s="1" t="s">
        <v>233</v>
      </c>
      <c r="H907" s="6" t="s">
        <v>1951</v>
      </c>
      <c r="I907" s="6" t="s">
        <v>532</v>
      </c>
      <c r="J907" s="6" t="s">
        <v>1849</v>
      </c>
      <c r="K907" s="1">
        <v>0</v>
      </c>
      <c r="L907" s="6" t="s">
        <v>236</v>
      </c>
      <c r="M907" s="1">
        <v>2013</v>
      </c>
      <c r="N907" s="1" t="s">
        <v>1907</v>
      </c>
      <c r="O907" s="1">
        <v>0</v>
      </c>
      <c r="P907" s="1">
        <v>0</v>
      </c>
      <c r="Q907" s="1">
        <v>0</v>
      </c>
      <c r="R907" s="1">
        <v>0</v>
      </c>
      <c r="S907" s="1" t="s">
        <v>235</v>
      </c>
    </row>
    <row r="908" spans="1:19" ht="14.45" customHeight="1" x14ac:dyDescent="0.25">
      <c r="A908" s="6">
        <v>909</v>
      </c>
      <c r="B908" s="6">
        <v>7900101</v>
      </c>
      <c r="C908" t="s">
        <v>1014</v>
      </c>
      <c r="D908" s="1" t="s">
        <v>1015</v>
      </c>
      <c r="E908" s="21">
        <v>1500</v>
      </c>
      <c r="F908" s="1" t="s">
        <v>233</v>
      </c>
      <c r="G908" s="1" t="s">
        <v>233</v>
      </c>
      <c r="H908" s="6" t="s">
        <v>1951</v>
      </c>
      <c r="I908" s="6" t="s">
        <v>532</v>
      </c>
      <c r="J908" s="6" t="s">
        <v>1849</v>
      </c>
      <c r="K908" s="1">
        <v>0</v>
      </c>
      <c r="L908" s="6" t="s">
        <v>259</v>
      </c>
      <c r="M908" s="1">
        <v>2013</v>
      </c>
      <c r="N908" s="1" t="s">
        <v>1907</v>
      </c>
      <c r="O908" s="1">
        <v>0</v>
      </c>
      <c r="P908" s="1">
        <v>0</v>
      </c>
      <c r="Q908" s="1">
        <v>0</v>
      </c>
      <c r="R908" s="1">
        <v>0</v>
      </c>
      <c r="S908" s="1" t="s">
        <v>235</v>
      </c>
    </row>
    <row r="909" spans="1:19" ht="14.45" customHeight="1" x14ac:dyDescent="0.25">
      <c r="A909" s="6">
        <v>910</v>
      </c>
      <c r="B909" s="6">
        <v>7900101</v>
      </c>
      <c r="C909" t="s">
        <v>1014</v>
      </c>
      <c r="D909" s="1" t="s">
        <v>1015</v>
      </c>
      <c r="E909" s="21">
        <v>1150</v>
      </c>
      <c r="F909" s="1" t="s">
        <v>233</v>
      </c>
      <c r="G909" s="1" t="s">
        <v>233</v>
      </c>
      <c r="H909" s="6" t="s">
        <v>1951</v>
      </c>
      <c r="I909" s="6" t="s">
        <v>535</v>
      </c>
      <c r="J909" s="6" t="s">
        <v>1852</v>
      </c>
      <c r="K909" s="1">
        <v>0</v>
      </c>
      <c r="L909" s="6" t="s">
        <v>269</v>
      </c>
      <c r="M909" s="1">
        <v>2001</v>
      </c>
      <c r="N909" s="1" t="s">
        <v>237</v>
      </c>
      <c r="O909" s="1">
        <v>0</v>
      </c>
      <c r="P909" s="1">
        <v>0</v>
      </c>
      <c r="Q909" s="1">
        <v>0</v>
      </c>
      <c r="R909" s="1">
        <v>0</v>
      </c>
      <c r="S909" s="1" t="s">
        <v>235</v>
      </c>
    </row>
    <row r="910" spans="1:19" ht="14.45" customHeight="1" x14ac:dyDescent="0.25">
      <c r="A910" s="6">
        <v>911</v>
      </c>
      <c r="B910" s="6">
        <v>7900101</v>
      </c>
      <c r="C910" t="s">
        <v>1014</v>
      </c>
      <c r="D910" s="1" t="s">
        <v>1015</v>
      </c>
      <c r="E910" s="21">
        <v>1300</v>
      </c>
      <c r="F910" s="1" t="s">
        <v>233</v>
      </c>
      <c r="G910" s="1" t="s">
        <v>233</v>
      </c>
      <c r="H910" s="6" t="s">
        <v>1951</v>
      </c>
      <c r="I910" s="6" t="s">
        <v>535</v>
      </c>
      <c r="J910" s="6" t="s">
        <v>1852</v>
      </c>
      <c r="K910" s="1">
        <v>0</v>
      </c>
      <c r="L910" s="6" t="s">
        <v>269</v>
      </c>
      <c r="M910" s="1">
        <v>2001</v>
      </c>
      <c r="N910" s="1" t="s">
        <v>1859</v>
      </c>
      <c r="O910" s="1">
        <v>0</v>
      </c>
      <c r="P910" s="1">
        <v>0</v>
      </c>
      <c r="Q910" s="1">
        <v>0</v>
      </c>
      <c r="R910" s="1">
        <v>0</v>
      </c>
      <c r="S910" s="1" t="s">
        <v>235</v>
      </c>
    </row>
    <row r="911" spans="1:19" ht="14.45" customHeight="1" x14ac:dyDescent="0.25">
      <c r="A911" s="6">
        <v>912</v>
      </c>
      <c r="B911" s="6">
        <v>7900101</v>
      </c>
      <c r="C911" t="s">
        <v>1014</v>
      </c>
      <c r="D911" s="1" t="s">
        <v>1015</v>
      </c>
      <c r="E911" s="21">
        <v>800</v>
      </c>
      <c r="F911" s="1" t="s">
        <v>233</v>
      </c>
      <c r="G911" s="1" t="s">
        <v>233</v>
      </c>
      <c r="H911" s="6" t="s">
        <v>1951</v>
      </c>
      <c r="I911" s="6" t="s">
        <v>536</v>
      </c>
      <c r="J911" s="6" t="s">
        <v>1852</v>
      </c>
      <c r="K911" s="1">
        <v>0</v>
      </c>
      <c r="L911" s="6" t="s">
        <v>283</v>
      </c>
      <c r="M911" s="1">
        <v>2011</v>
      </c>
      <c r="N911" s="1" t="s">
        <v>1907</v>
      </c>
      <c r="O911" s="1">
        <v>0</v>
      </c>
      <c r="P911" s="1">
        <v>0</v>
      </c>
      <c r="Q911" s="1">
        <v>0</v>
      </c>
      <c r="R911" s="1">
        <v>0</v>
      </c>
      <c r="S911" s="1" t="s">
        <v>235</v>
      </c>
    </row>
    <row r="912" spans="1:19" ht="14.45" customHeight="1" x14ac:dyDescent="0.25">
      <c r="A912" s="6">
        <v>913</v>
      </c>
      <c r="B912" s="6">
        <v>7900101</v>
      </c>
      <c r="C912" t="s">
        <v>1014</v>
      </c>
      <c r="D912" s="1" t="s">
        <v>1015</v>
      </c>
      <c r="E912" s="21">
        <v>880</v>
      </c>
      <c r="F912" s="1" t="s">
        <v>233</v>
      </c>
      <c r="G912" s="1" t="s">
        <v>233</v>
      </c>
      <c r="H912" s="6" t="s">
        <v>1951</v>
      </c>
      <c r="I912" s="6" t="s">
        <v>536</v>
      </c>
      <c r="J912" s="6" t="s">
        <v>1852</v>
      </c>
      <c r="K912" s="1">
        <v>0</v>
      </c>
      <c r="L912" s="6" t="s">
        <v>258</v>
      </c>
      <c r="M912" s="1">
        <v>2011</v>
      </c>
      <c r="N912" s="1" t="s">
        <v>1907</v>
      </c>
      <c r="O912" s="1">
        <v>0</v>
      </c>
      <c r="P912" s="1">
        <v>0</v>
      </c>
      <c r="Q912" s="1">
        <v>0</v>
      </c>
      <c r="R912" s="1">
        <v>0</v>
      </c>
      <c r="S912" s="1" t="s">
        <v>235</v>
      </c>
    </row>
    <row r="913" spans="1:19" ht="14.45" customHeight="1" x14ac:dyDescent="0.25">
      <c r="A913" s="6">
        <v>914</v>
      </c>
      <c r="B913" s="6">
        <v>7900101</v>
      </c>
      <c r="C913" t="s">
        <v>1014</v>
      </c>
      <c r="D913" s="1" t="s">
        <v>1015</v>
      </c>
      <c r="E913" s="21">
        <v>880</v>
      </c>
      <c r="F913" s="1" t="s">
        <v>233</v>
      </c>
      <c r="G913" s="1" t="s">
        <v>233</v>
      </c>
      <c r="H913" s="6" t="s">
        <v>1951</v>
      </c>
      <c r="I913" s="6" t="s">
        <v>536</v>
      </c>
      <c r="J913" s="6" t="s">
        <v>1852</v>
      </c>
      <c r="K913" s="1">
        <v>0</v>
      </c>
      <c r="L913" s="6" t="s">
        <v>292</v>
      </c>
      <c r="M913" s="1">
        <v>2011</v>
      </c>
      <c r="N913" s="1" t="s">
        <v>1907</v>
      </c>
      <c r="O913" s="1">
        <v>0</v>
      </c>
      <c r="P913" s="1">
        <v>0</v>
      </c>
      <c r="Q913" s="1">
        <v>0</v>
      </c>
      <c r="R913" s="1">
        <v>0</v>
      </c>
      <c r="S913" s="1" t="s">
        <v>235</v>
      </c>
    </row>
    <row r="914" spans="1:19" ht="14.45" customHeight="1" x14ac:dyDescent="0.25">
      <c r="A914" s="6">
        <v>915</v>
      </c>
      <c r="B914" s="6">
        <v>7900101</v>
      </c>
      <c r="C914" t="s">
        <v>1014</v>
      </c>
      <c r="D914" s="1" t="s">
        <v>1015</v>
      </c>
      <c r="E914" s="21">
        <v>880</v>
      </c>
      <c r="F914" s="1" t="s">
        <v>233</v>
      </c>
      <c r="G914" s="1" t="s">
        <v>233</v>
      </c>
      <c r="H914" s="6" t="s">
        <v>1951</v>
      </c>
      <c r="I914" s="6" t="s">
        <v>536</v>
      </c>
      <c r="J914" s="6" t="s">
        <v>1852</v>
      </c>
      <c r="K914" s="1">
        <v>0</v>
      </c>
      <c r="L914" s="6" t="s">
        <v>238</v>
      </c>
      <c r="M914" s="1">
        <v>2011</v>
      </c>
      <c r="N914" s="1" t="s">
        <v>1907</v>
      </c>
      <c r="O914" s="1">
        <v>0</v>
      </c>
      <c r="P914" s="1">
        <v>0</v>
      </c>
      <c r="Q914" s="1">
        <v>0</v>
      </c>
      <c r="R914" s="1">
        <v>0</v>
      </c>
      <c r="S914" s="1" t="s">
        <v>235</v>
      </c>
    </row>
    <row r="915" spans="1:19" ht="14.45" customHeight="1" x14ac:dyDescent="0.25">
      <c r="A915" s="6">
        <v>916</v>
      </c>
      <c r="B915" s="6">
        <v>7900101</v>
      </c>
      <c r="C915" t="s">
        <v>1014</v>
      </c>
      <c r="D915" s="1" t="s">
        <v>1015</v>
      </c>
      <c r="E915" s="21">
        <v>920</v>
      </c>
      <c r="F915" s="1" t="s">
        <v>233</v>
      </c>
      <c r="G915" s="1" t="s">
        <v>233</v>
      </c>
      <c r="H915" s="6" t="s">
        <v>1951</v>
      </c>
      <c r="I915" s="6" t="s">
        <v>536</v>
      </c>
      <c r="J915" s="6" t="s">
        <v>1852</v>
      </c>
      <c r="K915" s="1">
        <v>0</v>
      </c>
      <c r="L915" s="6" t="s">
        <v>236</v>
      </c>
      <c r="M915" s="1">
        <v>2011</v>
      </c>
      <c r="N915" s="1" t="s">
        <v>1907</v>
      </c>
      <c r="O915" s="1">
        <v>0</v>
      </c>
      <c r="P915" s="1">
        <v>0</v>
      </c>
      <c r="Q915" s="1">
        <v>0</v>
      </c>
      <c r="R915" s="1">
        <v>0</v>
      </c>
      <c r="S915" s="1" t="s">
        <v>235</v>
      </c>
    </row>
    <row r="916" spans="1:19" ht="14.45" customHeight="1" x14ac:dyDescent="0.25">
      <c r="A916" s="6">
        <v>917</v>
      </c>
      <c r="B916" s="6">
        <v>7900101</v>
      </c>
      <c r="C916" t="s">
        <v>1014</v>
      </c>
      <c r="D916" s="1" t="s">
        <v>1015</v>
      </c>
      <c r="E916" s="21">
        <v>960</v>
      </c>
      <c r="F916" s="1" t="s">
        <v>233</v>
      </c>
      <c r="G916" s="1" t="s">
        <v>233</v>
      </c>
      <c r="H916" s="6" t="s">
        <v>1951</v>
      </c>
      <c r="I916" s="6" t="s">
        <v>536</v>
      </c>
      <c r="J916" s="6" t="s">
        <v>1852</v>
      </c>
      <c r="K916" s="1">
        <v>0</v>
      </c>
      <c r="L916" s="6" t="s">
        <v>249</v>
      </c>
      <c r="M916" s="1">
        <v>2011</v>
      </c>
      <c r="N916" s="1" t="s">
        <v>1907</v>
      </c>
      <c r="O916" s="1">
        <v>0</v>
      </c>
      <c r="P916" s="1">
        <v>0</v>
      </c>
      <c r="Q916" s="1">
        <v>0</v>
      </c>
      <c r="R916" s="1">
        <v>0</v>
      </c>
      <c r="S916" s="1" t="s">
        <v>235</v>
      </c>
    </row>
    <row r="917" spans="1:19" ht="14.45" customHeight="1" x14ac:dyDescent="0.25">
      <c r="A917" s="6">
        <v>918</v>
      </c>
      <c r="B917" s="6">
        <v>7900101</v>
      </c>
      <c r="C917" t="s">
        <v>1014</v>
      </c>
      <c r="D917" s="1" t="s">
        <v>1015</v>
      </c>
      <c r="E917" s="21">
        <v>1000</v>
      </c>
      <c r="F917" s="1" t="s">
        <v>233</v>
      </c>
      <c r="G917" s="1" t="s">
        <v>233</v>
      </c>
      <c r="H917" s="6" t="s">
        <v>1951</v>
      </c>
      <c r="I917" s="6" t="s">
        <v>536</v>
      </c>
      <c r="J917" s="6" t="s">
        <v>1852</v>
      </c>
      <c r="K917" s="1">
        <v>0</v>
      </c>
      <c r="L917" s="6" t="s">
        <v>234</v>
      </c>
      <c r="M917" s="1">
        <v>2011</v>
      </c>
      <c r="N917" s="1" t="s">
        <v>1907</v>
      </c>
      <c r="O917" s="1">
        <v>0</v>
      </c>
      <c r="P917" s="1">
        <v>0</v>
      </c>
      <c r="Q917" s="1">
        <v>0</v>
      </c>
      <c r="R917" s="1">
        <v>0</v>
      </c>
      <c r="S917" s="1" t="s">
        <v>235</v>
      </c>
    </row>
    <row r="918" spans="1:19" ht="14.45" customHeight="1" x14ac:dyDescent="0.25">
      <c r="A918" s="6">
        <v>919</v>
      </c>
      <c r="B918" s="6">
        <v>7900101</v>
      </c>
      <c r="C918" t="s">
        <v>1014</v>
      </c>
      <c r="D918" s="1" t="s">
        <v>1015</v>
      </c>
      <c r="E918" s="21">
        <v>1000</v>
      </c>
      <c r="F918" s="1" t="s">
        <v>233</v>
      </c>
      <c r="G918" s="1" t="s">
        <v>233</v>
      </c>
      <c r="H918" s="6" t="s">
        <v>1951</v>
      </c>
      <c r="I918" s="6" t="s">
        <v>536</v>
      </c>
      <c r="J918" s="6" t="s">
        <v>1852</v>
      </c>
      <c r="K918" s="1">
        <v>0</v>
      </c>
      <c r="L918" s="6" t="s">
        <v>259</v>
      </c>
      <c r="M918" s="1">
        <v>2011</v>
      </c>
      <c r="N918" s="1" t="s">
        <v>1907</v>
      </c>
      <c r="O918" s="1">
        <v>0</v>
      </c>
      <c r="P918" s="1">
        <v>0</v>
      </c>
      <c r="Q918" s="1">
        <v>0</v>
      </c>
      <c r="R918" s="1">
        <v>0</v>
      </c>
      <c r="S918" s="1" t="s">
        <v>235</v>
      </c>
    </row>
    <row r="919" spans="1:19" ht="14.45" customHeight="1" x14ac:dyDescent="0.25">
      <c r="A919" s="6">
        <v>920</v>
      </c>
      <c r="B919" s="6">
        <v>7900101</v>
      </c>
      <c r="C919" t="s">
        <v>1014</v>
      </c>
      <c r="D919" s="1" t="s">
        <v>1015</v>
      </c>
      <c r="E919" s="21">
        <v>1000</v>
      </c>
      <c r="F919" s="1" t="s">
        <v>233</v>
      </c>
      <c r="G919" s="1" t="s">
        <v>233</v>
      </c>
      <c r="H919" s="6" t="s">
        <v>1951</v>
      </c>
      <c r="I919" s="6" t="s">
        <v>536</v>
      </c>
      <c r="J919" s="6" t="s">
        <v>1852</v>
      </c>
      <c r="K919" s="1">
        <v>0</v>
      </c>
      <c r="L919" s="6" t="s">
        <v>239</v>
      </c>
      <c r="M919" s="1">
        <v>2011</v>
      </c>
      <c r="N919" s="1" t="s">
        <v>1907</v>
      </c>
      <c r="O919" s="1">
        <v>0</v>
      </c>
      <c r="P919" s="1">
        <v>0</v>
      </c>
      <c r="Q919" s="1">
        <v>0</v>
      </c>
      <c r="R919" s="1">
        <v>0</v>
      </c>
      <c r="S919" s="1" t="s">
        <v>235</v>
      </c>
    </row>
    <row r="920" spans="1:19" ht="14.45" customHeight="1" x14ac:dyDescent="0.25">
      <c r="A920" s="6">
        <v>921</v>
      </c>
      <c r="B920" s="6">
        <v>7900101</v>
      </c>
      <c r="C920" t="s">
        <v>1014</v>
      </c>
      <c r="D920" s="1" t="s">
        <v>1015</v>
      </c>
      <c r="E920" s="21">
        <v>1000</v>
      </c>
      <c r="F920" s="1" t="s">
        <v>233</v>
      </c>
      <c r="G920" s="1" t="s">
        <v>233</v>
      </c>
      <c r="H920" s="6" t="s">
        <v>1951</v>
      </c>
      <c r="I920" s="6" t="s">
        <v>536</v>
      </c>
      <c r="J920" s="6" t="s">
        <v>1852</v>
      </c>
      <c r="K920" s="1">
        <v>0</v>
      </c>
      <c r="L920" s="6" t="s">
        <v>293</v>
      </c>
      <c r="M920" s="1">
        <v>2011</v>
      </c>
      <c r="N920" s="1" t="s">
        <v>1907</v>
      </c>
      <c r="O920" s="1">
        <v>0</v>
      </c>
      <c r="P920" s="1">
        <v>0</v>
      </c>
      <c r="Q920" s="1">
        <v>0</v>
      </c>
      <c r="R920" s="1">
        <v>0</v>
      </c>
      <c r="S920" s="1" t="s">
        <v>235</v>
      </c>
    </row>
    <row r="921" spans="1:19" ht="14.45" customHeight="1" x14ac:dyDescent="0.25">
      <c r="A921" s="6">
        <v>922</v>
      </c>
      <c r="B921" s="6">
        <v>7900101</v>
      </c>
      <c r="C921" t="s">
        <v>1014</v>
      </c>
      <c r="D921" s="1" t="s">
        <v>1015</v>
      </c>
      <c r="E921" s="21">
        <v>1000</v>
      </c>
      <c r="F921" s="1" t="s">
        <v>233</v>
      </c>
      <c r="G921" s="1" t="s">
        <v>233</v>
      </c>
      <c r="H921" s="6" t="s">
        <v>1951</v>
      </c>
      <c r="I921" s="6" t="s">
        <v>536</v>
      </c>
      <c r="J921" s="6" t="s">
        <v>1852</v>
      </c>
      <c r="K921" s="1">
        <v>0</v>
      </c>
      <c r="L921" s="6" t="s">
        <v>268</v>
      </c>
      <c r="M921" s="1">
        <v>2011</v>
      </c>
      <c r="N921" s="1" t="s">
        <v>1907</v>
      </c>
      <c r="O921" s="1">
        <v>0</v>
      </c>
      <c r="P921" s="1">
        <v>0</v>
      </c>
      <c r="Q921" s="1">
        <v>0</v>
      </c>
      <c r="R921" s="1">
        <v>0</v>
      </c>
      <c r="S921" s="1" t="s">
        <v>235</v>
      </c>
    </row>
    <row r="922" spans="1:19" ht="14.45" customHeight="1" x14ac:dyDescent="0.25">
      <c r="A922" s="6">
        <v>923</v>
      </c>
      <c r="B922" s="6">
        <v>7900101</v>
      </c>
      <c r="C922" t="s">
        <v>1014</v>
      </c>
      <c r="D922" s="1" t="s">
        <v>1015</v>
      </c>
      <c r="E922" s="21">
        <v>1040</v>
      </c>
      <c r="F922" s="1" t="s">
        <v>233</v>
      </c>
      <c r="G922" s="1" t="s">
        <v>233</v>
      </c>
      <c r="H922" s="6" t="s">
        <v>1951</v>
      </c>
      <c r="I922" s="6" t="s">
        <v>536</v>
      </c>
      <c r="J922" s="6" t="s">
        <v>1852</v>
      </c>
      <c r="K922" s="1">
        <v>0</v>
      </c>
      <c r="L922" s="6" t="s">
        <v>271</v>
      </c>
      <c r="M922" s="1">
        <v>2011</v>
      </c>
      <c r="N922" s="1" t="s">
        <v>1907</v>
      </c>
      <c r="O922" s="1">
        <v>0</v>
      </c>
      <c r="P922" s="1">
        <v>0</v>
      </c>
      <c r="Q922" s="1">
        <v>0</v>
      </c>
      <c r="R922" s="1">
        <v>0</v>
      </c>
      <c r="S922" s="1" t="s">
        <v>235</v>
      </c>
    </row>
    <row r="923" spans="1:19" ht="14.45" customHeight="1" x14ac:dyDescent="0.25">
      <c r="A923" s="6">
        <v>924</v>
      </c>
      <c r="B923" s="6">
        <v>7900101</v>
      </c>
      <c r="C923" t="s">
        <v>1014</v>
      </c>
      <c r="D923" s="1" t="s">
        <v>1015</v>
      </c>
      <c r="E923" s="21">
        <v>1120</v>
      </c>
      <c r="F923" s="1" t="s">
        <v>233</v>
      </c>
      <c r="G923" s="1" t="s">
        <v>233</v>
      </c>
      <c r="H923" s="6" t="s">
        <v>1951</v>
      </c>
      <c r="I923" s="6" t="s">
        <v>536</v>
      </c>
      <c r="J923" s="6" t="s">
        <v>1852</v>
      </c>
      <c r="K923" s="1">
        <v>0</v>
      </c>
      <c r="L923" s="6" t="s">
        <v>252</v>
      </c>
      <c r="M923" s="1">
        <v>2011</v>
      </c>
      <c r="N923" s="1" t="s">
        <v>1907</v>
      </c>
      <c r="O923" s="1">
        <v>0</v>
      </c>
      <c r="P923" s="1">
        <v>0</v>
      </c>
      <c r="Q923" s="1">
        <v>0</v>
      </c>
      <c r="R923" s="1">
        <v>0</v>
      </c>
      <c r="S923" s="1" t="s">
        <v>235</v>
      </c>
    </row>
    <row r="924" spans="1:19" ht="14.45" customHeight="1" x14ac:dyDescent="0.25">
      <c r="A924" s="6">
        <v>925</v>
      </c>
      <c r="B924" s="6">
        <v>7900101</v>
      </c>
      <c r="C924" t="s">
        <v>1014</v>
      </c>
      <c r="D924" s="1" t="s">
        <v>1015</v>
      </c>
      <c r="E924" s="21">
        <v>1120</v>
      </c>
      <c r="F924" s="1" t="s">
        <v>233</v>
      </c>
      <c r="G924" s="1" t="s">
        <v>233</v>
      </c>
      <c r="H924" s="6" t="s">
        <v>1951</v>
      </c>
      <c r="I924" s="6" t="s">
        <v>536</v>
      </c>
      <c r="J924" s="6" t="s">
        <v>1852</v>
      </c>
      <c r="K924" s="1">
        <v>0</v>
      </c>
      <c r="L924" s="6" t="s">
        <v>255</v>
      </c>
      <c r="M924" s="1">
        <v>2011</v>
      </c>
      <c r="N924" s="1" t="s">
        <v>1907</v>
      </c>
      <c r="O924" s="1">
        <v>0</v>
      </c>
      <c r="P924" s="1">
        <v>0</v>
      </c>
      <c r="Q924" s="1">
        <v>0</v>
      </c>
      <c r="R924" s="1">
        <v>0</v>
      </c>
      <c r="S924" s="1" t="s">
        <v>235</v>
      </c>
    </row>
    <row r="925" spans="1:19" ht="14.45" customHeight="1" x14ac:dyDescent="0.25">
      <c r="A925" s="6">
        <v>926</v>
      </c>
      <c r="B925" s="6">
        <v>7900101</v>
      </c>
      <c r="C925" t="s">
        <v>1014</v>
      </c>
      <c r="D925" s="1" t="s">
        <v>1015</v>
      </c>
      <c r="E925" s="21">
        <v>1120</v>
      </c>
      <c r="F925" s="1" t="s">
        <v>233</v>
      </c>
      <c r="G925" s="1" t="s">
        <v>233</v>
      </c>
      <c r="H925" s="6" t="s">
        <v>1951</v>
      </c>
      <c r="I925" s="6" t="s">
        <v>536</v>
      </c>
      <c r="J925" s="6" t="s">
        <v>1852</v>
      </c>
      <c r="K925" s="1">
        <v>0</v>
      </c>
      <c r="L925" s="6" t="s">
        <v>250</v>
      </c>
      <c r="M925" s="1">
        <v>2011</v>
      </c>
      <c r="N925" s="1" t="s">
        <v>1907</v>
      </c>
      <c r="O925" s="1">
        <v>0</v>
      </c>
      <c r="P925" s="1">
        <v>0</v>
      </c>
      <c r="Q925" s="1">
        <v>0</v>
      </c>
      <c r="R925" s="1">
        <v>0</v>
      </c>
      <c r="S925" s="1" t="s">
        <v>235</v>
      </c>
    </row>
    <row r="926" spans="1:19" ht="14.45" customHeight="1" x14ac:dyDescent="0.25">
      <c r="A926" s="6">
        <v>927</v>
      </c>
      <c r="B926" s="6">
        <v>7900101</v>
      </c>
      <c r="C926" t="s">
        <v>1014</v>
      </c>
      <c r="D926" s="1" t="s">
        <v>1015</v>
      </c>
      <c r="E926" s="21">
        <v>1120</v>
      </c>
      <c r="F926" s="1" t="s">
        <v>233</v>
      </c>
      <c r="G926" s="1" t="s">
        <v>233</v>
      </c>
      <c r="H926" s="6" t="s">
        <v>1951</v>
      </c>
      <c r="I926" s="6" t="s">
        <v>536</v>
      </c>
      <c r="J926" s="6" t="s">
        <v>1852</v>
      </c>
      <c r="K926" s="1">
        <v>0</v>
      </c>
      <c r="L926" s="6" t="s">
        <v>270</v>
      </c>
      <c r="M926" s="1">
        <v>2011</v>
      </c>
      <c r="N926" s="1" t="s">
        <v>1907</v>
      </c>
      <c r="O926" s="1">
        <v>0</v>
      </c>
      <c r="P926" s="1">
        <v>0</v>
      </c>
      <c r="Q926" s="1">
        <v>0</v>
      </c>
      <c r="R926" s="1">
        <v>0</v>
      </c>
      <c r="S926" s="1" t="s">
        <v>235</v>
      </c>
    </row>
    <row r="927" spans="1:19" ht="14.45" customHeight="1" x14ac:dyDescent="0.25">
      <c r="A927" s="6">
        <v>928</v>
      </c>
      <c r="B927" s="6">
        <v>7900101</v>
      </c>
      <c r="C927" t="s">
        <v>1014</v>
      </c>
      <c r="D927" s="1" t="s">
        <v>1015</v>
      </c>
      <c r="E927" s="21">
        <v>1160.0000000000002</v>
      </c>
      <c r="F927" s="1" t="s">
        <v>233</v>
      </c>
      <c r="G927" s="1" t="s">
        <v>233</v>
      </c>
      <c r="H927" s="6" t="s">
        <v>1951</v>
      </c>
      <c r="I927" s="6" t="s">
        <v>536</v>
      </c>
      <c r="J927" s="6" t="s">
        <v>1852</v>
      </c>
      <c r="K927" s="1">
        <v>0</v>
      </c>
      <c r="L927" s="6" t="s">
        <v>294</v>
      </c>
      <c r="M927" s="1">
        <v>2011</v>
      </c>
      <c r="N927" s="1" t="s">
        <v>1907</v>
      </c>
      <c r="O927" s="1">
        <v>0</v>
      </c>
      <c r="P927" s="1">
        <v>0</v>
      </c>
      <c r="Q927" s="1">
        <v>0</v>
      </c>
      <c r="R927" s="1">
        <v>0</v>
      </c>
      <c r="S927" s="1" t="s">
        <v>235</v>
      </c>
    </row>
    <row r="928" spans="1:19" ht="14.45" customHeight="1" x14ac:dyDescent="0.25">
      <c r="A928" s="6">
        <v>929</v>
      </c>
      <c r="B928" s="6">
        <v>7900101</v>
      </c>
      <c r="C928" t="s">
        <v>1014</v>
      </c>
      <c r="D928" s="1" t="s">
        <v>1015</v>
      </c>
      <c r="E928" s="21">
        <v>1200</v>
      </c>
      <c r="F928" s="1" t="s">
        <v>233</v>
      </c>
      <c r="G928" s="1" t="s">
        <v>233</v>
      </c>
      <c r="H928" s="6" t="s">
        <v>1951</v>
      </c>
      <c r="I928" s="6" t="s">
        <v>536</v>
      </c>
      <c r="J928" s="6" t="s">
        <v>1852</v>
      </c>
      <c r="K928" s="1">
        <v>0</v>
      </c>
      <c r="L928" s="6" t="s">
        <v>247</v>
      </c>
      <c r="M928" s="1">
        <v>2011</v>
      </c>
      <c r="N928" s="1" t="s">
        <v>1907</v>
      </c>
      <c r="O928" s="1">
        <v>0</v>
      </c>
      <c r="P928" s="1">
        <v>0</v>
      </c>
      <c r="Q928" s="1">
        <v>0</v>
      </c>
      <c r="R928" s="1">
        <v>0</v>
      </c>
      <c r="S928" s="1" t="s">
        <v>235</v>
      </c>
    </row>
    <row r="929" spans="1:19" ht="14.45" customHeight="1" x14ac:dyDescent="0.25">
      <c r="A929" s="6">
        <v>930</v>
      </c>
      <c r="B929" s="6">
        <v>7900101</v>
      </c>
      <c r="C929" t="s">
        <v>1014</v>
      </c>
      <c r="D929" s="1" t="s">
        <v>1015</v>
      </c>
      <c r="E929" s="21">
        <v>1200</v>
      </c>
      <c r="F929" s="1" t="s">
        <v>233</v>
      </c>
      <c r="G929" s="1" t="s">
        <v>233</v>
      </c>
      <c r="H929" s="6" t="s">
        <v>1951</v>
      </c>
      <c r="I929" s="6" t="s">
        <v>536</v>
      </c>
      <c r="J929" s="6" t="s">
        <v>1852</v>
      </c>
      <c r="K929" s="1">
        <v>0</v>
      </c>
      <c r="L929" s="6" t="s">
        <v>260</v>
      </c>
      <c r="M929" s="1">
        <v>2011</v>
      </c>
      <c r="N929" s="1" t="s">
        <v>1907</v>
      </c>
      <c r="O929" s="1">
        <v>0</v>
      </c>
      <c r="P929" s="1">
        <v>0</v>
      </c>
      <c r="Q929" s="1">
        <v>0</v>
      </c>
      <c r="R929" s="1">
        <v>0</v>
      </c>
      <c r="S929" s="1" t="s">
        <v>235</v>
      </c>
    </row>
    <row r="930" spans="1:19" ht="14.45" customHeight="1" x14ac:dyDescent="0.25">
      <c r="A930" s="6">
        <v>931</v>
      </c>
      <c r="B930" s="6">
        <v>7900101</v>
      </c>
      <c r="C930" t="s">
        <v>1014</v>
      </c>
      <c r="D930" s="1" t="s">
        <v>1015</v>
      </c>
      <c r="E930" s="21">
        <v>1200</v>
      </c>
      <c r="F930" s="1" t="s">
        <v>233</v>
      </c>
      <c r="G930" s="1" t="s">
        <v>233</v>
      </c>
      <c r="H930" s="6" t="s">
        <v>1951</v>
      </c>
      <c r="I930" s="6" t="s">
        <v>536</v>
      </c>
      <c r="J930" s="6" t="s">
        <v>1852</v>
      </c>
      <c r="K930" s="1">
        <v>0</v>
      </c>
      <c r="L930" s="6" t="s">
        <v>272</v>
      </c>
      <c r="M930" s="1">
        <v>2011</v>
      </c>
      <c r="N930" s="1" t="s">
        <v>1907</v>
      </c>
      <c r="O930" s="1">
        <v>0</v>
      </c>
      <c r="P930" s="1">
        <v>0</v>
      </c>
      <c r="Q930" s="1">
        <v>0</v>
      </c>
      <c r="R930" s="1">
        <v>0</v>
      </c>
      <c r="S930" s="1" t="s">
        <v>235</v>
      </c>
    </row>
    <row r="931" spans="1:19" ht="14.45" customHeight="1" x14ac:dyDescent="0.25">
      <c r="A931" s="6">
        <v>932</v>
      </c>
      <c r="B931" s="6">
        <v>7900101</v>
      </c>
      <c r="C931" t="s">
        <v>1014</v>
      </c>
      <c r="D931" s="1" t="s">
        <v>1015</v>
      </c>
      <c r="E931" s="21">
        <v>1240</v>
      </c>
      <c r="F931" s="1" t="s">
        <v>233</v>
      </c>
      <c r="G931" s="1" t="s">
        <v>233</v>
      </c>
      <c r="H931" s="6" t="s">
        <v>1951</v>
      </c>
      <c r="I931" s="6" t="s">
        <v>536</v>
      </c>
      <c r="J931" s="6" t="s">
        <v>1852</v>
      </c>
      <c r="K931" s="1">
        <v>0</v>
      </c>
      <c r="L931" s="6" t="s">
        <v>295</v>
      </c>
      <c r="M931" s="1">
        <v>2011</v>
      </c>
      <c r="N931" s="1" t="s">
        <v>1907</v>
      </c>
      <c r="O931" s="1">
        <v>0</v>
      </c>
      <c r="P931" s="1">
        <v>0</v>
      </c>
      <c r="Q931" s="1">
        <v>0</v>
      </c>
      <c r="R931" s="1">
        <v>0</v>
      </c>
      <c r="S931" s="1" t="s">
        <v>235</v>
      </c>
    </row>
    <row r="932" spans="1:19" ht="14.45" customHeight="1" x14ac:dyDescent="0.25">
      <c r="A932" s="6">
        <v>933</v>
      </c>
      <c r="B932" s="6">
        <v>7900101</v>
      </c>
      <c r="C932" t="s">
        <v>1014</v>
      </c>
      <c r="D932" s="1" t="s">
        <v>1015</v>
      </c>
      <c r="E932" s="21">
        <v>1240</v>
      </c>
      <c r="F932" s="1" t="s">
        <v>233</v>
      </c>
      <c r="G932" s="1" t="s">
        <v>233</v>
      </c>
      <c r="H932" s="6" t="s">
        <v>1951</v>
      </c>
      <c r="I932" s="6" t="s">
        <v>536</v>
      </c>
      <c r="J932" s="6" t="s">
        <v>1852</v>
      </c>
      <c r="K932" s="1">
        <v>0</v>
      </c>
      <c r="L932" s="6" t="s">
        <v>243</v>
      </c>
      <c r="M932" s="1">
        <v>2011</v>
      </c>
      <c r="N932" s="1" t="s">
        <v>1907</v>
      </c>
      <c r="O932" s="1">
        <v>0</v>
      </c>
      <c r="P932" s="1">
        <v>0</v>
      </c>
      <c r="Q932" s="1">
        <v>0</v>
      </c>
      <c r="R932" s="1">
        <v>0</v>
      </c>
      <c r="S932" s="1" t="s">
        <v>235</v>
      </c>
    </row>
    <row r="933" spans="1:19" ht="14.45" customHeight="1" x14ac:dyDescent="0.25">
      <c r="A933" s="6">
        <v>934</v>
      </c>
      <c r="B933" s="6">
        <v>7900101</v>
      </c>
      <c r="C933" t="s">
        <v>1014</v>
      </c>
      <c r="D933" s="1" t="s">
        <v>1015</v>
      </c>
      <c r="E933" s="21">
        <v>1260</v>
      </c>
      <c r="F933" s="1" t="s">
        <v>233</v>
      </c>
      <c r="G933" s="1" t="s">
        <v>233</v>
      </c>
      <c r="H933" s="6" t="s">
        <v>1951</v>
      </c>
      <c r="I933" s="6" t="s">
        <v>536</v>
      </c>
      <c r="J933" s="6" t="s">
        <v>1852</v>
      </c>
      <c r="K933" s="1">
        <v>0</v>
      </c>
      <c r="L933" s="6" t="s">
        <v>269</v>
      </c>
      <c r="M933" s="1">
        <v>2011</v>
      </c>
      <c r="N933" s="1" t="s">
        <v>1907</v>
      </c>
      <c r="O933" s="1">
        <v>0</v>
      </c>
      <c r="P933" s="1">
        <v>0</v>
      </c>
      <c r="Q933" s="1">
        <v>0</v>
      </c>
      <c r="R933" s="1">
        <v>0</v>
      </c>
      <c r="S933" s="1" t="s">
        <v>235</v>
      </c>
    </row>
    <row r="934" spans="1:19" ht="14.45" customHeight="1" x14ac:dyDescent="0.25">
      <c r="A934" s="6">
        <v>935</v>
      </c>
      <c r="B934" s="6">
        <v>7900101</v>
      </c>
      <c r="C934" t="s">
        <v>1014</v>
      </c>
      <c r="D934" s="1" t="s">
        <v>1015</v>
      </c>
      <c r="E934" s="21">
        <v>1260</v>
      </c>
      <c r="F934" s="1" t="s">
        <v>233</v>
      </c>
      <c r="G934" s="1" t="s">
        <v>233</v>
      </c>
      <c r="H934" s="6" t="s">
        <v>1951</v>
      </c>
      <c r="I934" s="6" t="s">
        <v>536</v>
      </c>
      <c r="J934" s="6" t="s">
        <v>1852</v>
      </c>
      <c r="K934" s="1">
        <v>0</v>
      </c>
      <c r="L934" s="6" t="s">
        <v>245</v>
      </c>
      <c r="M934" s="1">
        <v>2011</v>
      </c>
      <c r="N934" s="1" t="s">
        <v>1907</v>
      </c>
      <c r="O934" s="1">
        <v>0</v>
      </c>
      <c r="P934" s="1">
        <v>0</v>
      </c>
      <c r="Q934" s="1">
        <v>0</v>
      </c>
      <c r="R934" s="1">
        <v>0</v>
      </c>
      <c r="S934" s="1" t="s">
        <v>235</v>
      </c>
    </row>
    <row r="935" spans="1:19" ht="14.45" customHeight="1" x14ac:dyDescent="0.25">
      <c r="A935" s="6">
        <v>936</v>
      </c>
      <c r="B935" s="6">
        <v>7900101</v>
      </c>
      <c r="C935" t="s">
        <v>1014</v>
      </c>
      <c r="D935" s="1" t="s">
        <v>1015</v>
      </c>
      <c r="E935" s="21">
        <v>1280</v>
      </c>
      <c r="F935" s="1" t="s">
        <v>233</v>
      </c>
      <c r="G935" s="1" t="s">
        <v>233</v>
      </c>
      <c r="H935" s="6" t="s">
        <v>1951</v>
      </c>
      <c r="I935" s="6" t="s">
        <v>536</v>
      </c>
      <c r="J935" s="6" t="s">
        <v>1852</v>
      </c>
      <c r="K935" s="1">
        <v>0</v>
      </c>
      <c r="L935" s="6" t="s">
        <v>279</v>
      </c>
      <c r="M935" s="1">
        <v>2011</v>
      </c>
      <c r="N935" s="1" t="s">
        <v>1907</v>
      </c>
      <c r="O935" s="1">
        <v>0</v>
      </c>
      <c r="P935" s="1">
        <v>0</v>
      </c>
      <c r="Q935" s="1">
        <v>0</v>
      </c>
      <c r="R935" s="1">
        <v>0</v>
      </c>
      <c r="S935" s="1" t="s">
        <v>235</v>
      </c>
    </row>
    <row r="936" spans="1:19" ht="14.45" customHeight="1" x14ac:dyDescent="0.25">
      <c r="A936" s="6">
        <v>937</v>
      </c>
      <c r="B936" s="6">
        <v>7900101</v>
      </c>
      <c r="C936" t="s">
        <v>1014</v>
      </c>
      <c r="D936" s="1" t="s">
        <v>1015</v>
      </c>
      <c r="E936" s="21">
        <v>1320</v>
      </c>
      <c r="F936" s="1" t="s">
        <v>233</v>
      </c>
      <c r="G936" s="1" t="s">
        <v>233</v>
      </c>
      <c r="H936" s="6" t="s">
        <v>1951</v>
      </c>
      <c r="I936" s="6" t="s">
        <v>536</v>
      </c>
      <c r="J936" s="6" t="s">
        <v>1852</v>
      </c>
      <c r="K936" s="1">
        <v>0</v>
      </c>
      <c r="L936" s="6" t="s">
        <v>296</v>
      </c>
      <c r="M936" s="1">
        <v>2011</v>
      </c>
      <c r="N936" s="1" t="s">
        <v>1907</v>
      </c>
      <c r="O936" s="1">
        <v>0</v>
      </c>
      <c r="P936" s="1">
        <v>0</v>
      </c>
      <c r="Q936" s="1">
        <v>0</v>
      </c>
      <c r="R936" s="1">
        <v>0</v>
      </c>
      <c r="S936" s="1" t="s">
        <v>235</v>
      </c>
    </row>
    <row r="937" spans="1:19" ht="14.45" customHeight="1" x14ac:dyDescent="0.25">
      <c r="A937" s="6">
        <v>938</v>
      </c>
      <c r="B937" s="6">
        <v>7900101</v>
      </c>
      <c r="C937" t="s">
        <v>1014</v>
      </c>
      <c r="D937" s="1" t="s">
        <v>1015</v>
      </c>
      <c r="E937" s="21">
        <v>1400</v>
      </c>
      <c r="F937" s="1" t="s">
        <v>233</v>
      </c>
      <c r="G937" s="1" t="s">
        <v>233</v>
      </c>
      <c r="H937" s="6" t="s">
        <v>1951</v>
      </c>
      <c r="I937" s="6" t="s">
        <v>536</v>
      </c>
      <c r="J937" s="6" t="s">
        <v>1852</v>
      </c>
      <c r="K937" s="1">
        <v>0</v>
      </c>
      <c r="L937" s="6" t="s">
        <v>261</v>
      </c>
      <c r="M937" s="1">
        <v>2011</v>
      </c>
      <c r="N937" s="1" t="s">
        <v>1907</v>
      </c>
      <c r="O937" s="1">
        <v>0</v>
      </c>
      <c r="P937" s="1">
        <v>0</v>
      </c>
      <c r="Q937" s="1">
        <v>0</v>
      </c>
      <c r="R937" s="1">
        <v>0</v>
      </c>
      <c r="S937" s="1" t="s">
        <v>235</v>
      </c>
    </row>
    <row r="938" spans="1:19" ht="14.45" customHeight="1" x14ac:dyDescent="0.25">
      <c r="A938" s="6">
        <v>939</v>
      </c>
      <c r="B938" s="6">
        <v>7900101</v>
      </c>
      <c r="C938" t="s">
        <v>1014</v>
      </c>
      <c r="D938" s="1" t="s">
        <v>1015</v>
      </c>
      <c r="E938" s="21">
        <v>1400</v>
      </c>
      <c r="F938" s="1" t="s">
        <v>233</v>
      </c>
      <c r="G938" s="1" t="s">
        <v>233</v>
      </c>
      <c r="H938" s="6" t="s">
        <v>1951</v>
      </c>
      <c r="I938" s="6" t="s">
        <v>536</v>
      </c>
      <c r="J938" s="6" t="s">
        <v>1852</v>
      </c>
      <c r="K938" s="1">
        <v>0</v>
      </c>
      <c r="L938" s="6" t="s">
        <v>297</v>
      </c>
      <c r="M938" s="1">
        <v>2011</v>
      </c>
      <c r="N938" s="1" t="s">
        <v>1907</v>
      </c>
      <c r="O938" s="1">
        <v>0</v>
      </c>
      <c r="P938" s="1">
        <v>0</v>
      </c>
      <c r="Q938" s="1">
        <v>0</v>
      </c>
      <c r="R938" s="1">
        <v>0</v>
      </c>
      <c r="S938" s="1" t="s">
        <v>235</v>
      </c>
    </row>
    <row r="939" spans="1:19" ht="14.45" customHeight="1" x14ac:dyDescent="0.25">
      <c r="A939" s="6">
        <v>940</v>
      </c>
      <c r="B939" s="6">
        <v>7900101</v>
      </c>
      <c r="C939" t="s">
        <v>1014</v>
      </c>
      <c r="D939" s="1" t="s">
        <v>1015</v>
      </c>
      <c r="E939" s="21">
        <v>1520</v>
      </c>
      <c r="F939" s="1" t="s">
        <v>233</v>
      </c>
      <c r="G939" s="1" t="s">
        <v>233</v>
      </c>
      <c r="H939" s="6" t="s">
        <v>1951</v>
      </c>
      <c r="I939" s="6" t="s">
        <v>536</v>
      </c>
      <c r="J939" s="6" t="s">
        <v>1852</v>
      </c>
      <c r="K939" s="1">
        <v>0</v>
      </c>
      <c r="L939" s="6" t="s">
        <v>282</v>
      </c>
      <c r="M939" s="1">
        <v>2011</v>
      </c>
      <c r="N939" s="1" t="s">
        <v>1907</v>
      </c>
      <c r="O939" s="1">
        <v>0</v>
      </c>
      <c r="P939" s="1">
        <v>0</v>
      </c>
      <c r="Q939" s="1">
        <v>0</v>
      </c>
      <c r="R939" s="1">
        <v>0</v>
      </c>
      <c r="S939" s="1" t="s">
        <v>235</v>
      </c>
    </row>
    <row r="940" spans="1:19" ht="14.45" customHeight="1" x14ac:dyDescent="0.25">
      <c r="A940" s="6">
        <v>941</v>
      </c>
      <c r="B940" s="6">
        <v>7900101</v>
      </c>
      <c r="C940" t="s">
        <v>1014</v>
      </c>
      <c r="D940" s="1" t="s">
        <v>1015</v>
      </c>
      <c r="E940" s="21">
        <v>1600</v>
      </c>
      <c r="F940" s="1" t="s">
        <v>233</v>
      </c>
      <c r="G940" s="1" t="s">
        <v>233</v>
      </c>
      <c r="H940" s="6" t="s">
        <v>1951</v>
      </c>
      <c r="I940" s="6" t="s">
        <v>536</v>
      </c>
      <c r="J940" s="6" t="s">
        <v>1852</v>
      </c>
      <c r="K940" s="1">
        <v>0</v>
      </c>
      <c r="L940" s="6" t="s">
        <v>263</v>
      </c>
      <c r="M940" s="1">
        <v>2011</v>
      </c>
      <c r="N940" s="1" t="s">
        <v>1907</v>
      </c>
      <c r="O940" s="1">
        <v>0</v>
      </c>
      <c r="P940" s="1">
        <v>0</v>
      </c>
      <c r="Q940" s="1">
        <v>0</v>
      </c>
      <c r="R940" s="1">
        <v>0</v>
      </c>
      <c r="S940" s="1" t="s">
        <v>235</v>
      </c>
    </row>
    <row r="941" spans="1:19" ht="14.45" customHeight="1" x14ac:dyDescent="0.25">
      <c r="A941" s="6">
        <v>942</v>
      </c>
      <c r="B941" s="6">
        <v>7900101</v>
      </c>
      <c r="C941" t="s">
        <v>1014</v>
      </c>
      <c r="D941" s="1" t="s">
        <v>1015</v>
      </c>
      <c r="E941" s="21">
        <v>1746.6666666666665</v>
      </c>
      <c r="F941" s="1" t="s">
        <v>233</v>
      </c>
      <c r="G941" s="1" t="s">
        <v>233</v>
      </c>
      <c r="H941" s="6" t="s">
        <v>1951</v>
      </c>
      <c r="I941" s="6" t="s">
        <v>536</v>
      </c>
      <c r="J941" s="6" t="s">
        <v>1852</v>
      </c>
      <c r="K941" s="1">
        <v>0</v>
      </c>
      <c r="L941" s="6" t="s">
        <v>246</v>
      </c>
      <c r="M941" s="1">
        <v>2011</v>
      </c>
      <c r="N941" s="1" t="s">
        <v>1907</v>
      </c>
      <c r="O941" s="1">
        <v>0</v>
      </c>
      <c r="P941" s="1">
        <v>0</v>
      </c>
      <c r="Q941" s="1">
        <v>0</v>
      </c>
      <c r="R941" s="1">
        <v>0</v>
      </c>
      <c r="S941" s="1" t="s">
        <v>235</v>
      </c>
    </row>
    <row r="942" spans="1:19" ht="14.45" customHeight="1" x14ac:dyDescent="0.25">
      <c r="A942" s="6">
        <v>943</v>
      </c>
      <c r="B942" s="6">
        <v>7900101</v>
      </c>
      <c r="C942" t="s">
        <v>1014</v>
      </c>
      <c r="D942" s="1" t="s">
        <v>1015</v>
      </c>
      <c r="E942" s="21">
        <v>1800</v>
      </c>
      <c r="F942" s="1" t="s">
        <v>233</v>
      </c>
      <c r="G942" s="1" t="s">
        <v>233</v>
      </c>
      <c r="H942" s="6" t="s">
        <v>1951</v>
      </c>
      <c r="I942" s="6" t="s">
        <v>536</v>
      </c>
      <c r="J942" s="6" t="s">
        <v>1852</v>
      </c>
      <c r="K942" s="1">
        <v>0</v>
      </c>
      <c r="L942" s="6" t="s">
        <v>298</v>
      </c>
      <c r="M942" s="1">
        <v>2011</v>
      </c>
      <c r="N942" s="1" t="s">
        <v>1907</v>
      </c>
      <c r="O942" s="1">
        <v>0</v>
      </c>
      <c r="P942" s="1">
        <v>0</v>
      </c>
      <c r="Q942" s="1">
        <v>0</v>
      </c>
      <c r="R942" s="1">
        <v>0</v>
      </c>
      <c r="S942" s="1" t="s">
        <v>235</v>
      </c>
    </row>
    <row r="943" spans="1:19" ht="14.45" customHeight="1" x14ac:dyDescent="0.25">
      <c r="A943" s="6">
        <v>944</v>
      </c>
      <c r="B943" s="6">
        <v>7900101</v>
      </c>
      <c r="C943" t="s">
        <v>1014</v>
      </c>
      <c r="D943" s="1" t="s">
        <v>1015</v>
      </c>
      <c r="E943" s="21">
        <v>1840</v>
      </c>
      <c r="F943" s="1" t="s">
        <v>233</v>
      </c>
      <c r="G943" s="1" t="s">
        <v>233</v>
      </c>
      <c r="H943" s="6" t="s">
        <v>1951</v>
      </c>
      <c r="I943" s="6" t="s">
        <v>536</v>
      </c>
      <c r="J943" s="6" t="s">
        <v>1852</v>
      </c>
      <c r="K943" s="1">
        <v>0</v>
      </c>
      <c r="L943" s="6" t="s">
        <v>274</v>
      </c>
      <c r="M943" s="1">
        <v>2011</v>
      </c>
      <c r="N943" s="1" t="s">
        <v>1907</v>
      </c>
      <c r="O943" s="1">
        <v>0</v>
      </c>
      <c r="P943" s="1">
        <v>0</v>
      </c>
      <c r="Q943" s="1">
        <v>0</v>
      </c>
      <c r="R943" s="1">
        <v>0</v>
      </c>
      <c r="S943" s="1" t="s">
        <v>235</v>
      </c>
    </row>
    <row r="944" spans="1:19" ht="14.45" customHeight="1" x14ac:dyDescent="0.25">
      <c r="A944" s="6">
        <v>945</v>
      </c>
      <c r="B944" s="6">
        <v>7900101</v>
      </c>
      <c r="C944" t="s">
        <v>1014</v>
      </c>
      <c r="D944" s="1" t="s">
        <v>1015</v>
      </c>
      <c r="E944" s="21">
        <v>1880</v>
      </c>
      <c r="F944" s="1" t="s">
        <v>233</v>
      </c>
      <c r="G944" s="1" t="s">
        <v>233</v>
      </c>
      <c r="H944" s="6" t="s">
        <v>1951</v>
      </c>
      <c r="I944" s="6" t="s">
        <v>536</v>
      </c>
      <c r="J944" s="6" t="s">
        <v>1852</v>
      </c>
      <c r="K944" s="1">
        <v>0</v>
      </c>
      <c r="L944" s="6" t="s">
        <v>243</v>
      </c>
      <c r="M944" s="1">
        <v>2011</v>
      </c>
      <c r="N944" s="1" t="s">
        <v>1907</v>
      </c>
      <c r="O944" s="1">
        <v>0</v>
      </c>
      <c r="P944" s="1">
        <v>0</v>
      </c>
      <c r="Q944" s="1">
        <v>0</v>
      </c>
      <c r="R944" s="1">
        <v>0</v>
      </c>
      <c r="S944" s="1" t="s">
        <v>235</v>
      </c>
    </row>
    <row r="945" spans="1:19" ht="14.45" customHeight="1" x14ac:dyDescent="0.25">
      <c r="A945" s="6">
        <v>946</v>
      </c>
      <c r="B945" s="6">
        <v>7900101</v>
      </c>
      <c r="C945" t="s">
        <v>1014</v>
      </c>
      <c r="D945" s="1" t="s">
        <v>1015</v>
      </c>
      <c r="E945" s="21">
        <v>1920</v>
      </c>
      <c r="F945" s="1" t="s">
        <v>233</v>
      </c>
      <c r="G945" s="1" t="s">
        <v>233</v>
      </c>
      <c r="H945" s="6" t="s">
        <v>1951</v>
      </c>
      <c r="I945" s="6" t="s">
        <v>536</v>
      </c>
      <c r="J945" s="6" t="s">
        <v>1852</v>
      </c>
      <c r="K945" s="1">
        <v>0</v>
      </c>
      <c r="L945" s="6" t="s">
        <v>299</v>
      </c>
      <c r="M945" s="1">
        <v>2011</v>
      </c>
      <c r="N945" s="1" t="s">
        <v>1907</v>
      </c>
      <c r="O945" s="1">
        <v>0</v>
      </c>
      <c r="P945" s="1">
        <v>0</v>
      </c>
      <c r="Q945" s="1">
        <v>0</v>
      </c>
      <c r="R945" s="1">
        <v>0</v>
      </c>
      <c r="S945" s="1" t="s">
        <v>235</v>
      </c>
    </row>
    <row r="946" spans="1:19" ht="14.45" customHeight="1" x14ac:dyDescent="0.25">
      <c r="A946" s="6">
        <v>947</v>
      </c>
      <c r="B946" s="6">
        <v>7900101</v>
      </c>
      <c r="C946" t="s">
        <v>1014</v>
      </c>
      <c r="D946" s="1" t="s">
        <v>1015</v>
      </c>
      <c r="E946" s="21">
        <v>2160</v>
      </c>
      <c r="F946" s="1" t="s">
        <v>233</v>
      </c>
      <c r="G946" s="1" t="s">
        <v>233</v>
      </c>
      <c r="H946" s="6" t="s">
        <v>1951</v>
      </c>
      <c r="I946" s="6" t="s">
        <v>536</v>
      </c>
      <c r="J946" s="6" t="s">
        <v>1852</v>
      </c>
      <c r="K946" s="1">
        <v>0</v>
      </c>
      <c r="L946" s="6" t="s">
        <v>233</v>
      </c>
      <c r="M946" s="1">
        <v>2011</v>
      </c>
      <c r="N946" s="1" t="s">
        <v>1907</v>
      </c>
      <c r="O946" s="1">
        <v>0</v>
      </c>
      <c r="P946" s="1">
        <v>0</v>
      </c>
      <c r="Q946" s="1">
        <v>0</v>
      </c>
      <c r="R946" s="1">
        <v>0</v>
      </c>
      <c r="S946" s="1" t="s">
        <v>235</v>
      </c>
    </row>
    <row r="947" spans="1:19" ht="14.45" customHeight="1" x14ac:dyDescent="0.25">
      <c r="A947" s="6">
        <v>948</v>
      </c>
      <c r="B947" s="6">
        <v>7900101</v>
      </c>
      <c r="C947" t="s">
        <v>1014</v>
      </c>
      <c r="D947" s="1" t="s">
        <v>1015</v>
      </c>
      <c r="E947" s="21">
        <v>2360</v>
      </c>
      <c r="F947" s="1" t="s">
        <v>233</v>
      </c>
      <c r="G947" s="1" t="s">
        <v>233</v>
      </c>
      <c r="H947" s="6" t="s">
        <v>1951</v>
      </c>
      <c r="I947" s="6" t="s">
        <v>536</v>
      </c>
      <c r="J947" s="6" t="s">
        <v>1852</v>
      </c>
      <c r="K947" s="1">
        <v>0</v>
      </c>
      <c r="L947" s="6" t="s">
        <v>300</v>
      </c>
      <c r="M947" s="1">
        <v>2011</v>
      </c>
      <c r="N947" s="1" t="s">
        <v>1907</v>
      </c>
      <c r="O947" s="1">
        <v>0</v>
      </c>
      <c r="P947" s="1">
        <v>0</v>
      </c>
      <c r="Q947" s="1">
        <v>0</v>
      </c>
      <c r="R947" s="1">
        <v>0</v>
      </c>
      <c r="S947" s="1" t="s">
        <v>235</v>
      </c>
    </row>
    <row r="948" spans="1:19" ht="14.45" customHeight="1" x14ac:dyDescent="0.25">
      <c r="A948" s="6">
        <v>949</v>
      </c>
      <c r="B948" s="6">
        <v>7900101</v>
      </c>
      <c r="C948" t="s">
        <v>1014</v>
      </c>
      <c r="D948" s="1" t="s">
        <v>1015</v>
      </c>
      <c r="E948" s="21">
        <v>2440</v>
      </c>
      <c r="F948" s="1" t="s">
        <v>233</v>
      </c>
      <c r="G948" s="1" t="s">
        <v>233</v>
      </c>
      <c r="H948" s="6" t="s">
        <v>1951</v>
      </c>
      <c r="I948" s="6" t="s">
        <v>536</v>
      </c>
      <c r="J948" s="6" t="s">
        <v>1852</v>
      </c>
      <c r="K948" s="1">
        <v>0</v>
      </c>
      <c r="L948" s="6" t="s">
        <v>301</v>
      </c>
      <c r="M948" s="1">
        <v>2011</v>
      </c>
      <c r="N948" s="1" t="s">
        <v>1907</v>
      </c>
      <c r="O948" s="1">
        <v>0</v>
      </c>
      <c r="P948" s="1">
        <v>0</v>
      </c>
      <c r="Q948" s="1">
        <v>0</v>
      </c>
      <c r="R948" s="1">
        <v>0</v>
      </c>
      <c r="S948" s="1" t="s">
        <v>235</v>
      </c>
    </row>
    <row r="949" spans="1:19" ht="14.45" customHeight="1" x14ac:dyDescent="0.25">
      <c r="A949" s="6">
        <v>950</v>
      </c>
      <c r="B949" s="6">
        <v>7900101</v>
      </c>
      <c r="C949" t="s">
        <v>1014</v>
      </c>
      <c r="D949" s="1" t="s">
        <v>1015</v>
      </c>
      <c r="E949" s="21">
        <v>3120</v>
      </c>
      <c r="F949" s="1" t="s">
        <v>233</v>
      </c>
      <c r="G949" s="1" t="s">
        <v>233</v>
      </c>
      <c r="H949" s="6" t="s">
        <v>1951</v>
      </c>
      <c r="I949" s="6" t="s">
        <v>536</v>
      </c>
      <c r="J949" s="6" t="s">
        <v>1852</v>
      </c>
      <c r="K949" s="1">
        <v>0</v>
      </c>
      <c r="L949" s="6" t="s">
        <v>302</v>
      </c>
      <c r="M949" s="1">
        <v>2011</v>
      </c>
      <c r="N949" s="1" t="s">
        <v>1907</v>
      </c>
      <c r="O949" s="1">
        <v>0</v>
      </c>
      <c r="P949" s="1" t="s">
        <v>1952</v>
      </c>
      <c r="Q949" s="1">
        <v>0</v>
      </c>
      <c r="R949" s="1">
        <v>0</v>
      </c>
      <c r="S949" s="1" t="s">
        <v>235</v>
      </c>
    </row>
    <row r="950" spans="1:19" ht="14.45" customHeight="1" x14ac:dyDescent="0.25">
      <c r="A950" s="6">
        <v>951</v>
      </c>
      <c r="B950" s="6">
        <v>7900101</v>
      </c>
      <c r="C950" t="s">
        <v>1014</v>
      </c>
      <c r="D950" s="1" t="s">
        <v>1015</v>
      </c>
      <c r="E950" s="21">
        <v>1720</v>
      </c>
      <c r="F950" s="1" t="s">
        <v>233</v>
      </c>
      <c r="G950" s="1" t="s">
        <v>233</v>
      </c>
      <c r="H950" s="6" t="s">
        <v>1951</v>
      </c>
      <c r="I950" s="6" t="s">
        <v>1021</v>
      </c>
      <c r="J950" s="6" t="s">
        <v>1849</v>
      </c>
      <c r="K950" s="1">
        <v>0</v>
      </c>
      <c r="L950" s="6" t="s">
        <v>238</v>
      </c>
      <c r="M950" s="1">
        <v>2008</v>
      </c>
      <c r="N950" s="1" t="s">
        <v>1859</v>
      </c>
      <c r="O950" s="1">
        <v>0</v>
      </c>
      <c r="P950" s="1">
        <v>0</v>
      </c>
      <c r="Q950" s="1">
        <v>0</v>
      </c>
      <c r="R950" s="1">
        <v>0</v>
      </c>
      <c r="S950" s="1" t="s">
        <v>235</v>
      </c>
    </row>
    <row r="951" spans="1:19" ht="14.45" customHeight="1" x14ac:dyDescent="0.25">
      <c r="A951" s="6">
        <v>952</v>
      </c>
      <c r="B951" s="6">
        <v>7900101</v>
      </c>
      <c r="C951" t="s">
        <v>1014</v>
      </c>
      <c r="D951" s="1" t="s">
        <v>1015</v>
      </c>
      <c r="E951" s="21">
        <v>826</v>
      </c>
      <c r="F951" s="1" t="s">
        <v>233</v>
      </c>
      <c r="G951" s="1" t="s">
        <v>233</v>
      </c>
      <c r="H951" s="6" t="s">
        <v>1951</v>
      </c>
      <c r="I951" s="6" t="s">
        <v>538</v>
      </c>
      <c r="J951" s="6" t="s">
        <v>1849</v>
      </c>
      <c r="K951" s="1">
        <v>0</v>
      </c>
      <c r="L951" s="6" t="s">
        <v>268</v>
      </c>
      <c r="M951" s="1">
        <v>2010</v>
      </c>
      <c r="N951" s="1" t="s">
        <v>237</v>
      </c>
      <c r="O951" s="1">
        <v>0</v>
      </c>
      <c r="P951" s="1">
        <v>0</v>
      </c>
      <c r="Q951" s="1">
        <v>0</v>
      </c>
      <c r="R951" s="1">
        <v>0</v>
      </c>
      <c r="S951" s="1" t="s">
        <v>235</v>
      </c>
    </row>
    <row r="952" spans="1:19" ht="14.45" customHeight="1" x14ac:dyDescent="0.25">
      <c r="A952" s="6">
        <v>953</v>
      </c>
      <c r="B952" s="6">
        <v>7900101</v>
      </c>
      <c r="C952" t="s">
        <v>1014</v>
      </c>
      <c r="D952" s="1" t="s">
        <v>1015</v>
      </c>
      <c r="E952" s="21">
        <v>921.25</v>
      </c>
      <c r="F952" s="1" t="s">
        <v>233</v>
      </c>
      <c r="G952" s="1" t="s">
        <v>233</v>
      </c>
      <c r="H952" s="6" t="s">
        <v>1951</v>
      </c>
      <c r="I952" s="6" t="s">
        <v>538</v>
      </c>
      <c r="J952" s="6" t="s">
        <v>1849</v>
      </c>
      <c r="K952" s="1">
        <v>0</v>
      </c>
      <c r="L952" s="6" t="s">
        <v>268</v>
      </c>
      <c r="M952" s="1">
        <v>2010</v>
      </c>
      <c r="N952" s="1" t="s">
        <v>1859</v>
      </c>
      <c r="O952" s="1">
        <v>0</v>
      </c>
      <c r="P952" s="1">
        <v>0</v>
      </c>
      <c r="Q952" s="1">
        <v>0</v>
      </c>
      <c r="R952" s="1">
        <v>0</v>
      </c>
      <c r="S952" s="1" t="s">
        <v>235</v>
      </c>
    </row>
    <row r="953" spans="1:19" ht="14.45" customHeight="1" x14ac:dyDescent="0.25">
      <c r="A953" s="6">
        <v>954</v>
      </c>
      <c r="B953" s="6">
        <v>7900101</v>
      </c>
      <c r="C953" t="s">
        <v>1014</v>
      </c>
      <c r="D953" s="1" t="s">
        <v>1015</v>
      </c>
      <c r="E953" s="21">
        <v>1050</v>
      </c>
      <c r="F953" s="1" t="s">
        <v>233</v>
      </c>
      <c r="G953" s="1" t="s">
        <v>233</v>
      </c>
      <c r="H953" s="6" t="s">
        <v>1951</v>
      </c>
      <c r="I953" s="6" t="s">
        <v>540</v>
      </c>
      <c r="J953" s="6" t="s">
        <v>1849</v>
      </c>
      <c r="K953" s="1">
        <v>0</v>
      </c>
      <c r="L953" s="6" t="s">
        <v>258</v>
      </c>
      <c r="M953" s="1">
        <v>2003</v>
      </c>
      <c r="N953" s="1" t="s">
        <v>237</v>
      </c>
      <c r="O953" s="1">
        <v>0</v>
      </c>
      <c r="P953" s="1">
        <v>0</v>
      </c>
      <c r="Q953" s="1">
        <v>0</v>
      </c>
      <c r="R953" s="1">
        <v>0</v>
      </c>
      <c r="S953" s="1" t="s">
        <v>235</v>
      </c>
    </row>
    <row r="954" spans="1:19" ht="14.45" customHeight="1" x14ac:dyDescent="0.25">
      <c r="A954" s="6">
        <v>955</v>
      </c>
      <c r="B954" s="6">
        <v>7900101</v>
      </c>
      <c r="C954" t="s">
        <v>1014</v>
      </c>
      <c r="D954" s="1" t="s">
        <v>1015</v>
      </c>
      <c r="E954" s="21">
        <v>1105.5</v>
      </c>
      <c r="F954" s="1" t="s">
        <v>233</v>
      </c>
      <c r="G954" s="1" t="s">
        <v>233</v>
      </c>
      <c r="H954" s="6" t="s">
        <v>1951</v>
      </c>
      <c r="I954" s="6" t="s">
        <v>555</v>
      </c>
      <c r="J954" s="6" t="s">
        <v>1852</v>
      </c>
      <c r="K954" s="1">
        <v>0</v>
      </c>
      <c r="L954" s="6" t="s">
        <v>252</v>
      </c>
      <c r="M954" s="1">
        <v>2010</v>
      </c>
      <c r="N954" s="1" t="s">
        <v>237</v>
      </c>
      <c r="O954" s="1">
        <v>0</v>
      </c>
      <c r="P954" s="1">
        <v>0</v>
      </c>
      <c r="Q954" s="1">
        <v>0</v>
      </c>
      <c r="R954" s="1">
        <v>0</v>
      </c>
      <c r="S954" s="1" t="s">
        <v>235</v>
      </c>
    </row>
    <row r="955" spans="1:19" ht="14.45" customHeight="1" x14ac:dyDescent="0.25">
      <c r="A955" s="6">
        <v>956</v>
      </c>
      <c r="B955" s="6">
        <v>7900101</v>
      </c>
      <c r="C955" t="s">
        <v>1014</v>
      </c>
      <c r="D955" s="1" t="s">
        <v>1015</v>
      </c>
      <c r="E955" s="21">
        <v>1243.3333333333335</v>
      </c>
      <c r="F955" s="1" t="s">
        <v>233</v>
      </c>
      <c r="G955" s="1" t="s">
        <v>233</v>
      </c>
      <c r="H955" s="6" t="s">
        <v>1951</v>
      </c>
      <c r="I955" s="6" t="s">
        <v>563</v>
      </c>
      <c r="J955" s="6" t="s">
        <v>1853</v>
      </c>
      <c r="K955" s="1">
        <v>0</v>
      </c>
      <c r="L955" s="6" t="s">
        <v>259</v>
      </c>
      <c r="M955" s="1">
        <v>2011</v>
      </c>
      <c r="N955" s="1" t="s">
        <v>1907</v>
      </c>
      <c r="O955" s="1">
        <v>0</v>
      </c>
      <c r="P955" s="1">
        <v>0</v>
      </c>
      <c r="Q955" s="1">
        <v>0</v>
      </c>
      <c r="R955" s="1">
        <v>0</v>
      </c>
      <c r="S955" s="1" t="s">
        <v>235</v>
      </c>
    </row>
    <row r="956" spans="1:19" ht="14.45" customHeight="1" x14ac:dyDescent="0.25">
      <c r="A956" s="6">
        <v>957</v>
      </c>
      <c r="B956" s="6">
        <v>7900101</v>
      </c>
      <c r="C956" t="s">
        <v>1014</v>
      </c>
      <c r="D956" s="1" t="s">
        <v>1015</v>
      </c>
      <c r="E956" s="21">
        <v>1296.666666666667</v>
      </c>
      <c r="F956" s="1" t="s">
        <v>233</v>
      </c>
      <c r="G956" s="1" t="s">
        <v>233</v>
      </c>
      <c r="H956" s="6" t="s">
        <v>1951</v>
      </c>
      <c r="I956" s="6" t="s">
        <v>563</v>
      </c>
      <c r="J956" s="6" t="s">
        <v>1853</v>
      </c>
      <c r="K956" s="1">
        <v>0</v>
      </c>
      <c r="L956" s="6" t="s">
        <v>259</v>
      </c>
      <c r="M956" s="1">
        <v>2011</v>
      </c>
      <c r="N956" s="1" t="s">
        <v>1911</v>
      </c>
      <c r="O956" s="1">
        <v>0</v>
      </c>
      <c r="P956" s="1">
        <v>0</v>
      </c>
      <c r="Q956" s="1">
        <v>0</v>
      </c>
      <c r="R956" s="1">
        <v>0</v>
      </c>
      <c r="S956" s="1" t="s">
        <v>235</v>
      </c>
    </row>
    <row r="957" spans="1:19" ht="14.45" customHeight="1" x14ac:dyDescent="0.25">
      <c r="A957" s="6">
        <v>958</v>
      </c>
      <c r="B957" s="6">
        <v>7900101</v>
      </c>
      <c r="C957" t="s">
        <v>1014</v>
      </c>
      <c r="D957" s="1" t="s">
        <v>1015</v>
      </c>
      <c r="E957" s="21">
        <v>1010</v>
      </c>
      <c r="F957" s="1" t="s">
        <v>233</v>
      </c>
      <c r="G957" s="1" t="s">
        <v>233</v>
      </c>
      <c r="H957" s="6" t="s">
        <v>1951</v>
      </c>
      <c r="I957" s="6" t="s">
        <v>565</v>
      </c>
      <c r="J957" s="6" t="s">
        <v>1853</v>
      </c>
      <c r="K957" s="1">
        <v>0</v>
      </c>
      <c r="L957" s="6" t="s">
        <v>271</v>
      </c>
      <c r="M957" s="1">
        <v>2012</v>
      </c>
      <c r="N957" s="1" t="s">
        <v>1908</v>
      </c>
      <c r="O957" s="1">
        <v>0</v>
      </c>
      <c r="P957" s="1">
        <v>0</v>
      </c>
      <c r="Q957" s="1">
        <v>0</v>
      </c>
      <c r="R957" s="1">
        <v>0</v>
      </c>
      <c r="S957" s="1" t="s">
        <v>235</v>
      </c>
    </row>
    <row r="958" spans="1:19" ht="14.45" customHeight="1" x14ac:dyDescent="0.25">
      <c r="A958" s="6">
        <v>959</v>
      </c>
      <c r="B958" s="6">
        <v>7900101</v>
      </c>
      <c r="C958" t="s">
        <v>1014</v>
      </c>
      <c r="D958" s="1" t="s">
        <v>1015</v>
      </c>
      <c r="E958" s="21">
        <v>940</v>
      </c>
      <c r="F958" s="1" t="s">
        <v>233</v>
      </c>
      <c r="G958" s="1" t="s">
        <v>233</v>
      </c>
      <c r="H958" s="6" t="s">
        <v>1951</v>
      </c>
      <c r="I958" s="6" t="s">
        <v>576</v>
      </c>
      <c r="J958" s="6" t="s">
        <v>1851</v>
      </c>
      <c r="K958" s="1">
        <v>0</v>
      </c>
      <c r="L958" s="6" t="s">
        <v>272</v>
      </c>
      <c r="M958" s="1">
        <v>2007</v>
      </c>
      <c r="N958" s="1" t="s">
        <v>237</v>
      </c>
      <c r="O958" s="1">
        <v>0</v>
      </c>
      <c r="P958" s="1">
        <v>0</v>
      </c>
      <c r="Q958" s="1">
        <v>0</v>
      </c>
      <c r="R958" s="1">
        <v>0</v>
      </c>
      <c r="S958" s="1" t="s">
        <v>235</v>
      </c>
    </row>
    <row r="959" spans="1:19" ht="14.45" customHeight="1" x14ac:dyDescent="0.25">
      <c r="A959" s="6">
        <v>960</v>
      </c>
      <c r="B959" s="6">
        <v>7900101</v>
      </c>
      <c r="C959" t="s">
        <v>1014</v>
      </c>
      <c r="D959" s="1" t="s">
        <v>1015</v>
      </c>
      <c r="E959" s="21">
        <v>1300</v>
      </c>
      <c r="F959" s="1" t="s">
        <v>233</v>
      </c>
      <c r="G959" s="1" t="s">
        <v>233</v>
      </c>
      <c r="H959" s="6" t="s">
        <v>1951</v>
      </c>
      <c r="I959" s="6" t="s">
        <v>579</v>
      </c>
      <c r="J959" s="6" t="s">
        <v>1853</v>
      </c>
      <c r="K959" s="1">
        <v>0</v>
      </c>
      <c r="L959" s="6" t="s">
        <v>233</v>
      </c>
      <c r="M959" s="1">
        <v>2011</v>
      </c>
      <c r="N959" s="1" t="s">
        <v>237</v>
      </c>
      <c r="O959" s="1">
        <v>0</v>
      </c>
      <c r="P959" s="1">
        <v>0</v>
      </c>
      <c r="Q959" s="1">
        <v>0</v>
      </c>
      <c r="R959" s="1">
        <v>0</v>
      </c>
      <c r="S959" s="1" t="s">
        <v>235</v>
      </c>
    </row>
    <row r="960" spans="1:19" ht="14.45" customHeight="1" x14ac:dyDescent="0.25">
      <c r="A960" s="6">
        <v>961</v>
      </c>
      <c r="B960" s="6">
        <v>7900101</v>
      </c>
      <c r="C960" t="s">
        <v>1014</v>
      </c>
      <c r="D960" s="1" t="s">
        <v>1015</v>
      </c>
      <c r="E960" s="21" t="s">
        <v>237</v>
      </c>
      <c r="F960" s="1" t="s">
        <v>233</v>
      </c>
      <c r="G960" s="19">
        <v>19.929328621908127</v>
      </c>
      <c r="H960" s="6" t="s">
        <v>1951</v>
      </c>
      <c r="I960" s="6" t="s">
        <v>580</v>
      </c>
      <c r="J960" s="6" t="s">
        <v>1851</v>
      </c>
      <c r="K960" s="1">
        <v>0</v>
      </c>
      <c r="L960" s="6" t="s">
        <v>243</v>
      </c>
      <c r="M960" s="1">
        <v>2008</v>
      </c>
      <c r="N960" s="1" t="s">
        <v>237</v>
      </c>
      <c r="O960" s="1">
        <v>0</v>
      </c>
      <c r="P960" s="1">
        <v>0</v>
      </c>
      <c r="Q960" s="1">
        <v>0</v>
      </c>
      <c r="R960" s="1" t="s">
        <v>1956</v>
      </c>
      <c r="S960" s="1" t="s">
        <v>251</v>
      </c>
    </row>
    <row r="961" spans="1:19" ht="14.45" customHeight="1" x14ac:dyDescent="0.25">
      <c r="A961" s="6">
        <v>962</v>
      </c>
      <c r="B961" s="6">
        <v>7900101</v>
      </c>
      <c r="C961" t="s">
        <v>1014</v>
      </c>
      <c r="D961" s="1" t="s">
        <v>1015</v>
      </c>
      <c r="E961" s="21">
        <v>768.85245901639348</v>
      </c>
      <c r="F961" s="1" t="s">
        <v>233</v>
      </c>
      <c r="G961" s="1" t="s">
        <v>233</v>
      </c>
      <c r="H961" s="6" t="s">
        <v>1951</v>
      </c>
      <c r="I961" s="6" t="s">
        <v>582</v>
      </c>
      <c r="J961" s="6" t="s">
        <v>1849</v>
      </c>
      <c r="K961" s="1">
        <v>0</v>
      </c>
      <c r="L961" s="6" t="s">
        <v>260</v>
      </c>
      <c r="M961" s="1">
        <v>2010</v>
      </c>
      <c r="N961" s="1" t="s">
        <v>1859</v>
      </c>
      <c r="O961" s="1">
        <v>0</v>
      </c>
      <c r="P961" s="1">
        <v>0</v>
      </c>
      <c r="Q961" s="1">
        <v>0</v>
      </c>
      <c r="R961" s="1">
        <v>0</v>
      </c>
      <c r="S961" s="1" t="s">
        <v>235</v>
      </c>
    </row>
    <row r="962" spans="1:19" ht="14.45" customHeight="1" x14ac:dyDescent="0.25">
      <c r="A962" s="6">
        <v>963</v>
      </c>
      <c r="B962" s="6">
        <v>7900101</v>
      </c>
      <c r="C962" t="s">
        <v>1014</v>
      </c>
      <c r="D962" s="1" t="s">
        <v>1015</v>
      </c>
      <c r="E962" s="21">
        <v>883.60655737704928</v>
      </c>
      <c r="F962" s="1" t="s">
        <v>233</v>
      </c>
      <c r="G962" s="1" t="s">
        <v>233</v>
      </c>
      <c r="H962" s="6" t="s">
        <v>1951</v>
      </c>
      <c r="I962" s="6" t="s">
        <v>582</v>
      </c>
      <c r="J962" s="6" t="s">
        <v>1849</v>
      </c>
      <c r="K962" s="1">
        <v>0</v>
      </c>
      <c r="L962" s="6" t="s">
        <v>260</v>
      </c>
      <c r="M962" s="1">
        <v>2010</v>
      </c>
      <c r="N962" s="1" t="s">
        <v>237</v>
      </c>
      <c r="O962" s="1">
        <v>0</v>
      </c>
      <c r="P962" s="1">
        <v>0</v>
      </c>
      <c r="Q962" s="1">
        <v>0</v>
      </c>
      <c r="R962" s="1">
        <v>0</v>
      </c>
      <c r="S962" s="1" t="s">
        <v>235</v>
      </c>
    </row>
    <row r="963" spans="1:19" ht="14.45" customHeight="1" x14ac:dyDescent="0.25">
      <c r="A963" s="6">
        <v>964</v>
      </c>
      <c r="B963" s="6">
        <v>7900101</v>
      </c>
      <c r="C963" t="s">
        <v>1014</v>
      </c>
      <c r="D963" s="1" t="s">
        <v>1015</v>
      </c>
      <c r="E963" s="21">
        <v>1097.4444444444443</v>
      </c>
      <c r="F963" s="1" t="s">
        <v>233</v>
      </c>
      <c r="G963" s="1" t="s">
        <v>233</v>
      </c>
      <c r="H963" s="6" t="s">
        <v>1951</v>
      </c>
      <c r="I963" s="6" t="s">
        <v>584</v>
      </c>
      <c r="J963" s="6" t="s">
        <v>1853</v>
      </c>
      <c r="K963" s="1">
        <v>0</v>
      </c>
      <c r="L963" s="6" t="s">
        <v>255</v>
      </c>
      <c r="M963" s="1">
        <v>2006</v>
      </c>
      <c r="N963" s="1" t="s">
        <v>237</v>
      </c>
      <c r="O963" s="1">
        <v>0</v>
      </c>
      <c r="P963" s="1">
        <v>0</v>
      </c>
      <c r="Q963" s="1">
        <v>0</v>
      </c>
      <c r="R963" s="1">
        <v>0</v>
      </c>
      <c r="S963" s="1" t="s">
        <v>235</v>
      </c>
    </row>
    <row r="964" spans="1:19" ht="14.45" customHeight="1" x14ac:dyDescent="0.25">
      <c r="A964" s="6">
        <v>965</v>
      </c>
      <c r="B964" s="6">
        <v>7900101</v>
      </c>
      <c r="C964" t="s">
        <v>1014</v>
      </c>
      <c r="D964" s="1" t="s">
        <v>1015</v>
      </c>
      <c r="E964" s="21">
        <v>3000</v>
      </c>
      <c r="F964" s="1" t="s">
        <v>233</v>
      </c>
      <c r="G964" s="1" t="s">
        <v>233</v>
      </c>
      <c r="H964" s="6" t="s">
        <v>1951</v>
      </c>
      <c r="I964" s="6" t="s">
        <v>588</v>
      </c>
      <c r="J964" s="6" t="s">
        <v>1853</v>
      </c>
      <c r="K964" s="1">
        <v>0</v>
      </c>
      <c r="L964" s="6" t="s">
        <v>303</v>
      </c>
      <c r="M964" s="1">
        <v>2014</v>
      </c>
      <c r="N964" s="1" t="s">
        <v>1908</v>
      </c>
      <c r="O964" s="1">
        <v>0</v>
      </c>
      <c r="P964" s="1" t="s">
        <v>1952</v>
      </c>
      <c r="Q964" s="1">
        <v>0</v>
      </c>
      <c r="R964" s="1">
        <v>0</v>
      </c>
      <c r="S964" s="1" t="s">
        <v>235</v>
      </c>
    </row>
    <row r="965" spans="1:19" ht="14.45" customHeight="1" x14ac:dyDescent="0.25">
      <c r="A965" s="6">
        <v>966</v>
      </c>
      <c r="B965" s="6">
        <v>7900101</v>
      </c>
      <c r="C965" t="s">
        <v>1014</v>
      </c>
      <c r="D965" s="1" t="s">
        <v>1015</v>
      </c>
      <c r="E965" s="21">
        <v>1263.3333333333337</v>
      </c>
      <c r="F965" s="1" t="s">
        <v>233</v>
      </c>
      <c r="G965" s="1" t="s">
        <v>233</v>
      </c>
      <c r="H965" s="6" t="s">
        <v>1951</v>
      </c>
      <c r="I965" s="6" t="s">
        <v>622</v>
      </c>
      <c r="J965" s="6" t="s">
        <v>1853</v>
      </c>
      <c r="K965" s="1">
        <v>0</v>
      </c>
      <c r="L965" s="6" t="s">
        <v>252</v>
      </c>
      <c r="M965" s="1">
        <v>2013</v>
      </c>
      <c r="N965" s="1" t="s">
        <v>1908</v>
      </c>
      <c r="O965" s="1">
        <v>0</v>
      </c>
      <c r="P965" s="1">
        <v>0</v>
      </c>
      <c r="Q965" s="1">
        <v>0</v>
      </c>
      <c r="R965" s="1">
        <v>0</v>
      </c>
      <c r="S965" s="1" t="s">
        <v>235</v>
      </c>
    </row>
    <row r="966" spans="1:19" ht="14.45" customHeight="1" x14ac:dyDescent="0.25">
      <c r="A966" s="6">
        <v>967</v>
      </c>
      <c r="B966" s="6">
        <v>7900101</v>
      </c>
      <c r="C966" t="s">
        <v>1014</v>
      </c>
      <c r="D966" s="1" t="s">
        <v>1015</v>
      </c>
      <c r="E966" s="21">
        <v>650</v>
      </c>
      <c r="F966" s="1" t="s">
        <v>233</v>
      </c>
      <c r="G966" s="1" t="s">
        <v>233</v>
      </c>
      <c r="H966" s="6" t="s">
        <v>1951</v>
      </c>
      <c r="I966" s="6" t="s">
        <v>626</v>
      </c>
      <c r="J966" s="6" t="s">
        <v>1853</v>
      </c>
      <c r="K966" s="1">
        <v>0</v>
      </c>
      <c r="L966" s="6" t="s">
        <v>243</v>
      </c>
      <c r="M966" s="1">
        <v>2014</v>
      </c>
      <c r="N966" s="1" t="s">
        <v>237</v>
      </c>
      <c r="O966" s="1">
        <v>0</v>
      </c>
      <c r="P966" s="1" t="s">
        <v>1952</v>
      </c>
      <c r="Q966" s="1">
        <v>0</v>
      </c>
      <c r="R966" s="1">
        <v>0</v>
      </c>
      <c r="S966" s="1" t="s">
        <v>235</v>
      </c>
    </row>
    <row r="967" spans="1:19" ht="14.45" customHeight="1" x14ac:dyDescent="0.25">
      <c r="A967" s="6">
        <v>968</v>
      </c>
      <c r="B967" s="6">
        <v>7900101</v>
      </c>
      <c r="C967" t="s">
        <v>1014</v>
      </c>
      <c r="D967" s="1" t="s">
        <v>1015</v>
      </c>
      <c r="E967" s="21">
        <v>1220</v>
      </c>
      <c r="F967" s="1" t="s">
        <v>233</v>
      </c>
      <c r="G967" s="1" t="s">
        <v>233</v>
      </c>
      <c r="H967" s="6" t="s">
        <v>1951</v>
      </c>
      <c r="I967" s="6" t="s">
        <v>626</v>
      </c>
      <c r="J967" s="6" t="s">
        <v>1853</v>
      </c>
      <c r="K967" s="1">
        <v>0</v>
      </c>
      <c r="L967" s="6" t="s">
        <v>304</v>
      </c>
      <c r="M967" s="1">
        <v>2014</v>
      </c>
      <c r="N967" s="1" t="s">
        <v>237</v>
      </c>
      <c r="O967" s="1">
        <v>0</v>
      </c>
      <c r="P967" s="1">
        <v>0</v>
      </c>
      <c r="Q967" s="1">
        <v>0</v>
      </c>
      <c r="R967" s="1">
        <v>0</v>
      </c>
      <c r="S967" s="1" t="s">
        <v>235</v>
      </c>
    </row>
    <row r="968" spans="1:19" ht="14.45" customHeight="1" x14ac:dyDescent="0.25">
      <c r="A968" s="6">
        <v>969</v>
      </c>
      <c r="B968" s="6">
        <v>7900101</v>
      </c>
      <c r="C968" t="s">
        <v>1014</v>
      </c>
      <c r="D968" s="1" t="s">
        <v>1015</v>
      </c>
      <c r="E968" s="21">
        <v>680</v>
      </c>
      <c r="F968" s="1" t="s">
        <v>233</v>
      </c>
      <c r="G968" s="1" t="s">
        <v>233</v>
      </c>
      <c r="H968" s="6" t="s">
        <v>1951</v>
      </c>
      <c r="I968" s="6" t="s">
        <v>626</v>
      </c>
      <c r="J968" s="6" t="s">
        <v>1853</v>
      </c>
      <c r="K968" s="1">
        <v>0</v>
      </c>
      <c r="L968" s="6" t="s">
        <v>305</v>
      </c>
      <c r="M968" s="1">
        <v>2014</v>
      </c>
      <c r="N968" s="1" t="s">
        <v>237</v>
      </c>
      <c r="O968" s="1">
        <v>0</v>
      </c>
      <c r="P968" s="1">
        <v>0</v>
      </c>
      <c r="Q968" s="1">
        <v>0</v>
      </c>
      <c r="R968" s="1">
        <v>0</v>
      </c>
      <c r="S968" s="1" t="s">
        <v>235</v>
      </c>
    </row>
    <row r="969" spans="1:19" ht="14.45" customHeight="1" x14ac:dyDescent="0.25">
      <c r="A969" s="6">
        <v>970</v>
      </c>
      <c r="B969" s="6">
        <v>7900101</v>
      </c>
      <c r="C969" t="s">
        <v>1014</v>
      </c>
      <c r="D969" s="1" t="s">
        <v>1015</v>
      </c>
      <c r="E969" s="21">
        <v>710</v>
      </c>
      <c r="F969" s="1" t="s">
        <v>233</v>
      </c>
      <c r="G969" s="1" t="s">
        <v>233</v>
      </c>
      <c r="H969" s="6" t="s">
        <v>1951</v>
      </c>
      <c r="I969" s="6" t="s">
        <v>626</v>
      </c>
      <c r="J969" s="6" t="s">
        <v>1853</v>
      </c>
      <c r="K969" s="1">
        <v>0</v>
      </c>
      <c r="L969" s="6" t="s">
        <v>306</v>
      </c>
      <c r="M969" s="1">
        <v>2014</v>
      </c>
      <c r="N969" s="1" t="s">
        <v>237</v>
      </c>
      <c r="O969" s="1">
        <v>0</v>
      </c>
      <c r="P969" s="1">
        <v>0</v>
      </c>
      <c r="Q969" s="1">
        <v>0</v>
      </c>
      <c r="R969" s="1">
        <v>0</v>
      </c>
      <c r="S969" s="1" t="s">
        <v>235</v>
      </c>
    </row>
    <row r="970" spans="1:19" ht="14.45" customHeight="1" x14ac:dyDescent="0.25">
      <c r="A970" s="6">
        <v>971</v>
      </c>
      <c r="B970" s="6">
        <v>7900101</v>
      </c>
      <c r="C970" t="s">
        <v>1014</v>
      </c>
      <c r="D970" s="1" t="s">
        <v>1015</v>
      </c>
      <c r="E970" s="21">
        <v>510</v>
      </c>
      <c r="F970" s="1" t="s">
        <v>233</v>
      </c>
      <c r="G970" s="1" t="s">
        <v>233</v>
      </c>
      <c r="H970" s="6" t="s">
        <v>1951</v>
      </c>
      <c r="I970" s="6" t="s">
        <v>626</v>
      </c>
      <c r="J970" s="6" t="s">
        <v>1853</v>
      </c>
      <c r="K970" s="1">
        <v>0</v>
      </c>
      <c r="L970" s="6" t="s">
        <v>294</v>
      </c>
      <c r="M970" s="1">
        <v>2014</v>
      </c>
      <c r="N970" s="1" t="s">
        <v>237</v>
      </c>
      <c r="O970" s="1">
        <v>0</v>
      </c>
      <c r="P970" s="1" t="s">
        <v>1952</v>
      </c>
      <c r="Q970" s="1">
        <v>0</v>
      </c>
      <c r="R970" s="1">
        <v>0</v>
      </c>
      <c r="S970" s="1" t="s">
        <v>235</v>
      </c>
    </row>
    <row r="971" spans="1:19" ht="14.45" customHeight="1" x14ac:dyDescent="0.25">
      <c r="A971" s="6">
        <v>972</v>
      </c>
      <c r="B971" s="6">
        <v>7900101</v>
      </c>
      <c r="C971" t="s">
        <v>1014</v>
      </c>
      <c r="D971" s="1" t="s">
        <v>1015</v>
      </c>
      <c r="E971" s="21">
        <v>670</v>
      </c>
      <c r="F971" s="1" t="s">
        <v>233</v>
      </c>
      <c r="G971" s="1" t="s">
        <v>233</v>
      </c>
      <c r="H971" s="6" t="s">
        <v>1951</v>
      </c>
      <c r="I971" s="6" t="s">
        <v>626</v>
      </c>
      <c r="J971" s="6" t="s">
        <v>1853</v>
      </c>
      <c r="K971" s="1">
        <v>0</v>
      </c>
      <c r="L971" s="6" t="s">
        <v>307</v>
      </c>
      <c r="M971" s="1">
        <v>2014</v>
      </c>
      <c r="N971" s="1" t="s">
        <v>237</v>
      </c>
      <c r="O971" s="1">
        <v>0</v>
      </c>
      <c r="P971" s="1" t="s">
        <v>1952</v>
      </c>
      <c r="Q971" s="1">
        <v>0</v>
      </c>
      <c r="R971" s="1">
        <v>0</v>
      </c>
      <c r="S971" s="1" t="s">
        <v>235</v>
      </c>
    </row>
    <row r="972" spans="1:19" ht="14.45" customHeight="1" x14ac:dyDescent="0.25">
      <c r="A972" s="6">
        <v>973</v>
      </c>
      <c r="B972" s="6">
        <v>7900101</v>
      </c>
      <c r="C972" t="s">
        <v>1014</v>
      </c>
      <c r="D972" s="1" t="s">
        <v>1015</v>
      </c>
      <c r="E972" s="21">
        <v>760</v>
      </c>
      <c r="F972" s="1" t="s">
        <v>233</v>
      </c>
      <c r="G972" s="1" t="s">
        <v>233</v>
      </c>
      <c r="H972" s="6" t="s">
        <v>1951</v>
      </c>
      <c r="I972" s="6" t="s">
        <v>626</v>
      </c>
      <c r="J972" s="6" t="s">
        <v>1853</v>
      </c>
      <c r="K972" s="1">
        <v>0</v>
      </c>
      <c r="L972" s="6" t="s">
        <v>308</v>
      </c>
      <c r="M972" s="1">
        <v>2014</v>
      </c>
      <c r="N972" s="1" t="s">
        <v>237</v>
      </c>
      <c r="O972" s="1">
        <v>0</v>
      </c>
      <c r="P972" s="1">
        <v>0</v>
      </c>
      <c r="Q972" s="1">
        <v>0</v>
      </c>
      <c r="R972" s="1">
        <v>0</v>
      </c>
      <c r="S972" s="1" t="s">
        <v>235</v>
      </c>
    </row>
    <row r="973" spans="1:19" ht="14.45" customHeight="1" x14ac:dyDescent="0.25">
      <c r="A973" s="6">
        <v>974</v>
      </c>
      <c r="B973" s="6">
        <v>7900101</v>
      </c>
      <c r="C973" t="s">
        <v>1014</v>
      </c>
      <c r="D973" s="1" t="s">
        <v>1015</v>
      </c>
      <c r="E973" s="21">
        <v>1020</v>
      </c>
      <c r="F973" s="1" t="s">
        <v>233</v>
      </c>
      <c r="G973" s="1" t="s">
        <v>233</v>
      </c>
      <c r="H973" s="6" t="s">
        <v>1951</v>
      </c>
      <c r="I973" s="6" t="s">
        <v>626</v>
      </c>
      <c r="J973" s="6" t="s">
        <v>1853</v>
      </c>
      <c r="K973" s="1">
        <v>0</v>
      </c>
      <c r="L973" s="6" t="s">
        <v>309</v>
      </c>
      <c r="M973" s="1">
        <v>2014</v>
      </c>
      <c r="N973" s="1" t="s">
        <v>237</v>
      </c>
      <c r="O973" s="1">
        <v>0</v>
      </c>
      <c r="P973" s="1">
        <v>0</v>
      </c>
      <c r="Q973" s="1">
        <v>0</v>
      </c>
      <c r="R973" s="1">
        <v>0</v>
      </c>
      <c r="S973" s="1" t="s">
        <v>235</v>
      </c>
    </row>
    <row r="974" spans="1:19" ht="14.45" customHeight="1" x14ac:dyDescent="0.25">
      <c r="A974" s="6">
        <v>975</v>
      </c>
      <c r="B974" s="6">
        <v>7900101</v>
      </c>
      <c r="C974" t="s">
        <v>1014</v>
      </c>
      <c r="D974" s="1" t="s">
        <v>1015</v>
      </c>
      <c r="E974" s="21">
        <v>874.3</v>
      </c>
      <c r="F974" s="1" t="s">
        <v>233</v>
      </c>
      <c r="G974" s="1" t="s">
        <v>233</v>
      </c>
      <c r="H974" s="6" t="s">
        <v>1951</v>
      </c>
      <c r="I974" s="6" t="s">
        <v>627</v>
      </c>
      <c r="J974" s="6" t="s">
        <v>1853</v>
      </c>
      <c r="K974" s="1">
        <v>0</v>
      </c>
      <c r="L974" s="6" t="s">
        <v>255</v>
      </c>
      <c r="M974" s="1">
        <v>2012</v>
      </c>
      <c r="N974" s="1" t="s">
        <v>1909</v>
      </c>
      <c r="O974" s="1">
        <v>0</v>
      </c>
      <c r="P974" s="1">
        <v>0</v>
      </c>
      <c r="Q974" s="1">
        <v>0</v>
      </c>
      <c r="R974" s="1">
        <v>0</v>
      </c>
      <c r="S974" s="1" t="s">
        <v>235</v>
      </c>
    </row>
    <row r="975" spans="1:19" ht="14.45" customHeight="1" x14ac:dyDescent="0.25">
      <c r="A975" s="6">
        <v>976</v>
      </c>
      <c r="B975" s="6">
        <v>7900101</v>
      </c>
      <c r="C975" t="s">
        <v>1014</v>
      </c>
      <c r="D975" s="1" t="s">
        <v>1015</v>
      </c>
      <c r="E975" s="21">
        <v>1027.4000000000001</v>
      </c>
      <c r="F975" s="1" t="s">
        <v>233</v>
      </c>
      <c r="G975" s="1" t="s">
        <v>233</v>
      </c>
      <c r="H975" s="6" t="s">
        <v>1951</v>
      </c>
      <c r="I975" s="6" t="s">
        <v>627</v>
      </c>
      <c r="J975" s="6" t="s">
        <v>1853</v>
      </c>
      <c r="K975" s="1">
        <v>0</v>
      </c>
      <c r="L975" s="6" t="s">
        <v>255</v>
      </c>
      <c r="M975" s="1">
        <v>2012</v>
      </c>
      <c r="N975" s="1" t="s">
        <v>237</v>
      </c>
      <c r="O975" s="1">
        <v>0</v>
      </c>
      <c r="P975" s="1">
        <v>0</v>
      </c>
      <c r="Q975" s="1">
        <v>0</v>
      </c>
      <c r="R975" s="1">
        <v>0</v>
      </c>
      <c r="S975" s="1" t="s">
        <v>235</v>
      </c>
    </row>
    <row r="976" spans="1:19" ht="14.45" customHeight="1" x14ac:dyDescent="0.25">
      <c r="A976" s="6">
        <v>977</v>
      </c>
      <c r="B976" s="6">
        <v>7900101</v>
      </c>
      <c r="C976" t="s">
        <v>1014</v>
      </c>
      <c r="D976" s="1" t="s">
        <v>1015</v>
      </c>
      <c r="E976" s="21">
        <v>979.84999999999991</v>
      </c>
      <c r="F976" s="1" t="s">
        <v>233</v>
      </c>
      <c r="G976" s="1" t="s">
        <v>233</v>
      </c>
      <c r="H976" s="6" t="s">
        <v>1951</v>
      </c>
      <c r="I976" s="6" t="s">
        <v>1979</v>
      </c>
      <c r="J976" s="6" t="s">
        <v>1853</v>
      </c>
      <c r="K976" s="1">
        <v>0</v>
      </c>
      <c r="L976" s="6" t="s">
        <v>242</v>
      </c>
      <c r="M976" s="1">
        <v>2006</v>
      </c>
      <c r="N976" s="1" t="s">
        <v>237</v>
      </c>
      <c r="O976" s="1">
        <v>0</v>
      </c>
      <c r="P976" s="1">
        <v>0</v>
      </c>
      <c r="Q976" s="1">
        <v>0</v>
      </c>
      <c r="R976" s="1">
        <v>0</v>
      </c>
      <c r="S976" s="1" t="s">
        <v>235</v>
      </c>
    </row>
    <row r="977" spans="1:19" ht="14.45" customHeight="1" x14ac:dyDescent="0.25">
      <c r="A977" s="6">
        <v>978</v>
      </c>
      <c r="B977" s="6">
        <v>7900101</v>
      </c>
      <c r="C977" t="s">
        <v>1014</v>
      </c>
      <c r="D977" s="1" t="s">
        <v>1015</v>
      </c>
      <c r="E977" s="21">
        <v>1450</v>
      </c>
      <c r="F977" s="1" t="s">
        <v>233</v>
      </c>
      <c r="G977" s="1" t="s">
        <v>233</v>
      </c>
      <c r="H977" s="6" t="s">
        <v>1951</v>
      </c>
      <c r="I977" s="6" t="s">
        <v>629</v>
      </c>
      <c r="J977" s="6" t="s">
        <v>1853</v>
      </c>
      <c r="K977" s="1">
        <v>0</v>
      </c>
      <c r="L977" s="6" t="s">
        <v>233</v>
      </c>
      <c r="M977" s="1">
        <v>2006</v>
      </c>
      <c r="N977" s="1" t="s">
        <v>237</v>
      </c>
      <c r="O977" s="1">
        <v>0</v>
      </c>
      <c r="P977" s="1">
        <v>0</v>
      </c>
      <c r="Q977" s="1">
        <v>0</v>
      </c>
      <c r="R977" s="1">
        <v>0</v>
      </c>
      <c r="S977" s="1" t="s">
        <v>235</v>
      </c>
    </row>
    <row r="978" spans="1:19" ht="14.45" customHeight="1" x14ac:dyDescent="0.25">
      <c r="A978" s="6">
        <v>979</v>
      </c>
      <c r="B978" s="6">
        <v>7900101</v>
      </c>
      <c r="C978" t="s">
        <v>1014</v>
      </c>
      <c r="D978" s="1" t="s">
        <v>1015</v>
      </c>
      <c r="E978" s="21">
        <v>764</v>
      </c>
      <c r="F978" s="1" t="s">
        <v>233</v>
      </c>
      <c r="G978" s="1" t="s">
        <v>233</v>
      </c>
      <c r="H978" s="6" t="s">
        <v>1951</v>
      </c>
      <c r="I978" s="6" t="s">
        <v>633</v>
      </c>
      <c r="J978" s="6" t="s">
        <v>1849</v>
      </c>
      <c r="K978" s="1">
        <v>0</v>
      </c>
      <c r="L978" s="6" t="s">
        <v>238</v>
      </c>
      <c r="M978" s="1">
        <v>2010</v>
      </c>
      <c r="N978" s="1" t="s">
        <v>1907</v>
      </c>
      <c r="O978" s="1">
        <v>0</v>
      </c>
      <c r="P978" s="1">
        <v>0</v>
      </c>
      <c r="Q978" s="1">
        <v>0</v>
      </c>
      <c r="R978" s="1">
        <v>0</v>
      </c>
      <c r="S978" s="1" t="s">
        <v>235</v>
      </c>
    </row>
    <row r="979" spans="1:19" ht="14.45" customHeight="1" x14ac:dyDescent="0.25">
      <c r="A979" s="6">
        <v>980</v>
      </c>
      <c r="B979" s="6">
        <v>7900101</v>
      </c>
      <c r="C979" t="s">
        <v>1014</v>
      </c>
      <c r="D979" s="1" t="s">
        <v>1015</v>
      </c>
      <c r="E979" s="21">
        <v>766.8</v>
      </c>
      <c r="F979" s="1" t="s">
        <v>233</v>
      </c>
      <c r="G979" s="1" t="s">
        <v>233</v>
      </c>
      <c r="H979" s="6" t="s">
        <v>1951</v>
      </c>
      <c r="I979" s="6" t="s">
        <v>737</v>
      </c>
      <c r="J979" s="6" t="s">
        <v>1854</v>
      </c>
      <c r="K979" s="1">
        <v>1</v>
      </c>
      <c r="L979" s="6" t="s">
        <v>246</v>
      </c>
      <c r="M979" s="1">
        <v>2010</v>
      </c>
      <c r="N979" s="1" t="s">
        <v>237</v>
      </c>
      <c r="O979" s="1">
        <v>0</v>
      </c>
      <c r="P979" s="1">
        <v>0</v>
      </c>
      <c r="Q979" s="1">
        <v>0</v>
      </c>
      <c r="R979" s="1">
        <v>0</v>
      </c>
      <c r="S979" s="1" t="s">
        <v>235</v>
      </c>
    </row>
    <row r="980" spans="1:19" ht="14.45" customHeight="1" x14ac:dyDescent="0.25">
      <c r="A980" s="6">
        <v>981</v>
      </c>
      <c r="B980" s="6">
        <v>7900101</v>
      </c>
      <c r="C980" t="s">
        <v>1014</v>
      </c>
      <c r="D980" s="1" t="s">
        <v>1015</v>
      </c>
      <c r="E980" s="21">
        <v>1090</v>
      </c>
      <c r="F980" s="1" t="s">
        <v>233</v>
      </c>
      <c r="G980" s="1" t="s">
        <v>233</v>
      </c>
      <c r="H980" s="6" t="s">
        <v>1951</v>
      </c>
      <c r="I980" s="6" t="s">
        <v>641</v>
      </c>
      <c r="J980" s="6" t="s">
        <v>1853</v>
      </c>
      <c r="K980" s="1">
        <v>0</v>
      </c>
      <c r="L980" s="6" t="s">
        <v>238</v>
      </c>
      <c r="M980" s="1">
        <v>2001</v>
      </c>
      <c r="N980" s="1" t="s">
        <v>1873</v>
      </c>
      <c r="O980" s="1">
        <v>0</v>
      </c>
      <c r="P980" s="1">
        <v>0</v>
      </c>
      <c r="Q980" s="1">
        <v>0</v>
      </c>
      <c r="R980" s="1">
        <v>0</v>
      </c>
      <c r="S980" s="1" t="s">
        <v>235</v>
      </c>
    </row>
    <row r="981" spans="1:19" ht="14.45" customHeight="1" x14ac:dyDescent="0.25">
      <c r="A981" s="6">
        <v>982</v>
      </c>
      <c r="B981" s="6">
        <v>7900101</v>
      </c>
      <c r="C981" t="s">
        <v>1014</v>
      </c>
      <c r="D981" s="1" t="s">
        <v>1015</v>
      </c>
      <c r="E981" s="21">
        <v>1600</v>
      </c>
      <c r="F981" s="1" t="s">
        <v>233</v>
      </c>
      <c r="G981" s="1" t="s">
        <v>233</v>
      </c>
      <c r="H981" s="6" t="s">
        <v>1951</v>
      </c>
      <c r="I981" s="6" t="s">
        <v>651</v>
      </c>
      <c r="J981" s="6" t="s">
        <v>1853</v>
      </c>
      <c r="K981" s="1">
        <v>0</v>
      </c>
      <c r="L981" s="6" t="s">
        <v>261</v>
      </c>
      <c r="M981" s="1">
        <v>2011</v>
      </c>
      <c r="N981" s="1" t="s">
        <v>1859</v>
      </c>
      <c r="O981" s="1">
        <v>0</v>
      </c>
      <c r="P981" s="1">
        <v>0</v>
      </c>
      <c r="Q981" s="1">
        <v>0</v>
      </c>
      <c r="R981" s="1">
        <v>0</v>
      </c>
      <c r="S981" s="1" t="s">
        <v>235</v>
      </c>
    </row>
    <row r="982" spans="1:19" ht="14.45" customHeight="1" x14ac:dyDescent="0.25">
      <c r="A982" s="6">
        <v>983</v>
      </c>
      <c r="B982" s="6">
        <v>7900101</v>
      </c>
      <c r="C982" t="s">
        <v>1014</v>
      </c>
      <c r="D982" s="1" t="s">
        <v>1015</v>
      </c>
      <c r="E982" s="21">
        <v>1920</v>
      </c>
      <c r="F982" s="1" t="s">
        <v>233</v>
      </c>
      <c r="G982" s="1" t="s">
        <v>233</v>
      </c>
      <c r="H982" s="6" t="s">
        <v>1951</v>
      </c>
      <c r="I982" s="6" t="s">
        <v>651</v>
      </c>
      <c r="J982" s="6" t="s">
        <v>1853</v>
      </c>
      <c r="K982" s="1">
        <v>0</v>
      </c>
      <c r="L982" s="6" t="s">
        <v>261</v>
      </c>
      <c r="M982" s="1">
        <v>2011</v>
      </c>
      <c r="N982" s="1" t="s">
        <v>237</v>
      </c>
      <c r="O982" s="1">
        <v>0</v>
      </c>
      <c r="P982" s="1">
        <v>0</v>
      </c>
      <c r="Q982" s="1">
        <v>0</v>
      </c>
      <c r="R982" s="1">
        <v>0</v>
      </c>
      <c r="S982" s="1" t="s">
        <v>235</v>
      </c>
    </row>
    <row r="983" spans="1:19" ht="14.45" customHeight="1" x14ac:dyDescent="0.25">
      <c r="A983" s="6">
        <v>984</v>
      </c>
      <c r="B983" s="6">
        <v>7900101</v>
      </c>
      <c r="C983" t="s">
        <v>1014</v>
      </c>
      <c r="D983" s="1" t="s">
        <v>1015</v>
      </c>
      <c r="E983" s="21">
        <v>1550</v>
      </c>
      <c r="F983" s="1" t="s">
        <v>233</v>
      </c>
      <c r="G983" s="1" t="s">
        <v>233</v>
      </c>
      <c r="H983" s="6" t="s">
        <v>1951</v>
      </c>
      <c r="I983" s="6" t="s">
        <v>657</v>
      </c>
      <c r="J983" s="6" t="s">
        <v>1849</v>
      </c>
      <c r="K983" s="1">
        <v>0</v>
      </c>
      <c r="L983" s="6" t="s">
        <v>261</v>
      </c>
      <c r="M983" s="1">
        <v>2012</v>
      </c>
      <c r="N983" s="1" t="s">
        <v>1907</v>
      </c>
      <c r="O983" s="1">
        <v>0</v>
      </c>
      <c r="P983" s="1">
        <v>0</v>
      </c>
      <c r="Q983" s="1">
        <v>0</v>
      </c>
      <c r="R983" s="1">
        <v>0</v>
      </c>
      <c r="S983" s="1" t="s">
        <v>235</v>
      </c>
    </row>
    <row r="984" spans="1:19" ht="14.45" customHeight="1" x14ac:dyDescent="0.25">
      <c r="A984" s="6">
        <v>985</v>
      </c>
      <c r="B984" s="6">
        <v>7900101</v>
      </c>
      <c r="C984" t="s">
        <v>1014</v>
      </c>
      <c r="D984" s="1" t="s">
        <v>1015</v>
      </c>
      <c r="E984" s="21">
        <v>1533.3333333333333</v>
      </c>
      <c r="F984" s="1" t="s">
        <v>233</v>
      </c>
      <c r="G984" s="1" t="s">
        <v>233</v>
      </c>
      <c r="H984" s="6" t="s">
        <v>1951</v>
      </c>
      <c r="I984" s="6" t="s">
        <v>659</v>
      </c>
      <c r="J984" s="6" t="s">
        <v>1853</v>
      </c>
      <c r="K984" s="1">
        <v>0</v>
      </c>
      <c r="L984" s="6" t="s">
        <v>261</v>
      </c>
      <c r="M984" s="1">
        <v>2013</v>
      </c>
      <c r="N984" s="1" t="s">
        <v>1907</v>
      </c>
      <c r="O984" s="1">
        <v>0</v>
      </c>
      <c r="P984" s="1">
        <v>0</v>
      </c>
      <c r="Q984" s="1">
        <v>0</v>
      </c>
      <c r="R984" s="1">
        <v>0</v>
      </c>
      <c r="S984" s="1" t="s">
        <v>235</v>
      </c>
    </row>
    <row r="985" spans="1:19" ht="14.45" customHeight="1" x14ac:dyDescent="0.25">
      <c r="A985" s="6">
        <v>986</v>
      </c>
      <c r="B985" s="6">
        <v>7900101</v>
      </c>
      <c r="C985" t="s">
        <v>1014</v>
      </c>
      <c r="D985" s="1" t="s">
        <v>1015</v>
      </c>
      <c r="E985" s="21">
        <v>556.66666666666663</v>
      </c>
      <c r="F985" s="1" t="s">
        <v>233</v>
      </c>
      <c r="G985" s="1" t="s">
        <v>233</v>
      </c>
      <c r="H985" s="6" t="s">
        <v>1951</v>
      </c>
      <c r="I985" s="6" t="s">
        <v>664</v>
      </c>
      <c r="J985" s="6" t="s">
        <v>1849</v>
      </c>
      <c r="K985" s="1">
        <v>0</v>
      </c>
      <c r="L985" s="6" t="s">
        <v>238</v>
      </c>
      <c r="M985" s="1">
        <v>2010</v>
      </c>
      <c r="N985" s="1" t="s">
        <v>1907</v>
      </c>
      <c r="O985" s="1">
        <v>0</v>
      </c>
      <c r="P985" s="1" t="s">
        <v>1952</v>
      </c>
      <c r="Q985" s="1">
        <v>0</v>
      </c>
      <c r="R985" s="1">
        <v>0</v>
      </c>
      <c r="S985" s="1" t="s">
        <v>235</v>
      </c>
    </row>
    <row r="986" spans="1:19" ht="14.45" customHeight="1" x14ac:dyDescent="0.25">
      <c r="A986" s="6">
        <v>987</v>
      </c>
      <c r="B986" s="6">
        <v>7900101</v>
      </c>
      <c r="C986" t="s">
        <v>1014</v>
      </c>
      <c r="D986" s="1" t="s">
        <v>1015</v>
      </c>
      <c r="E986" s="21">
        <v>900</v>
      </c>
      <c r="F986" s="1" t="s">
        <v>233</v>
      </c>
      <c r="G986" s="1" t="s">
        <v>233</v>
      </c>
      <c r="H986" s="6" t="s">
        <v>1951</v>
      </c>
      <c r="I986" s="6" t="s">
        <v>668</v>
      </c>
      <c r="J986" s="6" t="s">
        <v>1853</v>
      </c>
      <c r="K986" s="1">
        <v>0</v>
      </c>
      <c r="L986" s="6" t="s">
        <v>252</v>
      </c>
      <c r="M986" s="1">
        <v>2014</v>
      </c>
      <c r="N986" s="1" t="s">
        <v>1908</v>
      </c>
      <c r="O986" s="1">
        <v>0</v>
      </c>
      <c r="P986" s="1">
        <v>0</v>
      </c>
      <c r="Q986" s="1">
        <v>0</v>
      </c>
      <c r="R986" s="1">
        <v>0</v>
      </c>
      <c r="S986" s="1" t="s">
        <v>235</v>
      </c>
    </row>
    <row r="987" spans="1:19" ht="14.45" customHeight="1" x14ac:dyDescent="0.25">
      <c r="A987" s="6">
        <v>988</v>
      </c>
      <c r="B987" s="6">
        <v>7900101</v>
      </c>
      <c r="C987" t="s">
        <v>1014</v>
      </c>
      <c r="D987" s="1" t="s">
        <v>1015</v>
      </c>
      <c r="E987" s="21">
        <v>1422.5</v>
      </c>
      <c r="F987" s="1" t="s">
        <v>233</v>
      </c>
      <c r="G987" s="1" t="s">
        <v>233</v>
      </c>
      <c r="H987" s="6" t="s">
        <v>1951</v>
      </c>
      <c r="I987" s="6" t="s">
        <v>672</v>
      </c>
      <c r="J987" s="6" t="s">
        <v>1849</v>
      </c>
      <c r="K987" s="1">
        <v>0</v>
      </c>
      <c r="L987" s="6" t="s">
        <v>272</v>
      </c>
      <c r="M987" s="1">
        <v>2006</v>
      </c>
      <c r="N987" s="1" t="s">
        <v>237</v>
      </c>
      <c r="O987" s="1">
        <v>0</v>
      </c>
      <c r="P987" s="1">
        <v>0</v>
      </c>
      <c r="Q987" s="1">
        <v>0</v>
      </c>
      <c r="R987" s="1">
        <v>0</v>
      </c>
      <c r="S987" s="1" t="s">
        <v>235</v>
      </c>
    </row>
    <row r="988" spans="1:19" ht="14.45" customHeight="1" x14ac:dyDescent="0.25">
      <c r="A988" s="6">
        <v>989</v>
      </c>
      <c r="B988" s="6">
        <v>7900101</v>
      </c>
      <c r="C988" t="s">
        <v>1014</v>
      </c>
      <c r="D988" s="1" t="s">
        <v>1015</v>
      </c>
      <c r="E988" s="21">
        <v>2920.7</v>
      </c>
      <c r="F988" s="1" t="s">
        <v>233</v>
      </c>
      <c r="G988" s="1" t="s">
        <v>233</v>
      </c>
      <c r="H988" s="6" t="s">
        <v>1951</v>
      </c>
      <c r="I988" s="6" t="s">
        <v>672</v>
      </c>
      <c r="J988" s="6" t="s">
        <v>1849</v>
      </c>
      <c r="K988" s="1">
        <v>0</v>
      </c>
      <c r="L988" s="6" t="s">
        <v>234</v>
      </c>
      <c r="M988" s="1">
        <v>2006</v>
      </c>
      <c r="N988" s="1" t="s">
        <v>237</v>
      </c>
      <c r="O988" s="1">
        <v>0</v>
      </c>
      <c r="P988" s="1" t="s">
        <v>1952</v>
      </c>
      <c r="Q988" s="1">
        <v>0</v>
      </c>
      <c r="R988" s="1">
        <v>0</v>
      </c>
      <c r="S988" s="1" t="s">
        <v>235</v>
      </c>
    </row>
    <row r="989" spans="1:19" ht="14.45" customHeight="1" x14ac:dyDescent="0.25">
      <c r="A989" s="6">
        <v>990</v>
      </c>
      <c r="B989" s="6">
        <v>7900101</v>
      </c>
      <c r="C989" t="s">
        <v>1014</v>
      </c>
      <c r="D989" s="1" t="s">
        <v>1015</v>
      </c>
      <c r="E989" s="21">
        <v>985.00000000000011</v>
      </c>
      <c r="F989" s="1" t="s">
        <v>233</v>
      </c>
      <c r="G989" s="1" t="s">
        <v>233</v>
      </c>
      <c r="H989" s="6" t="s">
        <v>1951</v>
      </c>
      <c r="I989" s="6" t="s">
        <v>673</v>
      </c>
      <c r="J989" s="6" t="s">
        <v>1853</v>
      </c>
      <c r="K989" s="1">
        <v>0</v>
      </c>
      <c r="L989" s="6" t="s">
        <v>247</v>
      </c>
      <c r="M989" s="1">
        <v>2012</v>
      </c>
      <c r="N989" s="1" t="s">
        <v>1911</v>
      </c>
      <c r="O989" s="1">
        <v>0</v>
      </c>
      <c r="P989" s="1">
        <v>0</v>
      </c>
      <c r="Q989" s="1">
        <v>0</v>
      </c>
      <c r="R989" s="1">
        <v>0</v>
      </c>
      <c r="S989" s="1" t="s">
        <v>235</v>
      </c>
    </row>
    <row r="990" spans="1:19" ht="14.45" customHeight="1" x14ac:dyDescent="0.25">
      <c r="A990" s="6">
        <v>991</v>
      </c>
      <c r="B990" s="6">
        <v>7900101</v>
      </c>
      <c r="C990" t="s">
        <v>1014</v>
      </c>
      <c r="D990" s="1" t="s">
        <v>1015</v>
      </c>
      <c r="E990" s="21">
        <v>665</v>
      </c>
      <c r="F990" s="1" t="s">
        <v>233</v>
      </c>
      <c r="G990" s="1" t="s">
        <v>233</v>
      </c>
      <c r="H990" s="6" t="s">
        <v>1951</v>
      </c>
      <c r="I990" s="6" t="s">
        <v>675</v>
      </c>
      <c r="J990" s="6" t="s">
        <v>1853</v>
      </c>
      <c r="K990" s="1">
        <v>0</v>
      </c>
      <c r="L990" s="6" t="s">
        <v>249</v>
      </c>
      <c r="M990" s="1">
        <v>2005</v>
      </c>
      <c r="N990" s="1" t="s">
        <v>237</v>
      </c>
      <c r="O990" s="1">
        <v>0</v>
      </c>
      <c r="P990" s="1" t="s">
        <v>1952</v>
      </c>
      <c r="Q990" s="1">
        <v>0</v>
      </c>
      <c r="R990" s="1">
        <v>0</v>
      </c>
      <c r="S990" s="1" t="s">
        <v>235</v>
      </c>
    </row>
    <row r="991" spans="1:19" ht="14.45" customHeight="1" x14ac:dyDescent="0.25">
      <c r="A991" s="6">
        <v>992</v>
      </c>
      <c r="B991" s="6">
        <v>7900101</v>
      </c>
      <c r="C991" t="s">
        <v>1014</v>
      </c>
      <c r="D991" s="1" t="s">
        <v>1015</v>
      </c>
      <c r="E991" s="21">
        <v>1060</v>
      </c>
      <c r="F991" s="1" t="s">
        <v>233</v>
      </c>
      <c r="G991" s="1" t="s">
        <v>233</v>
      </c>
      <c r="H991" s="6" t="s">
        <v>1951</v>
      </c>
      <c r="I991" s="6" t="s">
        <v>679</v>
      </c>
      <c r="J991" s="6" t="s">
        <v>1853</v>
      </c>
      <c r="K991" s="1">
        <v>0</v>
      </c>
      <c r="L991" s="6" t="s">
        <v>259</v>
      </c>
      <c r="M991" s="1">
        <v>2012</v>
      </c>
      <c r="N991" s="1" t="s">
        <v>237</v>
      </c>
      <c r="O991" s="1">
        <v>0</v>
      </c>
      <c r="P991" s="1">
        <v>0</v>
      </c>
      <c r="Q991" s="1">
        <v>0</v>
      </c>
      <c r="R991" s="1">
        <v>0</v>
      </c>
      <c r="S991" s="1" t="s">
        <v>235</v>
      </c>
    </row>
    <row r="992" spans="1:19" ht="14.45" customHeight="1" x14ac:dyDescent="0.25">
      <c r="A992" s="6">
        <v>993</v>
      </c>
      <c r="B992" s="6">
        <v>7900101</v>
      </c>
      <c r="C992" t="s">
        <v>1014</v>
      </c>
      <c r="D992" s="1" t="s">
        <v>1015</v>
      </c>
      <c r="E992" s="21">
        <v>1150</v>
      </c>
      <c r="F992" s="1" t="s">
        <v>233</v>
      </c>
      <c r="G992" s="1" t="s">
        <v>233</v>
      </c>
      <c r="H992" s="6" t="s">
        <v>1951</v>
      </c>
      <c r="I992" s="6" t="s">
        <v>679</v>
      </c>
      <c r="J992" s="6" t="s">
        <v>1853</v>
      </c>
      <c r="K992" s="1">
        <v>0</v>
      </c>
      <c r="L992" s="6" t="s">
        <v>239</v>
      </c>
      <c r="M992" s="1">
        <v>2012</v>
      </c>
      <c r="N992" s="1" t="s">
        <v>237</v>
      </c>
      <c r="O992" s="1">
        <v>0</v>
      </c>
      <c r="P992" s="1">
        <v>0</v>
      </c>
      <c r="Q992" s="1">
        <v>0</v>
      </c>
      <c r="R992" s="1">
        <v>0</v>
      </c>
      <c r="S992" s="1" t="s">
        <v>235</v>
      </c>
    </row>
    <row r="993" spans="1:19" ht="14.45" customHeight="1" x14ac:dyDescent="0.25">
      <c r="A993" s="6">
        <v>994</v>
      </c>
      <c r="B993" s="6">
        <v>7900101</v>
      </c>
      <c r="C993" t="s">
        <v>1014</v>
      </c>
      <c r="D993" s="1" t="s">
        <v>1015</v>
      </c>
      <c r="E993" s="21" t="s">
        <v>237</v>
      </c>
      <c r="F993" s="1" t="s">
        <v>233</v>
      </c>
      <c r="G993" s="19">
        <v>6</v>
      </c>
      <c r="H993" s="6" t="s">
        <v>1951</v>
      </c>
      <c r="I993" s="6" t="s">
        <v>681</v>
      </c>
      <c r="J993" s="6" t="s">
        <v>1849</v>
      </c>
      <c r="K993" s="1">
        <v>0</v>
      </c>
      <c r="L993" s="6" t="s">
        <v>236</v>
      </c>
      <c r="M993" s="1">
        <v>2009</v>
      </c>
      <c r="N993" s="1" t="s">
        <v>237</v>
      </c>
      <c r="O993" s="1">
        <v>0</v>
      </c>
      <c r="P993" s="1">
        <v>0</v>
      </c>
      <c r="Q993" s="1">
        <v>0</v>
      </c>
      <c r="R993" s="1">
        <v>0</v>
      </c>
      <c r="S993" s="1" t="s">
        <v>251</v>
      </c>
    </row>
    <row r="994" spans="1:19" ht="14.45" customHeight="1" x14ac:dyDescent="0.25">
      <c r="A994" s="6">
        <v>995</v>
      </c>
      <c r="B994" s="6">
        <v>7900101</v>
      </c>
      <c r="C994" t="s">
        <v>1014</v>
      </c>
      <c r="D994" s="1" t="s">
        <v>1015</v>
      </c>
      <c r="E994" s="21">
        <v>1584</v>
      </c>
      <c r="F994" s="1" t="s">
        <v>233</v>
      </c>
      <c r="G994" s="1" t="s">
        <v>233</v>
      </c>
      <c r="H994" s="6" t="s">
        <v>1954</v>
      </c>
      <c r="I994" s="6" t="s">
        <v>313</v>
      </c>
      <c r="J994" s="6" t="s">
        <v>1849</v>
      </c>
      <c r="K994" s="1">
        <v>0</v>
      </c>
      <c r="L994" s="6" t="s">
        <v>234</v>
      </c>
      <c r="M994" s="1">
        <v>2012</v>
      </c>
      <c r="N994" s="1" t="s">
        <v>237</v>
      </c>
      <c r="O994" s="1">
        <v>0</v>
      </c>
      <c r="P994" s="1">
        <v>0</v>
      </c>
      <c r="Q994" s="1">
        <v>0</v>
      </c>
      <c r="R994" s="1">
        <v>0</v>
      </c>
      <c r="S994" s="1" t="s">
        <v>251</v>
      </c>
    </row>
    <row r="995" spans="1:19" ht="14.45" customHeight="1" x14ac:dyDescent="0.25">
      <c r="A995" s="6">
        <v>996</v>
      </c>
      <c r="B995" s="6">
        <v>7900101</v>
      </c>
      <c r="C995" t="s">
        <v>1014</v>
      </c>
      <c r="D995" s="1" t="s">
        <v>1015</v>
      </c>
      <c r="E995" s="21">
        <v>1584</v>
      </c>
      <c r="F995" s="1" t="s">
        <v>233</v>
      </c>
      <c r="G995" s="1" t="s">
        <v>233</v>
      </c>
      <c r="H995" s="6" t="s">
        <v>1954</v>
      </c>
      <c r="I995" s="6" t="s">
        <v>313</v>
      </c>
      <c r="J995" s="6" t="s">
        <v>1849</v>
      </c>
      <c r="K995" s="1">
        <v>0</v>
      </c>
      <c r="L995" s="6" t="s">
        <v>234</v>
      </c>
      <c r="M995" s="1">
        <v>2012</v>
      </c>
      <c r="N995" s="1" t="s">
        <v>237</v>
      </c>
      <c r="O995" s="1">
        <v>0</v>
      </c>
      <c r="P995" s="1">
        <v>0</v>
      </c>
      <c r="Q995" s="1">
        <v>0</v>
      </c>
      <c r="R995" s="1">
        <v>0</v>
      </c>
      <c r="S995" s="1" t="s">
        <v>251</v>
      </c>
    </row>
    <row r="996" spans="1:19" ht="14.45" customHeight="1" x14ac:dyDescent="0.25">
      <c r="A996" s="6">
        <v>997</v>
      </c>
      <c r="B996" s="6">
        <v>7900101</v>
      </c>
      <c r="C996" t="s">
        <v>1014</v>
      </c>
      <c r="D996" s="1" t="s">
        <v>1015</v>
      </c>
      <c r="E996" s="21">
        <v>2050</v>
      </c>
      <c r="F996" s="1" t="s">
        <v>233</v>
      </c>
      <c r="G996" s="1" t="s">
        <v>233</v>
      </c>
      <c r="H996" s="6" t="s">
        <v>1951</v>
      </c>
      <c r="I996" s="6" t="s">
        <v>693</v>
      </c>
      <c r="J996" s="6" t="s">
        <v>1849</v>
      </c>
      <c r="K996" s="1">
        <v>0</v>
      </c>
      <c r="L996" s="6" t="s">
        <v>238</v>
      </c>
      <c r="M996" s="1">
        <v>2013</v>
      </c>
      <c r="N996" s="1" t="s">
        <v>237</v>
      </c>
      <c r="O996" s="1">
        <v>0</v>
      </c>
      <c r="P996" s="1">
        <v>0</v>
      </c>
      <c r="Q996" s="1">
        <v>0</v>
      </c>
      <c r="R996" s="1">
        <v>0</v>
      </c>
      <c r="S996" s="1" t="s">
        <v>235</v>
      </c>
    </row>
    <row r="997" spans="1:19" ht="14.45" customHeight="1" x14ac:dyDescent="0.25">
      <c r="A997" s="6">
        <v>998</v>
      </c>
      <c r="B997" s="6">
        <v>7900101</v>
      </c>
      <c r="C997" t="s">
        <v>1014</v>
      </c>
      <c r="D997" s="1" t="s">
        <v>1015</v>
      </c>
      <c r="E997" s="21">
        <v>1810</v>
      </c>
      <c r="F997" s="1" t="s">
        <v>233</v>
      </c>
      <c r="G997" s="1" t="s">
        <v>233</v>
      </c>
      <c r="H997" s="6" t="s">
        <v>1951</v>
      </c>
      <c r="I997" s="6" t="s">
        <v>694</v>
      </c>
      <c r="J997" s="6" t="s">
        <v>1853</v>
      </c>
      <c r="K997" s="1">
        <v>0</v>
      </c>
      <c r="L997" s="6" t="s">
        <v>249</v>
      </c>
      <c r="M997" s="1">
        <v>2005</v>
      </c>
      <c r="N997" s="1" t="s">
        <v>1912</v>
      </c>
      <c r="O997" s="1">
        <v>0</v>
      </c>
      <c r="P997" s="1">
        <v>0</v>
      </c>
      <c r="Q997" s="1">
        <v>0</v>
      </c>
      <c r="R997" s="1">
        <v>0</v>
      </c>
      <c r="S997" s="1" t="s">
        <v>235</v>
      </c>
    </row>
    <row r="998" spans="1:19" ht="14.45" customHeight="1" x14ac:dyDescent="0.25">
      <c r="A998" s="6">
        <v>999</v>
      </c>
      <c r="B998" s="6">
        <v>7900101</v>
      </c>
      <c r="C998" t="s">
        <v>1014</v>
      </c>
      <c r="D998" s="1" t="s">
        <v>1015</v>
      </c>
      <c r="E998" s="21">
        <v>1400</v>
      </c>
      <c r="F998" s="1" t="s">
        <v>233</v>
      </c>
      <c r="G998" s="1" t="s">
        <v>233</v>
      </c>
      <c r="H998" s="6" t="s">
        <v>1951</v>
      </c>
      <c r="I998" s="6" t="s">
        <v>695</v>
      </c>
      <c r="J998" s="6" t="s">
        <v>1852</v>
      </c>
      <c r="K998" s="1">
        <v>0</v>
      </c>
      <c r="L998" s="6" t="s">
        <v>249</v>
      </c>
      <c r="M998" s="1">
        <v>2008</v>
      </c>
      <c r="N998" s="1" t="s">
        <v>237</v>
      </c>
      <c r="O998" s="1">
        <v>0</v>
      </c>
      <c r="P998" s="1">
        <v>0</v>
      </c>
      <c r="Q998" s="1">
        <v>0</v>
      </c>
      <c r="R998" s="1">
        <v>0</v>
      </c>
      <c r="S998" s="1" t="s">
        <v>235</v>
      </c>
    </row>
    <row r="999" spans="1:19" ht="14.45" customHeight="1" x14ac:dyDescent="0.25">
      <c r="A999" s="6">
        <v>1000</v>
      </c>
      <c r="B999" s="6">
        <v>7900101</v>
      </c>
      <c r="C999" t="s">
        <v>1014</v>
      </c>
      <c r="D999" s="1" t="s">
        <v>1015</v>
      </c>
      <c r="E999" s="21">
        <v>1500</v>
      </c>
      <c r="F999" s="1" t="s">
        <v>233</v>
      </c>
      <c r="G999" s="1" t="s">
        <v>233</v>
      </c>
      <c r="H999" s="6" t="s">
        <v>1951</v>
      </c>
      <c r="I999" s="6" t="s">
        <v>695</v>
      </c>
      <c r="J999" s="6" t="s">
        <v>1852</v>
      </c>
      <c r="K999" s="1">
        <v>0</v>
      </c>
      <c r="L999" s="6" t="s">
        <v>249</v>
      </c>
      <c r="M999" s="1">
        <v>2008</v>
      </c>
      <c r="N999" s="1" t="s">
        <v>1859</v>
      </c>
      <c r="O999" s="1">
        <v>0</v>
      </c>
      <c r="P999" s="1">
        <v>0</v>
      </c>
      <c r="Q999" s="1">
        <v>0</v>
      </c>
      <c r="R999" s="1">
        <v>0</v>
      </c>
      <c r="S999" s="1" t="s">
        <v>235</v>
      </c>
    </row>
    <row r="1000" spans="1:19" ht="14.45" customHeight="1" x14ac:dyDescent="0.25">
      <c r="A1000" s="6">
        <v>1001</v>
      </c>
      <c r="B1000" s="6">
        <v>7900101</v>
      </c>
      <c r="C1000" t="s">
        <v>1014</v>
      </c>
      <c r="D1000" s="1" t="s">
        <v>1015</v>
      </c>
      <c r="E1000" s="21">
        <v>1585</v>
      </c>
      <c r="F1000" s="1" t="s">
        <v>233</v>
      </c>
      <c r="G1000" s="1" t="s">
        <v>233</v>
      </c>
      <c r="H1000" s="6" t="s">
        <v>1951</v>
      </c>
      <c r="I1000" s="6" t="s">
        <v>696</v>
      </c>
      <c r="J1000" s="6" t="s">
        <v>1853</v>
      </c>
      <c r="K1000" s="1">
        <v>0</v>
      </c>
      <c r="L1000" s="6" t="s">
        <v>249</v>
      </c>
      <c r="M1000" s="1">
        <v>2008</v>
      </c>
      <c r="N1000" s="1" t="s">
        <v>1908</v>
      </c>
      <c r="O1000" s="1">
        <v>0</v>
      </c>
      <c r="P1000" s="1">
        <v>0</v>
      </c>
      <c r="Q1000" s="1">
        <v>0</v>
      </c>
      <c r="R1000" s="1">
        <v>0</v>
      </c>
      <c r="S1000" s="1" t="s">
        <v>235</v>
      </c>
    </row>
    <row r="1001" spans="1:19" ht="14.45" customHeight="1" x14ac:dyDescent="0.25">
      <c r="A1001" s="6">
        <v>1002</v>
      </c>
      <c r="B1001" s="6">
        <v>7900101</v>
      </c>
      <c r="C1001" t="s">
        <v>1014</v>
      </c>
      <c r="D1001" s="1" t="s">
        <v>1015</v>
      </c>
      <c r="E1001" s="21">
        <v>1360</v>
      </c>
      <c r="F1001" s="1" t="s">
        <v>233</v>
      </c>
      <c r="G1001" s="1" t="s">
        <v>233</v>
      </c>
      <c r="H1001" s="6" t="s">
        <v>1951</v>
      </c>
      <c r="I1001" s="6" t="s">
        <v>697</v>
      </c>
      <c r="J1001" s="6" t="s">
        <v>1853</v>
      </c>
      <c r="K1001" s="1">
        <v>0</v>
      </c>
      <c r="L1001" s="6" t="s">
        <v>249</v>
      </c>
      <c r="M1001" s="1">
        <v>2009</v>
      </c>
      <c r="N1001" s="1" t="s">
        <v>1908</v>
      </c>
      <c r="O1001" s="1">
        <v>0</v>
      </c>
      <c r="P1001" s="1">
        <v>0</v>
      </c>
      <c r="Q1001" s="1">
        <v>0</v>
      </c>
      <c r="R1001" s="1">
        <v>0</v>
      </c>
      <c r="S1001" s="1" t="s">
        <v>235</v>
      </c>
    </row>
    <row r="1002" spans="1:19" ht="14.45" customHeight="1" x14ac:dyDescent="0.25">
      <c r="A1002" s="6">
        <v>1003</v>
      </c>
      <c r="B1002" s="6">
        <v>7900101</v>
      </c>
      <c r="C1002" t="s">
        <v>1014</v>
      </c>
      <c r="D1002" s="1" t="s">
        <v>1015</v>
      </c>
      <c r="E1002" s="21">
        <v>1600</v>
      </c>
      <c r="F1002" s="1" t="s">
        <v>233</v>
      </c>
      <c r="G1002" s="1" t="s">
        <v>233</v>
      </c>
      <c r="H1002" s="6" t="s">
        <v>1951</v>
      </c>
      <c r="I1002" s="6" t="s">
        <v>702</v>
      </c>
      <c r="J1002" s="6" t="s">
        <v>1853</v>
      </c>
      <c r="K1002" s="1">
        <v>0</v>
      </c>
      <c r="L1002" s="6" t="s">
        <v>250</v>
      </c>
      <c r="M1002" s="1">
        <v>2012</v>
      </c>
      <c r="N1002" s="1" t="s">
        <v>237</v>
      </c>
      <c r="O1002" s="1">
        <v>0</v>
      </c>
      <c r="P1002" s="1">
        <v>0</v>
      </c>
      <c r="Q1002" s="1">
        <v>0</v>
      </c>
      <c r="R1002" s="1">
        <v>0</v>
      </c>
      <c r="S1002" s="1" t="s">
        <v>235</v>
      </c>
    </row>
    <row r="1003" spans="1:19" ht="14.45" customHeight="1" x14ac:dyDescent="0.25">
      <c r="A1003" s="6">
        <v>1004</v>
      </c>
      <c r="B1003" s="6">
        <v>7900101</v>
      </c>
      <c r="C1003" t="s">
        <v>1014</v>
      </c>
      <c r="D1003" s="1" t="s">
        <v>1015</v>
      </c>
      <c r="E1003" s="21">
        <v>1037</v>
      </c>
      <c r="F1003" s="1" t="s">
        <v>233</v>
      </c>
      <c r="G1003" s="1" t="s">
        <v>233</v>
      </c>
      <c r="H1003" s="6" t="s">
        <v>1951</v>
      </c>
      <c r="I1003" s="6" t="s">
        <v>707</v>
      </c>
      <c r="J1003" s="6" t="s">
        <v>1853</v>
      </c>
      <c r="K1003" s="1">
        <v>0</v>
      </c>
      <c r="L1003" s="6" t="s">
        <v>249</v>
      </c>
      <c r="M1003" s="1">
        <v>2009</v>
      </c>
      <c r="N1003" s="1" t="s">
        <v>1908</v>
      </c>
      <c r="O1003" s="1">
        <v>0</v>
      </c>
      <c r="P1003" s="1">
        <v>0</v>
      </c>
      <c r="Q1003" s="1">
        <v>0</v>
      </c>
      <c r="R1003" s="1">
        <v>0</v>
      </c>
      <c r="S1003" s="1" t="s">
        <v>235</v>
      </c>
    </row>
    <row r="1004" spans="1:19" ht="14.45" customHeight="1" x14ac:dyDescent="0.25">
      <c r="A1004" s="6">
        <v>1005</v>
      </c>
      <c r="B1004" s="6">
        <v>7900101</v>
      </c>
      <c r="C1004" t="s">
        <v>1014</v>
      </c>
      <c r="D1004" s="1" t="s">
        <v>1015</v>
      </c>
      <c r="E1004" s="21">
        <v>1082</v>
      </c>
      <c r="F1004" s="1" t="s">
        <v>233</v>
      </c>
      <c r="G1004" s="1" t="s">
        <v>233</v>
      </c>
      <c r="H1004" s="6" t="s">
        <v>1951</v>
      </c>
      <c r="I1004" s="6" t="s">
        <v>707</v>
      </c>
      <c r="J1004" s="6" t="s">
        <v>1853</v>
      </c>
      <c r="K1004" s="1">
        <v>0</v>
      </c>
      <c r="L1004" s="6" t="s">
        <v>249</v>
      </c>
      <c r="M1004" s="1">
        <v>2009</v>
      </c>
      <c r="N1004" s="1" t="s">
        <v>1912</v>
      </c>
      <c r="O1004" s="1">
        <v>0</v>
      </c>
      <c r="P1004" s="1">
        <v>0</v>
      </c>
      <c r="Q1004" s="1">
        <v>0</v>
      </c>
      <c r="R1004" s="1">
        <v>0</v>
      </c>
      <c r="S1004" s="1" t="s">
        <v>235</v>
      </c>
    </row>
    <row r="1005" spans="1:19" ht="14.45" customHeight="1" x14ac:dyDescent="0.25">
      <c r="A1005" s="6">
        <v>1006</v>
      </c>
      <c r="B1005" s="6">
        <v>7900101</v>
      </c>
      <c r="C1005" t="s">
        <v>1014</v>
      </c>
      <c r="D1005" s="1" t="s">
        <v>1015</v>
      </c>
      <c r="E1005" s="21">
        <v>7500</v>
      </c>
      <c r="F1005" s="1" t="s">
        <v>233</v>
      </c>
      <c r="G1005" s="1" t="s">
        <v>233</v>
      </c>
      <c r="H1005" s="6" t="s">
        <v>1951</v>
      </c>
      <c r="I1005" s="6" t="s">
        <v>708</v>
      </c>
      <c r="J1005" s="6" t="s">
        <v>1853</v>
      </c>
      <c r="K1005" s="1">
        <v>0</v>
      </c>
      <c r="L1005" s="6" t="s">
        <v>249</v>
      </c>
      <c r="M1005" s="1">
        <v>2011</v>
      </c>
      <c r="N1005" s="1" t="s">
        <v>237</v>
      </c>
      <c r="O1005" s="1">
        <v>0</v>
      </c>
      <c r="P1005" s="1" t="s">
        <v>1952</v>
      </c>
      <c r="Q1005" s="1">
        <v>0</v>
      </c>
      <c r="R1005" s="1">
        <v>0</v>
      </c>
      <c r="S1005" s="1" t="s">
        <v>235</v>
      </c>
    </row>
    <row r="1006" spans="1:19" ht="14.45" customHeight="1" x14ac:dyDescent="0.25">
      <c r="A1006" s="6">
        <v>1007</v>
      </c>
      <c r="B1006" s="6">
        <v>7900101</v>
      </c>
      <c r="C1006" t="s">
        <v>1014</v>
      </c>
      <c r="D1006" s="1" t="s">
        <v>1015</v>
      </c>
      <c r="E1006" s="21">
        <v>2400</v>
      </c>
      <c r="F1006" s="1" t="s">
        <v>233</v>
      </c>
      <c r="G1006" s="1" t="s">
        <v>233</v>
      </c>
      <c r="H1006" s="6" t="s">
        <v>1951</v>
      </c>
      <c r="I1006" s="6" t="s">
        <v>712</v>
      </c>
      <c r="J1006" s="6" t="s">
        <v>1849</v>
      </c>
      <c r="K1006" s="1">
        <v>0</v>
      </c>
      <c r="L1006" s="6" t="s">
        <v>233</v>
      </c>
      <c r="M1006" s="1">
        <v>2010</v>
      </c>
      <c r="N1006" s="1" t="s">
        <v>1908</v>
      </c>
      <c r="O1006" s="1">
        <v>0</v>
      </c>
      <c r="P1006" s="1">
        <v>0</v>
      </c>
      <c r="Q1006" s="1">
        <v>0</v>
      </c>
      <c r="R1006" s="1">
        <v>0</v>
      </c>
      <c r="S1006" s="1" t="s">
        <v>235</v>
      </c>
    </row>
    <row r="1007" spans="1:19" ht="14.45" customHeight="1" x14ac:dyDescent="0.25">
      <c r="A1007" s="6">
        <v>1008</v>
      </c>
      <c r="B1007" s="6">
        <v>7900101</v>
      </c>
      <c r="C1007" t="s">
        <v>1014</v>
      </c>
      <c r="D1007" s="1" t="s">
        <v>1015</v>
      </c>
      <c r="E1007" s="21">
        <v>1019.9999999999998</v>
      </c>
      <c r="F1007" s="1" t="s">
        <v>233</v>
      </c>
      <c r="G1007" s="1" t="s">
        <v>233</v>
      </c>
      <c r="H1007" s="6" t="s">
        <v>1951</v>
      </c>
      <c r="I1007" s="6" t="s">
        <v>714</v>
      </c>
      <c r="J1007" s="6" t="s">
        <v>1853</v>
      </c>
      <c r="K1007" s="1">
        <v>0</v>
      </c>
      <c r="L1007" s="6" t="s">
        <v>271</v>
      </c>
      <c r="M1007" s="1">
        <v>2007</v>
      </c>
      <c r="N1007" s="1" t="s">
        <v>237</v>
      </c>
      <c r="O1007" s="1">
        <v>0</v>
      </c>
      <c r="P1007" s="1">
        <v>0</v>
      </c>
      <c r="Q1007" s="1">
        <v>0</v>
      </c>
      <c r="R1007" s="1">
        <v>0</v>
      </c>
      <c r="S1007" s="1" t="s">
        <v>235</v>
      </c>
    </row>
    <row r="1008" spans="1:19" ht="14.45" customHeight="1" x14ac:dyDescent="0.25">
      <c r="A1008" s="6">
        <v>1009</v>
      </c>
      <c r="B1008" s="6">
        <v>7900101</v>
      </c>
      <c r="C1008" t="s">
        <v>1014</v>
      </c>
      <c r="D1008" s="1" t="s">
        <v>1015</v>
      </c>
      <c r="E1008" s="21">
        <v>1000</v>
      </c>
      <c r="F1008" s="1" t="s">
        <v>233</v>
      </c>
      <c r="G1008" s="1" t="s">
        <v>233</v>
      </c>
      <c r="H1008" s="6" t="s">
        <v>1951</v>
      </c>
      <c r="I1008" s="6" t="s">
        <v>716</v>
      </c>
      <c r="J1008" s="6" t="s">
        <v>1853</v>
      </c>
      <c r="K1008" s="1">
        <v>0</v>
      </c>
      <c r="L1008" s="6" t="s">
        <v>271</v>
      </c>
      <c r="M1008" s="1">
        <v>2012</v>
      </c>
      <c r="N1008" s="1" t="s">
        <v>237</v>
      </c>
      <c r="O1008" s="1">
        <v>0</v>
      </c>
      <c r="P1008" s="1">
        <v>0</v>
      </c>
      <c r="Q1008" s="1">
        <v>0</v>
      </c>
      <c r="R1008" s="1">
        <v>0</v>
      </c>
      <c r="S1008" s="1" t="s">
        <v>235</v>
      </c>
    </row>
    <row r="1009" spans="1:19" ht="14.45" customHeight="1" x14ac:dyDescent="0.25">
      <c r="A1009" s="6">
        <v>1010</v>
      </c>
      <c r="B1009" s="6">
        <v>7900101</v>
      </c>
      <c r="C1009" t="s">
        <v>1014</v>
      </c>
      <c r="D1009" s="1" t="s">
        <v>1015</v>
      </c>
      <c r="E1009" s="21">
        <v>1300</v>
      </c>
      <c r="F1009" s="1" t="s">
        <v>233</v>
      </c>
      <c r="G1009" s="1" t="s">
        <v>233</v>
      </c>
      <c r="H1009" s="6" t="s">
        <v>1951</v>
      </c>
      <c r="I1009" s="6" t="s">
        <v>724</v>
      </c>
      <c r="J1009" s="6" t="s">
        <v>1852</v>
      </c>
      <c r="K1009" s="1">
        <v>0</v>
      </c>
      <c r="L1009" s="6" t="s">
        <v>252</v>
      </c>
      <c r="M1009" s="1">
        <v>2010</v>
      </c>
      <c r="N1009" s="1" t="s">
        <v>237</v>
      </c>
      <c r="O1009" s="1">
        <v>0</v>
      </c>
      <c r="P1009" s="1">
        <v>0</v>
      </c>
      <c r="Q1009" s="1">
        <v>0</v>
      </c>
      <c r="R1009" s="1">
        <v>0</v>
      </c>
      <c r="S1009" s="1" t="s">
        <v>235</v>
      </c>
    </row>
    <row r="1010" spans="1:19" ht="14.45" customHeight="1" x14ac:dyDescent="0.25">
      <c r="A1010" s="6">
        <v>1011</v>
      </c>
      <c r="B1010" s="6">
        <v>7900101</v>
      </c>
      <c r="C1010" t="s">
        <v>1014</v>
      </c>
      <c r="D1010" s="1" t="s">
        <v>1015</v>
      </c>
      <c r="E1010" s="21">
        <v>1060</v>
      </c>
      <c r="F1010" s="1" t="s">
        <v>233</v>
      </c>
      <c r="G1010" s="1" t="s">
        <v>233</v>
      </c>
      <c r="H1010" s="6" t="s">
        <v>1951</v>
      </c>
      <c r="I1010" s="6" t="s">
        <v>725</v>
      </c>
      <c r="J1010" s="6" t="s">
        <v>1852</v>
      </c>
      <c r="K1010" s="1">
        <v>0</v>
      </c>
      <c r="L1010" s="6" t="s">
        <v>234</v>
      </c>
      <c r="M1010" s="1">
        <v>2006</v>
      </c>
      <c r="N1010" s="1" t="s">
        <v>237</v>
      </c>
      <c r="O1010" s="1">
        <v>0</v>
      </c>
      <c r="P1010" s="1">
        <v>0</v>
      </c>
      <c r="Q1010" s="1">
        <v>0</v>
      </c>
      <c r="R1010" s="1">
        <v>0</v>
      </c>
      <c r="S1010" s="1" t="s">
        <v>235</v>
      </c>
    </row>
    <row r="1011" spans="1:19" ht="14.45" customHeight="1" x14ac:dyDescent="0.25">
      <c r="A1011" s="6">
        <v>1012</v>
      </c>
      <c r="B1011" s="6">
        <v>7900101</v>
      </c>
      <c r="C1011" t="s">
        <v>1014</v>
      </c>
      <c r="D1011" s="1" t="s">
        <v>1015</v>
      </c>
      <c r="E1011" s="21">
        <v>1230</v>
      </c>
      <c r="F1011" s="1" t="s">
        <v>233</v>
      </c>
      <c r="G1011" s="1" t="s">
        <v>233</v>
      </c>
      <c r="H1011" s="6" t="s">
        <v>1951</v>
      </c>
      <c r="I1011" s="6" t="s">
        <v>725</v>
      </c>
      <c r="J1011" s="6" t="s">
        <v>1852</v>
      </c>
      <c r="K1011" s="1">
        <v>0</v>
      </c>
      <c r="L1011" s="6" t="s">
        <v>234</v>
      </c>
      <c r="M1011" s="1">
        <v>2006</v>
      </c>
      <c r="N1011" s="1" t="s">
        <v>237</v>
      </c>
      <c r="O1011" s="1">
        <v>0</v>
      </c>
      <c r="P1011" s="1">
        <v>0</v>
      </c>
      <c r="Q1011" s="1">
        <v>0</v>
      </c>
      <c r="R1011" s="1">
        <v>0</v>
      </c>
      <c r="S1011" s="1" t="s">
        <v>235</v>
      </c>
    </row>
    <row r="1012" spans="1:19" ht="14.45" customHeight="1" x14ac:dyDescent="0.25">
      <c r="A1012" s="6">
        <v>1013</v>
      </c>
      <c r="B1012" s="6">
        <v>7900101</v>
      </c>
      <c r="C1012" t="s">
        <v>1014</v>
      </c>
      <c r="D1012" s="1" t="s">
        <v>1015</v>
      </c>
      <c r="E1012" s="21">
        <v>1230</v>
      </c>
      <c r="F1012" s="1" t="s">
        <v>233</v>
      </c>
      <c r="G1012" s="1" t="s">
        <v>233</v>
      </c>
      <c r="H1012" s="6" t="s">
        <v>1951</v>
      </c>
      <c r="I1012" s="6" t="s">
        <v>729</v>
      </c>
      <c r="J1012" s="6" t="s">
        <v>1849</v>
      </c>
      <c r="K1012" s="1">
        <v>0</v>
      </c>
      <c r="L1012" s="6" t="s">
        <v>255</v>
      </c>
      <c r="M1012" s="1">
        <v>2012</v>
      </c>
      <c r="N1012" s="1" t="s">
        <v>1907</v>
      </c>
      <c r="O1012" s="1">
        <v>0</v>
      </c>
      <c r="P1012" s="1">
        <v>0</v>
      </c>
      <c r="Q1012" s="1">
        <v>0</v>
      </c>
      <c r="R1012" s="1">
        <v>0</v>
      </c>
      <c r="S1012" s="1" t="s">
        <v>235</v>
      </c>
    </row>
    <row r="1013" spans="1:19" ht="14.45" customHeight="1" x14ac:dyDescent="0.25">
      <c r="A1013" s="6">
        <v>1014</v>
      </c>
      <c r="B1013" s="6">
        <v>7900101</v>
      </c>
      <c r="C1013" t="s">
        <v>1014</v>
      </c>
      <c r="D1013" s="1" t="s">
        <v>1015</v>
      </c>
      <c r="E1013" s="21">
        <v>3400</v>
      </c>
      <c r="F1013" s="1" t="s">
        <v>233</v>
      </c>
      <c r="G1013" s="1" t="s">
        <v>233</v>
      </c>
      <c r="H1013" s="6" t="s">
        <v>1951</v>
      </c>
      <c r="I1013" s="6" t="s">
        <v>500</v>
      </c>
      <c r="J1013" s="6" t="s">
        <v>1849</v>
      </c>
      <c r="K1013" s="1">
        <v>0</v>
      </c>
      <c r="L1013" s="6" t="s">
        <v>310</v>
      </c>
      <c r="M1013" s="1">
        <v>2010</v>
      </c>
      <c r="N1013" s="1" t="s">
        <v>237</v>
      </c>
      <c r="O1013" s="1">
        <v>0</v>
      </c>
      <c r="P1013" s="1">
        <v>0</v>
      </c>
      <c r="Q1013" s="1">
        <v>0</v>
      </c>
      <c r="R1013" s="1">
        <v>0</v>
      </c>
      <c r="S1013" s="1" t="s">
        <v>251</v>
      </c>
    </row>
    <row r="1014" spans="1:19" ht="14.45" customHeight="1" x14ac:dyDescent="0.25">
      <c r="A1014" s="6">
        <v>1015</v>
      </c>
      <c r="B1014" s="6">
        <v>7900301</v>
      </c>
      <c r="C1014" t="s">
        <v>1024</v>
      </c>
      <c r="D1014" s="1" t="s">
        <v>1023</v>
      </c>
      <c r="E1014" s="21">
        <v>1322</v>
      </c>
      <c r="F1014" s="1" t="s">
        <v>233</v>
      </c>
      <c r="G1014" s="1" t="s">
        <v>233</v>
      </c>
      <c r="H1014" s="6" t="s">
        <v>1951</v>
      </c>
      <c r="I1014" s="6" t="s">
        <v>555</v>
      </c>
      <c r="J1014" s="6" t="s">
        <v>1852</v>
      </c>
      <c r="K1014" s="1">
        <v>0</v>
      </c>
      <c r="L1014" s="6" t="s">
        <v>252</v>
      </c>
      <c r="M1014" s="1">
        <v>2010</v>
      </c>
      <c r="N1014" s="1" t="s">
        <v>237</v>
      </c>
      <c r="O1014" s="1">
        <v>0</v>
      </c>
      <c r="P1014" s="1">
        <v>0</v>
      </c>
      <c r="Q1014" s="1">
        <v>0</v>
      </c>
      <c r="R1014" s="1">
        <v>0</v>
      </c>
      <c r="S1014" s="1" t="s">
        <v>235</v>
      </c>
    </row>
    <row r="1015" spans="1:19" ht="14.45" customHeight="1" x14ac:dyDescent="0.25">
      <c r="A1015" s="6">
        <v>1016</v>
      </c>
      <c r="B1015" s="6">
        <v>7900601</v>
      </c>
      <c r="C1015" t="s">
        <v>1025</v>
      </c>
      <c r="D1015" s="1" t="s">
        <v>1026</v>
      </c>
      <c r="E1015" s="21" t="s">
        <v>237</v>
      </c>
      <c r="F1015" s="21">
        <v>5596.804698945848</v>
      </c>
      <c r="G1015" s="1" t="s">
        <v>233</v>
      </c>
      <c r="H1015" s="6" t="s">
        <v>1951</v>
      </c>
      <c r="I1015" s="6" t="s">
        <v>594</v>
      </c>
      <c r="J1015" s="6" t="s">
        <v>1853</v>
      </c>
      <c r="K1015" s="1">
        <v>0</v>
      </c>
      <c r="L1015" s="6" t="s">
        <v>245</v>
      </c>
      <c r="M1015" s="1">
        <v>2012</v>
      </c>
      <c r="N1015" s="1" t="s">
        <v>237</v>
      </c>
      <c r="O1015" s="1">
        <v>0</v>
      </c>
      <c r="P1015" s="1">
        <v>0</v>
      </c>
      <c r="Q1015" s="1">
        <v>0</v>
      </c>
      <c r="R1015" s="1">
        <v>0</v>
      </c>
      <c r="S1015" s="1" t="s">
        <v>251</v>
      </c>
    </row>
    <row r="1016" spans="1:19" ht="14.45" customHeight="1" x14ac:dyDescent="0.25">
      <c r="A1016" s="6">
        <v>1017</v>
      </c>
      <c r="B1016" s="6">
        <v>7900801</v>
      </c>
      <c r="C1016" t="s">
        <v>1029</v>
      </c>
      <c r="D1016" s="1" t="s">
        <v>1026</v>
      </c>
      <c r="E1016" s="21">
        <v>10100</v>
      </c>
      <c r="F1016" s="1" t="s">
        <v>233</v>
      </c>
      <c r="G1016" s="1" t="s">
        <v>233</v>
      </c>
      <c r="H1016" s="6" t="s">
        <v>1951</v>
      </c>
      <c r="I1016" s="6" t="s">
        <v>717</v>
      </c>
      <c r="J1016" s="6" t="s">
        <v>1853</v>
      </c>
      <c r="K1016" s="1">
        <v>0</v>
      </c>
      <c r="L1016" s="6" t="s">
        <v>271</v>
      </c>
      <c r="M1016" s="1">
        <v>2013</v>
      </c>
      <c r="N1016" s="1" t="s">
        <v>237</v>
      </c>
      <c r="O1016" s="1">
        <v>0</v>
      </c>
      <c r="P1016" s="1">
        <v>0</v>
      </c>
      <c r="Q1016" s="1">
        <v>0</v>
      </c>
      <c r="R1016" s="1">
        <v>0</v>
      </c>
      <c r="S1016" s="1" t="s">
        <v>251</v>
      </c>
    </row>
    <row r="1017" spans="1:19" ht="14.45" customHeight="1" x14ac:dyDescent="0.25">
      <c r="A1017" s="6">
        <v>1018</v>
      </c>
      <c r="B1017" s="6">
        <v>7900710</v>
      </c>
      <c r="C1017" t="s">
        <v>1027</v>
      </c>
      <c r="D1017" s="1" t="s">
        <v>1028</v>
      </c>
      <c r="E1017" s="21" t="s">
        <v>237</v>
      </c>
      <c r="F1017" s="21">
        <v>5596.804698945848</v>
      </c>
      <c r="G1017" s="1" t="s">
        <v>233</v>
      </c>
      <c r="H1017" s="6" t="s">
        <v>1951</v>
      </c>
      <c r="I1017" s="6" t="s">
        <v>594</v>
      </c>
      <c r="J1017" s="6" t="s">
        <v>1853</v>
      </c>
      <c r="K1017" s="1">
        <v>0</v>
      </c>
      <c r="L1017" s="6" t="s">
        <v>245</v>
      </c>
      <c r="M1017" s="1">
        <v>2012</v>
      </c>
      <c r="N1017" s="1" t="s">
        <v>237</v>
      </c>
      <c r="O1017" s="1">
        <v>0</v>
      </c>
      <c r="P1017" s="1">
        <v>0</v>
      </c>
      <c r="Q1017" s="1">
        <v>0</v>
      </c>
      <c r="R1017" s="1">
        <v>0</v>
      </c>
      <c r="S1017" s="1" t="s">
        <v>251</v>
      </c>
    </row>
    <row r="1018" spans="1:19" ht="14.45" customHeight="1" x14ac:dyDescent="0.25">
      <c r="A1018" s="6">
        <v>1019</v>
      </c>
      <c r="B1018" s="6">
        <v>7900801</v>
      </c>
      <c r="C1018" t="s">
        <v>1029</v>
      </c>
      <c r="D1018" s="1" t="s">
        <v>1026</v>
      </c>
      <c r="E1018" s="21">
        <v>11900</v>
      </c>
      <c r="F1018" s="1" t="s">
        <v>233</v>
      </c>
      <c r="G1018" s="1" t="s">
        <v>233</v>
      </c>
      <c r="H1018" s="6" t="s">
        <v>1954</v>
      </c>
      <c r="I1018" s="6" t="s">
        <v>429</v>
      </c>
      <c r="J1018" s="6" t="s">
        <v>1849</v>
      </c>
      <c r="K1018" s="1">
        <v>0</v>
      </c>
      <c r="L1018" s="6" t="s">
        <v>234</v>
      </c>
      <c r="M1018" s="1">
        <v>2015</v>
      </c>
      <c r="N1018" s="1" t="s">
        <v>1864</v>
      </c>
      <c r="O1018" s="1">
        <v>0</v>
      </c>
      <c r="P1018" s="1">
        <v>0</v>
      </c>
      <c r="Q1018" s="1">
        <v>0</v>
      </c>
      <c r="R1018" s="1">
        <v>0</v>
      </c>
      <c r="S1018" s="1" t="s">
        <v>251</v>
      </c>
    </row>
    <row r="1019" spans="1:19" ht="14.45" customHeight="1" x14ac:dyDescent="0.25">
      <c r="A1019" s="6">
        <v>1020</v>
      </c>
      <c r="B1019" s="6">
        <v>7901001</v>
      </c>
      <c r="C1019" t="s">
        <v>1030</v>
      </c>
      <c r="D1019" s="1" t="s">
        <v>1032</v>
      </c>
      <c r="E1019" s="21" t="s">
        <v>237</v>
      </c>
      <c r="F1019" s="1" t="s">
        <v>233</v>
      </c>
      <c r="G1019" s="19">
        <v>61.000000000000007</v>
      </c>
      <c r="H1019" s="6" t="s">
        <v>1951</v>
      </c>
      <c r="I1019" s="6" t="s">
        <v>465</v>
      </c>
      <c r="J1019" s="6" t="s">
        <v>1849</v>
      </c>
      <c r="K1019" s="1">
        <v>0</v>
      </c>
      <c r="L1019" s="6" t="s">
        <v>234</v>
      </c>
      <c r="M1019" s="1">
        <v>2007</v>
      </c>
      <c r="N1019" s="1" t="s">
        <v>237</v>
      </c>
      <c r="O1019" s="1">
        <v>0</v>
      </c>
      <c r="P1019" s="1">
        <v>0</v>
      </c>
      <c r="Q1019" s="1">
        <v>0</v>
      </c>
      <c r="R1019" s="1">
        <v>0</v>
      </c>
      <c r="S1019" s="1" t="s">
        <v>235</v>
      </c>
    </row>
    <row r="1020" spans="1:19" ht="14.45" customHeight="1" x14ac:dyDescent="0.25">
      <c r="A1020" s="6">
        <v>1021</v>
      </c>
      <c r="B1020" s="6">
        <v>7901001</v>
      </c>
      <c r="C1020" t="s">
        <v>1030</v>
      </c>
      <c r="D1020" s="1" t="s">
        <v>1032</v>
      </c>
      <c r="E1020" s="21">
        <v>8310</v>
      </c>
      <c r="F1020" s="21">
        <v>7670</v>
      </c>
      <c r="G1020" s="19">
        <v>29.7</v>
      </c>
      <c r="H1020" s="6" t="s">
        <v>1954</v>
      </c>
      <c r="I1020" s="6" t="s">
        <v>530</v>
      </c>
      <c r="J1020" s="6" t="s">
        <v>1849</v>
      </c>
      <c r="K1020" s="1">
        <v>0</v>
      </c>
      <c r="L1020" s="6" t="s">
        <v>236</v>
      </c>
      <c r="M1020" s="1">
        <v>2014</v>
      </c>
      <c r="N1020" s="1" t="s">
        <v>237</v>
      </c>
      <c r="O1020" s="1">
        <v>0</v>
      </c>
      <c r="P1020" s="1" t="s">
        <v>1952</v>
      </c>
      <c r="Q1020" s="1">
        <v>0</v>
      </c>
      <c r="R1020" s="1">
        <v>0</v>
      </c>
      <c r="S1020" s="1" t="s">
        <v>235</v>
      </c>
    </row>
    <row r="1021" spans="1:19" ht="14.45" customHeight="1" x14ac:dyDescent="0.25">
      <c r="A1021" s="6">
        <v>1022</v>
      </c>
      <c r="B1021" s="6">
        <v>7901001</v>
      </c>
      <c r="C1021" t="s">
        <v>1030</v>
      </c>
      <c r="D1021" s="1" t="s">
        <v>1032</v>
      </c>
      <c r="E1021" s="21">
        <v>6875</v>
      </c>
      <c r="F1021" s="1" t="s">
        <v>233</v>
      </c>
      <c r="G1021" s="1" t="s">
        <v>233</v>
      </c>
      <c r="H1021" s="6" t="s">
        <v>1951</v>
      </c>
      <c r="I1021" s="6" t="s">
        <v>582</v>
      </c>
      <c r="J1021" s="6" t="s">
        <v>1849</v>
      </c>
      <c r="K1021" s="1">
        <v>0</v>
      </c>
      <c r="L1021" s="6" t="s">
        <v>260</v>
      </c>
      <c r="M1021" s="1">
        <v>2010</v>
      </c>
      <c r="N1021" s="1" t="s">
        <v>1859</v>
      </c>
      <c r="O1021" s="1">
        <v>0</v>
      </c>
      <c r="P1021" s="1">
        <v>0</v>
      </c>
      <c r="Q1021" s="1">
        <v>0</v>
      </c>
      <c r="R1021" s="1">
        <v>0</v>
      </c>
      <c r="S1021" s="1" t="s">
        <v>235</v>
      </c>
    </row>
    <row r="1022" spans="1:19" ht="14.45" customHeight="1" x14ac:dyDescent="0.25">
      <c r="A1022" s="6">
        <v>1023</v>
      </c>
      <c r="B1022" s="6">
        <v>7901001</v>
      </c>
      <c r="C1022" t="s">
        <v>1030</v>
      </c>
      <c r="D1022" s="1" t="s">
        <v>1032</v>
      </c>
      <c r="E1022" s="21">
        <v>7916.666666666667</v>
      </c>
      <c r="F1022" s="1" t="s">
        <v>233</v>
      </c>
      <c r="G1022" s="1" t="s">
        <v>233</v>
      </c>
      <c r="H1022" s="6" t="s">
        <v>1951</v>
      </c>
      <c r="I1022" s="6" t="s">
        <v>582</v>
      </c>
      <c r="J1022" s="6" t="s">
        <v>1849</v>
      </c>
      <c r="K1022" s="1">
        <v>0</v>
      </c>
      <c r="L1022" s="6" t="s">
        <v>260</v>
      </c>
      <c r="M1022" s="1">
        <v>2010</v>
      </c>
      <c r="N1022" s="1" t="s">
        <v>237</v>
      </c>
      <c r="O1022" s="1">
        <v>0</v>
      </c>
      <c r="P1022" s="1">
        <v>0</v>
      </c>
      <c r="Q1022" s="1">
        <v>0</v>
      </c>
      <c r="R1022" s="1">
        <v>0</v>
      </c>
      <c r="S1022" s="1" t="s">
        <v>235</v>
      </c>
    </row>
    <row r="1023" spans="1:19" ht="14.45" customHeight="1" x14ac:dyDescent="0.25">
      <c r="A1023" s="6">
        <v>1024</v>
      </c>
      <c r="B1023" s="6">
        <v>7901001</v>
      </c>
      <c r="C1023" t="s">
        <v>1030</v>
      </c>
      <c r="D1023" s="1" t="s">
        <v>1032</v>
      </c>
      <c r="E1023" s="21" t="s">
        <v>237</v>
      </c>
      <c r="F1023" s="21">
        <v>2238.7218795783392</v>
      </c>
      <c r="G1023" s="1" t="s">
        <v>233</v>
      </c>
      <c r="H1023" s="6" t="s">
        <v>1951</v>
      </c>
      <c r="I1023" s="6" t="s">
        <v>594</v>
      </c>
      <c r="J1023" s="6" t="s">
        <v>1853</v>
      </c>
      <c r="K1023" s="1">
        <v>0</v>
      </c>
      <c r="L1023" s="6" t="s">
        <v>245</v>
      </c>
      <c r="M1023" s="1">
        <v>2012</v>
      </c>
      <c r="N1023" s="1" t="s">
        <v>237</v>
      </c>
      <c r="O1023" s="1">
        <v>0</v>
      </c>
      <c r="P1023" s="1">
        <v>0</v>
      </c>
      <c r="Q1023" s="1">
        <v>0</v>
      </c>
      <c r="R1023" s="1">
        <v>0</v>
      </c>
      <c r="S1023" s="1" t="s">
        <v>251</v>
      </c>
    </row>
    <row r="1024" spans="1:19" ht="14.45" customHeight="1" x14ac:dyDescent="0.25">
      <c r="A1024" s="6">
        <v>1025</v>
      </c>
      <c r="B1024" s="6">
        <v>7901001</v>
      </c>
      <c r="C1024" t="s">
        <v>1030</v>
      </c>
      <c r="D1024" s="1" t="s">
        <v>1032</v>
      </c>
      <c r="E1024" s="21">
        <v>4397.4960876369323</v>
      </c>
      <c r="F1024" s="1" t="s">
        <v>233</v>
      </c>
      <c r="G1024" s="1" t="s">
        <v>233</v>
      </c>
      <c r="H1024" s="6" t="s">
        <v>1954</v>
      </c>
      <c r="I1024" s="6" t="s">
        <v>313</v>
      </c>
      <c r="J1024" s="6" t="s">
        <v>1849</v>
      </c>
      <c r="K1024" s="1">
        <v>0</v>
      </c>
      <c r="L1024" s="6" t="s">
        <v>234</v>
      </c>
      <c r="M1024" s="1">
        <v>2012</v>
      </c>
      <c r="N1024" s="1" t="s">
        <v>237</v>
      </c>
      <c r="O1024" s="1">
        <v>0</v>
      </c>
      <c r="P1024" s="1">
        <v>0</v>
      </c>
      <c r="Q1024" s="1">
        <v>0</v>
      </c>
      <c r="R1024" s="1">
        <v>0</v>
      </c>
      <c r="S1024" s="1" t="s">
        <v>251</v>
      </c>
    </row>
    <row r="1025" spans="1:19" ht="14.45" customHeight="1" x14ac:dyDescent="0.25">
      <c r="A1025" s="6">
        <v>1026</v>
      </c>
      <c r="B1025" s="6">
        <v>7901001</v>
      </c>
      <c r="C1025" t="s">
        <v>1030</v>
      </c>
      <c r="D1025" s="1" t="s">
        <v>1032</v>
      </c>
      <c r="E1025" s="21">
        <v>2100</v>
      </c>
      <c r="F1025" s="1" t="s">
        <v>233</v>
      </c>
      <c r="G1025" s="1" t="s">
        <v>233</v>
      </c>
      <c r="H1025" s="6" t="s">
        <v>1951</v>
      </c>
      <c r="I1025" s="6" t="s">
        <v>716</v>
      </c>
      <c r="J1025" s="6" t="s">
        <v>1853</v>
      </c>
      <c r="K1025" s="1">
        <v>0</v>
      </c>
      <c r="L1025" s="6" t="s">
        <v>271</v>
      </c>
      <c r="M1025" s="1">
        <v>2012</v>
      </c>
      <c r="N1025" s="1" t="s">
        <v>237</v>
      </c>
      <c r="O1025" s="1">
        <v>0</v>
      </c>
      <c r="P1025" s="1" t="s">
        <v>1952</v>
      </c>
      <c r="Q1025" s="1">
        <v>0</v>
      </c>
      <c r="R1025" s="1">
        <v>0</v>
      </c>
      <c r="S1025" s="1" t="s">
        <v>235</v>
      </c>
    </row>
    <row r="1026" spans="1:19" ht="14.45" customHeight="1" x14ac:dyDescent="0.25">
      <c r="A1026" s="6">
        <v>1027</v>
      </c>
      <c r="B1026" s="6">
        <v>7901001</v>
      </c>
      <c r="C1026" t="s">
        <v>1030</v>
      </c>
      <c r="D1026" s="1" t="s">
        <v>1032</v>
      </c>
      <c r="E1026" s="21">
        <v>5900</v>
      </c>
      <c r="F1026" s="1" t="s">
        <v>233</v>
      </c>
      <c r="G1026" s="1" t="s">
        <v>233</v>
      </c>
      <c r="H1026" s="6" t="s">
        <v>1954</v>
      </c>
      <c r="I1026" s="6" t="s">
        <v>429</v>
      </c>
      <c r="J1026" s="6" t="s">
        <v>1849</v>
      </c>
      <c r="K1026" s="1">
        <v>0</v>
      </c>
      <c r="L1026" s="6" t="s">
        <v>234</v>
      </c>
      <c r="M1026" s="1">
        <v>2015</v>
      </c>
      <c r="N1026" s="1" t="s">
        <v>1864</v>
      </c>
      <c r="O1026" s="1">
        <v>0</v>
      </c>
      <c r="P1026" s="1">
        <v>0</v>
      </c>
      <c r="Q1026" s="1">
        <v>0</v>
      </c>
      <c r="R1026" s="1">
        <v>0</v>
      </c>
      <c r="S1026" s="1" t="s">
        <v>251</v>
      </c>
    </row>
    <row r="1027" spans="1:19" ht="14.45" customHeight="1" x14ac:dyDescent="0.25">
      <c r="A1027" s="6">
        <v>1028</v>
      </c>
      <c r="B1027" s="6">
        <v>7901204</v>
      </c>
      <c r="C1027" t="s">
        <v>1031</v>
      </c>
      <c r="D1027" s="1" t="s">
        <v>1032</v>
      </c>
      <c r="E1027" s="21">
        <v>1450</v>
      </c>
      <c r="F1027" s="1" t="s">
        <v>233</v>
      </c>
      <c r="G1027" s="1" t="s">
        <v>233</v>
      </c>
      <c r="H1027" s="6" t="s">
        <v>1951</v>
      </c>
      <c r="I1027" s="6" t="s">
        <v>427</v>
      </c>
      <c r="J1027" s="6" t="s">
        <v>1849</v>
      </c>
      <c r="K1027" s="1">
        <v>0</v>
      </c>
      <c r="L1027" s="6" t="s">
        <v>233</v>
      </c>
      <c r="M1027" s="1">
        <v>2008</v>
      </c>
      <c r="N1027" s="1" t="s">
        <v>237</v>
      </c>
      <c r="O1027" s="1">
        <v>0</v>
      </c>
      <c r="P1027" s="1">
        <v>0</v>
      </c>
      <c r="Q1027" s="1">
        <v>0</v>
      </c>
      <c r="R1027" s="1">
        <v>0</v>
      </c>
      <c r="S1027" s="1" t="s">
        <v>235</v>
      </c>
    </row>
    <row r="1028" spans="1:19" ht="14.45" customHeight="1" x14ac:dyDescent="0.25">
      <c r="A1028" s="6">
        <v>1029</v>
      </c>
      <c r="B1028" s="6">
        <v>7901201</v>
      </c>
      <c r="C1028" t="s">
        <v>1033</v>
      </c>
      <c r="D1028" s="1" t="s">
        <v>1032</v>
      </c>
      <c r="E1028" s="21" t="s">
        <v>237</v>
      </c>
      <c r="F1028" s="1" t="s">
        <v>233</v>
      </c>
      <c r="G1028" s="19">
        <v>17</v>
      </c>
      <c r="H1028" s="6" t="s">
        <v>1951</v>
      </c>
      <c r="I1028" s="6" t="s">
        <v>465</v>
      </c>
      <c r="J1028" s="6" t="s">
        <v>1849</v>
      </c>
      <c r="K1028" s="1">
        <v>0</v>
      </c>
      <c r="L1028" s="6" t="s">
        <v>234</v>
      </c>
      <c r="M1028" s="1">
        <v>2007</v>
      </c>
      <c r="N1028" s="1" t="s">
        <v>237</v>
      </c>
      <c r="O1028" s="1">
        <v>0</v>
      </c>
      <c r="P1028" s="1">
        <v>0</v>
      </c>
      <c r="Q1028" s="1">
        <v>0</v>
      </c>
      <c r="R1028" s="1">
        <v>0</v>
      </c>
      <c r="S1028" s="1" t="s">
        <v>235</v>
      </c>
    </row>
    <row r="1029" spans="1:19" ht="14.45" customHeight="1" x14ac:dyDescent="0.25">
      <c r="A1029" s="6">
        <v>1030</v>
      </c>
      <c r="B1029" s="6">
        <v>7901204</v>
      </c>
      <c r="C1029" t="s">
        <v>1031</v>
      </c>
      <c r="D1029" s="1" t="s">
        <v>1032</v>
      </c>
      <c r="E1029" s="21">
        <v>2200</v>
      </c>
      <c r="F1029" s="1" t="s">
        <v>233</v>
      </c>
      <c r="G1029" s="1" t="s">
        <v>233</v>
      </c>
      <c r="H1029" s="6" t="s">
        <v>1951</v>
      </c>
      <c r="I1029" s="6" t="s">
        <v>490</v>
      </c>
      <c r="J1029" s="6" t="s">
        <v>1851</v>
      </c>
      <c r="K1029" s="1">
        <v>0</v>
      </c>
      <c r="L1029" s="6" t="s">
        <v>238</v>
      </c>
      <c r="M1029" s="1">
        <v>2013</v>
      </c>
      <c r="N1029" s="1" t="s">
        <v>237</v>
      </c>
      <c r="O1029" s="1">
        <v>0</v>
      </c>
      <c r="P1029" s="1">
        <v>0</v>
      </c>
      <c r="Q1029" s="1">
        <v>0</v>
      </c>
      <c r="R1029" s="1">
        <v>0</v>
      </c>
      <c r="S1029" s="1" t="s">
        <v>235</v>
      </c>
    </row>
    <row r="1030" spans="1:19" ht="14.45" customHeight="1" x14ac:dyDescent="0.25">
      <c r="A1030" s="6">
        <v>1031</v>
      </c>
      <c r="B1030" s="6">
        <v>7901204</v>
      </c>
      <c r="C1030" t="s">
        <v>1031</v>
      </c>
      <c r="D1030" s="1" t="s">
        <v>1032</v>
      </c>
      <c r="E1030" s="21">
        <v>1600</v>
      </c>
      <c r="F1030" s="1" t="s">
        <v>233</v>
      </c>
      <c r="G1030" s="1" t="s">
        <v>233</v>
      </c>
      <c r="H1030" s="6" t="s">
        <v>1951</v>
      </c>
      <c r="I1030" s="6" t="s">
        <v>510</v>
      </c>
      <c r="J1030" s="6" t="s">
        <v>1853</v>
      </c>
      <c r="K1030" s="1">
        <v>0</v>
      </c>
      <c r="L1030" s="6" t="s">
        <v>233</v>
      </c>
      <c r="M1030" s="1">
        <v>2014</v>
      </c>
      <c r="N1030" s="1" t="s">
        <v>237</v>
      </c>
      <c r="O1030" s="1">
        <v>0</v>
      </c>
      <c r="P1030" s="1">
        <v>0</v>
      </c>
      <c r="Q1030" s="1">
        <v>0</v>
      </c>
      <c r="R1030" s="1">
        <v>0</v>
      </c>
      <c r="S1030" s="1" t="s">
        <v>235</v>
      </c>
    </row>
    <row r="1031" spans="1:19" ht="14.45" customHeight="1" x14ac:dyDescent="0.25">
      <c r="A1031" s="6">
        <v>1032</v>
      </c>
      <c r="B1031" s="6">
        <v>7901204</v>
      </c>
      <c r="C1031" t="s">
        <v>1031</v>
      </c>
      <c r="D1031" s="1" t="s">
        <v>1032</v>
      </c>
      <c r="E1031" s="21">
        <v>1776</v>
      </c>
      <c r="F1031" s="1" t="s">
        <v>233</v>
      </c>
      <c r="G1031" s="1" t="s">
        <v>233</v>
      </c>
      <c r="H1031" s="6" t="s">
        <v>1951</v>
      </c>
      <c r="I1031" s="6" t="s">
        <v>518</v>
      </c>
      <c r="J1031" s="6" t="s">
        <v>1853</v>
      </c>
      <c r="K1031" s="1">
        <v>0</v>
      </c>
      <c r="L1031" s="6" t="s">
        <v>284</v>
      </c>
      <c r="M1031" s="1">
        <v>2013</v>
      </c>
      <c r="N1031" s="1" t="s">
        <v>237</v>
      </c>
      <c r="O1031" s="1">
        <v>0</v>
      </c>
      <c r="P1031" s="1">
        <v>0</v>
      </c>
      <c r="Q1031" s="1">
        <v>0</v>
      </c>
      <c r="R1031" s="1">
        <v>0</v>
      </c>
      <c r="S1031" s="1" t="s">
        <v>235</v>
      </c>
    </row>
    <row r="1032" spans="1:19" ht="14.45" customHeight="1" x14ac:dyDescent="0.25">
      <c r="A1032" s="6">
        <v>1033</v>
      </c>
      <c r="B1032" s="6">
        <v>7901204</v>
      </c>
      <c r="C1032" t="s">
        <v>1031</v>
      </c>
      <c r="D1032" s="1" t="s">
        <v>1032</v>
      </c>
      <c r="E1032" s="21">
        <v>1170.4918032786884</v>
      </c>
      <c r="F1032" s="1" t="s">
        <v>233</v>
      </c>
      <c r="G1032" s="1" t="s">
        <v>233</v>
      </c>
      <c r="H1032" s="6" t="s">
        <v>1951</v>
      </c>
      <c r="I1032" s="6" t="s">
        <v>582</v>
      </c>
      <c r="J1032" s="6" t="s">
        <v>1849</v>
      </c>
      <c r="K1032" s="1">
        <v>0</v>
      </c>
      <c r="L1032" s="6" t="s">
        <v>260</v>
      </c>
      <c r="M1032" s="1">
        <v>2010</v>
      </c>
      <c r="N1032" s="1" t="s">
        <v>1859</v>
      </c>
      <c r="O1032" s="1">
        <v>0</v>
      </c>
      <c r="P1032" s="1" t="s">
        <v>1952</v>
      </c>
      <c r="Q1032" s="1">
        <v>0</v>
      </c>
      <c r="R1032" s="1">
        <v>0</v>
      </c>
      <c r="S1032" s="1" t="s">
        <v>235</v>
      </c>
    </row>
    <row r="1033" spans="1:19" ht="14.45" customHeight="1" x14ac:dyDescent="0.25">
      <c r="A1033" s="6">
        <v>1034</v>
      </c>
      <c r="B1033" s="6">
        <v>7901204</v>
      </c>
      <c r="C1033" t="s">
        <v>1031</v>
      </c>
      <c r="D1033" s="1" t="s">
        <v>1032</v>
      </c>
      <c r="E1033" s="21">
        <v>1377.049180327869</v>
      </c>
      <c r="F1033" s="1" t="s">
        <v>233</v>
      </c>
      <c r="G1033" s="1" t="s">
        <v>233</v>
      </c>
      <c r="H1033" s="6" t="s">
        <v>1951</v>
      </c>
      <c r="I1033" s="6" t="s">
        <v>582</v>
      </c>
      <c r="J1033" s="6" t="s">
        <v>1849</v>
      </c>
      <c r="K1033" s="1">
        <v>0</v>
      </c>
      <c r="L1033" s="6" t="s">
        <v>260</v>
      </c>
      <c r="M1033" s="1">
        <v>2010</v>
      </c>
      <c r="N1033" s="1" t="s">
        <v>237</v>
      </c>
      <c r="O1033" s="1">
        <v>0</v>
      </c>
      <c r="P1033" s="1">
        <v>0</v>
      </c>
      <c r="Q1033" s="1">
        <v>0</v>
      </c>
      <c r="R1033" s="1">
        <v>0</v>
      </c>
      <c r="S1033" s="1" t="s">
        <v>235</v>
      </c>
    </row>
    <row r="1034" spans="1:19" ht="14.45" customHeight="1" x14ac:dyDescent="0.25">
      <c r="A1034" s="6">
        <v>1035</v>
      </c>
      <c r="B1034" s="6">
        <v>7901201</v>
      </c>
      <c r="C1034" t="s">
        <v>1033</v>
      </c>
      <c r="D1034" s="1" t="s">
        <v>1032</v>
      </c>
      <c r="E1034" s="21" t="s">
        <v>237</v>
      </c>
      <c r="F1034" s="21">
        <v>1399.201174736462</v>
      </c>
      <c r="G1034" s="1" t="s">
        <v>233</v>
      </c>
      <c r="H1034" s="6" t="s">
        <v>1951</v>
      </c>
      <c r="I1034" s="6" t="s">
        <v>594</v>
      </c>
      <c r="J1034" s="6" t="s">
        <v>1853</v>
      </c>
      <c r="K1034" s="1">
        <v>0</v>
      </c>
      <c r="L1034" s="6" t="s">
        <v>245</v>
      </c>
      <c r="M1034" s="1">
        <v>2012</v>
      </c>
      <c r="N1034" s="1" t="s">
        <v>237</v>
      </c>
      <c r="O1034" s="1">
        <v>0</v>
      </c>
      <c r="P1034" s="1">
        <v>0</v>
      </c>
      <c r="Q1034" s="1">
        <v>0</v>
      </c>
      <c r="R1034" s="1">
        <v>0</v>
      </c>
      <c r="S1034" s="1" t="s">
        <v>251</v>
      </c>
    </row>
    <row r="1035" spans="1:19" ht="14.45" customHeight="1" x14ac:dyDescent="0.25">
      <c r="A1035" s="6">
        <v>1036</v>
      </c>
      <c r="B1035" s="6">
        <v>7901204</v>
      </c>
      <c r="C1035" t="s">
        <v>1031</v>
      </c>
      <c r="D1035" s="1" t="s">
        <v>1032</v>
      </c>
      <c r="E1035" s="21">
        <v>1334.9397590361446</v>
      </c>
      <c r="F1035" s="1" t="s">
        <v>233</v>
      </c>
      <c r="G1035" s="1" t="s">
        <v>233</v>
      </c>
      <c r="H1035" s="6" t="s">
        <v>1951</v>
      </c>
      <c r="I1035" s="6" t="s">
        <v>604</v>
      </c>
      <c r="J1035" s="6" t="s">
        <v>1851</v>
      </c>
      <c r="K1035" s="1">
        <v>0</v>
      </c>
      <c r="L1035" s="6" t="s">
        <v>233</v>
      </c>
      <c r="M1035" s="1">
        <v>2012</v>
      </c>
      <c r="N1035" s="1" t="s">
        <v>237</v>
      </c>
      <c r="O1035" s="1">
        <v>0</v>
      </c>
      <c r="P1035" s="1">
        <v>0</v>
      </c>
      <c r="Q1035" s="1">
        <v>0</v>
      </c>
      <c r="R1035" s="1">
        <v>0</v>
      </c>
      <c r="S1035" s="1" t="s">
        <v>235</v>
      </c>
    </row>
    <row r="1036" spans="1:19" ht="14.45" customHeight="1" x14ac:dyDescent="0.25">
      <c r="A1036" s="6">
        <v>1037</v>
      </c>
      <c r="B1036" s="6">
        <v>7901204</v>
      </c>
      <c r="C1036" t="s">
        <v>1031</v>
      </c>
      <c r="D1036" s="1" t="s">
        <v>1032</v>
      </c>
      <c r="E1036" s="21">
        <v>1500</v>
      </c>
      <c r="F1036" s="1" t="s">
        <v>233</v>
      </c>
      <c r="G1036" s="1" t="s">
        <v>233</v>
      </c>
      <c r="H1036" s="6" t="s">
        <v>1951</v>
      </c>
      <c r="I1036" s="6" t="s">
        <v>716</v>
      </c>
      <c r="J1036" s="6" t="s">
        <v>1853</v>
      </c>
      <c r="K1036" s="1">
        <v>0</v>
      </c>
      <c r="L1036" s="6" t="s">
        <v>271</v>
      </c>
      <c r="M1036" s="1">
        <v>2012</v>
      </c>
      <c r="N1036" s="1" t="s">
        <v>237</v>
      </c>
      <c r="O1036" s="1">
        <v>0</v>
      </c>
      <c r="P1036" s="1">
        <v>0</v>
      </c>
      <c r="Q1036" s="1">
        <v>0</v>
      </c>
      <c r="R1036" s="1">
        <v>0</v>
      </c>
      <c r="S1036" s="1" t="s">
        <v>235</v>
      </c>
    </row>
    <row r="1037" spans="1:19" ht="14.45" customHeight="1" x14ac:dyDescent="0.25">
      <c r="A1037" s="6">
        <v>1038</v>
      </c>
      <c r="B1037" s="6">
        <v>7901201</v>
      </c>
      <c r="C1037" t="s">
        <v>1033</v>
      </c>
      <c r="D1037" s="1" t="s">
        <v>1032</v>
      </c>
      <c r="E1037" s="21">
        <v>2930</v>
      </c>
      <c r="F1037" s="21">
        <v>1618</v>
      </c>
      <c r="G1037" s="19">
        <v>8.4</v>
      </c>
      <c r="H1037" s="6" t="s">
        <v>1954</v>
      </c>
      <c r="I1037" s="6" t="s">
        <v>1034</v>
      </c>
      <c r="J1037" s="6" t="s">
        <v>1849</v>
      </c>
      <c r="K1037" s="1">
        <v>0</v>
      </c>
      <c r="L1037" s="6" t="s">
        <v>236</v>
      </c>
      <c r="M1037" s="1">
        <v>2014</v>
      </c>
      <c r="N1037" s="1" t="s">
        <v>1859</v>
      </c>
      <c r="O1037" s="1">
        <v>0</v>
      </c>
      <c r="P1037" s="1">
        <v>0</v>
      </c>
      <c r="Q1037" s="1">
        <v>0</v>
      </c>
      <c r="R1037" s="1" t="s">
        <v>1956</v>
      </c>
      <c r="S1037" s="1" t="s">
        <v>235</v>
      </c>
    </row>
    <row r="1038" spans="1:19" ht="14.45" customHeight="1" x14ac:dyDescent="0.25">
      <c r="A1038" s="6">
        <v>1039</v>
      </c>
      <c r="B1038" s="6">
        <v>7901201</v>
      </c>
      <c r="C1038" t="s">
        <v>1033</v>
      </c>
      <c r="D1038" s="1" t="s">
        <v>1032</v>
      </c>
      <c r="E1038" s="21">
        <v>3580</v>
      </c>
      <c r="F1038" s="1">
        <v>1390</v>
      </c>
      <c r="G1038" s="1">
        <v>9.6999999999999993</v>
      </c>
      <c r="H1038" s="6" t="s">
        <v>1954</v>
      </c>
      <c r="I1038" s="6" t="s">
        <v>1035</v>
      </c>
      <c r="J1038" s="6" t="s">
        <v>1849</v>
      </c>
      <c r="K1038" s="1">
        <v>0</v>
      </c>
      <c r="L1038" s="6" t="s">
        <v>236</v>
      </c>
      <c r="M1038" s="1">
        <v>2014</v>
      </c>
      <c r="N1038" s="1" t="s">
        <v>1859</v>
      </c>
      <c r="O1038" s="1">
        <v>0</v>
      </c>
      <c r="P1038" s="1">
        <v>0</v>
      </c>
      <c r="Q1038" s="1">
        <v>0</v>
      </c>
      <c r="R1038" s="1">
        <v>0</v>
      </c>
      <c r="S1038" s="1" t="s">
        <v>251</v>
      </c>
    </row>
    <row r="1039" spans="1:19" ht="14.45" customHeight="1" x14ac:dyDescent="0.25">
      <c r="A1039" s="6">
        <v>1040</v>
      </c>
      <c r="B1039" s="6">
        <v>7901204</v>
      </c>
      <c r="C1039" t="s">
        <v>1031</v>
      </c>
      <c r="D1039" s="1" t="s">
        <v>1032</v>
      </c>
      <c r="E1039" s="21">
        <v>4000</v>
      </c>
      <c r="F1039" s="1" t="s">
        <v>233</v>
      </c>
      <c r="G1039" s="1" t="s">
        <v>233</v>
      </c>
      <c r="H1039" s="6" t="s">
        <v>1954</v>
      </c>
      <c r="I1039" s="6" t="s">
        <v>429</v>
      </c>
      <c r="J1039" s="6" t="s">
        <v>1849</v>
      </c>
      <c r="K1039" s="1">
        <v>0</v>
      </c>
      <c r="L1039" s="6" t="s">
        <v>234</v>
      </c>
      <c r="M1039" s="1">
        <v>2015</v>
      </c>
      <c r="N1039" s="1" t="s">
        <v>1864</v>
      </c>
      <c r="O1039" s="1">
        <v>0</v>
      </c>
      <c r="P1039" s="1" t="s">
        <v>1952</v>
      </c>
      <c r="Q1039" s="1">
        <v>0</v>
      </c>
      <c r="R1039" s="1">
        <v>0</v>
      </c>
      <c r="S1039" s="1" t="s">
        <v>251</v>
      </c>
    </row>
    <row r="1040" spans="1:19" ht="14.45" customHeight="1" x14ac:dyDescent="0.25">
      <c r="A1040" s="6">
        <v>1041</v>
      </c>
      <c r="B1040" s="6">
        <v>7902303</v>
      </c>
      <c r="C1040" t="s">
        <v>1036</v>
      </c>
      <c r="D1040" s="1">
        <v>220290</v>
      </c>
      <c r="E1040" s="21" t="s">
        <v>237</v>
      </c>
      <c r="F1040" s="21">
        <v>763.13056392059423</v>
      </c>
      <c r="G1040" s="1" t="s">
        <v>233</v>
      </c>
      <c r="H1040" s="6" t="s">
        <v>1951</v>
      </c>
      <c r="I1040" s="6" t="s">
        <v>594</v>
      </c>
      <c r="J1040" s="6" t="s">
        <v>1853</v>
      </c>
      <c r="K1040" s="1">
        <v>0</v>
      </c>
      <c r="L1040" s="6" t="s">
        <v>245</v>
      </c>
      <c r="M1040" s="1">
        <v>2012</v>
      </c>
      <c r="N1040" s="1" t="s">
        <v>237</v>
      </c>
      <c r="O1040" s="1">
        <v>0</v>
      </c>
      <c r="P1040" s="1">
        <v>0</v>
      </c>
      <c r="Q1040" s="1">
        <v>0</v>
      </c>
      <c r="R1040" s="1">
        <v>0</v>
      </c>
      <c r="S1040" s="1" t="s">
        <v>251</v>
      </c>
    </row>
    <row r="1041" spans="1:19" ht="14.45" customHeight="1" x14ac:dyDescent="0.25">
      <c r="A1041" s="6">
        <v>1042</v>
      </c>
      <c r="B1041" s="6">
        <v>7901303</v>
      </c>
      <c r="C1041" t="s">
        <v>1037</v>
      </c>
      <c r="D1041" s="1">
        <v>220290</v>
      </c>
      <c r="E1041" s="21" t="s">
        <v>237</v>
      </c>
      <c r="F1041" s="21">
        <v>1399.201174736462</v>
      </c>
      <c r="G1041" s="1" t="s">
        <v>233</v>
      </c>
      <c r="H1041" s="6" t="s">
        <v>1951</v>
      </c>
      <c r="I1041" s="6" t="s">
        <v>594</v>
      </c>
      <c r="J1041" s="6" t="s">
        <v>1853</v>
      </c>
      <c r="K1041" s="1">
        <v>0</v>
      </c>
      <c r="L1041" s="6" t="s">
        <v>245</v>
      </c>
      <c r="M1041" s="1">
        <v>2012</v>
      </c>
      <c r="N1041" s="1" t="s">
        <v>237</v>
      </c>
      <c r="O1041" s="1">
        <v>0</v>
      </c>
      <c r="P1041" s="1">
        <v>0</v>
      </c>
      <c r="Q1041" s="1">
        <v>0</v>
      </c>
      <c r="R1041" s="1">
        <v>0</v>
      </c>
      <c r="S1041" s="1" t="s">
        <v>251</v>
      </c>
    </row>
    <row r="1042" spans="1:19" ht="14.45" customHeight="1" x14ac:dyDescent="0.25">
      <c r="A1042" s="6">
        <v>1043</v>
      </c>
      <c r="B1042" s="6">
        <v>7901501</v>
      </c>
      <c r="C1042" t="s">
        <v>1038</v>
      </c>
      <c r="D1042" s="1" t="s">
        <v>1039</v>
      </c>
      <c r="E1042" s="21">
        <v>950</v>
      </c>
      <c r="F1042" s="1" t="s">
        <v>233</v>
      </c>
      <c r="G1042" s="1" t="s">
        <v>233</v>
      </c>
      <c r="H1042" s="6" t="s">
        <v>1954</v>
      </c>
      <c r="I1042" s="6" t="s">
        <v>313</v>
      </c>
      <c r="J1042" s="6" t="s">
        <v>1849</v>
      </c>
      <c r="K1042" s="1">
        <v>0</v>
      </c>
      <c r="L1042" s="6" t="s">
        <v>234</v>
      </c>
      <c r="M1042" s="1">
        <v>2012</v>
      </c>
      <c r="N1042" s="1" t="s">
        <v>237</v>
      </c>
      <c r="O1042" s="1">
        <v>0</v>
      </c>
      <c r="P1042" s="1">
        <v>0</v>
      </c>
      <c r="Q1042" s="1">
        <v>0</v>
      </c>
      <c r="R1042" s="1">
        <v>0</v>
      </c>
      <c r="S1042" s="1" t="s">
        <v>251</v>
      </c>
    </row>
    <row r="1043" spans="1:19" ht="14.45" customHeight="1" x14ac:dyDescent="0.25">
      <c r="A1043" s="6">
        <v>1044</v>
      </c>
      <c r="B1043" s="6">
        <v>7901501</v>
      </c>
      <c r="C1043" t="s">
        <v>1038</v>
      </c>
      <c r="D1043" s="1" t="s">
        <v>1039</v>
      </c>
      <c r="E1043" s="21">
        <v>11100</v>
      </c>
      <c r="F1043" s="1" t="s">
        <v>233</v>
      </c>
      <c r="G1043" s="1" t="s">
        <v>233</v>
      </c>
      <c r="H1043" s="6" t="s">
        <v>1954</v>
      </c>
      <c r="I1043" s="6" t="s">
        <v>429</v>
      </c>
      <c r="J1043" s="6" t="s">
        <v>1849</v>
      </c>
      <c r="K1043" s="1">
        <v>0</v>
      </c>
      <c r="L1043" s="6" t="s">
        <v>234</v>
      </c>
      <c r="M1043" s="1">
        <v>2015</v>
      </c>
      <c r="N1043" s="1" t="s">
        <v>1864</v>
      </c>
      <c r="O1043" s="1">
        <v>0</v>
      </c>
      <c r="P1043" s="1">
        <v>0</v>
      </c>
      <c r="Q1043" s="1">
        <v>0</v>
      </c>
      <c r="R1043" s="1">
        <v>0</v>
      </c>
      <c r="S1043" s="1" t="s">
        <v>251</v>
      </c>
    </row>
    <row r="1044" spans="1:19" ht="14.45" customHeight="1" x14ac:dyDescent="0.25">
      <c r="A1044" s="6">
        <v>1045</v>
      </c>
      <c r="B1044" s="6">
        <v>7901602</v>
      </c>
      <c r="C1044" t="s">
        <v>1040</v>
      </c>
      <c r="D1044" s="1">
        <v>151710</v>
      </c>
      <c r="E1044" s="21" t="s">
        <v>237</v>
      </c>
      <c r="F1044" s="1" t="s">
        <v>233</v>
      </c>
      <c r="G1044" s="19">
        <v>66</v>
      </c>
      <c r="H1044" s="6" t="s">
        <v>1951</v>
      </c>
      <c r="I1044" s="6" t="s">
        <v>465</v>
      </c>
      <c r="J1044" s="6" t="s">
        <v>1849</v>
      </c>
      <c r="K1044" s="1">
        <v>0</v>
      </c>
      <c r="L1044" s="6" t="s">
        <v>234</v>
      </c>
      <c r="M1044" s="1">
        <v>2007</v>
      </c>
      <c r="N1044" s="1" t="s">
        <v>237</v>
      </c>
      <c r="O1044" s="1">
        <v>0</v>
      </c>
      <c r="P1044" s="1">
        <v>0</v>
      </c>
      <c r="Q1044" s="1">
        <v>0</v>
      </c>
      <c r="R1044" s="1">
        <v>0</v>
      </c>
      <c r="S1044" s="1" t="s">
        <v>235</v>
      </c>
    </row>
    <row r="1045" spans="1:19" ht="14.45" customHeight="1" x14ac:dyDescent="0.25">
      <c r="A1045" s="6">
        <v>1046</v>
      </c>
      <c r="B1045" s="6">
        <v>7901602</v>
      </c>
      <c r="C1045" t="s">
        <v>1040</v>
      </c>
      <c r="D1045" s="1">
        <v>151710</v>
      </c>
      <c r="E1045" s="21" t="s">
        <v>237</v>
      </c>
      <c r="F1045" s="21">
        <v>1324</v>
      </c>
      <c r="G1045" s="1" t="s">
        <v>233</v>
      </c>
      <c r="H1045" s="6" t="s">
        <v>1951</v>
      </c>
      <c r="I1045" s="6" t="s">
        <v>552</v>
      </c>
      <c r="J1045" s="6" t="s">
        <v>1853</v>
      </c>
      <c r="K1045" s="1">
        <v>0</v>
      </c>
      <c r="L1045" s="6" t="s">
        <v>233</v>
      </c>
      <c r="M1045" s="1">
        <v>2012</v>
      </c>
      <c r="N1045" s="1" t="s">
        <v>237</v>
      </c>
      <c r="O1045" s="1">
        <v>0</v>
      </c>
      <c r="P1045" s="1">
        <v>0</v>
      </c>
      <c r="Q1045" s="1">
        <v>0</v>
      </c>
      <c r="R1045" s="1">
        <v>0</v>
      </c>
      <c r="S1045" s="1" t="s">
        <v>235</v>
      </c>
    </row>
    <row r="1046" spans="1:19" ht="14.45" customHeight="1" x14ac:dyDescent="0.25">
      <c r="A1046" s="6">
        <v>1047</v>
      </c>
      <c r="B1046" s="6">
        <v>7901602</v>
      </c>
      <c r="C1046" t="s">
        <v>1040</v>
      </c>
      <c r="D1046" s="1">
        <v>151710</v>
      </c>
      <c r="E1046" s="21">
        <v>1100</v>
      </c>
      <c r="F1046" s="1" t="s">
        <v>233</v>
      </c>
      <c r="G1046" s="1" t="s">
        <v>233</v>
      </c>
      <c r="H1046" s="6" t="s">
        <v>1951</v>
      </c>
      <c r="I1046" s="6" t="s">
        <v>624</v>
      </c>
      <c r="J1046" s="6" t="s">
        <v>1853</v>
      </c>
      <c r="K1046" s="1">
        <v>0</v>
      </c>
      <c r="L1046" s="6" t="s">
        <v>234</v>
      </c>
      <c r="M1046" s="1">
        <v>2010</v>
      </c>
      <c r="N1046" s="1" t="s">
        <v>237</v>
      </c>
      <c r="O1046" s="1">
        <v>0</v>
      </c>
      <c r="P1046" s="1">
        <v>0</v>
      </c>
      <c r="Q1046" s="1">
        <v>0</v>
      </c>
      <c r="R1046" s="1">
        <v>0</v>
      </c>
      <c r="S1046" s="1" t="s">
        <v>235</v>
      </c>
    </row>
    <row r="1047" spans="1:19" ht="14.45" customHeight="1" x14ac:dyDescent="0.25">
      <c r="A1047" s="6">
        <v>1048</v>
      </c>
      <c r="B1047" s="6">
        <v>7901602</v>
      </c>
      <c r="C1047" t="s">
        <v>1040</v>
      </c>
      <c r="D1047" s="1">
        <v>151710</v>
      </c>
      <c r="E1047" s="21">
        <v>1320</v>
      </c>
      <c r="F1047" s="1" t="s">
        <v>233</v>
      </c>
      <c r="G1047" s="1" t="s">
        <v>233</v>
      </c>
      <c r="H1047" s="6" t="s">
        <v>1951</v>
      </c>
      <c r="I1047" s="6" t="s">
        <v>624</v>
      </c>
      <c r="J1047" s="6" t="s">
        <v>1853</v>
      </c>
      <c r="K1047" s="1">
        <v>0</v>
      </c>
      <c r="L1047" s="6" t="s">
        <v>269</v>
      </c>
      <c r="M1047" s="1">
        <v>2010</v>
      </c>
      <c r="N1047" s="1" t="s">
        <v>237</v>
      </c>
      <c r="O1047" s="1">
        <v>0</v>
      </c>
      <c r="P1047" s="1">
        <v>0</v>
      </c>
      <c r="Q1047" s="1">
        <v>0</v>
      </c>
      <c r="R1047" s="1">
        <v>0</v>
      </c>
      <c r="S1047" s="1" t="s">
        <v>235</v>
      </c>
    </row>
    <row r="1048" spans="1:19" ht="14.45" customHeight="1" x14ac:dyDescent="0.25">
      <c r="A1048" s="6">
        <v>1049</v>
      </c>
      <c r="B1048" s="6">
        <v>7901602</v>
      </c>
      <c r="C1048" t="s">
        <v>1040</v>
      </c>
      <c r="D1048" s="1">
        <v>151710</v>
      </c>
      <c r="E1048" s="21">
        <v>1660</v>
      </c>
      <c r="F1048" s="1" t="s">
        <v>233</v>
      </c>
      <c r="G1048" s="1" t="s">
        <v>233</v>
      </c>
      <c r="H1048" s="6" t="s">
        <v>1951</v>
      </c>
      <c r="I1048" s="6" t="s">
        <v>624</v>
      </c>
      <c r="J1048" s="6" t="s">
        <v>1853</v>
      </c>
      <c r="K1048" s="1">
        <v>0</v>
      </c>
      <c r="L1048" s="6" t="s">
        <v>252</v>
      </c>
      <c r="M1048" s="1">
        <v>2010</v>
      </c>
      <c r="N1048" s="1" t="s">
        <v>237</v>
      </c>
      <c r="O1048" s="1">
        <v>0</v>
      </c>
      <c r="P1048" s="1">
        <v>0</v>
      </c>
      <c r="Q1048" s="1">
        <v>0</v>
      </c>
      <c r="R1048" s="1">
        <v>0</v>
      </c>
      <c r="S1048" s="1" t="s">
        <v>235</v>
      </c>
    </row>
    <row r="1049" spans="1:19" ht="14.45" customHeight="1" x14ac:dyDescent="0.25">
      <c r="A1049" s="6">
        <v>1050</v>
      </c>
      <c r="B1049" s="6">
        <v>7901602</v>
      </c>
      <c r="C1049" t="s">
        <v>1040</v>
      </c>
      <c r="D1049" s="1">
        <v>151710</v>
      </c>
      <c r="E1049" s="21">
        <v>2200</v>
      </c>
      <c r="F1049" s="1" t="s">
        <v>233</v>
      </c>
      <c r="G1049" s="1" t="s">
        <v>233</v>
      </c>
      <c r="H1049" s="6" t="s">
        <v>1954</v>
      </c>
      <c r="I1049" s="6" t="s">
        <v>429</v>
      </c>
      <c r="J1049" s="6" t="s">
        <v>1849</v>
      </c>
      <c r="K1049" s="1">
        <v>0</v>
      </c>
      <c r="L1049" s="6" t="s">
        <v>234</v>
      </c>
      <c r="M1049" s="1">
        <v>2015</v>
      </c>
      <c r="N1049" s="1" t="s">
        <v>1864</v>
      </c>
      <c r="O1049" s="1">
        <v>0</v>
      </c>
      <c r="P1049" s="1">
        <v>0</v>
      </c>
      <c r="Q1049" s="1">
        <v>0</v>
      </c>
      <c r="R1049" s="1">
        <v>0</v>
      </c>
      <c r="S1049" s="1" t="s">
        <v>251</v>
      </c>
    </row>
    <row r="1050" spans="1:19" ht="14.45" customHeight="1" x14ac:dyDescent="0.25">
      <c r="A1050" s="6">
        <v>1051</v>
      </c>
      <c r="B1050" s="6">
        <v>7901801</v>
      </c>
      <c r="C1050" t="s">
        <v>1041</v>
      </c>
      <c r="D1050" s="1" t="s">
        <v>1042</v>
      </c>
      <c r="E1050" s="21" t="s">
        <v>237</v>
      </c>
      <c r="F1050" s="21">
        <v>2067</v>
      </c>
      <c r="G1050" s="1" t="s">
        <v>233</v>
      </c>
      <c r="H1050" s="6" t="s">
        <v>1954</v>
      </c>
      <c r="I1050" s="6" t="s">
        <v>523</v>
      </c>
      <c r="J1050" s="6" t="s">
        <v>1849</v>
      </c>
      <c r="K1050" s="1">
        <v>0</v>
      </c>
      <c r="L1050" s="6" t="s">
        <v>296</v>
      </c>
      <c r="M1050" s="1">
        <v>2012</v>
      </c>
      <c r="N1050" s="1" t="s">
        <v>237</v>
      </c>
      <c r="O1050" s="1">
        <v>0</v>
      </c>
      <c r="P1050" s="1">
        <v>0</v>
      </c>
      <c r="Q1050" s="1">
        <v>0</v>
      </c>
      <c r="R1050" s="1">
        <v>0</v>
      </c>
      <c r="S1050" s="1" t="s">
        <v>235</v>
      </c>
    </row>
    <row r="1051" spans="1:19" ht="14.45" customHeight="1" x14ac:dyDescent="0.25">
      <c r="A1051" s="6">
        <v>1052</v>
      </c>
      <c r="B1051" s="6">
        <v>7901801</v>
      </c>
      <c r="C1051" t="s">
        <v>1041</v>
      </c>
      <c r="D1051" s="1" t="s">
        <v>1042</v>
      </c>
      <c r="E1051" s="21">
        <v>9720</v>
      </c>
      <c r="F1051" s="21">
        <v>9410</v>
      </c>
      <c r="G1051" s="19">
        <v>30.1</v>
      </c>
      <c r="H1051" s="6" t="s">
        <v>1954</v>
      </c>
      <c r="I1051" s="6" t="s">
        <v>528</v>
      </c>
      <c r="J1051" s="6" t="s">
        <v>1849</v>
      </c>
      <c r="K1051" s="1">
        <v>0</v>
      </c>
      <c r="L1051" s="6" t="s">
        <v>236</v>
      </c>
      <c r="M1051" s="1">
        <v>2013</v>
      </c>
      <c r="N1051" s="1" t="s">
        <v>237</v>
      </c>
      <c r="O1051" s="1">
        <v>0</v>
      </c>
      <c r="P1051" s="1">
        <v>0</v>
      </c>
      <c r="Q1051" s="1">
        <v>0</v>
      </c>
      <c r="R1051" s="1">
        <v>0</v>
      </c>
      <c r="S1051" s="1" t="s">
        <v>235</v>
      </c>
    </row>
    <row r="1052" spans="1:19" ht="14.45" customHeight="1" x14ac:dyDescent="0.25">
      <c r="A1052" s="6">
        <v>1053</v>
      </c>
      <c r="B1052" s="6">
        <v>7901801</v>
      </c>
      <c r="C1052" t="s">
        <v>1041</v>
      </c>
      <c r="D1052" s="1" t="s">
        <v>1042</v>
      </c>
      <c r="E1052" s="21">
        <v>11900</v>
      </c>
      <c r="F1052" s="21">
        <v>10390</v>
      </c>
      <c r="G1052" s="19">
        <v>41.1</v>
      </c>
      <c r="H1052" s="6" t="s">
        <v>1954</v>
      </c>
      <c r="I1052" s="6" t="s">
        <v>529</v>
      </c>
      <c r="J1052" s="6" t="s">
        <v>1849</v>
      </c>
      <c r="K1052" s="1">
        <v>0</v>
      </c>
      <c r="L1052" s="6" t="s">
        <v>236</v>
      </c>
      <c r="M1052" s="1">
        <v>2014</v>
      </c>
      <c r="N1052" s="1" t="s">
        <v>237</v>
      </c>
      <c r="O1052" s="1">
        <v>0</v>
      </c>
      <c r="P1052" s="1">
        <v>0</v>
      </c>
      <c r="Q1052" s="1">
        <v>0</v>
      </c>
      <c r="R1052" s="1">
        <v>0</v>
      </c>
      <c r="S1052" s="1" t="s">
        <v>235</v>
      </c>
    </row>
    <row r="1053" spans="1:19" ht="14.45" customHeight="1" x14ac:dyDescent="0.25">
      <c r="A1053" s="6">
        <v>1054</v>
      </c>
      <c r="B1053" s="6">
        <v>7901801</v>
      </c>
      <c r="C1053" t="s">
        <v>1041</v>
      </c>
      <c r="D1053" s="1" t="s">
        <v>1042</v>
      </c>
      <c r="E1053" s="21">
        <v>8000</v>
      </c>
      <c r="F1053" s="1" t="s">
        <v>233</v>
      </c>
      <c r="G1053" s="1" t="s">
        <v>233</v>
      </c>
      <c r="H1053" s="6" t="s">
        <v>1951</v>
      </c>
      <c r="I1053" s="6" t="s">
        <v>547</v>
      </c>
      <c r="J1053" s="6" t="s">
        <v>1851</v>
      </c>
      <c r="K1053" s="1">
        <v>0</v>
      </c>
      <c r="L1053" s="6" t="s">
        <v>238</v>
      </c>
      <c r="M1053" s="1">
        <v>2012</v>
      </c>
      <c r="N1053" s="1" t="s">
        <v>237</v>
      </c>
      <c r="O1053" s="1">
        <v>0</v>
      </c>
      <c r="P1053" s="1">
        <v>0</v>
      </c>
      <c r="Q1053" s="1">
        <v>0</v>
      </c>
      <c r="R1053" s="1">
        <v>0</v>
      </c>
      <c r="S1053" s="1" t="s">
        <v>235</v>
      </c>
    </row>
    <row r="1054" spans="1:19" ht="14.45" customHeight="1" x14ac:dyDescent="0.25">
      <c r="A1054" s="6">
        <v>1055</v>
      </c>
      <c r="B1054" s="6">
        <v>7901801</v>
      </c>
      <c r="C1054" t="s">
        <v>1041</v>
      </c>
      <c r="D1054" s="1" t="s">
        <v>1042</v>
      </c>
      <c r="E1054" s="21">
        <v>7280</v>
      </c>
      <c r="F1054" s="1" t="s">
        <v>233</v>
      </c>
      <c r="G1054" s="1" t="s">
        <v>233</v>
      </c>
      <c r="H1054" s="6" t="s">
        <v>1951</v>
      </c>
      <c r="I1054" s="6" t="s">
        <v>558</v>
      </c>
      <c r="J1054" s="6" t="s">
        <v>1851</v>
      </c>
      <c r="K1054" s="1">
        <v>0</v>
      </c>
      <c r="L1054" s="6" t="s">
        <v>238</v>
      </c>
      <c r="M1054" s="1">
        <v>2013</v>
      </c>
      <c r="N1054" s="1" t="s">
        <v>237</v>
      </c>
      <c r="O1054" s="1">
        <v>0</v>
      </c>
      <c r="P1054" s="1">
        <v>0</v>
      </c>
      <c r="Q1054" s="1">
        <v>0</v>
      </c>
      <c r="R1054" s="1">
        <v>0</v>
      </c>
      <c r="S1054" s="1" t="s">
        <v>235</v>
      </c>
    </row>
    <row r="1055" spans="1:19" ht="14.45" customHeight="1" x14ac:dyDescent="0.25">
      <c r="A1055" s="6">
        <v>1056</v>
      </c>
      <c r="B1055" s="6">
        <v>7901801</v>
      </c>
      <c r="C1055" t="s">
        <v>1041</v>
      </c>
      <c r="D1055" s="1" t="s">
        <v>1042</v>
      </c>
      <c r="E1055" s="21" t="s">
        <v>237</v>
      </c>
      <c r="F1055" s="21">
        <v>5965.8796627210149</v>
      </c>
      <c r="G1055" s="1" t="s">
        <v>233</v>
      </c>
      <c r="H1055" s="6" t="s">
        <v>1951</v>
      </c>
      <c r="I1055" s="6" t="s">
        <v>594</v>
      </c>
      <c r="J1055" s="6" t="s">
        <v>1853</v>
      </c>
      <c r="K1055" s="1">
        <v>0</v>
      </c>
      <c r="L1055" s="6" t="s">
        <v>245</v>
      </c>
      <c r="M1055" s="1">
        <v>2012</v>
      </c>
      <c r="N1055" s="1" t="s">
        <v>237</v>
      </c>
      <c r="O1055" s="1">
        <v>0</v>
      </c>
      <c r="P1055" s="1">
        <v>0</v>
      </c>
      <c r="Q1055" s="1">
        <v>0</v>
      </c>
      <c r="R1055" s="1">
        <v>0</v>
      </c>
      <c r="S1055" s="1" t="s">
        <v>251</v>
      </c>
    </row>
    <row r="1056" spans="1:19" ht="14.45" customHeight="1" x14ac:dyDescent="0.25">
      <c r="A1056" s="6">
        <v>1057</v>
      </c>
      <c r="B1056" s="6">
        <v>7902001</v>
      </c>
      <c r="C1056" t="s">
        <v>1043</v>
      </c>
      <c r="D1056" s="1" t="s">
        <v>1044</v>
      </c>
      <c r="E1056" s="21">
        <v>8350</v>
      </c>
      <c r="F1056" s="1" t="s">
        <v>233</v>
      </c>
      <c r="G1056" s="1" t="s">
        <v>233</v>
      </c>
      <c r="H1056" s="6" t="s">
        <v>1951</v>
      </c>
      <c r="I1056" s="6" t="s">
        <v>555</v>
      </c>
      <c r="J1056" s="6" t="s">
        <v>1849</v>
      </c>
      <c r="K1056" s="1">
        <v>0</v>
      </c>
      <c r="L1056" s="6" t="s">
        <v>252</v>
      </c>
      <c r="M1056" s="1">
        <v>2010</v>
      </c>
      <c r="N1056" s="1" t="s">
        <v>237</v>
      </c>
      <c r="O1056" s="1">
        <v>0</v>
      </c>
      <c r="P1056" s="1">
        <v>0</v>
      </c>
      <c r="Q1056" s="1">
        <v>0</v>
      </c>
      <c r="R1056" s="1">
        <v>0</v>
      </c>
      <c r="S1056" s="1" t="s">
        <v>235</v>
      </c>
    </row>
    <row r="1057" spans="1:19" ht="14.45" customHeight="1" x14ac:dyDescent="0.25">
      <c r="A1057" s="6">
        <v>1058</v>
      </c>
      <c r="B1057" s="6">
        <v>7902001</v>
      </c>
      <c r="C1057" t="s">
        <v>1043</v>
      </c>
      <c r="D1057" s="1" t="s">
        <v>1044</v>
      </c>
      <c r="E1057" s="21" t="s">
        <v>237</v>
      </c>
      <c r="F1057" s="21">
        <v>3748.5041875142397</v>
      </c>
      <c r="G1057" s="1" t="s">
        <v>233</v>
      </c>
      <c r="H1057" s="6" t="s">
        <v>1951</v>
      </c>
      <c r="I1057" s="6" t="s">
        <v>594</v>
      </c>
      <c r="J1057" s="6" t="s">
        <v>1853</v>
      </c>
      <c r="K1057" s="1">
        <v>0</v>
      </c>
      <c r="L1057" s="6" t="s">
        <v>245</v>
      </c>
      <c r="M1057" s="1">
        <v>2012</v>
      </c>
      <c r="N1057" s="1" t="s">
        <v>237</v>
      </c>
      <c r="O1057" s="1">
        <v>0</v>
      </c>
      <c r="P1057" s="1">
        <v>0</v>
      </c>
      <c r="Q1057" s="1">
        <v>0</v>
      </c>
      <c r="R1057" s="1">
        <v>0</v>
      </c>
      <c r="S1057" s="1" t="s">
        <v>251</v>
      </c>
    </row>
    <row r="1058" spans="1:19" ht="14.45" customHeight="1" x14ac:dyDescent="0.25">
      <c r="A1058" s="6">
        <v>1059</v>
      </c>
      <c r="B1058" s="6">
        <v>7902403</v>
      </c>
      <c r="C1058" t="s">
        <v>1045</v>
      </c>
      <c r="D1058" s="1" t="s">
        <v>1046</v>
      </c>
      <c r="E1058" s="21" t="s">
        <v>237</v>
      </c>
      <c r="F1058" s="21">
        <v>5965.8796627210149</v>
      </c>
      <c r="G1058" s="1" t="s">
        <v>233</v>
      </c>
      <c r="H1058" s="6" t="s">
        <v>1951</v>
      </c>
      <c r="I1058" s="6" t="s">
        <v>594</v>
      </c>
      <c r="J1058" s="6" t="s">
        <v>1853</v>
      </c>
      <c r="K1058" s="1">
        <v>0</v>
      </c>
      <c r="L1058" s="6" t="s">
        <v>245</v>
      </c>
      <c r="M1058" s="1">
        <v>2012</v>
      </c>
      <c r="N1058" s="1" t="s">
        <v>237</v>
      </c>
      <c r="O1058" s="1">
        <v>0</v>
      </c>
      <c r="P1058" s="1">
        <v>0</v>
      </c>
      <c r="Q1058" s="1">
        <v>0</v>
      </c>
      <c r="R1058" s="1">
        <v>0</v>
      </c>
      <c r="S1058" s="1" t="s">
        <v>251</v>
      </c>
    </row>
    <row r="1059" spans="1:19" ht="14.45" customHeight="1" x14ac:dyDescent="0.25">
      <c r="A1059" s="6">
        <v>1060</v>
      </c>
      <c r="B1059" s="6">
        <v>7903001</v>
      </c>
      <c r="C1059" t="s">
        <v>1047</v>
      </c>
      <c r="D1059" s="1" t="s">
        <v>1048</v>
      </c>
      <c r="E1059" s="21">
        <v>10000</v>
      </c>
      <c r="F1059" s="1" t="s">
        <v>233</v>
      </c>
      <c r="G1059" s="1" t="s">
        <v>233</v>
      </c>
      <c r="H1059" s="6" t="s">
        <v>1951</v>
      </c>
      <c r="I1059" s="6" t="s">
        <v>415</v>
      </c>
      <c r="J1059" s="6" t="s">
        <v>1852</v>
      </c>
      <c r="K1059" s="1">
        <v>0</v>
      </c>
      <c r="L1059" s="6" t="s">
        <v>272</v>
      </c>
      <c r="M1059" s="1">
        <v>2007</v>
      </c>
      <c r="N1059" s="1" t="s">
        <v>237</v>
      </c>
      <c r="O1059" s="1">
        <v>0</v>
      </c>
      <c r="P1059" s="1">
        <v>0</v>
      </c>
      <c r="Q1059" s="1">
        <v>0</v>
      </c>
      <c r="R1059" s="1">
        <v>0</v>
      </c>
      <c r="S1059" s="1" t="s">
        <v>235</v>
      </c>
    </row>
    <row r="1060" spans="1:19" ht="14.45" customHeight="1" x14ac:dyDescent="0.25">
      <c r="A1060" s="6">
        <v>1061</v>
      </c>
      <c r="B1060" s="6">
        <v>7903001</v>
      </c>
      <c r="C1060" t="s">
        <v>1047</v>
      </c>
      <c r="D1060" s="1" t="s">
        <v>1048</v>
      </c>
      <c r="E1060" s="21">
        <v>8794</v>
      </c>
      <c r="F1060" s="1" t="s">
        <v>233</v>
      </c>
      <c r="G1060" s="1" t="s">
        <v>233</v>
      </c>
      <c r="H1060" s="6" t="s">
        <v>1951</v>
      </c>
      <c r="I1060" s="6" t="s">
        <v>426</v>
      </c>
      <c r="J1060" s="6" t="s">
        <v>1853</v>
      </c>
      <c r="K1060" s="1">
        <v>0</v>
      </c>
      <c r="L1060" s="6" t="s">
        <v>239</v>
      </c>
      <c r="M1060" s="1">
        <v>2002</v>
      </c>
      <c r="N1060" s="1" t="s">
        <v>1913</v>
      </c>
      <c r="O1060" s="1">
        <v>0</v>
      </c>
      <c r="P1060" s="1">
        <v>0</v>
      </c>
      <c r="Q1060" s="1">
        <v>0</v>
      </c>
      <c r="R1060" s="1">
        <v>0</v>
      </c>
      <c r="S1060" s="1" t="s">
        <v>235</v>
      </c>
    </row>
    <row r="1061" spans="1:19" ht="14.45" customHeight="1" x14ac:dyDescent="0.25">
      <c r="A1061" s="6">
        <v>1062</v>
      </c>
      <c r="B1061" s="6">
        <v>7903001</v>
      </c>
      <c r="C1061" t="s">
        <v>1047</v>
      </c>
      <c r="D1061" s="1" t="s">
        <v>1048</v>
      </c>
      <c r="E1061" s="21">
        <v>10700</v>
      </c>
      <c r="F1061" s="1" t="s">
        <v>233</v>
      </c>
      <c r="G1061" s="1" t="s">
        <v>233</v>
      </c>
      <c r="H1061" s="6" t="s">
        <v>1951</v>
      </c>
      <c r="I1061" s="6" t="s">
        <v>427</v>
      </c>
      <c r="J1061" s="6" t="s">
        <v>1849</v>
      </c>
      <c r="K1061" s="1">
        <v>0</v>
      </c>
      <c r="L1061" s="6" t="s">
        <v>233</v>
      </c>
      <c r="M1061" s="1">
        <v>2008</v>
      </c>
      <c r="N1061" s="1" t="s">
        <v>237</v>
      </c>
      <c r="O1061" s="1">
        <v>0</v>
      </c>
      <c r="P1061" s="1">
        <v>0</v>
      </c>
      <c r="Q1061" s="1">
        <v>0</v>
      </c>
      <c r="R1061" s="1">
        <v>0</v>
      </c>
      <c r="S1061" s="1" t="s">
        <v>235</v>
      </c>
    </row>
    <row r="1062" spans="1:19" ht="14.45" customHeight="1" x14ac:dyDescent="0.25">
      <c r="A1062" s="6">
        <v>1063</v>
      </c>
      <c r="B1062" s="6">
        <v>7903001</v>
      </c>
      <c r="C1062" t="s">
        <v>1047</v>
      </c>
      <c r="D1062" s="1" t="s">
        <v>1048</v>
      </c>
      <c r="E1062" s="21">
        <v>5333.333333333333</v>
      </c>
      <c r="F1062" s="1" t="s">
        <v>233</v>
      </c>
      <c r="G1062" s="1" t="s">
        <v>233</v>
      </c>
      <c r="H1062" s="6" t="s">
        <v>1951</v>
      </c>
      <c r="I1062" s="6" t="s">
        <v>433</v>
      </c>
      <c r="J1062" s="6" t="s">
        <v>1853</v>
      </c>
      <c r="K1062" s="1">
        <v>0</v>
      </c>
      <c r="L1062" s="6" t="s">
        <v>249</v>
      </c>
      <c r="M1062" s="1">
        <v>2008</v>
      </c>
      <c r="N1062" s="1" t="s">
        <v>237</v>
      </c>
      <c r="O1062" s="1">
        <v>0</v>
      </c>
      <c r="P1062" s="1">
        <v>0</v>
      </c>
      <c r="Q1062" s="1">
        <v>0</v>
      </c>
      <c r="R1062" s="1">
        <v>0</v>
      </c>
      <c r="S1062" s="1" t="s">
        <v>235</v>
      </c>
    </row>
    <row r="1063" spans="1:19" ht="14.45" customHeight="1" x14ac:dyDescent="0.25">
      <c r="A1063" s="6">
        <v>1064</v>
      </c>
      <c r="B1063" s="6">
        <v>7903001</v>
      </c>
      <c r="C1063" t="s">
        <v>1047</v>
      </c>
      <c r="D1063" s="1" t="s">
        <v>1048</v>
      </c>
      <c r="E1063" s="21">
        <v>14546</v>
      </c>
      <c r="F1063" s="1" t="s">
        <v>233</v>
      </c>
      <c r="G1063" s="1" t="s">
        <v>233</v>
      </c>
      <c r="H1063" s="6" t="s">
        <v>1951</v>
      </c>
      <c r="I1063" s="6" t="s">
        <v>443</v>
      </c>
      <c r="J1063" s="6" t="s">
        <v>1853</v>
      </c>
      <c r="K1063" s="1">
        <v>0</v>
      </c>
      <c r="L1063" s="6" t="s">
        <v>238</v>
      </c>
      <c r="M1063" s="1">
        <v>2012</v>
      </c>
      <c r="N1063" s="1" t="s">
        <v>237</v>
      </c>
      <c r="O1063" s="1">
        <v>0</v>
      </c>
      <c r="P1063" s="1" t="s">
        <v>1952</v>
      </c>
      <c r="Q1063" s="1">
        <v>0</v>
      </c>
      <c r="R1063" s="1">
        <v>0</v>
      </c>
      <c r="S1063" s="1" t="s">
        <v>235</v>
      </c>
    </row>
    <row r="1064" spans="1:19" ht="14.45" customHeight="1" x14ac:dyDescent="0.25">
      <c r="A1064" s="6">
        <v>1065</v>
      </c>
      <c r="B1064" s="6">
        <v>7903001</v>
      </c>
      <c r="C1064" t="s">
        <v>1047</v>
      </c>
      <c r="D1064" s="1" t="s">
        <v>1048</v>
      </c>
      <c r="E1064" s="21">
        <v>12050</v>
      </c>
      <c r="F1064" s="1" t="s">
        <v>233</v>
      </c>
      <c r="G1064" s="1" t="s">
        <v>233</v>
      </c>
      <c r="H1064" s="6" t="s">
        <v>1951</v>
      </c>
      <c r="I1064" s="6" t="s">
        <v>452</v>
      </c>
      <c r="J1064" s="6" t="s">
        <v>1852</v>
      </c>
      <c r="K1064" s="1">
        <v>0</v>
      </c>
      <c r="L1064" s="6" t="s">
        <v>239</v>
      </c>
      <c r="M1064" s="1">
        <v>2009</v>
      </c>
      <c r="N1064" s="1" t="s">
        <v>237</v>
      </c>
      <c r="O1064" s="1">
        <v>0</v>
      </c>
      <c r="P1064" s="1">
        <v>0</v>
      </c>
      <c r="Q1064" s="1">
        <v>0</v>
      </c>
      <c r="R1064" s="1">
        <v>0</v>
      </c>
      <c r="S1064" s="1" t="s">
        <v>235</v>
      </c>
    </row>
    <row r="1065" spans="1:19" ht="14.45" customHeight="1" x14ac:dyDescent="0.25">
      <c r="A1065" s="6">
        <v>1066</v>
      </c>
      <c r="B1065" s="6">
        <v>7903001</v>
      </c>
      <c r="C1065" t="s">
        <v>1047</v>
      </c>
      <c r="D1065" s="1" t="s">
        <v>1048</v>
      </c>
      <c r="E1065" s="21" t="s">
        <v>237</v>
      </c>
      <c r="F1065" s="1" t="s">
        <v>233</v>
      </c>
      <c r="G1065" s="19">
        <v>1.4285714285714286</v>
      </c>
      <c r="H1065" s="6" t="s">
        <v>1951</v>
      </c>
      <c r="I1065" s="6" t="s">
        <v>1975</v>
      </c>
      <c r="J1065" s="6" t="s">
        <v>1849</v>
      </c>
      <c r="K1065" s="1">
        <v>0</v>
      </c>
      <c r="L1065" s="6" t="s">
        <v>234</v>
      </c>
      <c r="M1065" s="1">
        <v>2005</v>
      </c>
      <c r="N1065" s="1" t="s">
        <v>237</v>
      </c>
      <c r="O1065" s="1">
        <v>0</v>
      </c>
      <c r="P1065" s="1">
        <v>0</v>
      </c>
      <c r="Q1065" s="1">
        <v>0</v>
      </c>
      <c r="R1065" s="1">
        <v>0</v>
      </c>
      <c r="S1065" s="1" t="s">
        <v>235</v>
      </c>
    </row>
    <row r="1066" spans="1:19" ht="14.45" customHeight="1" x14ac:dyDescent="0.25">
      <c r="A1066" s="6">
        <v>1067</v>
      </c>
      <c r="B1066" s="6">
        <v>7903001</v>
      </c>
      <c r="C1066" t="s">
        <v>1047</v>
      </c>
      <c r="D1066" s="1" t="s">
        <v>1048</v>
      </c>
      <c r="E1066" s="21" t="s">
        <v>237</v>
      </c>
      <c r="F1066" s="1" t="s">
        <v>233</v>
      </c>
      <c r="G1066" s="19">
        <v>111</v>
      </c>
      <c r="H1066" s="6" t="s">
        <v>1951</v>
      </c>
      <c r="I1066" s="6" t="s">
        <v>465</v>
      </c>
      <c r="J1066" s="6" t="s">
        <v>1849</v>
      </c>
      <c r="K1066" s="1">
        <v>0</v>
      </c>
      <c r="L1066" s="6" t="s">
        <v>234</v>
      </c>
      <c r="M1066" s="1">
        <v>2007</v>
      </c>
      <c r="N1066" s="1" t="s">
        <v>237</v>
      </c>
      <c r="O1066" s="1">
        <v>0</v>
      </c>
      <c r="P1066" s="1">
        <v>0</v>
      </c>
      <c r="Q1066" s="1">
        <v>0</v>
      </c>
      <c r="R1066" s="1">
        <v>0</v>
      </c>
      <c r="S1066" s="1" t="s">
        <v>235</v>
      </c>
    </row>
    <row r="1067" spans="1:19" ht="14.45" customHeight="1" x14ac:dyDescent="0.25">
      <c r="A1067" s="6">
        <v>1068</v>
      </c>
      <c r="B1067" s="6">
        <v>7903001</v>
      </c>
      <c r="C1067" t="s">
        <v>1047</v>
      </c>
      <c r="D1067" s="1" t="s">
        <v>1048</v>
      </c>
      <c r="E1067" s="21">
        <v>13469.999999999998</v>
      </c>
      <c r="F1067" s="1" t="s">
        <v>233</v>
      </c>
      <c r="G1067" s="1" t="s">
        <v>233</v>
      </c>
      <c r="H1067" s="6" t="s">
        <v>1951</v>
      </c>
      <c r="I1067" s="6" t="s">
        <v>490</v>
      </c>
      <c r="J1067" s="6" t="s">
        <v>1851</v>
      </c>
      <c r="K1067" s="1">
        <v>0</v>
      </c>
      <c r="L1067" s="6" t="s">
        <v>238</v>
      </c>
      <c r="M1067" s="1">
        <v>2013</v>
      </c>
      <c r="N1067" s="1" t="s">
        <v>237</v>
      </c>
      <c r="O1067" s="1">
        <v>0</v>
      </c>
      <c r="P1067" s="1">
        <v>0</v>
      </c>
      <c r="Q1067" s="1">
        <v>0</v>
      </c>
      <c r="R1067" s="1">
        <v>0</v>
      </c>
      <c r="S1067" s="1" t="s">
        <v>235</v>
      </c>
    </row>
    <row r="1068" spans="1:19" ht="14.45" customHeight="1" x14ac:dyDescent="0.25">
      <c r="A1068" s="6">
        <v>1069</v>
      </c>
      <c r="B1068" s="6">
        <v>7903001</v>
      </c>
      <c r="C1068" t="s">
        <v>1047</v>
      </c>
      <c r="D1068" s="1" t="s">
        <v>1048</v>
      </c>
      <c r="E1068" s="21">
        <v>8800</v>
      </c>
      <c r="F1068" s="1" t="s">
        <v>233</v>
      </c>
      <c r="G1068" s="1" t="s">
        <v>233</v>
      </c>
      <c r="H1068" s="6" t="s">
        <v>1951</v>
      </c>
      <c r="I1068" s="6" t="s">
        <v>510</v>
      </c>
      <c r="J1068" s="6" t="s">
        <v>1853</v>
      </c>
      <c r="K1068" s="1">
        <v>0</v>
      </c>
      <c r="L1068" s="6" t="s">
        <v>233</v>
      </c>
      <c r="M1068" s="1">
        <v>2014</v>
      </c>
      <c r="N1068" s="1" t="s">
        <v>237</v>
      </c>
      <c r="O1068" s="1">
        <v>0</v>
      </c>
      <c r="P1068" s="1">
        <v>0</v>
      </c>
      <c r="Q1068" s="1">
        <v>0</v>
      </c>
      <c r="R1068" s="1">
        <v>0</v>
      </c>
      <c r="S1068" s="1" t="s">
        <v>235</v>
      </c>
    </row>
    <row r="1069" spans="1:19" ht="14.45" customHeight="1" x14ac:dyDescent="0.25">
      <c r="A1069" s="6">
        <v>1070</v>
      </c>
      <c r="B1069" s="6">
        <v>7903001</v>
      </c>
      <c r="C1069" t="s">
        <v>1047</v>
      </c>
      <c r="D1069" s="1" t="s">
        <v>1048</v>
      </c>
      <c r="E1069" s="21">
        <v>10440</v>
      </c>
      <c r="F1069" s="1" t="s">
        <v>233</v>
      </c>
      <c r="G1069" s="1" t="s">
        <v>233</v>
      </c>
      <c r="H1069" s="6" t="s">
        <v>1951</v>
      </c>
      <c r="I1069" s="6" t="s">
        <v>517</v>
      </c>
      <c r="J1069" s="6" t="s">
        <v>1853</v>
      </c>
      <c r="K1069" s="1">
        <v>0</v>
      </c>
      <c r="L1069" s="6" t="s">
        <v>258</v>
      </c>
      <c r="M1069" s="1">
        <v>2013</v>
      </c>
      <c r="N1069" s="1" t="s">
        <v>237</v>
      </c>
      <c r="O1069" s="1">
        <v>0</v>
      </c>
      <c r="P1069" s="1">
        <v>0</v>
      </c>
      <c r="Q1069" s="1">
        <v>0</v>
      </c>
      <c r="R1069" s="1">
        <v>0</v>
      </c>
      <c r="S1069" s="1" t="s">
        <v>235</v>
      </c>
    </row>
    <row r="1070" spans="1:19" ht="14.45" customHeight="1" x14ac:dyDescent="0.25">
      <c r="A1070" s="6">
        <v>1071</v>
      </c>
      <c r="B1070" s="6">
        <v>7903001</v>
      </c>
      <c r="C1070" t="s">
        <v>1047</v>
      </c>
      <c r="D1070" s="1" t="s">
        <v>1048</v>
      </c>
      <c r="E1070" s="21">
        <v>7490</v>
      </c>
      <c r="F1070" s="1" t="s">
        <v>233</v>
      </c>
      <c r="G1070" s="1" t="s">
        <v>233</v>
      </c>
      <c r="H1070" s="6" t="s">
        <v>1951</v>
      </c>
      <c r="I1070" s="6" t="s">
        <v>519</v>
      </c>
      <c r="J1070" s="6" t="s">
        <v>1853</v>
      </c>
      <c r="K1070" s="1">
        <v>0</v>
      </c>
      <c r="L1070" s="6" t="s">
        <v>284</v>
      </c>
      <c r="M1070" s="1">
        <v>2013</v>
      </c>
      <c r="N1070" s="1" t="s">
        <v>237</v>
      </c>
      <c r="O1070" s="1">
        <v>0</v>
      </c>
      <c r="P1070" s="1">
        <v>0</v>
      </c>
      <c r="Q1070" s="1">
        <v>0</v>
      </c>
      <c r="R1070" s="1">
        <v>0</v>
      </c>
      <c r="S1070" s="1" t="s">
        <v>235</v>
      </c>
    </row>
    <row r="1071" spans="1:19" ht="14.45" customHeight="1" x14ac:dyDescent="0.25">
      <c r="A1071" s="6">
        <v>1072</v>
      </c>
      <c r="B1071" s="6">
        <v>7903001</v>
      </c>
      <c r="C1071" t="s">
        <v>1047</v>
      </c>
      <c r="D1071" s="1" t="s">
        <v>1048</v>
      </c>
      <c r="E1071" s="21">
        <v>9250</v>
      </c>
      <c r="F1071" s="1" t="s">
        <v>233</v>
      </c>
      <c r="G1071" s="1" t="s">
        <v>233</v>
      </c>
      <c r="H1071" s="6" t="s">
        <v>1951</v>
      </c>
      <c r="I1071" s="6" t="s">
        <v>547</v>
      </c>
      <c r="J1071" s="6" t="s">
        <v>1851</v>
      </c>
      <c r="K1071" s="1">
        <v>0</v>
      </c>
      <c r="L1071" s="6" t="s">
        <v>238</v>
      </c>
      <c r="M1071" s="1">
        <v>2012</v>
      </c>
      <c r="N1071" s="1" t="s">
        <v>1914</v>
      </c>
      <c r="O1071" s="1">
        <v>0</v>
      </c>
      <c r="P1071" s="1">
        <v>0</v>
      </c>
      <c r="Q1071" s="1">
        <v>0</v>
      </c>
      <c r="R1071" s="1">
        <v>0</v>
      </c>
      <c r="S1071" s="1" t="s">
        <v>235</v>
      </c>
    </row>
    <row r="1072" spans="1:19" ht="14.45" customHeight="1" x14ac:dyDescent="0.25">
      <c r="A1072" s="6">
        <v>1073</v>
      </c>
      <c r="B1072" s="6">
        <v>7903001</v>
      </c>
      <c r="C1072" t="s">
        <v>1047</v>
      </c>
      <c r="D1072" s="1" t="s">
        <v>1048</v>
      </c>
      <c r="E1072" s="21">
        <v>8600</v>
      </c>
      <c r="F1072" s="1" t="s">
        <v>233</v>
      </c>
      <c r="G1072" s="1" t="s">
        <v>233</v>
      </c>
      <c r="H1072" s="6" t="s">
        <v>1951</v>
      </c>
      <c r="I1072" s="6" t="s">
        <v>558</v>
      </c>
      <c r="J1072" s="6" t="s">
        <v>1851</v>
      </c>
      <c r="K1072" s="1">
        <v>0</v>
      </c>
      <c r="L1072" s="6" t="s">
        <v>238</v>
      </c>
      <c r="M1072" s="1">
        <v>2013</v>
      </c>
      <c r="N1072" s="1" t="s">
        <v>237</v>
      </c>
      <c r="O1072" s="1">
        <v>0</v>
      </c>
      <c r="P1072" s="1">
        <v>0</v>
      </c>
      <c r="Q1072" s="1">
        <v>0</v>
      </c>
      <c r="R1072" s="1">
        <v>0</v>
      </c>
      <c r="S1072" s="1" t="s">
        <v>235</v>
      </c>
    </row>
    <row r="1073" spans="1:19" ht="14.45" customHeight="1" x14ac:dyDescent="0.25">
      <c r="A1073" s="6">
        <v>1074</v>
      </c>
      <c r="B1073" s="6">
        <v>7903001</v>
      </c>
      <c r="C1073" t="s">
        <v>1047</v>
      </c>
      <c r="D1073" s="1" t="s">
        <v>1048</v>
      </c>
      <c r="E1073" s="21">
        <v>6458.3333333333321</v>
      </c>
      <c r="F1073" s="1" t="s">
        <v>233</v>
      </c>
      <c r="G1073" s="1" t="s">
        <v>233</v>
      </c>
      <c r="H1073" s="6" t="s">
        <v>1951</v>
      </c>
      <c r="I1073" s="6" t="s">
        <v>582</v>
      </c>
      <c r="J1073" s="6" t="s">
        <v>1849</v>
      </c>
      <c r="K1073" s="1">
        <v>0</v>
      </c>
      <c r="L1073" s="6" t="s">
        <v>260</v>
      </c>
      <c r="M1073" s="1">
        <v>2010</v>
      </c>
      <c r="N1073" s="1" t="s">
        <v>1859</v>
      </c>
      <c r="O1073" s="1">
        <v>0</v>
      </c>
      <c r="P1073" s="1">
        <v>0</v>
      </c>
      <c r="Q1073" s="1">
        <v>0</v>
      </c>
      <c r="R1073" s="1">
        <v>0</v>
      </c>
      <c r="S1073" s="1" t="s">
        <v>235</v>
      </c>
    </row>
    <row r="1074" spans="1:19" ht="14.45" customHeight="1" x14ac:dyDescent="0.25">
      <c r="A1074" s="6">
        <v>1075</v>
      </c>
      <c r="B1074" s="6">
        <v>7903001</v>
      </c>
      <c r="C1074" t="s">
        <v>1047</v>
      </c>
      <c r="D1074" s="1" t="s">
        <v>1048</v>
      </c>
      <c r="E1074" s="21">
        <v>8749.9999999999982</v>
      </c>
      <c r="F1074" s="1" t="s">
        <v>233</v>
      </c>
      <c r="G1074" s="1" t="s">
        <v>233</v>
      </c>
      <c r="H1074" s="6" t="s">
        <v>1951</v>
      </c>
      <c r="I1074" s="6" t="s">
        <v>582</v>
      </c>
      <c r="J1074" s="6" t="s">
        <v>1849</v>
      </c>
      <c r="K1074" s="1">
        <v>0</v>
      </c>
      <c r="L1074" s="6" t="s">
        <v>260</v>
      </c>
      <c r="M1074" s="1">
        <v>2010</v>
      </c>
      <c r="N1074" s="1" t="s">
        <v>237</v>
      </c>
      <c r="O1074" s="1">
        <v>0</v>
      </c>
      <c r="P1074" s="1">
        <v>0</v>
      </c>
      <c r="Q1074" s="1">
        <v>0</v>
      </c>
      <c r="R1074" s="1">
        <v>0</v>
      </c>
      <c r="S1074" s="1" t="s">
        <v>235</v>
      </c>
    </row>
    <row r="1075" spans="1:19" ht="14.45" customHeight="1" x14ac:dyDescent="0.25">
      <c r="A1075" s="6">
        <v>1076</v>
      </c>
      <c r="B1075" s="6">
        <v>7903001</v>
      </c>
      <c r="C1075" t="s">
        <v>1047</v>
      </c>
      <c r="D1075" s="1" t="s">
        <v>1048</v>
      </c>
      <c r="E1075" s="21" t="s">
        <v>237</v>
      </c>
      <c r="F1075" s="21">
        <v>5965.8796627210149</v>
      </c>
      <c r="G1075" s="1" t="s">
        <v>233</v>
      </c>
      <c r="H1075" s="6" t="s">
        <v>1951</v>
      </c>
      <c r="I1075" s="6" t="s">
        <v>594</v>
      </c>
      <c r="J1075" s="6" t="s">
        <v>1853</v>
      </c>
      <c r="K1075" s="1">
        <v>0</v>
      </c>
      <c r="L1075" s="6" t="s">
        <v>245</v>
      </c>
      <c r="M1075" s="1">
        <v>2012</v>
      </c>
      <c r="N1075" s="1" t="s">
        <v>237</v>
      </c>
      <c r="O1075" s="1">
        <v>0</v>
      </c>
      <c r="P1075" s="1">
        <v>0</v>
      </c>
      <c r="Q1075" s="1">
        <v>0</v>
      </c>
      <c r="R1075" s="1">
        <v>0</v>
      </c>
      <c r="S1075" s="1" t="s">
        <v>251</v>
      </c>
    </row>
    <row r="1076" spans="1:19" ht="14.45" customHeight="1" x14ac:dyDescent="0.25">
      <c r="A1076" s="6">
        <v>1077</v>
      </c>
      <c r="B1076" s="6">
        <v>7903001</v>
      </c>
      <c r="C1076" t="s">
        <v>1047</v>
      </c>
      <c r="D1076" s="1" t="s">
        <v>1048</v>
      </c>
      <c r="E1076" s="21">
        <v>5450</v>
      </c>
      <c r="F1076" s="1" t="s">
        <v>233</v>
      </c>
      <c r="G1076" s="1" t="s">
        <v>233</v>
      </c>
      <c r="H1076" s="6" t="s">
        <v>1951</v>
      </c>
      <c r="I1076" s="6" t="s">
        <v>596</v>
      </c>
      <c r="J1076" s="6" t="s">
        <v>1849</v>
      </c>
      <c r="K1076" s="1">
        <v>0</v>
      </c>
      <c r="L1076" s="6" t="s">
        <v>240</v>
      </c>
      <c r="M1076" s="1">
        <v>2008</v>
      </c>
      <c r="N1076" s="1" t="s">
        <v>237</v>
      </c>
      <c r="O1076" s="1">
        <v>0</v>
      </c>
      <c r="P1076" s="1">
        <v>0</v>
      </c>
      <c r="Q1076" s="1">
        <v>0</v>
      </c>
      <c r="R1076" s="1">
        <v>0</v>
      </c>
      <c r="S1076" s="1" t="s">
        <v>235</v>
      </c>
    </row>
    <row r="1077" spans="1:19" ht="14.45" customHeight="1" x14ac:dyDescent="0.25">
      <c r="A1077" s="6">
        <v>1078</v>
      </c>
      <c r="B1077" s="6">
        <v>7903001</v>
      </c>
      <c r="C1077" t="s">
        <v>1047</v>
      </c>
      <c r="D1077" s="1" t="s">
        <v>1048</v>
      </c>
      <c r="E1077" s="21">
        <v>9437.5</v>
      </c>
      <c r="F1077" s="1" t="s">
        <v>233</v>
      </c>
      <c r="G1077" s="1" t="s">
        <v>233</v>
      </c>
      <c r="H1077" s="6" t="s">
        <v>1951</v>
      </c>
      <c r="I1077" s="6" t="s">
        <v>604</v>
      </c>
      <c r="J1077" s="6" t="s">
        <v>1851</v>
      </c>
      <c r="K1077" s="1">
        <v>0</v>
      </c>
      <c r="L1077" s="6" t="s">
        <v>233</v>
      </c>
      <c r="M1077" s="1">
        <v>2012</v>
      </c>
      <c r="N1077" s="1" t="s">
        <v>237</v>
      </c>
      <c r="O1077" s="1">
        <v>0</v>
      </c>
      <c r="P1077" s="1">
        <v>0</v>
      </c>
      <c r="Q1077" s="1">
        <v>0</v>
      </c>
      <c r="R1077" s="1">
        <v>0</v>
      </c>
      <c r="S1077" s="1" t="s">
        <v>235</v>
      </c>
    </row>
    <row r="1078" spans="1:19" ht="14.45" customHeight="1" x14ac:dyDescent="0.25">
      <c r="A1078" s="6">
        <v>1079</v>
      </c>
      <c r="B1078" s="6">
        <v>7903001</v>
      </c>
      <c r="C1078" t="s">
        <v>1047</v>
      </c>
      <c r="D1078" s="1" t="s">
        <v>1048</v>
      </c>
      <c r="E1078" s="21" t="s">
        <v>237</v>
      </c>
      <c r="F1078" s="1" t="s">
        <v>233</v>
      </c>
      <c r="G1078" s="19">
        <v>51</v>
      </c>
      <c r="H1078" s="6" t="s">
        <v>1951</v>
      </c>
      <c r="I1078" s="6" t="s">
        <v>681</v>
      </c>
      <c r="J1078" s="6" t="s">
        <v>1849</v>
      </c>
      <c r="K1078" s="1">
        <v>0</v>
      </c>
      <c r="L1078" s="6" t="s">
        <v>236</v>
      </c>
      <c r="M1078" s="1">
        <v>2009</v>
      </c>
      <c r="N1078" s="1" t="s">
        <v>237</v>
      </c>
      <c r="O1078" s="1">
        <v>0</v>
      </c>
      <c r="P1078" s="1">
        <v>0</v>
      </c>
      <c r="Q1078" s="1">
        <v>0</v>
      </c>
      <c r="R1078" s="1">
        <v>0</v>
      </c>
      <c r="S1078" s="1" t="s">
        <v>251</v>
      </c>
    </row>
    <row r="1079" spans="1:19" ht="14.45" customHeight="1" x14ac:dyDescent="0.25">
      <c r="A1079" s="6">
        <v>1080</v>
      </c>
      <c r="B1079" s="6">
        <v>7903001</v>
      </c>
      <c r="C1079" t="s">
        <v>1047</v>
      </c>
      <c r="D1079" s="1" t="s">
        <v>1048</v>
      </c>
      <c r="E1079" s="21">
        <v>8500</v>
      </c>
      <c r="F1079" s="1" t="s">
        <v>233</v>
      </c>
      <c r="G1079" s="1" t="s">
        <v>233</v>
      </c>
      <c r="H1079" s="6" t="s">
        <v>1951</v>
      </c>
      <c r="I1079" s="6" t="s">
        <v>708</v>
      </c>
      <c r="J1079" s="6" t="s">
        <v>1853</v>
      </c>
      <c r="K1079" s="1">
        <v>0</v>
      </c>
      <c r="L1079" s="6" t="s">
        <v>249</v>
      </c>
      <c r="M1079" s="1">
        <v>2011</v>
      </c>
      <c r="N1079" s="1" t="s">
        <v>1913</v>
      </c>
      <c r="O1079" s="1">
        <v>0</v>
      </c>
      <c r="P1079" s="1">
        <v>0</v>
      </c>
      <c r="Q1079" s="1">
        <v>0</v>
      </c>
      <c r="R1079" s="1">
        <v>0</v>
      </c>
      <c r="S1079" s="1" t="s">
        <v>235</v>
      </c>
    </row>
    <row r="1080" spans="1:19" ht="14.45" customHeight="1" x14ac:dyDescent="0.25">
      <c r="A1080" s="6">
        <v>1081</v>
      </c>
      <c r="B1080" s="6">
        <v>7903001</v>
      </c>
      <c r="C1080" t="s">
        <v>1047</v>
      </c>
      <c r="D1080" s="1" t="s">
        <v>1048</v>
      </c>
      <c r="E1080" s="21">
        <v>5300</v>
      </c>
      <c r="F1080" s="1" t="s">
        <v>233</v>
      </c>
      <c r="G1080" s="1" t="s">
        <v>233</v>
      </c>
      <c r="H1080" s="6" t="s">
        <v>1951</v>
      </c>
      <c r="I1080" s="6" t="s">
        <v>716</v>
      </c>
      <c r="J1080" s="6" t="s">
        <v>1853</v>
      </c>
      <c r="K1080" s="1">
        <v>0</v>
      </c>
      <c r="L1080" s="6" t="s">
        <v>271</v>
      </c>
      <c r="M1080" s="1">
        <v>2012</v>
      </c>
      <c r="N1080" s="1" t="s">
        <v>237</v>
      </c>
      <c r="O1080" s="1">
        <v>0</v>
      </c>
      <c r="P1080" s="1" t="s">
        <v>1952</v>
      </c>
      <c r="Q1080" s="1">
        <v>0</v>
      </c>
      <c r="R1080" s="1">
        <v>0</v>
      </c>
      <c r="S1080" s="1" t="s">
        <v>235</v>
      </c>
    </row>
    <row r="1081" spans="1:19" ht="14.45" customHeight="1" x14ac:dyDescent="0.25">
      <c r="A1081" s="6">
        <v>1082</v>
      </c>
      <c r="B1081" s="6">
        <v>7903101</v>
      </c>
      <c r="C1081" t="s">
        <v>1049</v>
      </c>
      <c r="D1081" s="1">
        <v>220290</v>
      </c>
      <c r="E1081" s="21">
        <v>550</v>
      </c>
      <c r="F1081" s="1" t="s">
        <v>233</v>
      </c>
      <c r="G1081" s="1" t="s">
        <v>233</v>
      </c>
      <c r="H1081" s="6" t="s">
        <v>1951</v>
      </c>
      <c r="I1081" s="6" t="s">
        <v>685</v>
      </c>
      <c r="J1081" s="6" t="s">
        <v>1852</v>
      </c>
      <c r="K1081" s="1">
        <v>0</v>
      </c>
      <c r="L1081" s="6" t="s">
        <v>239</v>
      </c>
      <c r="M1081" s="1">
        <v>2016</v>
      </c>
      <c r="N1081" s="1" t="s">
        <v>237</v>
      </c>
      <c r="O1081" s="1">
        <v>0</v>
      </c>
      <c r="P1081" s="1">
        <v>0</v>
      </c>
      <c r="Q1081" s="1">
        <v>0</v>
      </c>
      <c r="R1081" s="1">
        <v>0</v>
      </c>
      <c r="S1081" s="1" t="s">
        <v>251</v>
      </c>
    </row>
    <row r="1082" spans="1:19" ht="14.45" customHeight="1" x14ac:dyDescent="0.25">
      <c r="A1082" s="6">
        <v>1083</v>
      </c>
      <c r="B1082" s="6">
        <v>7903110</v>
      </c>
      <c r="C1082" t="s">
        <v>1050</v>
      </c>
      <c r="D1082" s="1">
        <v>220290</v>
      </c>
      <c r="E1082" s="21" t="s">
        <v>237</v>
      </c>
      <c r="F1082" s="1" t="s">
        <v>233</v>
      </c>
      <c r="G1082" s="19">
        <v>56</v>
      </c>
      <c r="H1082" s="6" t="s">
        <v>1951</v>
      </c>
      <c r="I1082" s="6" t="s">
        <v>465</v>
      </c>
      <c r="J1082" s="6" t="s">
        <v>1849</v>
      </c>
      <c r="K1082" s="1">
        <v>0</v>
      </c>
      <c r="L1082" s="6" t="s">
        <v>234</v>
      </c>
      <c r="M1082" s="1">
        <v>2007</v>
      </c>
      <c r="N1082" s="1" t="s">
        <v>237</v>
      </c>
      <c r="O1082" s="1">
        <v>0</v>
      </c>
      <c r="P1082" s="1">
        <v>0</v>
      </c>
      <c r="Q1082" s="1">
        <v>0</v>
      </c>
      <c r="R1082" s="1">
        <v>0</v>
      </c>
      <c r="S1082" s="1" t="s">
        <v>235</v>
      </c>
    </row>
    <row r="1083" spans="1:19" ht="14.45" customHeight="1" x14ac:dyDescent="0.25">
      <c r="A1083" s="6">
        <v>1084</v>
      </c>
      <c r="B1083" s="6">
        <v>7903110</v>
      </c>
      <c r="C1083" t="s">
        <v>1050</v>
      </c>
      <c r="D1083" s="1">
        <v>220290</v>
      </c>
      <c r="E1083" s="21" t="s">
        <v>237</v>
      </c>
      <c r="F1083" s="1" t="s">
        <v>233</v>
      </c>
      <c r="G1083" s="19">
        <v>59</v>
      </c>
      <c r="H1083" s="6" t="s">
        <v>1951</v>
      </c>
      <c r="I1083" s="6" t="s">
        <v>681</v>
      </c>
      <c r="J1083" s="6" t="s">
        <v>1849</v>
      </c>
      <c r="K1083" s="1">
        <v>0</v>
      </c>
      <c r="L1083" s="6" t="s">
        <v>236</v>
      </c>
      <c r="M1083" s="1">
        <v>2009</v>
      </c>
      <c r="N1083" s="1" t="s">
        <v>237</v>
      </c>
      <c r="O1083" s="1">
        <v>0</v>
      </c>
      <c r="P1083" s="1">
        <v>0</v>
      </c>
      <c r="Q1083" s="1">
        <v>0</v>
      </c>
      <c r="R1083" s="1">
        <v>0</v>
      </c>
      <c r="S1083" s="1" t="s">
        <v>251</v>
      </c>
    </row>
    <row r="1084" spans="1:19" ht="14.45" customHeight="1" x14ac:dyDescent="0.25">
      <c r="A1084" s="6">
        <v>1085</v>
      </c>
      <c r="B1084" s="6">
        <v>7903301</v>
      </c>
      <c r="C1084" t="s">
        <v>1051</v>
      </c>
      <c r="D1084" s="1" t="s">
        <v>1052</v>
      </c>
      <c r="E1084" s="21" t="s">
        <v>237</v>
      </c>
      <c r="F1084" s="21">
        <v>5965.8796627210149</v>
      </c>
      <c r="G1084" s="1" t="s">
        <v>233</v>
      </c>
      <c r="H1084" s="6" t="s">
        <v>1951</v>
      </c>
      <c r="I1084" s="6" t="s">
        <v>594</v>
      </c>
      <c r="J1084" s="6" t="s">
        <v>1853</v>
      </c>
      <c r="K1084" s="1">
        <v>0</v>
      </c>
      <c r="L1084" s="6" t="s">
        <v>245</v>
      </c>
      <c r="M1084" s="1">
        <v>2012</v>
      </c>
      <c r="N1084" s="1" t="s">
        <v>237</v>
      </c>
      <c r="O1084" s="1">
        <v>0</v>
      </c>
      <c r="P1084" s="1">
        <v>0</v>
      </c>
      <c r="Q1084" s="1">
        <v>0</v>
      </c>
      <c r="R1084" s="1">
        <v>0</v>
      </c>
      <c r="S1084" s="1" t="s">
        <v>251</v>
      </c>
    </row>
    <row r="1085" spans="1:19" ht="14.45" customHeight="1" x14ac:dyDescent="0.25">
      <c r="A1085" s="6">
        <v>1086</v>
      </c>
      <c r="B1085" s="6">
        <v>7903402</v>
      </c>
      <c r="C1085" t="s">
        <v>1053</v>
      </c>
      <c r="D1085" s="1">
        <v>120810</v>
      </c>
      <c r="E1085" s="21" t="s">
        <v>237</v>
      </c>
      <c r="F1085" s="21">
        <v>2585.0680651319931</v>
      </c>
      <c r="G1085" s="1" t="s">
        <v>233</v>
      </c>
      <c r="H1085" s="6" t="s">
        <v>1951</v>
      </c>
      <c r="I1085" s="6" t="s">
        <v>593</v>
      </c>
      <c r="J1085" s="6" t="s">
        <v>1853</v>
      </c>
      <c r="K1085" s="1">
        <v>0</v>
      </c>
      <c r="L1085" s="6" t="s">
        <v>245</v>
      </c>
      <c r="M1085" s="1">
        <v>2011</v>
      </c>
      <c r="N1085" s="1" t="s">
        <v>237</v>
      </c>
      <c r="O1085" s="1">
        <v>0</v>
      </c>
      <c r="P1085" s="1">
        <v>0</v>
      </c>
      <c r="Q1085" s="1">
        <v>0</v>
      </c>
      <c r="R1085" s="1">
        <v>0</v>
      </c>
      <c r="S1085" s="1" t="s">
        <v>251</v>
      </c>
    </row>
    <row r="1086" spans="1:19" ht="14.45" customHeight="1" x14ac:dyDescent="0.25">
      <c r="A1086" s="6">
        <v>1087</v>
      </c>
      <c r="B1086" s="6">
        <v>7903402</v>
      </c>
      <c r="C1086" t="s">
        <v>1053</v>
      </c>
      <c r="D1086" s="1">
        <v>120810</v>
      </c>
      <c r="E1086" s="21">
        <v>1560</v>
      </c>
      <c r="F1086" s="1" t="s">
        <v>233</v>
      </c>
      <c r="G1086" s="1" t="s">
        <v>233</v>
      </c>
      <c r="H1086" s="6" t="s">
        <v>1951</v>
      </c>
      <c r="I1086" s="6" t="s">
        <v>663</v>
      </c>
      <c r="J1086" s="6" t="s">
        <v>1849</v>
      </c>
      <c r="K1086" s="1">
        <v>0</v>
      </c>
      <c r="L1086" s="6" t="s">
        <v>239</v>
      </c>
      <c r="M1086" s="1">
        <v>2012</v>
      </c>
      <c r="N1086" s="1" t="s">
        <v>237</v>
      </c>
      <c r="O1086" s="1">
        <v>0</v>
      </c>
      <c r="P1086" s="1">
        <v>0</v>
      </c>
      <c r="Q1086" s="1">
        <v>0</v>
      </c>
      <c r="R1086" s="1">
        <v>0</v>
      </c>
      <c r="S1086" s="1" t="s">
        <v>251</v>
      </c>
    </row>
    <row r="1087" spans="1:19" ht="14.45" customHeight="1" x14ac:dyDescent="0.25">
      <c r="A1087" s="6">
        <v>1088</v>
      </c>
      <c r="B1087" s="6">
        <v>7903501</v>
      </c>
      <c r="C1087" t="s">
        <v>1054</v>
      </c>
      <c r="D1087" s="1">
        <v>220290</v>
      </c>
      <c r="E1087" s="21">
        <v>893.33333333333337</v>
      </c>
      <c r="F1087" s="1" t="s">
        <v>233</v>
      </c>
      <c r="G1087" s="1" t="s">
        <v>233</v>
      </c>
      <c r="H1087" s="6" t="s">
        <v>1951</v>
      </c>
      <c r="I1087" s="6" t="s">
        <v>433</v>
      </c>
      <c r="J1087" s="6" t="s">
        <v>1853</v>
      </c>
      <c r="K1087" s="1">
        <v>0</v>
      </c>
      <c r="L1087" s="6" t="s">
        <v>249</v>
      </c>
      <c r="M1087" s="1">
        <v>2008</v>
      </c>
      <c r="N1087" s="1" t="s">
        <v>237</v>
      </c>
      <c r="O1087" s="1">
        <v>0</v>
      </c>
      <c r="P1087" s="1">
        <v>0</v>
      </c>
      <c r="Q1087" s="1">
        <v>0</v>
      </c>
      <c r="R1087" s="1">
        <v>0</v>
      </c>
      <c r="S1087" s="1" t="s">
        <v>235</v>
      </c>
    </row>
    <row r="1088" spans="1:19" ht="14.45" customHeight="1" x14ac:dyDescent="0.25">
      <c r="A1088" s="6">
        <v>1089</v>
      </c>
      <c r="B1088" s="6">
        <v>7903501</v>
      </c>
      <c r="C1088" t="s">
        <v>1054</v>
      </c>
      <c r="D1088" s="1">
        <v>220290</v>
      </c>
      <c r="E1088" s="21" t="s">
        <v>237</v>
      </c>
      <c r="F1088" s="21">
        <v>3854.9260620389368</v>
      </c>
      <c r="G1088" s="1" t="s">
        <v>233</v>
      </c>
      <c r="H1088" s="6" t="s">
        <v>1951</v>
      </c>
      <c r="I1088" s="6" t="s">
        <v>593</v>
      </c>
      <c r="J1088" s="6" t="s">
        <v>1853</v>
      </c>
      <c r="K1088" s="1">
        <v>0</v>
      </c>
      <c r="L1088" s="6" t="s">
        <v>245</v>
      </c>
      <c r="M1088" s="1">
        <v>2011</v>
      </c>
      <c r="N1088" s="1" t="s">
        <v>237</v>
      </c>
      <c r="O1088" s="1">
        <v>0</v>
      </c>
      <c r="P1088" s="1">
        <v>0</v>
      </c>
      <c r="Q1088" s="1">
        <v>0</v>
      </c>
      <c r="R1088" s="1">
        <v>0</v>
      </c>
      <c r="S1088" s="1" t="s">
        <v>251</v>
      </c>
    </row>
    <row r="1089" spans="1:19" ht="14.45" customHeight="1" x14ac:dyDescent="0.25">
      <c r="A1089" s="6">
        <v>1090</v>
      </c>
      <c r="B1089" s="6">
        <v>7903601</v>
      </c>
      <c r="C1089" t="s">
        <v>1055</v>
      </c>
      <c r="D1089" s="1" t="s">
        <v>1023</v>
      </c>
      <c r="E1089" s="21">
        <v>980</v>
      </c>
      <c r="F1089" s="1" t="s">
        <v>233</v>
      </c>
      <c r="G1089" s="1" t="s">
        <v>233</v>
      </c>
      <c r="H1089" s="6" t="s">
        <v>1951</v>
      </c>
      <c r="I1089" s="6" t="s">
        <v>555</v>
      </c>
      <c r="J1089" s="6" t="s">
        <v>1849</v>
      </c>
      <c r="K1089" s="1">
        <v>0</v>
      </c>
      <c r="L1089" s="6" t="s">
        <v>258</v>
      </c>
      <c r="M1089" s="1">
        <v>2010</v>
      </c>
      <c r="N1089" s="1" t="s">
        <v>237</v>
      </c>
      <c r="O1089" s="1">
        <v>0</v>
      </c>
      <c r="P1089" s="1">
        <v>0</v>
      </c>
      <c r="Q1089" s="1">
        <v>0</v>
      </c>
      <c r="R1089" s="1">
        <v>0</v>
      </c>
      <c r="S1089" s="1" t="s">
        <v>235</v>
      </c>
    </row>
    <row r="1090" spans="1:19" ht="14.45" customHeight="1" x14ac:dyDescent="0.25">
      <c r="A1090" s="6">
        <v>1091</v>
      </c>
      <c r="B1090" s="6">
        <v>7903601</v>
      </c>
      <c r="C1090" t="s">
        <v>1055</v>
      </c>
      <c r="D1090" s="1" t="s">
        <v>1023</v>
      </c>
      <c r="E1090" s="21" t="s">
        <v>237</v>
      </c>
      <c r="F1090" s="21">
        <v>1203.6139137517953</v>
      </c>
      <c r="G1090" s="1" t="s">
        <v>233</v>
      </c>
      <c r="H1090" s="6" t="s">
        <v>1951</v>
      </c>
      <c r="I1090" s="6" t="s">
        <v>594</v>
      </c>
      <c r="J1090" s="6" t="s">
        <v>1853</v>
      </c>
      <c r="K1090" s="1">
        <v>0</v>
      </c>
      <c r="L1090" s="6" t="s">
        <v>245</v>
      </c>
      <c r="M1090" s="1">
        <v>2012</v>
      </c>
      <c r="N1090" s="1" t="s">
        <v>237</v>
      </c>
      <c r="O1090" s="1">
        <v>0</v>
      </c>
      <c r="P1090" s="1">
        <v>0</v>
      </c>
      <c r="Q1090" s="1">
        <v>0</v>
      </c>
      <c r="R1090" s="1">
        <v>0</v>
      </c>
      <c r="S1090" s="1" t="s">
        <v>251</v>
      </c>
    </row>
    <row r="1091" spans="1:19" ht="14.45" customHeight="1" x14ac:dyDescent="0.25">
      <c r="A1091" s="6">
        <v>1092</v>
      </c>
      <c r="B1091" s="6">
        <v>7903601</v>
      </c>
      <c r="C1091" t="s">
        <v>1055</v>
      </c>
      <c r="D1091" s="1" t="s">
        <v>1023</v>
      </c>
      <c r="E1091" s="21">
        <v>1232</v>
      </c>
      <c r="F1091" s="1" t="s">
        <v>233</v>
      </c>
      <c r="G1091" s="1" t="s">
        <v>233</v>
      </c>
      <c r="H1091" s="6" t="s">
        <v>1954</v>
      </c>
      <c r="I1091" s="6" t="s">
        <v>313</v>
      </c>
      <c r="J1091" s="6" t="s">
        <v>1849</v>
      </c>
      <c r="K1091" s="1">
        <v>0</v>
      </c>
      <c r="L1091" s="6" t="s">
        <v>234</v>
      </c>
      <c r="M1091" s="1">
        <v>2012</v>
      </c>
      <c r="N1091" s="1" t="s">
        <v>237</v>
      </c>
      <c r="O1091" s="1">
        <v>0</v>
      </c>
      <c r="P1091" s="1">
        <v>0</v>
      </c>
      <c r="Q1091" s="1">
        <v>0</v>
      </c>
      <c r="R1091" s="1">
        <v>0</v>
      </c>
      <c r="S1091" s="1" t="s">
        <v>251</v>
      </c>
    </row>
    <row r="1092" spans="1:19" ht="14.45" customHeight="1" x14ac:dyDescent="0.25">
      <c r="A1092" s="6">
        <v>1093</v>
      </c>
      <c r="B1092" s="6">
        <v>7903702</v>
      </c>
      <c r="C1092" t="s">
        <v>1056</v>
      </c>
      <c r="D1092" s="1" t="s">
        <v>1015</v>
      </c>
      <c r="E1092" s="21" t="s">
        <v>237</v>
      </c>
      <c r="F1092" s="21">
        <v>1243.734377543522</v>
      </c>
      <c r="G1092" s="1" t="s">
        <v>233</v>
      </c>
      <c r="H1092" s="6" t="s">
        <v>1951</v>
      </c>
      <c r="I1092" s="6" t="s">
        <v>594</v>
      </c>
      <c r="J1092" s="6" t="s">
        <v>1853</v>
      </c>
      <c r="K1092" s="1">
        <v>0</v>
      </c>
      <c r="L1092" s="6" t="s">
        <v>245</v>
      </c>
      <c r="M1092" s="1">
        <v>2012</v>
      </c>
      <c r="N1092" s="1" t="s">
        <v>237</v>
      </c>
      <c r="O1092" s="1">
        <v>0</v>
      </c>
      <c r="P1092" s="1">
        <v>0</v>
      </c>
      <c r="Q1092" s="1">
        <v>0</v>
      </c>
      <c r="R1092" s="1">
        <v>0</v>
      </c>
      <c r="S1092" s="1" t="s">
        <v>251</v>
      </c>
    </row>
    <row r="1093" spans="1:19" ht="14.45" customHeight="1" x14ac:dyDescent="0.25">
      <c r="A1093" s="6">
        <v>1094</v>
      </c>
      <c r="B1093" s="6">
        <v>7903702</v>
      </c>
      <c r="C1093" t="s">
        <v>1056</v>
      </c>
      <c r="D1093" s="1" t="s">
        <v>1015</v>
      </c>
      <c r="E1093" s="21">
        <v>1408</v>
      </c>
      <c r="F1093" s="21" t="s">
        <v>233</v>
      </c>
      <c r="G1093" s="1" t="s">
        <v>233</v>
      </c>
      <c r="H1093" s="6" t="s">
        <v>1954</v>
      </c>
      <c r="I1093" s="6" t="s">
        <v>313</v>
      </c>
      <c r="J1093" s="6" t="s">
        <v>1849</v>
      </c>
      <c r="K1093" s="1">
        <v>0</v>
      </c>
      <c r="L1093" s="6" t="s">
        <v>234</v>
      </c>
      <c r="M1093" s="1">
        <v>2012</v>
      </c>
      <c r="N1093" s="1" t="s">
        <v>237</v>
      </c>
      <c r="O1093" s="1">
        <v>0</v>
      </c>
      <c r="P1093" s="1">
        <v>0</v>
      </c>
      <c r="Q1093" s="1">
        <v>0</v>
      </c>
      <c r="R1093" s="1">
        <v>0</v>
      </c>
      <c r="S1093" s="1" t="s">
        <v>251</v>
      </c>
    </row>
    <row r="1094" spans="1:19" ht="14.45" customHeight="1" x14ac:dyDescent="0.25">
      <c r="A1094" s="6">
        <v>1095</v>
      </c>
      <c r="B1094" s="6">
        <v>7901201</v>
      </c>
      <c r="C1094" t="s">
        <v>1033</v>
      </c>
      <c r="D1094" s="1" t="s">
        <v>1032</v>
      </c>
      <c r="E1094" s="21">
        <v>3790</v>
      </c>
      <c r="F1094" s="1">
        <v>1600</v>
      </c>
      <c r="G1094" s="1">
        <v>11.6</v>
      </c>
      <c r="H1094" s="6" t="s">
        <v>1954</v>
      </c>
      <c r="I1094" s="6" t="s">
        <v>1057</v>
      </c>
      <c r="J1094" s="6" t="s">
        <v>1849</v>
      </c>
      <c r="K1094" s="1">
        <v>0</v>
      </c>
      <c r="L1094" s="6" t="s">
        <v>236</v>
      </c>
      <c r="M1094" s="1">
        <v>2014</v>
      </c>
      <c r="N1094" s="1" t="s">
        <v>1859</v>
      </c>
      <c r="O1094" s="1">
        <v>0</v>
      </c>
      <c r="P1094" s="1">
        <v>0</v>
      </c>
      <c r="Q1094" s="1">
        <v>0</v>
      </c>
      <c r="R1094" s="1">
        <v>0</v>
      </c>
      <c r="S1094" s="1" t="s">
        <v>251</v>
      </c>
    </row>
    <row r="1095" spans="1:19" ht="14.45" customHeight="1" x14ac:dyDescent="0.25">
      <c r="A1095" s="6">
        <v>1096</v>
      </c>
      <c r="B1095" s="6">
        <v>7901201</v>
      </c>
      <c r="C1095" t="s">
        <v>1033</v>
      </c>
      <c r="D1095" s="1" t="s">
        <v>1032</v>
      </c>
      <c r="E1095" s="21" t="s">
        <v>237</v>
      </c>
      <c r="F1095" s="1" t="s">
        <v>233</v>
      </c>
      <c r="G1095" s="19">
        <v>33.333333333333336</v>
      </c>
      <c r="H1095" s="6" t="s">
        <v>1951</v>
      </c>
      <c r="I1095" s="6" t="s">
        <v>1975</v>
      </c>
      <c r="J1095" s="6" t="s">
        <v>1849</v>
      </c>
      <c r="K1095" s="1">
        <v>0</v>
      </c>
      <c r="L1095" s="6" t="s">
        <v>234</v>
      </c>
      <c r="M1095" s="1">
        <v>2005</v>
      </c>
      <c r="N1095" s="1" t="s">
        <v>237</v>
      </c>
      <c r="O1095" s="1">
        <v>0</v>
      </c>
      <c r="P1095" s="1">
        <v>0</v>
      </c>
      <c r="Q1095" s="1">
        <v>0</v>
      </c>
      <c r="R1095" s="1" t="s">
        <v>1956</v>
      </c>
      <c r="S1095" s="1" t="s">
        <v>235</v>
      </c>
    </row>
    <row r="1096" spans="1:19" ht="14.45" customHeight="1" x14ac:dyDescent="0.25">
      <c r="A1096" s="6">
        <v>1097</v>
      </c>
      <c r="B1096" s="6">
        <v>7907101</v>
      </c>
      <c r="C1096" t="s">
        <v>1058</v>
      </c>
      <c r="D1096" s="1" t="s">
        <v>1039</v>
      </c>
      <c r="E1096" s="21" t="s">
        <v>237</v>
      </c>
      <c r="F1096" s="1" t="s">
        <v>233</v>
      </c>
      <c r="G1096" s="19">
        <v>115</v>
      </c>
      <c r="H1096" s="6" t="s">
        <v>1951</v>
      </c>
      <c r="I1096" s="6" t="s">
        <v>465</v>
      </c>
      <c r="J1096" s="6" t="s">
        <v>1849</v>
      </c>
      <c r="K1096" s="1">
        <v>0</v>
      </c>
      <c r="L1096" s="6" t="s">
        <v>234</v>
      </c>
      <c r="M1096" s="1">
        <v>2007</v>
      </c>
      <c r="N1096" s="1" t="s">
        <v>237</v>
      </c>
      <c r="O1096" s="1">
        <v>0</v>
      </c>
      <c r="P1096" s="1">
        <v>0</v>
      </c>
      <c r="Q1096" s="1">
        <v>0</v>
      </c>
      <c r="R1096" s="1">
        <v>0</v>
      </c>
      <c r="S1096" s="1" t="s">
        <v>235</v>
      </c>
    </row>
    <row r="1097" spans="1:19" ht="14.45" customHeight="1" x14ac:dyDescent="0.25">
      <c r="A1097" s="6">
        <v>1098</v>
      </c>
      <c r="B1097" s="6">
        <v>7907101</v>
      </c>
      <c r="C1097" t="s">
        <v>1058</v>
      </c>
      <c r="D1097" s="1" t="s">
        <v>1039</v>
      </c>
      <c r="E1097" s="21">
        <v>7100</v>
      </c>
      <c r="F1097" s="1" t="s">
        <v>233</v>
      </c>
      <c r="G1097" s="1" t="s">
        <v>233</v>
      </c>
      <c r="H1097" s="6" t="s">
        <v>1951</v>
      </c>
      <c r="I1097" s="6" t="s">
        <v>510</v>
      </c>
      <c r="J1097" s="6" t="s">
        <v>1853</v>
      </c>
      <c r="K1097" s="1">
        <v>0</v>
      </c>
      <c r="L1097" s="6" t="s">
        <v>233</v>
      </c>
      <c r="M1097" s="1">
        <v>2014</v>
      </c>
      <c r="N1097" s="1" t="s">
        <v>237</v>
      </c>
      <c r="O1097" s="1">
        <v>0</v>
      </c>
      <c r="P1097" s="1">
        <v>0</v>
      </c>
      <c r="Q1097" s="1">
        <v>0</v>
      </c>
      <c r="R1097" s="1">
        <v>0</v>
      </c>
      <c r="S1097" s="1" t="s">
        <v>235</v>
      </c>
    </row>
    <row r="1098" spans="1:19" ht="14.45" customHeight="1" x14ac:dyDescent="0.25">
      <c r="A1098" s="6">
        <v>1099</v>
      </c>
      <c r="B1098" s="6">
        <v>7907101</v>
      </c>
      <c r="C1098" t="s">
        <v>1058</v>
      </c>
      <c r="D1098" s="1" t="s">
        <v>1039</v>
      </c>
      <c r="E1098" s="21">
        <v>8430</v>
      </c>
      <c r="F1098" s="1" t="s">
        <v>233</v>
      </c>
      <c r="G1098" s="1" t="s">
        <v>233</v>
      </c>
      <c r="H1098" s="6" t="s">
        <v>1951</v>
      </c>
      <c r="I1098" s="6" t="s">
        <v>555</v>
      </c>
      <c r="J1098" s="6" t="s">
        <v>1849</v>
      </c>
      <c r="K1098" s="1">
        <v>0</v>
      </c>
      <c r="L1098" s="6" t="s">
        <v>252</v>
      </c>
      <c r="M1098" s="1">
        <v>2010</v>
      </c>
      <c r="N1098" s="1" t="s">
        <v>237</v>
      </c>
      <c r="O1098" s="1">
        <v>0</v>
      </c>
      <c r="P1098" s="1">
        <v>0</v>
      </c>
      <c r="Q1098" s="1">
        <v>0</v>
      </c>
      <c r="R1098" s="1">
        <v>0</v>
      </c>
      <c r="S1098" s="1" t="s">
        <v>235</v>
      </c>
    </row>
    <row r="1099" spans="1:19" ht="14.45" customHeight="1" x14ac:dyDescent="0.25">
      <c r="A1099" s="6">
        <v>1100</v>
      </c>
      <c r="B1099" s="6">
        <v>7907101</v>
      </c>
      <c r="C1099" t="s">
        <v>1058</v>
      </c>
      <c r="D1099" s="1" t="s">
        <v>1039</v>
      </c>
      <c r="E1099" s="21">
        <v>20833.333333333332</v>
      </c>
      <c r="F1099" s="1" t="s">
        <v>233</v>
      </c>
      <c r="G1099" s="1" t="s">
        <v>233</v>
      </c>
      <c r="H1099" s="6" t="s">
        <v>1951</v>
      </c>
      <c r="I1099" s="6" t="s">
        <v>582</v>
      </c>
      <c r="J1099" s="6" t="s">
        <v>1849</v>
      </c>
      <c r="K1099" s="1">
        <v>0</v>
      </c>
      <c r="L1099" s="6" t="s">
        <v>260</v>
      </c>
      <c r="M1099" s="1">
        <v>2010</v>
      </c>
      <c r="N1099" s="1" t="s">
        <v>1859</v>
      </c>
      <c r="O1099" s="1">
        <v>0</v>
      </c>
      <c r="P1099" s="1">
        <v>0</v>
      </c>
      <c r="Q1099" s="1">
        <v>0</v>
      </c>
      <c r="R1099" s="1">
        <v>0</v>
      </c>
      <c r="S1099" s="1" t="s">
        <v>235</v>
      </c>
    </row>
    <row r="1100" spans="1:19" ht="14.45" customHeight="1" x14ac:dyDescent="0.25">
      <c r="A1100" s="6">
        <v>1101</v>
      </c>
      <c r="B1100" s="6">
        <v>7907101</v>
      </c>
      <c r="C1100" t="s">
        <v>1058</v>
      </c>
      <c r="D1100" s="1" t="s">
        <v>1039</v>
      </c>
      <c r="E1100" s="21">
        <v>25000</v>
      </c>
      <c r="F1100" s="1" t="s">
        <v>233</v>
      </c>
      <c r="G1100" s="1" t="s">
        <v>233</v>
      </c>
      <c r="H1100" s="6" t="s">
        <v>1951</v>
      </c>
      <c r="I1100" s="6" t="s">
        <v>582</v>
      </c>
      <c r="J1100" s="6" t="s">
        <v>1849</v>
      </c>
      <c r="K1100" s="1">
        <v>0</v>
      </c>
      <c r="L1100" s="6" t="s">
        <v>260</v>
      </c>
      <c r="M1100" s="1">
        <v>2010</v>
      </c>
      <c r="N1100" s="1" t="s">
        <v>237</v>
      </c>
      <c r="O1100" s="1">
        <v>0</v>
      </c>
      <c r="P1100" s="1" t="s">
        <v>1952</v>
      </c>
      <c r="Q1100" s="1">
        <v>0</v>
      </c>
      <c r="R1100" s="1">
        <v>0</v>
      </c>
      <c r="S1100" s="1" t="s">
        <v>235</v>
      </c>
    </row>
    <row r="1101" spans="1:19" ht="14.45" customHeight="1" x14ac:dyDescent="0.25">
      <c r="A1101" s="6">
        <v>1102</v>
      </c>
      <c r="B1101" s="6">
        <v>7907101</v>
      </c>
      <c r="C1101" t="s">
        <v>1058</v>
      </c>
      <c r="D1101" s="1" t="s">
        <v>1039</v>
      </c>
      <c r="E1101" s="21" t="s">
        <v>237</v>
      </c>
      <c r="F1101" s="21">
        <v>1886.2564833860542</v>
      </c>
      <c r="G1101" s="1" t="s">
        <v>233</v>
      </c>
      <c r="H1101" s="6" t="s">
        <v>1951</v>
      </c>
      <c r="I1101" s="6" t="s">
        <v>594</v>
      </c>
      <c r="J1101" s="6" t="s">
        <v>1853</v>
      </c>
      <c r="K1101" s="1">
        <v>0</v>
      </c>
      <c r="L1101" s="6" t="s">
        <v>245</v>
      </c>
      <c r="M1101" s="1">
        <v>2012</v>
      </c>
      <c r="N1101" s="1" t="s">
        <v>237</v>
      </c>
      <c r="O1101" s="1">
        <v>0</v>
      </c>
      <c r="P1101" s="1">
        <v>0</v>
      </c>
      <c r="Q1101" s="1">
        <v>0</v>
      </c>
      <c r="R1101" s="1">
        <v>0</v>
      </c>
      <c r="S1101" s="1" t="s">
        <v>251</v>
      </c>
    </row>
    <row r="1102" spans="1:19" ht="14.45" customHeight="1" x14ac:dyDescent="0.25">
      <c r="A1102" s="6">
        <v>1103</v>
      </c>
      <c r="B1102" s="6">
        <v>7907101</v>
      </c>
      <c r="C1102" t="s">
        <v>1058</v>
      </c>
      <c r="D1102" s="1" t="s">
        <v>1039</v>
      </c>
      <c r="E1102" s="21" t="s">
        <v>237</v>
      </c>
      <c r="F1102" s="21">
        <v>6550.3770801105356</v>
      </c>
      <c r="G1102" s="1" t="s">
        <v>233</v>
      </c>
      <c r="H1102" s="6" t="s">
        <v>1951</v>
      </c>
      <c r="I1102" s="6" t="s">
        <v>594</v>
      </c>
      <c r="J1102" s="6" t="s">
        <v>1853</v>
      </c>
      <c r="K1102" s="1">
        <v>0</v>
      </c>
      <c r="L1102" s="6" t="s">
        <v>245</v>
      </c>
      <c r="M1102" s="1">
        <v>2012</v>
      </c>
      <c r="N1102" s="1" t="s">
        <v>237</v>
      </c>
      <c r="O1102" s="1">
        <v>0</v>
      </c>
      <c r="P1102" s="1">
        <v>0</v>
      </c>
      <c r="Q1102" s="1">
        <v>0</v>
      </c>
      <c r="R1102" s="1">
        <v>0</v>
      </c>
      <c r="S1102" s="1" t="s">
        <v>251</v>
      </c>
    </row>
    <row r="1103" spans="1:19" ht="14.45" customHeight="1" x14ac:dyDescent="0.25">
      <c r="A1103" s="6">
        <v>1104</v>
      </c>
      <c r="B1103" s="6">
        <v>7907101</v>
      </c>
      <c r="C1103" t="s">
        <v>1058</v>
      </c>
      <c r="D1103" s="1" t="s">
        <v>1039</v>
      </c>
      <c r="E1103" s="21">
        <v>7200</v>
      </c>
      <c r="F1103" s="1" t="s">
        <v>233</v>
      </c>
      <c r="G1103" s="1" t="s">
        <v>233</v>
      </c>
      <c r="H1103" s="6" t="s">
        <v>1951</v>
      </c>
      <c r="I1103" s="6" t="s">
        <v>624</v>
      </c>
      <c r="J1103" s="6" t="s">
        <v>1849</v>
      </c>
      <c r="K1103" s="1">
        <v>0</v>
      </c>
      <c r="L1103" s="6" t="s">
        <v>252</v>
      </c>
      <c r="M1103" s="1">
        <v>2010</v>
      </c>
      <c r="N1103" s="1" t="s">
        <v>237</v>
      </c>
      <c r="O1103" s="1">
        <v>0</v>
      </c>
      <c r="P1103" s="1">
        <v>0</v>
      </c>
      <c r="Q1103" s="1">
        <v>0</v>
      </c>
      <c r="R1103" s="1">
        <v>0</v>
      </c>
      <c r="S1103" s="1" t="s">
        <v>235</v>
      </c>
    </row>
    <row r="1104" spans="1:19" ht="14.45" customHeight="1" x14ac:dyDescent="0.25">
      <c r="A1104" s="6">
        <v>1105</v>
      </c>
      <c r="B1104" s="6">
        <v>7907101</v>
      </c>
      <c r="C1104" t="s">
        <v>1058</v>
      </c>
      <c r="D1104" s="1" t="s">
        <v>1039</v>
      </c>
      <c r="E1104" s="21">
        <v>9000</v>
      </c>
      <c r="F1104" s="1" t="s">
        <v>233</v>
      </c>
      <c r="G1104" s="1" t="s">
        <v>233</v>
      </c>
      <c r="H1104" s="6" t="s">
        <v>1951</v>
      </c>
      <c r="I1104" s="6" t="s">
        <v>624</v>
      </c>
      <c r="J1104" s="6" t="s">
        <v>1849</v>
      </c>
      <c r="K1104" s="1">
        <v>0</v>
      </c>
      <c r="L1104" s="6" t="s">
        <v>269</v>
      </c>
      <c r="M1104" s="1">
        <v>2010</v>
      </c>
      <c r="N1104" s="1" t="s">
        <v>237</v>
      </c>
      <c r="O1104" s="1">
        <v>0</v>
      </c>
      <c r="P1104" s="1">
        <v>0</v>
      </c>
      <c r="Q1104" s="1">
        <v>0</v>
      </c>
      <c r="R1104" s="1">
        <v>0</v>
      </c>
      <c r="S1104" s="1" t="s">
        <v>235</v>
      </c>
    </row>
    <row r="1105" spans="1:19" ht="14.45" customHeight="1" x14ac:dyDescent="0.25">
      <c r="A1105" s="6">
        <v>1106</v>
      </c>
      <c r="B1105" s="6">
        <v>7907101</v>
      </c>
      <c r="C1105" t="s">
        <v>1058</v>
      </c>
      <c r="D1105" s="1" t="s">
        <v>1039</v>
      </c>
      <c r="E1105" s="21">
        <v>9600</v>
      </c>
      <c r="F1105" s="1" t="s">
        <v>233</v>
      </c>
      <c r="G1105" s="1" t="s">
        <v>233</v>
      </c>
      <c r="H1105" s="6" t="s">
        <v>1951</v>
      </c>
      <c r="I1105" s="6" t="s">
        <v>624</v>
      </c>
      <c r="J1105" s="6" t="s">
        <v>1849</v>
      </c>
      <c r="K1105" s="1">
        <v>0</v>
      </c>
      <c r="L1105" s="6" t="s">
        <v>234</v>
      </c>
      <c r="M1105" s="1">
        <v>2010</v>
      </c>
      <c r="N1105" s="1" t="s">
        <v>237</v>
      </c>
      <c r="O1105" s="1">
        <v>0</v>
      </c>
      <c r="P1105" s="1">
        <v>0</v>
      </c>
      <c r="Q1105" s="1">
        <v>0</v>
      </c>
      <c r="R1105" s="1">
        <v>0</v>
      </c>
      <c r="S1105" s="1" t="s">
        <v>235</v>
      </c>
    </row>
    <row r="1106" spans="1:19" ht="14.45" customHeight="1" x14ac:dyDescent="0.25">
      <c r="A1106" s="6">
        <v>1107</v>
      </c>
      <c r="B1106" s="6">
        <v>7907101</v>
      </c>
      <c r="C1106" t="s">
        <v>1058</v>
      </c>
      <c r="D1106" s="1" t="s">
        <v>1039</v>
      </c>
      <c r="E1106" s="21">
        <v>997.4</v>
      </c>
      <c r="F1106" s="1" t="s">
        <v>233</v>
      </c>
      <c r="G1106" s="1" t="s">
        <v>233</v>
      </c>
      <c r="H1106" s="6" t="s">
        <v>1951</v>
      </c>
      <c r="I1106" s="6" t="s">
        <v>737</v>
      </c>
      <c r="J1106" s="6" t="s">
        <v>1854</v>
      </c>
      <c r="K1106" s="1">
        <v>1</v>
      </c>
      <c r="L1106" s="6" t="s">
        <v>246</v>
      </c>
      <c r="M1106" s="1">
        <v>2010</v>
      </c>
      <c r="N1106" s="1" t="s">
        <v>237</v>
      </c>
      <c r="O1106" s="1">
        <v>0</v>
      </c>
      <c r="P1106" s="1">
        <v>0</v>
      </c>
      <c r="Q1106" s="1">
        <v>0</v>
      </c>
      <c r="R1106" s="1">
        <v>0</v>
      </c>
      <c r="S1106" s="1" t="s">
        <v>235</v>
      </c>
    </row>
    <row r="1107" spans="1:19" ht="14.45" customHeight="1" x14ac:dyDescent="0.25">
      <c r="A1107" s="6">
        <v>1108</v>
      </c>
      <c r="B1107" s="6">
        <v>7907101</v>
      </c>
      <c r="C1107" t="s">
        <v>1058</v>
      </c>
      <c r="D1107" s="1" t="s">
        <v>1039</v>
      </c>
      <c r="E1107" s="21">
        <v>9500</v>
      </c>
      <c r="F1107" s="1" t="s">
        <v>233</v>
      </c>
      <c r="G1107" s="1" t="s">
        <v>233</v>
      </c>
      <c r="H1107" s="6" t="s">
        <v>1954</v>
      </c>
      <c r="I1107" s="6" t="s">
        <v>313</v>
      </c>
      <c r="J1107" s="6" t="s">
        <v>1849</v>
      </c>
      <c r="K1107" s="1">
        <v>0</v>
      </c>
      <c r="L1107" s="6" t="s">
        <v>234</v>
      </c>
      <c r="M1107" s="1">
        <v>2012</v>
      </c>
      <c r="N1107" s="1" t="s">
        <v>237</v>
      </c>
      <c r="O1107" s="1">
        <v>0</v>
      </c>
      <c r="P1107" s="1">
        <v>0</v>
      </c>
      <c r="Q1107" s="1">
        <v>0</v>
      </c>
      <c r="R1107" s="1">
        <v>0</v>
      </c>
      <c r="S1107" s="1" t="s">
        <v>251</v>
      </c>
    </row>
    <row r="1108" spans="1:19" ht="14.45" customHeight="1" x14ac:dyDescent="0.25">
      <c r="A1108" s="6">
        <v>1109</v>
      </c>
      <c r="B1108" s="6">
        <v>7907101</v>
      </c>
      <c r="C1108" t="s">
        <v>1058</v>
      </c>
      <c r="D1108" s="1" t="s">
        <v>1039</v>
      </c>
      <c r="E1108" s="21">
        <v>7300</v>
      </c>
      <c r="F1108" s="1" t="s">
        <v>233</v>
      </c>
      <c r="G1108" s="1" t="s">
        <v>233</v>
      </c>
      <c r="H1108" s="6" t="s">
        <v>1951</v>
      </c>
      <c r="I1108" s="6" t="s">
        <v>716</v>
      </c>
      <c r="J1108" s="6" t="s">
        <v>1853</v>
      </c>
      <c r="K1108" s="1">
        <v>0</v>
      </c>
      <c r="L1108" s="6" t="s">
        <v>271</v>
      </c>
      <c r="M1108" s="1">
        <v>2012</v>
      </c>
      <c r="N1108" s="1" t="s">
        <v>237</v>
      </c>
      <c r="O1108" s="1">
        <v>0</v>
      </c>
      <c r="P1108" s="1">
        <v>0</v>
      </c>
      <c r="Q1108" s="1">
        <v>0</v>
      </c>
      <c r="R1108" s="1">
        <v>0</v>
      </c>
      <c r="S1108" s="1" t="s">
        <v>235</v>
      </c>
    </row>
    <row r="1109" spans="1:19" ht="14.45" customHeight="1" x14ac:dyDescent="0.25">
      <c r="A1109" s="6">
        <v>1110</v>
      </c>
      <c r="B1109" s="6">
        <v>7907101</v>
      </c>
      <c r="C1109" t="s">
        <v>1058</v>
      </c>
      <c r="D1109" s="1" t="s">
        <v>1039</v>
      </c>
      <c r="E1109" s="21">
        <v>950</v>
      </c>
      <c r="F1109" s="1" t="s">
        <v>233</v>
      </c>
      <c r="G1109" s="1" t="s">
        <v>233</v>
      </c>
      <c r="H1109" s="6" t="s">
        <v>1954</v>
      </c>
      <c r="I1109" s="6" t="s">
        <v>313</v>
      </c>
      <c r="J1109" s="6" t="s">
        <v>1849</v>
      </c>
      <c r="K1109" s="1">
        <v>0</v>
      </c>
      <c r="L1109" s="6" t="s">
        <v>234</v>
      </c>
      <c r="M1109" s="1">
        <v>2012</v>
      </c>
      <c r="N1109" s="1" t="s">
        <v>237</v>
      </c>
      <c r="O1109" s="1">
        <v>0</v>
      </c>
      <c r="P1109" s="1" t="s">
        <v>1952</v>
      </c>
      <c r="Q1109" s="1">
        <v>0</v>
      </c>
      <c r="R1109" s="1">
        <v>0</v>
      </c>
      <c r="S1109" s="1" t="s">
        <v>251</v>
      </c>
    </row>
    <row r="1110" spans="1:19" ht="14.45" customHeight="1" x14ac:dyDescent="0.25">
      <c r="A1110" s="6">
        <v>1111</v>
      </c>
      <c r="B1110" s="6">
        <v>8000105</v>
      </c>
      <c r="C1110" t="s">
        <v>1059</v>
      </c>
      <c r="D1110" s="1" t="s">
        <v>797</v>
      </c>
      <c r="E1110" s="21">
        <v>540</v>
      </c>
      <c r="F1110" s="1" t="s">
        <v>233</v>
      </c>
      <c r="G1110" s="1" t="s">
        <v>233</v>
      </c>
      <c r="H1110" s="6" t="s">
        <v>1951</v>
      </c>
      <c r="I1110" s="6" t="s">
        <v>326</v>
      </c>
      <c r="J1110" s="6" t="s">
        <v>1849</v>
      </c>
      <c r="K1110" s="1">
        <v>0</v>
      </c>
      <c r="L1110" s="6" t="s">
        <v>239</v>
      </c>
      <c r="M1110" s="1">
        <v>1999</v>
      </c>
      <c r="N1110" s="1" t="s">
        <v>1915</v>
      </c>
      <c r="O1110" s="1">
        <v>0</v>
      </c>
      <c r="P1110" s="1">
        <v>0</v>
      </c>
      <c r="Q1110" s="1">
        <v>0</v>
      </c>
      <c r="R1110" s="1">
        <v>0</v>
      </c>
      <c r="S1110" s="1" t="s">
        <v>251</v>
      </c>
    </row>
    <row r="1111" spans="1:19" ht="14.45" customHeight="1" x14ac:dyDescent="0.25">
      <c r="A1111" s="6">
        <v>1112</v>
      </c>
      <c r="B1111" s="6">
        <v>8000105</v>
      </c>
      <c r="C1111" t="s">
        <v>1059</v>
      </c>
      <c r="D1111" s="1" t="s">
        <v>797</v>
      </c>
      <c r="E1111" s="21">
        <v>650</v>
      </c>
      <c r="F1111" s="1" t="s">
        <v>233</v>
      </c>
      <c r="G1111" s="1" t="s">
        <v>233</v>
      </c>
      <c r="H1111" s="6" t="s">
        <v>1951</v>
      </c>
      <c r="I1111" s="6" t="s">
        <v>326</v>
      </c>
      <c r="J1111" s="6" t="s">
        <v>1853</v>
      </c>
      <c r="K1111" s="1">
        <v>0</v>
      </c>
      <c r="L1111" s="6" t="s">
        <v>239</v>
      </c>
      <c r="M1111" s="1">
        <v>1999</v>
      </c>
      <c r="N1111" s="1" t="s">
        <v>237</v>
      </c>
      <c r="O1111" s="1">
        <v>0</v>
      </c>
      <c r="P1111" s="1">
        <v>0</v>
      </c>
      <c r="Q1111" s="1">
        <v>0</v>
      </c>
      <c r="R1111" s="1">
        <v>0</v>
      </c>
      <c r="S1111" s="1" t="s">
        <v>251</v>
      </c>
    </row>
    <row r="1112" spans="1:19" ht="14.45" customHeight="1" x14ac:dyDescent="0.25">
      <c r="A1112" s="6">
        <v>1113</v>
      </c>
      <c r="B1112" s="6">
        <v>8000105</v>
      </c>
      <c r="C1112" t="s">
        <v>1059</v>
      </c>
      <c r="D1112" s="1" t="s">
        <v>797</v>
      </c>
      <c r="E1112" s="21" t="s">
        <v>237</v>
      </c>
      <c r="F1112" s="1" t="s">
        <v>233</v>
      </c>
      <c r="G1112" s="19">
        <v>5</v>
      </c>
      <c r="H1112" s="6" t="s">
        <v>1951</v>
      </c>
      <c r="I1112" s="6" t="s">
        <v>465</v>
      </c>
      <c r="J1112" s="6" t="s">
        <v>1849</v>
      </c>
      <c r="K1112" s="1">
        <v>0</v>
      </c>
      <c r="L1112" s="6" t="s">
        <v>234</v>
      </c>
      <c r="M1112" s="1">
        <v>2007</v>
      </c>
      <c r="N1112" s="1" t="s">
        <v>237</v>
      </c>
      <c r="O1112" s="1">
        <v>0</v>
      </c>
      <c r="P1112" s="1">
        <v>0</v>
      </c>
      <c r="Q1112" s="1">
        <v>0</v>
      </c>
      <c r="R1112" s="1">
        <v>0</v>
      </c>
      <c r="S1112" s="1" t="s">
        <v>235</v>
      </c>
    </row>
    <row r="1113" spans="1:19" ht="14.45" customHeight="1" x14ac:dyDescent="0.25">
      <c r="A1113" s="6">
        <v>1114</v>
      </c>
      <c r="B1113" s="6">
        <v>8000105</v>
      </c>
      <c r="C1113" t="s">
        <v>1059</v>
      </c>
      <c r="D1113" s="1" t="s">
        <v>797</v>
      </c>
      <c r="E1113" s="21">
        <v>424.59016393442624</v>
      </c>
      <c r="F1113" s="1" t="s">
        <v>233</v>
      </c>
      <c r="G1113" s="1" t="s">
        <v>233</v>
      </c>
      <c r="H1113" s="6" t="s">
        <v>1951</v>
      </c>
      <c r="I1113" s="6" t="s">
        <v>582</v>
      </c>
      <c r="J1113" s="6" t="s">
        <v>1849</v>
      </c>
      <c r="K1113" s="1">
        <v>0</v>
      </c>
      <c r="L1113" s="6" t="s">
        <v>260</v>
      </c>
      <c r="M1113" s="1">
        <v>2010</v>
      </c>
      <c r="N1113" s="1" t="s">
        <v>1859</v>
      </c>
      <c r="O1113" s="1">
        <v>0</v>
      </c>
      <c r="P1113" s="1">
        <v>0</v>
      </c>
      <c r="Q1113" s="1">
        <v>0</v>
      </c>
      <c r="R1113" s="1">
        <v>0</v>
      </c>
      <c r="S1113" s="1" t="s">
        <v>235</v>
      </c>
    </row>
    <row r="1114" spans="1:19" ht="14.45" customHeight="1" x14ac:dyDescent="0.25">
      <c r="A1114" s="6">
        <v>1115</v>
      </c>
      <c r="B1114" s="6">
        <v>8000105</v>
      </c>
      <c r="C1114" t="s">
        <v>1059</v>
      </c>
      <c r="D1114" s="1" t="s">
        <v>797</v>
      </c>
      <c r="E1114" s="21">
        <v>573.77049180327867</v>
      </c>
      <c r="F1114" s="1" t="s">
        <v>233</v>
      </c>
      <c r="G1114" s="1" t="s">
        <v>233</v>
      </c>
      <c r="H1114" s="6" t="s">
        <v>1951</v>
      </c>
      <c r="I1114" s="6" t="s">
        <v>582</v>
      </c>
      <c r="J1114" s="6" t="s">
        <v>1849</v>
      </c>
      <c r="K1114" s="1">
        <v>0</v>
      </c>
      <c r="L1114" s="6" t="s">
        <v>260</v>
      </c>
      <c r="M1114" s="1">
        <v>2010</v>
      </c>
      <c r="N1114" s="1" t="s">
        <v>237</v>
      </c>
      <c r="O1114" s="1">
        <v>0</v>
      </c>
      <c r="P1114" s="1">
        <v>0</v>
      </c>
      <c r="Q1114" s="1">
        <v>0</v>
      </c>
      <c r="R1114" s="1">
        <v>0</v>
      </c>
      <c r="S1114" s="1" t="s">
        <v>235</v>
      </c>
    </row>
    <row r="1115" spans="1:19" ht="14.45" customHeight="1" x14ac:dyDescent="0.25">
      <c r="A1115" s="6">
        <v>1116</v>
      </c>
      <c r="B1115" s="6">
        <v>8000105</v>
      </c>
      <c r="C1115" t="s">
        <v>1059</v>
      </c>
      <c r="D1115" s="1" t="s">
        <v>797</v>
      </c>
      <c r="E1115" s="21" t="s">
        <v>237</v>
      </c>
      <c r="F1115" s="21">
        <v>1870.1099089032616</v>
      </c>
      <c r="G1115" s="1" t="s">
        <v>233</v>
      </c>
      <c r="H1115" s="6" t="s">
        <v>1951</v>
      </c>
      <c r="I1115" s="6" t="s">
        <v>593</v>
      </c>
      <c r="J1115" s="6" t="s">
        <v>1853</v>
      </c>
      <c r="K1115" s="1">
        <v>0</v>
      </c>
      <c r="L1115" s="6" t="s">
        <v>245</v>
      </c>
      <c r="M1115" s="1">
        <v>2011</v>
      </c>
      <c r="N1115" s="1" t="s">
        <v>237</v>
      </c>
      <c r="O1115" s="1">
        <v>0</v>
      </c>
      <c r="P1115" s="1">
        <v>0</v>
      </c>
      <c r="Q1115" s="1">
        <v>0</v>
      </c>
      <c r="R1115" s="1">
        <v>0</v>
      </c>
      <c r="S1115" s="1" t="s">
        <v>251</v>
      </c>
    </row>
    <row r="1116" spans="1:19" ht="14.45" customHeight="1" x14ac:dyDescent="0.25">
      <c r="A1116" s="6">
        <v>1117</v>
      </c>
      <c r="B1116" s="6">
        <v>8000237</v>
      </c>
      <c r="C1116" t="s">
        <v>1060</v>
      </c>
      <c r="D1116" s="1" t="s">
        <v>797</v>
      </c>
      <c r="E1116" s="21">
        <v>930</v>
      </c>
      <c r="F1116" s="1" t="s">
        <v>233</v>
      </c>
      <c r="G1116" s="1" t="s">
        <v>233</v>
      </c>
      <c r="H1116" s="6" t="s">
        <v>1951</v>
      </c>
      <c r="I1116" s="6" t="s">
        <v>596</v>
      </c>
      <c r="J1116" s="6" t="s">
        <v>1849</v>
      </c>
      <c r="K1116" s="1">
        <v>0</v>
      </c>
      <c r="L1116" s="6" t="s">
        <v>240</v>
      </c>
      <c r="M1116" s="1">
        <v>2008</v>
      </c>
      <c r="N1116" s="1" t="s">
        <v>237</v>
      </c>
      <c r="O1116" s="1">
        <v>0</v>
      </c>
      <c r="P1116" s="1">
        <v>0</v>
      </c>
      <c r="Q1116" s="1">
        <v>0</v>
      </c>
      <c r="R1116" s="1">
        <v>0</v>
      </c>
      <c r="S1116" s="1" t="s">
        <v>235</v>
      </c>
    </row>
    <row r="1117" spans="1:19" ht="14.45" customHeight="1" x14ac:dyDescent="0.25">
      <c r="A1117" s="6">
        <v>1118</v>
      </c>
      <c r="B1117" s="6">
        <v>8000501</v>
      </c>
      <c r="C1117" t="s">
        <v>1061</v>
      </c>
      <c r="D1117" s="1" t="s">
        <v>797</v>
      </c>
      <c r="E1117" s="21">
        <v>1000</v>
      </c>
      <c r="F1117" s="1" t="s">
        <v>233</v>
      </c>
      <c r="G1117" s="1" t="s">
        <v>233</v>
      </c>
      <c r="H1117" s="6" t="s">
        <v>1951</v>
      </c>
      <c r="I1117" s="6" t="s">
        <v>326</v>
      </c>
      <c r="J1117" s="6" t="s">
        <v>1853</v>
      </c>
      <c r="K1117" s="1">
        <v>0</v>
      </c>
      <c r="L1117" s="6" t="s">
        <v>239</v>
      </c>
      <c r="M1117" s="1">
        <v>1999</v>
      </c>
      <c r="N1117" s="1" t="s">
        <v>237</v>
      </c>
      <c r="O1117" s="1">
        <v>0</v>
      </c>
      <c r="P1117" s="1">
        <v>0</v>
      </c>
      <c r="Q1117" s="1">
        <v>0</v>
      </c>
      <c r="R1117" s="1">
        <v>0</v>
      </c>
      <c r="S1117" s="1" t="s">
        <v>251</v>
      </c>
    </row>
    <row r="1118" spans="1:19" ht="14.45" customHeight="1" x14ac:dyDescent="0.25">
      <c r="A1118" s="6">
        <v>1119</v>
      </c>
      <c r="B1118" s="6">
        <v>8000501</v>
      </c>
      <c r="C1118" t="s">
        <v>1061</v>
      </c>
      <c r="D1118" s="1" t="s">
        <v>797</v>
      </c>
      <c r="E1118" s="21">
        <v>1072</v>
      </c>
      <c r="F1118" s="21">
        <v>983</v>
      </c>
      <c r="G1118" s="19">
        <v>6.5</v>
      </c>
      <c r="H1118" s="6" t="s">
        <v>1954</v>
      </c>
      <c r="I1118" s="6" t="s">
        <v>364</v>
      </c>
      <c r="J1118" s="6" t="s">
        <v>1849</v>
      </c>
      <c r="K1118" s="1">
        <v>0</v>
      </c>
      <c r="L1118" s="6" t="s">
        <v>236</v>
      </c>
      <c r="M1118" s="1">
        <v>2012</v>
      </c>
      <c r="N1118" s="1" t="s">
        <v>237</v>
      </c>
      <c r="O1118" s="1">
        <v>0</v>
      </c>
      <c r="P1118" s="1">
        <v>0</v>
      </c>
      <c r="Q1118" s="1">
        <v>0</v>
      </c>
      <c r="R1118" s="1">
        <v>0</v>
      </c>
      <c r="S1118" s="1" t="s">
        <v>235</v>
      </c>
    </row>
    <row r="1119" spans="1:19" ht="14.45" customHeight="1" x14ac:dyDescent="0.25">
      <c r="A1119" s="6">
        <v>1120</v>
      </c>
      <c r="B1119" s="6">
        <v>8000501</v>
      </c>
      <c r="C1119" t="s">
        <v>1061</v>
      </c>
      <c r="D1119" s="1" t="s">
        <v>797</v>
      </c>
      <c r="E1119" s="21">
        <v>956</v>
      </c>
      <c r="F1119" s="21">
        <v>870</v>
      </c>
      <c r="G1119" s="19">
        <v>5.8</v>
      </c>
      <c r="H1119" s="6" t="s">
        <v>1954</v>
      </c>
      <c r="I1119" s="6" t="s">
        <v>364</v>
      </c>
      <c r="J1119" s="6" t="s">
        <v>1849</v>
      </c>
      <c r="K1119" s="1">
        <v>0</v>
      </c>
      <c r="L1119" s="6" t="s">
        <v>236</v>
      </c>
      <c r="M1119" s="1">
        <v>2012</v>
      </c>
      <c r="N1119" s="1" t="s">
        <v>237</v>
      </c>
      <c r="O1119" s="1">
        <v>0</v>
      </c>
      <c r="P1119" s="1">
        <v>0</v>
      </c>
      <c r="Q1119" s="1">
        <v>0</v>
      </c>
      <c r="R1119" s="1">
        <v>0</v>
      </c>
      <c r="S1119" s="1" t="s">
        <v>235</v>
      </c>
    </row>
    <row r="1120" spans="1:19" ht="14.45" customHeight="1" x14ac:dyDescent="0.25">
      <c r="A1120" s="6">
        <v>1121</v>
      </c>
      <c r="B1120" s="6">
        <v>8000501</v>
      </c>
      <c r="C1120" t="s">
        <v>1061</v>
      </c>
      <c r="D1120" s="1" t="s">
        <v>797</v>
      </c>
      <c r="E1120" s="21">
        <v>1065</v>
      </c>
      <c r="F1120" s="21">
        <v>969</v>
      </c>
      <c r="G1120" s="19">
        <v>7.8</v>
      </c>
      <c r="H1120" s="6" t="s">
        <v>1954</v>
      </c>
      <c r="I1120" s="6" t="s">
        <v>364</v>
      </c>
      <c r="J1120" s="6" t="s">
        <v>1849</v>
      </c>
      <c r="K1120" s="1">
        <v>0</v>
      </c>
      <c r="L1120" s="6" t="s">
        <v>236</v>
      </c>
      <c r="M1120" s="1">
        <v>2012</v>
      </c>
      <c r="N1120" s="1" t="s">
        <v>237</v>
      </c>
      <c r="O1120" s="1">
        <v>0</v>
      </c>
      <c r="P1120" s="1">
        <v>0</v>
      </c>
      <c r="Q1120" s="1">
        <v>0</v>
      </c>
      <c r="R1120" s="1">
        <v>0</v>
      </c>
      <c r="S1120" s="1" t="s">
        <v>235</v>
      </c>
    </row>
    <row r="1121" spans="1:19" ht="14.45" customHeight="1" x14ac:dyDescent="0.25">
      <c r="A1121" s="6">
        <v>1122</v>
      </c>
      <c r="B1121" s="6">
        <v>8000501</v>
      </c>
      <c r="C1121" t="s">
        <v>1061</v>
      </c>
      <c r="D1121" s="1" t="s">
        <v>797</v>
      </c>
      <c r="E1121" s="21">
        <v>1012</v>
      </c>
      <c r="F1121" s="21">
        <v>887</v>
      </c>
      <c r="G1121" s="19">
        <v>6.1</v>
      </c>
      <c r="H1121" s="6" t="s">
        <v>1954</v>
      </c>
      <c r="I1121" s="6" t="s">
        <v>364</v>
      </c>
      <c r="J1121" s="6" t="s">
        <v>1849</v>
      </c>
      <c r="K1121" s="1">
        <v>0</v>
      </c>
      <c r="L1121" s="6" t="s">
        <v>236</v>
      </c>
      <c r="M1121" s="1">
        <v>2012</v>
      </c>
      <c r="N1121" s="1" t="s">
        <v>1863</v>
      </c>
      <c r="O1121" s="1">
        <v>0</v>
      </c>
      <c r="P1121" s="1">
        <v>0</v>
      </c>
      <c r="Q1121" s="1">
        <v>0</v>
      </c>
      <c r="R1121" s="1">
        <v>0</v>
      </c>
      <c r="S1121" s="1" t="s">
        <v>235</v>
      </c>
    </row>
    <row r="1122" spans="1:19" ht="14.45" customHeight="1" x14ac:dyDescent="0.25">
      <c r="A1122" s="6">
        <v>1123</v>
      </c>
      <c r="B1122" s="6">
        <v>8000501</v>
      </c>
      <c r="C1122" t="s">
        <v>1061</v>
      </c>
      <c r="D1122" s="1" t="s">
        <v>797</v>
      </c>
      <c r="E1122" s="21">
        <v>1026</v>
      </c>
      <c r="F1122" s="21">
        <v>898</v>
      </c>
      <c r="G1122" s="19">
        <v>6.1</v>
      </c>
      <c r="H1122" s="6" t="s">
        <v>1954</v>
      </c>
      <c r="I1122" s="6" t="s">
        <v>365</v>
      </c>
      <c r="J1122" s="6" t="s">
        <v>1849</v>
      </c>
      <c r="K1122" s="1">
        <v>0</v>
      </c>
      <c r="L1122" s="6" t="s">
        <v>236</v>
      </c>
      <c r="M1122" s="1">
        <v>2012</v>
      </c>
      <c r="N1122" s="1" t="s">
        <v>237</v>
      </c>
      <c r="O1122" s="1">
        <v>0</v>
      </c>
      <c r="P1122" s="1">
        <v>0</v>
      </c>
      <c r="Q1122" s="1">
        <v>0</v>
      </c>
      <c r="R1122" s="1">
        <v>0</v>
      </c>
      <c r="S1122" s="1" t="s">
        <v>235</v>
      </c>
    </row>
    <row r="1123" spans="1:19" ht="14.45" customHeight="1" x14ac:dyDescent="0.25">
      <c r="A1123" s="6">
        <v>1124</v>
      </c>
      <c r="B1123" s="6">
        <v>8000501</v>
      </c>
      <c r="C1123" t="s">
        <v>1061</v>
      </c>
      <c r="D1123" s="1" t="s">
        <v>797</v>
      </c>
      <c r="E1123" s="21">
        <v>1303</v>
      </c>
      <c r="F1123" s="21">
        <v>1249</v>
      </c>
      <c r="G1123" s="19">
        <v>10.6</v>
      </c>
      <c r="H1123" s="6" t="s">
        <v>1954</v>
      </c>
      <c r="I1123" s="6" t="s">
        <v>366</v>
      </c>
      <c r="J1123" s="6" t="s">
        <v>1849</v>
      </c>
      <c r="K1123" s="1">
        <v>0</v>
      </c>
      <c r="L1123" s="6" t="s">
        <v>236</v>
      </c>
      <c r="M1123" s="1">
        <v>2012</v>
      </c>
      <c r="N1123" s="1" t="s">
        <v>237</v>
      </c>
      <c r="O1123" s="1">
        <v>0</v>
      </c>
      <c r="P1123" s="1">
        <v>0</v>
      </c>
      <c r="Q1123" s="1" t="s">
        <v>1953</v>
      </c>
      <c r="R1123" s="1" t="s">
        <v>1956</v>
      </c>
      <c r="S1123" s="1" t="s">
        <v>235</v>
      </c>
    </row>
    <row r="1124" spans="1:19" ht="14.45" customHeight="1" x14ac:dyDescent="0.25">
      <c r="A1124" s="6">
        <v>1125</v>
      </c>
      <c r="B1124" s="6">
        <v>8000501</v>
      </c>
      <c r="C1124" t="s">
        <v>1061</v>
      </c>
      <c r="D1124" s="1" t="s">
        <v>797</v>
      </c>
      <c r="E1124" s="21">
        <v>766</v>
      </c>
      <c r="F1124" s="21">
        <v>529</v>
      </c>
      <c r="G1124" s="19">
        <v>4.9000000000000004</v>
      </c>
      <c r="H1124" s="6" t="s">
        <v>1954</v>
      </c>
      <c r="I1124" s="6" t="s">
        <v>368</v>
      </c>
      <c r="J1124" s="6" t="s">
        <v>1849</v>
      </c>
      <c r="K1124" s="1">
        <v>0</v>
      </c>
      <c r="L1124" s="6" t="s">
        <v>252</v>
      </c>
      <c r="M1124" s="1">
        <v>2012</v>
      </c>
      <c r="N1124" s="1" t="s">
        <v>1863</v>
      </c>
      <c r="O1124" s="1">
        <v>0</v>
      </c>
      <c r="P1124" s="1">
        <v>0</v>
      </c>
      <c r="Q1124" s="1">
        <v>0</v>
      </c>
      <c r="R1124" s="1">
        <v>0</v>
      </c>
      <c r="S1124" s="1" t="s">
        <v>235</v>
      </c>
    </row>
    <row r="1125" spans="1:19" ht="14.45" customHeight="1" x14ac:dyDescent="0.25">
      <c r="A1125" s="6">
        <v>1126</v>
      </c>
      <c r="B1125" s="6">
        <v>8000501</v>
      </c>
      <c r="C1125" t="s">
        <v>1061</v>
      </c>
      <c r="D1125" s="1" t="s">
        <v>797</v>
      </c>
      <c r="E1125" s="21">
        <v>775</v>
      </c>
      <c r="F1125" s="21">
        <v>530</v>
      </c>
      <c r="G1125" s="19">
        <v>5</v>
      </c>
      <c r="H1125" s="6" t="s">
        <v>1954</v>
      </c>
      <c r="I1125" s="6" t="s">
        <v>369</v>
      </c>
      <c r="J1125" s="6" t="s">
        <v>1849</v>
      </c>
      <c r="K1125" s="1">
        <v>0</v>
      </c>
      <c r="L1125" s="6" t="s">
        <v>252</v>
      </c>
      <c r="M1125" s="1">
        <v>2012</v>
      </c>
      <c r="N1125" s="1" t="s">
        <v>1863</v>
      </c>
      <c r="O1125" s="1">
        <v>0</v>
      </c>
      <c r="P1125" s="1">
        <v>0</v>
      </c>
      <c r="Q1125" s="1">
        <v>0</v>
      </c>
      <c r="R1125" s="1">
        <v>0</v>
      </c>
      <c r="S1125" s="1" t="s">
        <v>235</v>
      </c>
    </row>
    <row r="1126" spans="1:19" ht="14.45" customHeight="1" x14ac:dyDescent="0.25">
      <c r="A1126" s="6">
        <v>1127</v>
      </c>
      <c r="B1126" s="6">
        <v>8000501</v>
      </c>
      <c r="C1126" t="s">
        <v>1061</v>
      </c>
      <c r="D1126" s="1" t="s">
        <v>797</v>
      </c>
      <c r="E1126" s="21">
        <v>858</v>
      </c>
      <c r="F1126" s="21">
        <v>526</v>
      </c>
      <c r="G1126" s="19">
        <v>5.2</v>
      </c>
      <c r="H1126" s="6" t="s">
        <v>1954</v>
      </c>
      <c r="I1126" s="6" t="s">
        <v>371</v>
      </c>
      <c r="J1126" s="6" t="s">
        <v>1849</v>
      </c>
      <c r="K1126" s="1">
        <v>0</v>
      </c>
      <c r="L1126" s="6" t="s">
        <v>252</v>
      </c>
      <c r="M1126" s="1">
        <v>2012</v>
      </c>
      <c r="N1126" s="1" t="s">
        <v>237</v>
      </c>
      <c r="O1126" s="1">
        <v>0</v>
      </c>
      <c r="P1126" s="1">
        <v>0</v>
      </c>
      <c r="Q1126" s="1" t="s">
        <v>1953</v>
      </c>
      <c r="R1126" s="1">
        <v>0</v>
      </c>
      <c r="S1126" s="1" t="s">
        <v>235</v>
      </c>
    </row>
    <row r="1127" spans="1:19" ht="14.45" customHeight="1" x14ac:dyDescent="0.25">
      <c r="A1127" s="6">
        <v>1128</v>
      </c>
      <c r="B1127" s="6">
        <v>8000501</v>
      </c>
      <c r="C1127" t="s">
        <v>1061</v>
      </c>
      <c r="D1127" s="1" t="s">
        <v>797</v>
      </c>
      <c r="E1127" s="21">
        <v>844</v>
      </c>
      <c r="F1127" s="21">
        <v>994</v>
      </c>
      <c r="G1127" s="19">
        <v>4.5999999999999996</v>
      </c>
      <c r="H1127" s="6" t="s">
        <v>1954</v>
      </c>
      <c r="I1127" s="6" t="s">
        <v>403</v>
      </c>
      <c r="J1127" s="6" t="s">
        <v>1849</v>
      </c>
      <c r="K1127" s="1">
        <v>0</v>
      </c>
      <c r="L1127" s="6" t="s">
        <v>252</v>
      </c>
      <c r="M1127" s="1">
        <v>2014</v>
      </c>
      <c r="N1127" s="1" t="s">
        <v>1863</v>
      </c>
      <c r="O1127" s="1">
        <v>0</v>
      </c>
      <c r="P1127" s="1">
        <v>0</v>
      </c>
      <c r="Q1127" s="1">
        <v>0</v>
      </c>
      <c r="R1127" s="1">
        <v>0</v>
      </c>
      <c r="S1127" s="1" t="s">
        <v>235</v>
      </c>
    </row>
    <row r="1128" spans="1:19" ht="14.45" customHeight="1" x14ac:dyDescent="0.25">
      <c r="A1128" s="6">
        <v>1129</v>
      </c>
      <c r="B1128" s="6">
        <v>8000501</v>
      </c>
      <c r="C1128" t="s">
        <v>1061</v>
      </c>
      <c r="D1128" s="1" t="s">
        <v>797</v>
      </c>
      <c r="E1128" s="21">
        <v>548</v>
      </c>
      <c r="F1128" s="21">
        <v>967</v>
      </c>
      <c r="G1128" s="19">
        <v>3.8</v>
      </c>
      <c r="H1128" s="6" t="s">
        <v>1954</v>
      </c>
      <c r="I1128" s="6" t="s">
        <v>404</v>
      </c>
      <c r="J1128" s="6" t="s">
        <v>1849</v>
      </c>
      <c r="K1128" s="1">
        <v>0</v>
      </c>
      <c r="L1128" s="6" t="s">
        <v>252</v>
      </c>
      <c r="M1128" s="1">
        <v>2014</v>
      </c>
      <c r="N1128" s="1" t="s">
        <v>1863</v>
      </c>
      <c r="O1128" s="1">
        <v>0</v>
      </c>
      <c r="P1128" s="1" t="s">
        <v>1952</v>
      </c>
      <c r="Q1128" s="1">
        <v>0</v>
      </c>
      <c r="R1128" s="1" t="s">
        <v>1956</v>
      </c>
      <c r="S1128" s="1" t="s">
        <v>235</v>
      </c>
    </row>
    <row r="1129" spans="1:19" ht="14.45" customHeight="1" x14ac:dyDescent="0.25">
      <c r="A1129" s="6">
        <v>1130</v>
      </c>
      <c r="B1129" s="6">
        <v>8000501</v>
      </c>
      <c r="C1129" t="s">
        <v>1061</v>
      </c>
      <c r="D1129" s="1" t="s">
        <v>797</v>
      </c>
      <c r="E1129" s="21">
        <v>542</v>
      </c>
      <c r="F1129" s="21">
        <v>987</v>
      </c>
      <c r="G1129" s="19">
        <v>3.9</v>
      </c>
      <c r="H1129" s="6" t="s">
        <v>1954</v>
      </c>
      <c r="I1129" s="6" t="s">
        <v>405</v>
      </c>
      <c r="J1129" s="6" t="s">
        <v>1849</v>
      </c>
      <c r="K1129" s="1">
        <v>0</v>
      </c>
      <c r="L1129" s="6" t="s">
        <v>252</v>
      </c>
      <c r="M1129" s="1">
        <v>2014</v>
      </c>
      <c r="N1129" s="1" t="s">
        <v>1863</v>
      </c>
      <c r="O1129" s="1">
        <v>0</v>
      </c>
      <c r="P1129" s="1" t="s">
        <v>1952</v>
      </c>
      <c r="Q1129" s="1">
        <v>0</v>
      </c>
      <c r="R1129" s="1">
        <v>0</v>
      </c>
      <c r="S1129" s="1" t="s">
        <v>235</v>
      </c>
    </row>
    <row r="1130" spans="1:19" ht="14.45" customHeight="1" x14ac:dyDescent="0.25">
      <c r="A1130" s="6">
        <v>1131</v>
      </c>
      <c r="B1130" s="6">
        <v>8000501</v>
      </c>
      <c r="C1130" t="s">
        <v>1061</v>
      </c>
      <c r="D1130" s="1" t="s">
        <v>797</v>
      </c>
      <c r="E1130" s="21">
        <v>614</v>
      </c>
      <c r="F1130" s="21">
        <v>1022</v>
      </c>
      <c r="G1130" s="19">
        <v>4.2</v>
      </c>
      <c r="H1130" s="6" t="s">
        <v>1954</v>
      </c>
      <c r="I1130" s="6" t="s">
        <v>407</v>
      </c>
      <c r="J1130" s="6" t="s">
        <v>1849</v>
      </c>
      <c r="K1130" s="1">
        <v>0</v>
      </c>
      <c r="L1130" s="6" t="s">
        <v>252</v>
      </c>
      <c r="M1130" s="1">
        <v>2014</v>
      </c>
      <c r="N1130" s="1" t="s">
        <v>237</v>
      </c>
      <c r="O1130" s="1">
        <v>0</v>
      </c>
      <c r="P1130" s="1">
        <v>0</v>
      </c>
      <c r="Q1130" s="1">
        <v>0</v>
      </c>
      <c r="R1130" s="1">
        <v>0</v>
      </c>
      <c r="S1130" s="1" t="s">
        <v>235</v>
      </c>
    </row>
    <row r="1131" spans="1:19" ht="14.45" customHeight="1" x14ac:dyDescent="0.25">
      <c r="A1131" s="6">
        <v>1132</v>
      </c>
      <c r="B1131" s="6">
        <v>8000501</v>
      </c>
      <c r="C1131" t="s">
        <v>1061</v>
      </c>
      <c r="D1131" s="1" t="s">
        <v>797</v>
      </c>
      <c r="E1131" s="21">
        <v>1260</v>
      </c>
      <c r="F1131" s="1" t="s">
        <v>233</v>
      </c>
      <c r="G1131" s="1" t="s">
        <v>233</v>
      </c>
      <c r="H1131" s="6" t="s">
        <v>1951</v>
      </c>
      <c r="I1131" s="6" t="s">
        <v>428</v>
      </c>
      <c r="J1131" s="6" t="s">
        <v>1849</v>
      </c>
      <c r="K1131" s="1">
        <v>0</v>
      </c>
      <c r="L1131" s="6" t="s">
        <v>234</v>
      </c>
      <c r="M1131" s="1">
        <v>2012</v>
      </c>
      <c r="N1131" s="1" t="s">
        <v>1850</v>
      </c>
      <c r="O1131" s="1">
        <v>1</v>
      </c>
      <c r="P1131" s="1">
        <v>0</v>
      </c>
      <c r="Q1131" s="1">
        <v>0</v>
      </c>
      <c r="R1131" s="1">
        <v>0</v>
      </c>
      <c r="S1131" s="1" t="s">
        <v>235</v>
      </c>
    </row>
    <row r="1132" spans="1:19" ht="14.45" customHeight="1" x14ac:dyDescent="0.25">
      <c r="A1132" s="6">
        <v>1133</v>
      </c>
      <c r="B1132" s="6">
        <v>8000501</v>
      </c>
      <c r="C1132" t="s">
        <v>1061</v>
      </c>
      <c r="D1132" s="1" t="s">
        <v>797</v>
      </c>
      <c r="E1132" s="21">
        <v>1306.42</v>
      </c>
      <c r="F1132" s="1" t="s">
        <v>233</v>
      </c>
      <c r="G1132" s="1" t="s">
        <v>233</v>
      </c>
      <c r="H1132" s="6" t="s">
        <v>1951</v>
      </c>
      <c r="I1132" s="6" t="s">
        <v>497</v>
      </c>
      <c r="J1132" s="6" t="s">
        <v>1851</v>
      </c>
      <c r="K1132" s="1">
        <v>0</v>
      </c>
      <c r="L1132" s="6" t="s">
        <v>234</v>
      </c>
      <c r="M1132" s="1">
        <v>2011</v>
      </c>
      <c r="N1132" s="1" t="s">
        <v>237</v>
      </c>
      <c r="O1132" s="1">
        <v>0</v>
      </c>
      <c r="P1132" s="1">
        <v>0</v>
      </c>
      <c r="Q1132" s="1">
        <v>0</v>
      </c>
      <c r="R1132" s="1">
        <v>0</v>
      </c>
      <c r="S1132" s="1" t="s">
        <v>235</v>
      </c>
    </row>
    <row r="1133" spans="1:19" ht="14.45" customHeight="1" x14ac:dyDescent="0.25">
      <c r="A1133" s="6">
        <v>1134</v>
      </c>
      <c r="B1133" s="6">
        <v>8000501</v>
      </c>
      <c r="C1133" t="s">
        <v>1061</v>
      </c>
      <c r="D1133" s="1" t="s">
        <v>797</v>
      </c>
      <c r="E1133" s="21">
        <v>1340.35</v>
      </c>
      <c r="F1133" s="1" t="s">
        <v>233</v>
      </c>
      <c r="G1133" s="1" t="s">
        <v>233</v>
      </c>
      <c r="H1133" s="6" t="s">
        <v>1951</v>
      </c>
      <c r="I1133" s="6" t="s">
        <v>497</v>
      </c>
      <c r="J1133" s="6" t="s">
        <v>1851</v>
      </c>
      <c r="K1133" s="1">
        <v>0</v>
      </c>
      <c r="L1133" s="6" t="s">
        <v>234</v>
      </c>
      <c r="M1133" s="1">
        <v>2011</v>
      </c>
      <c r="N1133" s="1" t="s">
        <v>237</v>
      </c>
      <c r="O1133" s="1">
        <v>0</v>
      </c>
      <c r="P1133" s="1">
        <v>0</v>
      </c>
      <c r="Q1133" s="1">
        <v>0</v>
      </c>
      <c r="R1133" s="1">
        <v>0</v>
      </c>
      <c r="S1133" s="1" t="s">
        <v>235</v>
      </c>
    </row>
    <row r="1134" spans="1:19" ht="14.45" customHeight="1" x14ac:dyDescent="0.25">
      <c r="A1134" s="6">
        <v>1135</v>
      </c>
      <c r="B1134" s="6">
        <v>8000501</v>
      </c>
      <c r="C1134" t="s">
        <v>1061</v>
      </c>
      <c r="D1134" s="1" t="s">
        <v>797</v>
      </c>
      <c r="E1134" s="21">
        <v>1399.41</v>
      </c>
      <c r="F1134" s="1" t="s">
        <v>233</v>
      </c>
      <c r="G1134" s="1" t="s">
        <v>233</v>
      </c>
      <c r="H1134" s="6" t="s">
        <v>1951</v>
      </c>
      <c r="I1134" s="6" t="s">
        <v>497</v>
      </c>
      <c r="J1134" s="6" t="s">
        <v>1851</v>
      </c>
      <c r="K1134" s="1">
        <v>0</v>
      </c>
      <c r="L1134" s="6" t="s">
        <v>234</v>
      </c>
      <c r="M1134" s="1">
        <v>2011</v>
      </c>
      <c r="N1134" s="1" t="s">
        <v>237</v>
      </c>
      <c r="O1134" s="1">
        <v>0</v>
      </c>
      <c r="P1134" s="1">
        <v>0</v>
      </c>
      <c r="Q1134" s="1">
        <v>0</v>
      </c>
      <c r="R1134" s="1">
        <v>0</v>
      </c>
      <c r="S1134" s="1" t="s">
        <v>235</v>
      </c>
    </row>
    <row r="1135" spans="1:19" ht="14.45" customHeight="1" x14ac:dyDescent="0.25">
      <c r="A1135" s="6">
        <v>1136</v>
      </c>
      <c r="B1135" s="6">
        <v>8000501</v>
      </c>
      <c r="C1135" t="s">
        <v>1061</v>
      </c>
      <c r="D1135" s="1" t="s">
        <v>797</v>
      </c>
      <c r="E1135" s="21">
        <v>944.64982264708999</v>
      </c>
      <c r="F1135" s="1" t="s">
        <v>233</v>
      </c>
      <c r="G1135" s="1" t="s">
        <v>233</v>
      </c>
      <c r="H1135" s="6" t="s">
        <v>1951</v>
      </c>
      <c r="I1135" s="6" t="s">
        <v>564</v>
      </c>
      <c r="J1135" s="6" t="s">
        <v>1849</v>
      </c>
      <c r="K1135" s="1">
        <v>0</v>
      </c>
      <c r="L1135" s="6" t="s">
        <v>252</v>
      </c>
      <c r="M1135" s="1">
        <v>2015</v>
      </c>
      <c r="N1135" s="1" t="s">
        <v>237</v>
      </c>
      <c r="O1135" s="1">
        <v>0</v>
      </c>
      <c r="P1135" s="1">
        <v>0</v>
      </c>
      <c r="Q1135" s="1">
        <v>0</v>
      </c>
      <c r="R1135" s="1">
        <v>0</v>
      </c>
      <c r="S1135" s="1" t="s">
        <v>235</v>
      </c>
    </row>
    <row r="1136" spans="1:19" ht="14.45" customHeight="1" x14ac:dyDescent="0.25">
      <c r="A1136" s="6">
        <v>1137</v>
      </c>
      <c r="B1136" s="6">
        <v>8000501</v>
      </c>
      <c r="C1136" t="s">
        <v>1061</v>
      </c>
      <c r="D1136" s="1" t="s">
        <v>797</v>
      </c>
      <c r="E1136" s="21">
        <v>2332.2851530528401</v>
      </c>
      <c r="F1136" s="1" t="s">
        <v>233</v>
      </c>
      <c r="G1136" s="1" t="s">
        <v>233</v>
      </c>
      <c r="H1136" s="6" t="s">
        <v>1951</v>
      </c>
      <c r="I1136" s="6" t="s">
        <v>564</v>
      </c>
      <c r="J1136" s="6" t="s">
        <v>1849</v>
      </c>
      <c r="K1136" s="1">
        <v>0</v>
      </c>
      <c r="L1136" s="6" t="s">
        <v>252</v>
      </c>
      <c r="M1136" s="1">
        <v>2015</v>
      </c>
      <c r="N1136" s="1" t="s">
        <v>237</v>
      </c>
      <c r="O1136" s="1">
        <v>0</v>
      </c>
      <c r="P1136" s="1" t="s">
        <v>1952</v>
      </c>
      <c r="Q1136" s="1">
        <v>0</v>
      </c>
      <c r="R1136" s="1">
        <v>0</v>
      </c>
      <c r="S1136" s="1" t="s">
        <v>235</v>
      </c>
    </row>
    <row r="1137" spans="1:19" ht="14.45" customHeight="1" x14ac:dyDescent="0.25">
      <c r="A1137" s="6">
        <v>1138</v>
      </c>
      <c r="B1137" s="6">
        <v>8000501</v>
      </c>
      <c r="C1137" t="s">
        <v>1061</v>
      </c>
      <c r="D1137" s="1" t="s">
        <v>797</v>
      </c>
      <c r="E1137" s="21">
        <v>1516.2597050434601</v>
      </c>
      <c r="F1137" s="1" t="s">
        <v>233</v>
      </c>
      <c r="G1137" s="1" t="s">
        <v>233</v>
      </c>
      <c r="H1137" s="6" t="s">
        <v>1951</v>
      </c>
      <c r="I1137" s="6" t="s">
        <v>564</v>
      </c>
      <c r="J1137" s="6" t="s">
        <v>1849</v>
      </c>
      <c r="K1137" s="1">
        <v>0</v>
      </c>
      <c r="L1137" s="6" t="s">
        <v>236</v>
      </c>
      <c r="M1137" s="1">
        <v>2015</v>
      </c>
      <c r="N1137" s="1" t="s">
        <v>237</v>
      </c>
      <c r="O1137" s="1">
        <v>0</v>
      </c>
      <c r="P1137" s="1">
        <v>0</v>
      </c>
      <c r="Q1137" s="1">
        <v>0</v>
      </c>
      <c r="R1137" s="1">
        <v>0</v>
      </c>
      <c r="S1137" s="1" t="s">
        <v>235</v>
      </c>
    </row>
    <row r="1138" spans="1:19" ht="14.45" customHeight="1" x14ac:dyDescent="0.25">
      <c r="A1138" s="6">
        <v>1139</v>
      </c>
      <c r="B1138" s="6">
        <v>8000501</v>
      </c>
      <c r="C1138" t="s">
        <v>1061</v>
      </c>
      <c r="D1138" s="1" t="s">
        <v>797</v>
      </c>
      <c r="E1138" s="21">
        <v>1761.2418352198799</v>
      </c>
      <c r="F1138" s="1" t="s">
        <v>233</v>
      </c>
      <c r="G1138" s="1" t="s">
        <v>233</v>
      </c>
      <c r="H1138" s="6" t="s">
        <v>1951</v>
      </c>
      <c r="I1138" s="6" t="s">
        <v>564</v>
      </c>
      <c r="J1138" s="6" t="s">
        <v>1849</v>
      </c>
      <c r="K1138" s="1">
        <v>0</v>
      </c>
      <c r="L1138" s="6" t="s">
        <v>284</v>
      </c>
      <c r="M1138" s="1">
        <v>2015</v>
      </c>
      <c r="N1138" s="1" t="s">
        <v>237</v>
      </c>
      <c r="O1138" s="1">
        <v>0</v>
      </c>
      <c r="P1138" s="1" t="s">
        <v>1952</v>
      </c>
      <c r="Q1138" s="1">
        <v>0</v>
      </c>
      <c r="R1138" s="1">
        <v>0</v>
      </c>
      <c r="S1138" s="1" t="s">
        <v>235</v>
      </c>
    </row>
    <row r="1139" spans="1:19" ht="14.45" customHeight="1" x14ac:dyDescent="0.25">
      <c r="A1139" s="6">
        <v>1140</v>
      </c>
      <c r="B1139" s="6">
        <v>8000501</v>
      </c>
      <c r="C1139" t="s">
        <v>1061</v>
      </c>
      <c r="D1139" s="1" t="s">
        <v>797</v>
      </c>
      <c r="E1139" s="21">
        <v>907.5818141571001</v>
      </c>
      <c r="F1139" s="1" t="s">
        <v>233</v>
      </c>
      <c r="G1139" s="1" t="s">
        <v>233</v>
      </c>
      <c r="H1139" s="6" t="s">
        <v>1951</v>
      </c>
      <c r="I1139" s="6" t="s">
        <v>564</v>
      </c>
      <c r="J1139" s="6" t="s">
        <v>1849</v>
      </c>
      <c r="K1139" s="1">
        <v>0</v>
      </c>
      <c r="L1139" s="6" t="s">
        <v>252</v>
      </c>
      <c r="M1139" s="1">
        <v>2015</v>
      </c>
      <c r="N1139" s="1" t="s">
        <v>237</v>
      </c>
      <c r="O1139" s="1">
        <v>0</v>
      </c>
      <c r="P1139" s="1">
        <v>0</v>
      </c>
      <c r="Q1139" s="1">
        <v>0</v>
      </c>
      <c r="R1139" s="1">
        <v>0</v>
      </c>
      <c r="S1139" s="1" t="s">
        <v>235</v>
      </c>
    </row>
    <row r="1140" spans="1:19" ht="14.45" customHeight="1" x14ac:dyDescent="0.25">
      <c r="A1140" s="6">
        <v>1141</v>
      </c>
      <c r="B1140" s="6">
        <v>8000501</v>
      </c>
      <c r="C1140" t="s">
        <v>1061</v>
      </c>
      <c r="D1140" s="1" t="s">
        <v>797</v>
      </c>
      <c r="E1140" s="21">
        <v>1429.30621443788</v>
      </c>
      <c r="F1140" s="1" t="s">
        <v>233</v>
      </c>
      <c r="G1140" s="1" t="s">
        <v>233</v>
      </c>
      <c r="H1140" s="6" t="s">
        <v>1951</v>
      </c>
      <c r="I1140" s="6" t="s">
        <v>564</v>
      </c>
      <c r="J1140" s="6" t="s">
        <v>1849</v>
      </c>
      <c r="K1140" s="1">
        <v>0</v>
      </c>
      <c r="L1140" s="6" t="s">
        <v>258</v>
      </c>
      <c r="M1140" s="1">
        <v>2015</v>
      </c>
      <c r="N1140" s="1" t="s">
        <v>237</v>
      </c>
      <c r="O1140" s="1">
        <v>0</v>
      </c>
      <c r="P1140" s="1">
        <v>0</v>
      </c>
      <c r="Q1140" s="1">
        <v>0</v>
      </c>
      <c r="R1140" s="1">
        <v>0</v>
      </c>
      <c r="S1140" s="1" t="s">
        <v>235</v>
      </c>
    </row>
    <row r="1141" spans="1:19" ht="14.45" customHeight="1" x14ac:dyDescent="0.25">
      <c r="A1141" s="6">
        <v>1142</v>
      </c>
      <c r="B1141" s="6">
        <v>8000501</v>
      </c>
      <c r="C1141" t="s">
        <v>1061</v>
      </c>
      <c r="D1141" s="1" t="s">
        <v>797</v>
      </c>
      <c r="E1141" s="21">
        <v>1269.9643705931301</v>
      </c>
      <c r="F1141" s="1" t="s">
        <v>233</v>
      </c>
      <c r="G1141" s="1" t="s">
        <v>233</v>
      </c>
      <c r="H1141" s="6" t="s">
        <v>1951</v>
      </c>
      <c r="I1141" s="6" t="s">
        <v>564</v>
      </c>
      <c r="J1141" s="6" t="s">
        <v>1849</v>
      </c>
      <c r="K1141" s="1">
        <v>0</v>
      </c>
      <c r="L1141" s="6" t="s">
        <v>284</v>
      </c>
      <c r="M1141" s="1">
        <v>2015</v>
      </c>
      <c r="N1141" s="1" t="s">
        <v>237</v>
      </c>
      <c r="O1141" s="1">
        <v>0</v>
      </c>
      <c r="P1141" s="1">
        <v>0</v>
      </c>
      <c r="Q1141" s="1">
        <v>0</v>
      </c>
      <c r="R1141" s="1">
        <v>0</v>
      </c>
      <c r="S1141" s="1" t="s">
        <v>235</v>
      </c>
    </row>
    <row r="1142" spans="1:19" ht="14.45" customHeight="1" x14ac:dyDescent="0.25">
      <c r="A1142" s="6">
        <v>1143</v>
      </c>
      <c r="B1142" s="6">
        <v>8000501</v>
      </c>
      <c r="C1142" t="s">
        <v>1061</v>
      </c>
      <c r="D1142" s="1" t="s">
        <v>797</v>
      </c>
      <c r="E1142" s="21">
        <v>1200</v>
      </c>
      <c r="F1142" s="1" t="s">
        <v>233</v>
      </c>
      <c r="G1142" s="1" t="s">
        <v>233</v>
      </c>
      <c r="H1142" s="6" t="s">
        <v>1954</v>
      </c>
      <c r="I1142" s="6" t="s">
        <v>567</v>
      </c>
      <c r="J1142" s="6" t="s">
        <v>1849</v>
      </c>
      <c r="K1142" s="1">
        <v>0</v>
      </c>
      <c r="L1142" s="6" t="s">
        <v>259</v>
      </c>
      <c r="M1142" s="1">
        <v>2010</v>
      </c>
      <c r="N1142" s="1" t="s">
        <v>237</v>
      </c>
      <c r="O1142" s="1">
        <v>0</v>
      </c>
      <c r="P1142" s="1">
        <v>0</v>
      </c>
      <c r="Q1142" s="1">
        <v>0</v>
      </c>
      <c r="R1142" s="1">
        <v>0</v>
      </c>
      <c r="S1142" s="1" t="s">
        <v>235</v>
      </c>
    </row>
    <row r="1143" spans="1:19" ht="14.45" customHeight="1" x14ac:dyDescent="0.25">
      <c r="A1143" s="6">
        <v>1144</v>
      </c>
      <c r="B1143" s="6">
        <v>8000501</v>
      </c>
      <c r="C1143" t="s">
        <v>1061</v>
      </c>
      <c r="D1143" s="1" t="s">
        <v>797</v>
      </c>
      <c r="E1143" s="21">
        <v>1300</v>
      </c>
      <c r="F1143" s="1" t="s">
        <v>233</v>
      </c>
      <c r="G1143" s="1" t="s">
        <v>233</v>
      </c>
      <c r="H1143" s="6" t="s">
        <v>1954</v>
      </c>
      <c r="I1143" s="6" t="s">
        <v>1062</v>
      </c>
      <c r="J1143" s="6" t="s">
        <v>1849</v>
      </c>
      <c r="K1143" s="1">
        <v>0</v>
      </c>
      <c r="L1143" s="6" t="s">
        <v>239</v>
      </c>
      <c r="M1143" s="1">
        <v>2010</v>
      </c>
      <c r="N1143" s="1" t="s">
        <v>1857</v>
      </c>
      <c r="O1143" s="1">
        <v>1</v>
      </c>
      <c r="P1143" s="1">
        <v>0</v>
      </c>
      <c r="Q1143" s="1">
        <v>0</v>
      </c>
      <c r="R1143" s="1">
        <v>0</v>
      </c>
      <c r="S1143" s="1" t="s">
        <v>235</v>
      </c>
    </row>
    <row r="1144" spans="1:19" ht="14.45" customHeight="1" x14ac:dyDescent="0.25">
      <c r="A1144" s="6">
        <v>1145</v>
      </c>
      <c r="B1144" s="6">
        <v>8001901</v>
      </c>
      <c r="C1144" t="s">
        <v>1063</v>
      </c>
      <c r="D1144" s="1" t="s">
        <v>797</v>
      </c>
      <c r="E1144" s="21">
        <v>1510</v>
      </c>
      <c r="F1144" s="21">
        <v>1428</v>
      </c>
      <c r="G1144" s="19">
        <v>9.6</v>
      </c>
      <c r="H1144" s="6" t="s">
        <v>1954</v>
      </c>
      <c r="I1144" s="6" t="s">
        <v>357</v>
      </c>
      <c r="J1144" s="6" t="s">
        <v>1849</v>
      </c>
      <c r="K1144" s="1">
        <v>0</v>
      </c>
      <c r="L1144" s="6" t="s">
        <v>236</v>
      </c>
      <c r="M1144" s="1">
        <v>2012</v>
      </c>
      <c r="N1144" s="1" t="s">
        <v>237</v>
      </c>
      <c r="O1144" s="1">
        <v>0</v>
      </c>
      <c r="P1144" s="1">
        <v>0</v>
      </c>
      <c r="Q1144" s="1" t="s">
        <v>1953</v>
      </c>
      <c r="R1144" s="1">
        <v>0</v>
      </c>
      <c r="S1144" s="1" t="s">
        <v>235</v>
      </c>
    </row>
    <row r="1145" spans="1:19" ht="14.45" customHeight="1" x14ac:dyDescent="0.25">
      <c r="A1145" s="6">
        <v>1146</v>
      </c>
      <c r="B1145" s="6">
        <v>8001901</v>
      </c>
      <c r="C1145" t="s">
        <v>1063</v>
      </c>
      <c r="D1145" s="1" t="s">
        <v>797</v>
      </c>
      <c r="E1145" s="21">
        <v>1516</v>
      </c>
      <c r="F1145" s="21">
        <v>1415</v>
      </c>
      <c r="G1145" s="19">
        <v>9.6</v>
      </c>
      <c r="H1145" s="6" t="s">
        <v>1954</v>
      </c>
      <c r="I1145" s="6" t="s">
        <v>357</v>
      </c>
      <c r="J1145" s="6" t="s">
        <v>1849</v>
      </c>
      <c r="K1145" s="1">
        <v>0</v>
      </c>
      <c r="L1145" s="6" t="s">
        <v>236</v>
      </c>
      <c r="M1145" s="1">
        <v>2012</v>
      </c>
      <c r="N1145" s="1" t="s">
        <v>1863</v>
      </c>
      <c r="O1145" s="1">
        <v>0</v>
      </c>
      <c r="P1145" s="1">
        <v>0</v>
      </c>
      <c r="Q1145" s="1">
        <v>0</v>
      </c>
      <c r="R1145" s="1">
        <v>0</v>
      </c>
      <c r="S1145" s="1" t="s">
        <v>235</v>
      </c>
    </row>
    <row r="1146" spans="1:19" ht="14.45" customHeight="1" x14ac:dyDescent="0.25">
      <c r="A1146" s="6">
        <v>1147</v>
      </c>
      <c r="B1146" s="6">
        <v>8001901</v>
      </c>
      <c r="C1146" t="s">
        <v>1063</v>
      </c>
      <c r="D1146" s="1" t="s">
        <v>797</v>
      </c>
      <c r="E1146" s="21">
        <v>1645</v>
      </c>
      <c r="F1146" s="21">
        <v>1229</v>
      </c>
      <c r="G1146" s="19">
        <v>9.6999999999999993</v>
      </c>
      <c r="H1146" s="6" t="s">
        <v>1954</v>
      </c>
      <c r="I1146" s="6" t="s">
        <v>391</v>
      </c>
      <c r="J1146" s="6" t="s">
        <v>1849</v>
      </c>
      <c r="K1146" s="1">
        <v>0</v>
      </c>
      <c r="L1146" s="6" t="s">
        <v>236</v>
      </c>
      <c r="M1146" s="1">
        <v>2013</v>
      </c>
      <c r="N1146" s="1" t="s">
        <v>237</v>
      </c>
      <c r="O1146" s="1">
        <v>0</v>
      </c>
      <c r="P1146" s="1">
        <v>0</v>
      </c>
      <c r="Q1146" s="1">
        <v>0</v>
      </c>
      <c r="R1146" s="1">
        <v>0</v>
      </c>
      <c r="S1146" s="1" t="s">
        <v>235</v>
      </c>
    </row>
    <row r="1147" spans="1:19" ht="14.45" customHeight="1" x14ac:dyDescent="0.25">
      <c r="A1147" s="6">
        <v>1148</v>
      </c>
      <c r="B1147" s="6">
        <v>8001901</v>
      </c>
      <c r="C1147" t="s">
        <v>1063</v>
      </c>
      <c r="D1147" s="1" t="s">
        <v>797</v>
      </c>
      <c r="E1147" s="21">
        <v>1507</v>
      </c>
      <c r="F1147" s="21">
        <v>1231</v>
      </c>
      <c r="G1147" s="19">
        <v>9.6999999999999993</v>
      </c>
      <c r="H1147" s="6" t="s">
        <v>1954</v>
      </c>
      <c r="I1147" s="6" t="s">
        <v>391</v>
      </c>
      <c r="J1147" s="6" t="s">
        <v>1849</v>
      </c>
      <c r="K1147" s="1">
        <v>0</v>
      </c>
      <c r="L1147" s="6" t="s">
        <v>236</v>
      </c>
      <c r="M1147" s="1">
        <v>2013</v>
      </c>
      <c r="N1147" s="1" t="s">
        <v>237</v>
      </c>
      <c r="O1147" s="1">
        <v>0</v>
      </c>
      <c r="P1147" s="1">
        <v>0</v>
      </c>
      <c r="Q1147" s="1">
        <v>0</v>
      </c>
      <c r="R1147" s="1">
        <v>0</v>
      </c>
      <c r="S1147" s="1" t="s">
        <v>235</v>
      </c>
    </row>
    <row r="1148" spans="1:19" ht="14.45" customHeight="1" x14ac:dyDescent="0.25">
      <c r="A1148" s="6">
        <v>1149</v>
      </c>
      <c r="B1148" s="6">
        <v>8001901</v>
      </c>
      <c r="C1148" t="s">
        <v>1063</v>
      </c>
      <c r="D1148" s="1" t="s">
        <v>797</v>
      </c>
      <c r="E1148" s="21">
        <v>1501</v>
      </c>
      <c r="F1148" s="21">
        <v>1228</v>
      </c>
      <c r="G1148" s="19">
        <v>9.6</v>
      </c>
      <c r="H1148" s="6" t="s">
        <v>1954</v>
      </c>
      <c r="I1148" s="6" t="s">
        <v>391</v>
      </c>
      <c r="J1148" s="6" t="s">
        <v>1849</v>
      </c>
      <c r="K1148" s="1">
        <v>0</v>
      </c>
      <c r="L1148" s="6" t="s">
        <v>236</v>
      </c>
      <c r="M1148" s="1">
        <v>2013</v>
      </c>
      <c r="N1148" s="1" t="s">
        <v>1863</v>
      </c>
      <c r="O1148" s="1">
        <v>0</v>
      </c>
      <c r="P1148" s="1" t="s">
        <v>1952</v>
      </c>
      <c r="Q1148" s="1" t="s">
        <v>1953</v>
      </c>
      <c r="R1148" s="1">
        <v>0</v>
      </c>
      <c r="S1148" s="1" t="s">
        <v>235</v>
      </c>
    </row>
    <row r="1149" spans="1:19" ht="14.45" customHeight="1" x14ac:dyDescent="0.25">
      <c r="A1149" s="6">
        <v>1150</v>
      </c>
      <c r="B1149" s="6">
        <v>8001901</v>
      </c>
      <c r="C1149" t="s">
        <v>1063</v>
      </c>
      <c r="D1149" s="1" t="s">
        <v>797</v>
      </c>
      <c r="E1149" s="21">
        <v>1739</v>
      </c>
      <c r="F1149" s="21">
        <v>1422</v>
      </c>
      <c r="G1149" s="19">
        <v>10.7</v>
      </c>
      <c r="H1149" s="6" t="s">
        <v>1954</v>
      </c>
      <c r="I1149" s="6" t="s">
        <v>391</v>
      </c>
      <c r="J1149" s="6" t="s">
        <v>1849</v>
      </c>
      <c r="K1149" s="1">
        <v>0</v>
      </c>
      <c r="L1149" s="6" t="s">
        <v>236</v>
      </c>
      <c r="M1149" s="1">
        <v>2013</v>
      </c>
      <c r="N1149" s="1" t="s">
        <v>237</v>
      </c>
      <c r="O1149" s="1">
        <v>0</v>
      </c>
      <c r="P1149" s="1" t="s">
        <v>1952</v>
      </c>
      <c r="Q1149" s="1">
        <v>0</v>
      </c>
      <c r="R1149" s="1">
        <v>0</v>
      </c>
      <c r="S1149" s="1" t="s">
        <v>235</v>
      </c>
    </row>
    <row r="1150" spans="1:19" ht="14.45" customHeight="1" x14ac:dyDescent="0.25">
      <c r="A1150" s="6">
        <v>1151</v>
      </c>
      <c r="B1150" s="6">
        <v>8002002</v>
      </c>
      <c r="C1150" t="s">
        <v>1064</v>
      </c>
      <c r="D1150" s="1" t="s">
        <v>1065</v>
      </c>
      <c r="E1150" s="21">
        <v>1558</v>
      </c>
      <c r="F1150" s="21">
        <v>1927</v>
      </c>
      <c r="G1150" s="19">
        <v>9.1</v>
      </c>
      <c r="H1150" s="6" t="s">
        <v>1954</v>
      </c>
      <c r="I1150" s="6" t="s">
        <v>373</v>
      </c>
      <c r="J1150" s="6" t="s">
        <v>1849</v>
      </c>
      <c r="K1150" s="1">
        <v>0</v>
      </c>
      <c r="L1150" s="6" t="s">
        <v>236</v>
      </c>
      <c r="M1150" s="1">
        <v>2013</v>
      </c>
      <c r="N1150" s="1" t="s">
        <v>237</v>
      </c>
      <c r="O1150" s="1">
        <v>0</v>
      </c>
      <c r="P1150" s="1">
        <v>0</v>
      </c>
      <c r="Q1150" s="1">
        <v>0</v>
      </c>
      <c r="R1150" s="1">
        <v>0</v>
      </c>
      <c r="S1150" s="1" t="s">
        <v>235</v>
      </c>
    </row>
    <row r="1151" spans="1:19" ht="14.45" customHeight="1" x14ac:dyDescent="0.25">
      <c r="A1151" s="6">
        <v>1152</v>
      </c>
      <c r="B1151" s="6">
        <v>8002002</v>
      </c>
      <c r="C1151" t="s">
        <v>1064</v>
      </c>
      <c r="D1151" s="1" t="s">
        <v>1065</v>
      </c>
      <c r="E1151" s="21">
        <v>2324</v>
      </c>
      <c r="F1151" s="21">
        <v>3653</v>
      </c>
      <c r="G1151" s="19">
        <v>13.3</v>
      </c>
      <c r="H1151" s="6" t="s">
        <v>1954</v>
      </c>
      <c r="I1151" s="6" t="s">
        <v>375</v>
      </c>
      <c r="J1151" s="6" t="s">
        <v>1849</v>
      </c>
      <c r="K1151" s="1">
        <v>0</v>
      </c>
      <c r="L1151" s="6" t="s">
        <v>236</v>
      </c>
      <c r="M1151" s="1">
        <v>2013</v>
      </c>
      <c r="N1151" s="1" t="s">
        <v>237</v>
      </c>
      <c r="O1151" s="1">
        <v>0</v>
      </c>
      <c r="P1151" s="1">
        <v>0</v>
      </c>
      <c r="Q1151" s="1">
        <v>0</v>
      </c>
      <c r="R1151" s="1">
        <v>0</v>
      </c>
      <c r="S1151" s="1" t="s">
        <v>235</v>
      </c>
    </row>
    <row r="1152" spans="1:19" ht="14.45" customHeight="1" x14ac:dyDescent="0.25">
      <c r="A1152" s="6">
        <v>1153</v>
      </c>
      <c r="B1152" s="6">
        <v>8002002</v>
      </c>
      <c r="C1152" t="s">
        <v>1064</v>
      </c>
      <c r="D1152" s="1" t="s">
        <v>1065</v>
      </c>
      <c r="E1152" s="21">
        <v>1945</v>
      </c>
      <c r="F1152" s="21">
        <v>2609</v>
      </c>
      <c r="G1152" s="19">
        <v>10.9</v>
      </c>
      <c r="H1152" s="6" t="s">
        <v>1954</v>
      </c>
      <c r="I1152" s="6" t="s">
        <v>394</v>
      </c>
      <c r="J1152" s="6" t="s">
        <v>1849</v>
      </c>
      <c r="K1152" s="1">
        <v>0</v>
      </c>
      <c r="L1152" s="6" t="s">
        <v>236</v>
      </c>
      <c r="M1152" s="1">
        <v>2013</v>
      </c>
      <c r="N1152" s="1" t="s">
        <v>237</v>
      </c>
      <c r="O1152" s="1">
        <v>0</v>
      </c>
      <c r="P1152" s="1">
        <v>0</v>
      </c>
      <c r="Q1152" s="1">
        <v>0</v>
      </c>
      <c r="R1152" s="1">
        <v>0</v>
      </c>
      <c r="S1152" s="1" t="s">
        <v>235</v>
      </c>
    </row>
    <row r="1153" spans="1:19" ht="14.45" customHeight="1" x14ac:dyDescent="0.25">
      <c r="A1153" s="6">
        <v>1154</v>
      </c>
      <c r="B1153" s="6">
        <v>8002201</v>
      </c>
      <c r="C1153" t="s">
        <v>1066</v>
      </c>
      <c r="D1153" s="1" t="s">
        <v>797</v>
      </c>
      <c r="E1153" s="21">
        <v>1517</v>
      </c>
      <c r="F1153" s="21">
        <v>1353</v>
      </c>
      <c r="G1153" s="19">
        <v>12</v>
      </c>
      <c r="H1153" s="6" t="s">
        <v>1954</v>
      </c>
      <c r="I1153" s="6" t="s">
        <v>345</v>
      </c>
      <c r="J1153" s="6" t="s">
        <v>1849</v>
      </c>
      <c r="K1153" s="1">
        <v>0</v>
      </c>
      <c r="L1153" s="6" t="s">
        <v>236</v>
      </c>
      <c r="M1153" s="1">
        <v>2011</v>
      </c>
      <c r="N1153" s="1" t="s">
        <v>237</v>
      </c>
      <c r="O1153" s="1">
        <v>0</v>
      </c>
      <c r="P1153" s="1">
        <v>0</v>
      </c>
      <c r="Q1153" s="1">
        <v>0</v>
      </c>
      <c r="R1153" s="1">
        <v>0</v>
      </c>
      <c r="S1153" s="1" t="s">
        <v>235</v>
      </c>
    </row>
    <row r="1154" spans="1:19" ht="14.45" customHeight="1" x14ac:dyDescent="0.25">
      <c r="A1154" s="6">
        <v>1155</v>
      </c>
      <c r="B1154" s="6">
        <v>8002201</v>
      </c>
      <c r="C1154" t="s">
        <v>1066</v>
      </c>
      <c r="D1154" s="1" t="s">
        <v>797</v>
      </c>
      <c r="E1154" s="21">
        <v>1688</v>
      </c>
      <c r="F1154" s="21">
        <v>907</v>
      </c>
      <c r="G1154" s="19">
        <v>9.6999999999999993</v>
      </c>
      <c r="H1154" s="6" t="s">
        <v>1954</v>
      </c>
      <c r="I1154" s="6" t="s">
        <v>352</v>
      </c>
      <c r="J1154" s="6" t="s">
        <v>1849</v>
      </c>
      <c r="K1154" s="1">
        <v>0</v>
      </c>
      <c r="L1154" s="6" t="s">
        <v>236</v>
      </c>
      <c r="M1154" s="1">
        <v>2012</v>
      </c>
      <c r="N1154" s="1" t="s">
        <v>237</v>
      </c>
      <c r="O1154" s="1">
        <v>0</v>
      </c>
      <c r="P1154" s="1">
        <v>0</v>
      </c>
      <c r="Q1154" s="1">
        <v>0</v>
      </c>
      <c r="R1154" s="1">
        <v>0</v>
      </c>
      <c r="S1154" s="1" t="s">
        <v>235</v>
      </c>
    </row>
    <row r="1155" spans="1:19" ht="14.45" customHeight="1" x14ac:dyDescent="0.25">
      <c r="A1155" s="6">
        <v>1156</v>
      </c>
      <c r="B1155" s="6">
        <v>8002201</v>
      </c>
      <c r="C1155" t="s">
        <v>1066</v>
      </c>
      <c r="D1155" s="1" t="s">
        <v>797</v>
      </c>
      <c r="E1155" s="21">
        <v>1536</v>
      </c>
      <c r="F1155" s="21">
        <v>1304</v>
      </c>
      <c r="G1155" s="19">
        <v>9</v>
      </c>
      <c r="H1155" s="6" t="s">
        <v>1954</v>
      </c>
      <c r="I1155" s="6" t="s">
        <v>358</v>
      </c>
      <c r="J1155" s="6" t="s">
        <v>1849</v>
      </c>
      <c r="K1155" s="1">
        <v>0</v>
      </c>
      <c r="L1155" s="6" t="s">
        <v>236</v>
      </c>
      <c r="M1155" s="1">
        <v>2012</v>
      </c>
      <c r="N1155" s="1" t="s">
        <v>237</v>
      </c>
      <c r="O1155" s="1">
        <v>0</v>
      </c>
      <c r="P1155" s="1">
        <v>0</v>
      </c>
      <c r="Q1155" s="1">
        <v>0</v>
      </c>
      <c r="R1155" s="1">
        <v>0</v>
      </c>
      <c r="S1155" s="1" t="s">
        <v>235</v>
      </c>
    </row>
    <row r="1156" spans="1:19" ht="14.45" customHeight="1" x14ac:dyDescent="0.25">
      <c r="A1156" s="6">
        <v>1157</v>
      </c>
      <c r="B1156" s="6">
        <v>8002201</v>
      </c>
      <c r="C1156" t="s">
        <v>1066</v>
      </c>
      <c r="D1156" s="1" t="s">
        <v>797</v>
      </c>
      <c r="E1156" s="21">
        <v>1466</v>
      </c>
      <c r="F1156" s="21">
        <v>2478</v>
      </c>
      <c r="G1156" s="19">
        <v>11.1</v>
      </c>
      <c r="H1156" s="6" t="s">
        <v>1954</v>
      </c>
      <c r="I1156" s="6" t="s">
        <v>379</v>
      </c>
      <c r="J1156" s="6" t="s">
        <v>1849</v>
      </c>
      <c r="K1156" s="1">
        <v>0</v>
      </c>
      <c r="L1156" s="6" t="s">
        <v>236</v>
      </c>
      <c r="M1156" s="1">
        <v>2013</v>
      </c>
      <c r="N1156" s="1" t="s">
        <v>237</v>
      </c>
      <c r="O1156" s="1">
        <v>0</v>
      </c>
      <c r="P1156" s="1">
        <v>0</v>
      </c>
      <c r="Q1156" s="1">
        <v>0</v>
      </c>
      <c r="R1156" s="1">
        <v>0</v>
      </c>
      <c r="S1156" s="1" t="s">
        <v>235</v>
      </c>
    </row>
    <row r="1157" spans="1:19" ht="14.45" customHeight="1" x14ac:dyDescent="0.25">
      <c r="A1157" s="6">
        <v>1158</v>
      </c>
      <c r="B1157" s="6">
        <v>8002225</v>
      </c>
      <c r="C1157" t="s">
        <v>1067</v>
      </c>
      <c r="D1157" s="1" t="s">
        <v>797</v>
      </c>
      <c r="E1157" s="21">
        <v>1454</v>
      </c>
      <c r="F1157" s="21">
        <v>982</v>
      </c>
      <c r="G1157" s="19">
        <v>9.6999999999999993</v>
      </c>
      <c r="H1157" s="6" t="s">
        <v>1954</v>
      </c>
      <c r="I1157" s="6" t="s">
        <v>353</v>
      </c>
      <c r="J1157" s="6" t="s">
        <v>1849</v>
      </c>
      <c r="K1157" s="1">
        <v>0</v>
      </c>
      <c r="L1157" s="6" t="s">
        <v>236</v>
      </c>
      <c r="M1157" s="1">
        <v>2012</v>
      </c>
      <c r="N1157" s="1" t="s">
        <v>237</v>
      </c>
      <c r="O1157" s="1">
        <v>0</v>
      </c>
      <c r="P1157" s="1">
        <v>0</v>
      </c>
      <c r="Q1157" s="1">
        <v>0</v>
      </c>
      <c r="R1157" s="1">
        <v>0</v>
      </c>
      <c r="S1157" s="1" t="s">
        <v>235</v>
      </c>
    </row>
    <row r="1158" spans="1:19" ht="14.45" customHeight="1" x14ac:dyDescent="0.25">
      <c r="A1158" s="6">
        <v>1159</v>
      </c>
      <c r="B1158" s="6">
        <v>8002225</v>
      </c>
      <c r="C1158" t="s">
        <v>1067</v>
      </c>
      <c r="D1158" s="1" t="s">
        <v>797</v>
      </c>
      <c r="E1158" s="21">
        <v>1443</v>
      </c>
      <c r="F1158" s="21">
        <v>968</v>
      </c>
      <c r="G1158" s="19">
        <v>9.6</v>
      </c>
      <c r="H1158" s="6" t="s">
        <v>1954</v>
      </c>
      <c r="I1158" s="6" t="s">
        <v>353</v>
      </c>
      <c r="J1158" s="6" t="s">
        <v>1849</v>
      </c>
      <c r="K1158" s="1">
        <v>0</v>
      </c>
      <c r="L1158" s="6" t="s">
        <v>236</v>
      </c>
      <c r="M1158" s="1">
        <v>2012</v>
      </c>
      <c r="N1158" s="1" t="s">
        <v>237</v>
      </c>
      <c r="O1158" s="1">
        <v>0</v>
      </c>
      <c r="P1158" s="1">
        <v>0</v>
      </c>
      <c r="Q1158" s="1">
        <v>0</v>
      </c>
      <c r="R1158" s="1">
        <v>0</v>
      </c>
      <c r="S1158" s="1" t="s">
        <v>235</v>
      </c>
    </row>
    <row r="1159" spans="1:19" ht="14.45" customHeight="1" x14ac:dyDescent="0.25">
      <c r="A1159" s="6">
        <v>1160</v>
      </c>
      <c r="B1159" s="6">
        <v>8002227</v>
      </c>
      <c r="C1159" t="s">
        <v>1068</v>
      </c>
      <c r="D1159" s="1" t="s">
        <v>797</v>
      </c>
      <c r="E1159" s="21">
        <v>3900</v>
      </c>
      <c r="F1159" s="1" t="s">
        <v>233</v>
      </c>
      <c r="G1159" s="1" t="s">
        <v>233</v>
      </c>
      <c r="H1159" s="6" t="s">
        <v>1954</v>
      </c>
      <c r="I1159" s="6" t="s">
        <v>429</v>
      </c>
      <c r="J1159" s="6" t="s">
        <v>1849</v>
      </c>
      <c r="K1159" s="1">
        <v>0</v>
      </c>
      <c r="L1159" s="6" t="s">
        <v>234</v>
      </c>
      <c r="M1159" s="1">
        <v>2015</v>
      </c>
      <c r="N1159" s="1" t="s">
        <v>1864</v>
      </c>
      <c r="O1159" s="1">
        <v>0</v>
      </c>
      <c r="P1159" s="1">
        <v>0</v>
      </c>
      <c r="Q1159" s="1">
        <v>0</v>
      </c>
      <c r="R1159" s="1">
        <v>0</v>
      </c>
      <c r="S1159" s="1" t="s">
        <v>251</v>
      </c>
    </row>
    <row r="1160" spans="1:19" ht="14.45" customHeight="1" x14ac:dyDescent="0.25">
      <c r="A1160" s="6">
        <v>1161</v>
      </c>
      <c r="B1160" s="6">
        <v>8002236</v>
      </c>
      <c r="C1160" t="s">
        <v>1069</v>
      </c>
      <c r="D1160" s="1" t="s">
        <v>797</v>
      </c>
      <c r="E1160" s="21">
        <v>1172</v>
      </c>
      <c r="F1160" s="21">
        <v>437</v>
      </c>
      <c r="G1160" s="19">
        <v>6.4</v>
      </c>
      <c r="H1160" s="6" t="s">
        <v>1954</v>
      </c>
      <c r="I1160" s="6" t="s">
        <v>342</v>
      </c>
      <c r="J1160" s="6" t="s">
        <v>1849</v>
      </c>
      <c r="K1160" s="1">
        <v>0</v>
      </c>
      <c r="L1160" s="6" t="s">
        <v>239</v>
      </c>
      <c r="M1160" s="1">
        <v>2010</v>
      </c>
      <c r="N1160" s="1" t="s">
        <v>237</v>
      </c>
      <c r="O1160" s="1">
        <v>0</v>
      </c>
      <c r="P1160" s="1">
        <v>0</v>
      </c>
      <c r="Q1160" s="1">
        <v>0</v>
      </c>
      <c r="R1160" s="1" t="s">
        <v>1956</v>
      </c>
      <c r="S1160" s="1" t="s">
        <v>235</v>
      </c>
    </row>
    <row r="1161" spans="1:19" ht="14.45" customHeight="1" x14ac:dyDescent="0.25">
      <c r="A1161" s="6">
        <v>1162</v>
      </c>
      <c r="B1161" s="6">
        <v>8002236</v>
      </c>
      <c r="C1161" t="s">
        <v>1069</v>
      </c>
      <c r="D1161" s="1" t="s">
        <v>797</v>
      </c>
      <c r="E1161" s="21">
        <v>817</v>
      </c>
      <c r="F1161" s="21">
        <v>614</v>
      </c>
      <c r="G1161" s="19">
        <v>9.1</v>
      </c>
      <c r="H1161" s="6" t="s">
        <v>1954</v>
      </c>
      <c r="I1161" s="6" t="s">
        <v>343</v>
      </c>
      <c r="J1161" s="6" t="s">
        <v>1849</v>
      </c>
      <c r="K1161" s="1">
        <v>0</v>
      </c>
      <c r="L1161" s="6" t="s">
        <v>239</v>
      </c>
      <c r="M1161" s="1">
        <v>2010</v>
      </c>
      <c r="N1161" s="1" t="s">
        <v>237</v>
      </c>
      <c r="O1161" s="1">
        <v>0</v>
      </c>
      <c r="P1161" s="1">
        <v>0</v>
      </c>
      <c r="Q1161" s="1">
        <v>0</v>
      </c>
      <c r="R1161" s="1">
        <v>0</v>
      </c>
      <c r="S1161" s="1" t="s">
        <v>235</v>
      </c>
    </row>
    <row r="1162" spans="1:19" ht="14.45" customHeight="1" x14ac:dyDescent="0.25">
      <c r="A1162" s="6">
        <v>1163</v>
      </c>
      <c r="B1162" s="6">
        <v>8002236</v>
      </c>
      <c r="C1162" t="s">
        <v>1069</v>
      </c>
      <c r="D1162" s="1" t="s">
        <v>797</v>
      </c>
      <c r="E1162" s="21">
        <v>1389</v>
      </c>
      <c r="F1162" s="21">
        <v>617</v>
      </c>
      <c r="G1162" s="19">
        <v>11.1</v>
      </c>
      <c r="H1162" s="6" t="s">
        <v>1954</v>
      </c>
      <c r="I1162" s="6" t="s">
        <v>344</v>
      </c>
      <c r="J1162" s="6" t="s">
        <v>1849</v>
      </c>
      <c r="K1162" s="1">
        <v>0</v>
      </c>
      <c r="L1162" s="6" t="s">
        <v>239</v>
      </c>
      <c r="M1162" s="1">
        <v>2010</v>
      </c>
      <c r="N1162" s="1" t="s">
        <v>237</v>
      </c>
      <c r="O1162" s="1">
        <v>0</v>
      </c>
      <c r="P1162" s="1">
        <v>0</v>
      </c>
      <c r="Q1162" s="1">
        <v>0</v>
      </c>
      <c r="R1162" s="1" t="s">
        <v>1956</v>
      </c>
      <c r="S1162" s="1" t="s">
        <v>235</v>
      </c>
    </row>
    <row r="1163" spans="1:19" ht="14.45" customHeight="1" x14ac:dyDescent="0.25">
      <c r="A1163" s="6">
        <v>1164</v>
      </c>
      <c r="B1163" s="6">
        <v>8002236</v>
      </c>
      <c r="C1163" t="s">
        <v>1069</v>
      </c>
      <c r="D1163" s="1" t="s">
        <v>797</v>
      </c>
      <c r="E1163" s="21">
        <v>707</v>
      </c>
      <c r="F1163" s="21">
        <v>594</v>
      </c>
      <c r="G1163" s="19">
        <v>8.4</v>
      </c>
      <c r="H1163" s="6" t="s">
        <v>1954</v>
      </c>
      <c r="I1163" s="6" t="s">
        <v>349</v>
      </c>
      <c r="J1163" s="6" t="s">
        <v>1849</v>
      </c>
      <c r="K1163" s="1">
        <v>0</v>
      </c>
      <c r="L1163" s="6" t="s">
        <v>239</v>
      </c>
      <c r="M1163" s="1">
        <v>2011</v>
      </c>
      <c r="N1163" s="1" t="s">
        <v>237</v>
      </c>
      <c r="O1163" s="1">
        <v>0</v>
      </c>
      <c r="P1163" s="1">
        <v>0</v>
      </c>
      <c r="Q1163" s="1">
        <v>0</v>
      </c>
      <c r="R1163" s="1">
        <v>0</v>
      </c>
      <c r="S1163" s="1" t="s">
        <v>235</v>
      </c>
    </row>
    <row r="1164" spans="1:19" ht="14.45" customHeight="1" x14ac:dyDescent="0.25">
      <c r="A1164" s="6">
        <v>1165</v>
      </c>
      <c r="B1164" s="6">
        <v>8002236</v>
      </c>
      <c r="C1164" t="s">
        <v>1069</v>
      </c>
      <c r="D1164" s="1" t="s">
        <v>797</v>
      </c>
      <c r="E1164" s="21">
        <v>633</v>
      </c>
      <c r="F1164" s="21">
        <v>889</v>
      </c>
      <c r="G1164" s="19">
        <v>7.6</v>
      </c>
      <c r="H1164" s="6" t="s">
        <v>1954</v>
      </c>
      <c r="I1164" s="6" t="s">
        <v>396</v>
      </c>
      <c r="J1164" s="6" t="s">
        <v>1849</v>
      </c>
      <c r="K1164" s="1">
        <v>0</v>
      </c>
      <c r="L1164" s="6" t="s">
        <v>239</v>
      </c>
      <c r="M1164" s="1">
        <v>2013</v>
      </c>
      <c r="N1164" s="1" t="s">
        <v>237</v>
      </c>
      <c r="O1164" s="1">
        <v>0</v>
      </c>
      <c r="P1164" s="1">
        <v>0</v>
      </c>
      <c r="Q1164" s="1">
        <v>0</v>
      </c>
      <c r="R1164" s="1">
        <v>0</v>
      </c>
      <c r="S1164" s="1" t="s">
        <v>235</v>
      </c>
    </row>
    <row r="1165" spans="1:19" ht="14.45" customHeight="1" x14ac:dyDescent="0.25">
      <c r="A1165" s="6">
        <v>1166</v>
      </c>
      <c r="B1165" s="6">
        <v>8002236</v>
      </c>
      <c r="C1165" t="s">
        <v>1069</v>
      </c>
      <c r="D1165" s="1" t="s">
        <v>797</v>
      </c>
      <c r="E1165" s="21">
        <v>493</v>
      </c>
      <c r="F1165" s="21">
        <v>359</v>
      </c>
      <c r="G1165" s="19">
        <v>6.8</v>
      </c>
      <c r="H1165" s="6" t="s">
        <v>1954</v>
      </c>
      <c r="I1165" s="6" t="s">
        <v>397</v>
      </c>
      <c r="J1165" s="6" t="s">
        <v>1849</v>
      </c>
      <c r="K1165" s="1">
        <v>0</v>
      </c>
      <c r="L1165" s="6" t="s">
        <v>239</v>
      </c>
      <c r="M1165" s="1">
        <v>2013</v>
      </c>
      <c r="N1165" s="1" t="s">
        <v>237</v>
      </c>
      <c r="O1165" s="1">
        <v>0</v>
      </c>
      <c r="P1165" s="1" t="s">
        <v>1952</v>
      </c>
      <c r="Q1165" s="1" t="s">
        <v>1953</v>
      </c>
      <c r="R1165" s="1">
        <v>0</v>
      </c>
      <c r="S1165" s="1" t="s">
        <v>235</v>
      </c>
    </row>
    <row r="1166" spans="1:19" ht="14.45" customHeight="1" x14ac:dyDescent="0.25">
      <c r="A1166" s="6">
        <v>1167</v>
      </c>
      <c r="B1166" s="6">
        <v>8002236</v>
      </c>
      <c r="C1166" t="s">
        <v>1069</v>
      </c>
      <c r="D1166" s="1" t="s">
        <v>797</v>
      </c>
      <c r="E1166" s="21">
        <v>674</v>
      </c>
      <c r="F1166" s="21">
        <v>404</v>
      </c>
      <c r="G1166" s="19">
        <v>7.4</v>
      </c>
      <c r="H1166" s="6" t="s">
        <v>1954</v>
      </c>
      <c r="I1166" s="6" t="s">
        <v>398</v>
      </c>
      <c r="J1166" s="6" t="s">
        <v>1849</v>
      </c>
      <c r="K1166" s="1">
        <v>0</v>
      </c>
      <c r="L1166" s="6" t="s">
        <v>239</v>
      </c>
      <c r="M1166" s="1">
        <v>2013</v>
      </c>
      <c r="N1166" s="1" t="s">
        <v>237</v>
      </c>
      <c r="O1166" s="1">
        <v>0</v>
      </c>
      <c r="P1166" s="1">
        <v>0</v>
      </c>
      <c r="Q1166" s="1">
        <v>0</v>
      </c>
      <c r="R1166" s="1">
        <v>0</v>
      </c>
      <c r="S1166" s="1" t="s">
        <v>235</v>
      </c>
    </row>
    <row r="1167" spans="1:19" ht="14.45" customHeight="1" x14ac:dyDescent="0.25">
      <c r="A1167" s="6">
        <v>1168</v>
      </c>
      <c r="B1167" s="6">
        <v>8002236</v>
      </c>
      <c r="C1167" t="s">
        <v>1069</v>
      </c>
      <c r="D1167" s="1" t="s">
        <v>797</v>
      </c>
      <c r="E1167" s="21">
        <v>1381</v>
      </c>
      <c r="F1167" s="21">
        <v>1197</v>
      </c>
      <c r="G1167" s="19">
        <v>9.3000000000000007</v>
      </c>
      <c r="H1167" s="6" t="s">
        <v>1954</v>
      </c>
      <c r="I1167" s="6" t="s">
        <v>408</v>
      </c>
      <c r="J1167" s="6" t="s">
        <v>1849</v>
      </c>
      <c r="K1167" s="1">
        <v>0</v>
      </c>
      <c r="L1167" s="6" t="s">
        <v>239</v>
      </c>
      <c r="M1167" s="1">
        <v>2015</v>
      </c>
      <c r="N1167" s="1" t="s">
        <v>237</v>
      </c>
      <c r="O1167" s="1">
        <v>0</v>
      </c>
      <c r="P1167" s="1">
        <v>0</v>
      </c>
      <c r="Q1167" s="1" t="s">
        <v>1953</v>
      </c>
      <c r="R1167" s="1">
        <v>0</v>
      </c>
      <c r="S1167" s="1" t="s">
        <v>235</v>
      </c>
    </row>
    <row r="1168" spans="1:19" ht="14.45" customHeight="1" x14ac:dyDescent="0.25">
      <c r="A1168" s="6">
        <v>1169</v>
      </c>
      <c r="B1168" s="6">
        <v>8002236</v>
      </c>
      <c r="C1168" t="s">
        <v>1069</v>
      </c>
      <c r="D1168" s="1" t="s">
        <v>797</v>
      </c>
      <c r="E1168" s="21">
        <v>1429</v>
      </c>
      <c r="F1168" s="21">
        <v>740</v>
      </c>
      <c r="G1168" s="19">
        <v>10.3</v>
      </c>
      <c r="H1168" s="6" t="s">
        <v>1954</v>
      </c>
      <c r="I1168" s="6" t="s">
        <v>409</v>
      </c>
      <c r="J1168" s="6" t="s">
        <v>1849</v>
      </c>
      <c r="K1168" s="1">
        <v>0</v>
      </c>
      <c r="L1168" s="6" t="s">
        <v>239</v>
      </c>
      <c r="M1168" s="1">
        <v>2015</v>
      </c>
      <c r="N1168" s="1" t="s">
        <v>237</v>
      </c>
      <c r="O1168" s="1">
        <v>0</v>
      </c>
      <c r="P1168" s="1" t="s">
        <v>1952</v>
      </c>
      <c r="Q1168" s="1">
        <v>0</v>
      </c>
      <c r="R1168" s="1">
        <v>0</v>
      </c>
      <c r="S1168" s="1" t="s">
        <v>235</v>
      </c>
    </row>
    <row r="1169" spans="1:19" ht="14.45" customHeight="1" x14ac:dyDescent="0.25">
      <c r="A1169" s="6">
        <v>1170</v>
      </c>
      <c r="B1169" s="6">
        <v>8002236</v>
      </c>
      <c r="C1169" t="s">
        <v>1069</v>
      </c>
      <c r="D1169" s="1" t="s">
        <v>797</v>
      </c>
      <c r="E1169" s="21">
        <v>1236</v>
      </c>
      <c r="F1169" s="21">
        <v>699</v>
      </c>
      <c r="G1169" s="19">
        <v>9.4</v>
      </c>
      <c r="H1169" s="6" t="s">
        <v>1954</v>
      </c>
      <c r="I1169" s="6" t="s">
        <v>410</v>
      </c>
      <c r="J1169" s="6" t="s">
        <v>1849</v>
      </c>
      <c r="K1169" s="1">
        <v>0</v>
      </c>
      <c r="L1169" s="6" t="s">
        <v>239</v>
      </c>
      <c r="M1169" s="1">
        <v>2015</v>
      </c>
      <c r="N1169" s="1" t="s">
        <v>237</v>
      </c>
      <c r="O1169" s="1">
        <v>0</v>
      </c>
      <c r="P1169" s="1">
        <v>0</v>
      </c>
      <c r="Q1169" s="1">
        <v>0</v>
      </c>
      <c r="R1169" s="1">
        <v>0</v>
      </c>
      <c r="S1169" s="1" t="s">
        <v>235</v>
      </c>
    </row>
    <row r="1170" spans="1:19" ht="14.45" customHeight="1" x14ac:dyDescent="0.25">
      <c r="A1170" s="6">
        <v>1171</v>
      </c>
      <c r="B1170" s="6">
        <v>8002301</v>
      </c>
      <c r="C1170" t="s">
        <v>1070</v>
      </c>
      <c r="D1170" s="1" t="s">
        <v>1065</v>
      </c>
      <c r="E1170" s="21">
        <v>1547</v>
      </c>
      <c r="F1170" s="21">
        <v>2087</v>
      </c>
      <c r="G1170" s="19">
        <v>11.4</v>
      </c>
      <c r="H1170" s="6" t="s">
        <v>1954</v>
      </c>
      <c r="I1170" s="6" t="s">
        <v>348</v>
      </c>
      <c r="J1170" s="6" t="s">
        <v>1849</v>
      </c>
      <c r="K1170" s="1">
        <v>0</v>
      </c>
      <c r="L1170" s="6" t="s">
        <v>236</v>
      </c>
      <c r="M1170" s="1">
        <v>2011</v>
      </c>
      <c r="N1170" s="1" t="s">
        <v>237</v>
      </c>
      <c r="O1170" s="1">
        <v>0</v>
      </c>
      <c r="P1170" s="1">
        <v>0</v>
      </c>
      <c r="Q1170" s="1">
        <v>0</v>
      </c>
      <c r="R1170" s="1">
        <v>0</v>
      </c>
      <c r="S1170" s="1" t="s">
        <v>235</v>
      </c>
    </row>
    <row r="1171" spans="1:19" ht="14.45" customHeight="1" x14ac:dyDescent="0.25">
      <c r="A1171" s="6">
        <v>1172</v>
      </c>
      <c r="B1171" s="6">
        <v>8002301</v>
      </c>
      <c r="C1171" t="s">
        <v>1070</v>
      </c>
      <c r="D1171" s="1" t="s">
        <v>1065</v>
      </c>
      <c r="E1171" s="21">
        <v>1708</v>
      </c>
      <c r="F1171" s="21">
        <v>3605</v>
      </c>
      <c r="G1171" s="19">
        <v>13.8</v>
      </c>
      <c r="H1171" s="6" t="s">
        <v>1954</v>
      </c>
      <c r="I1171" s="6" t="s">
        <v>382</v>
      </c>
      <c r="J1171" s="6" t="s">
        <v>1849</v>
      </c>
      <c r="K1171" s="1">
        <v>0</v>
      </c>
      <c r="L1171" s="6" t="s">
        <v>236</v>
      </c>
      <c r="M1171" s="1">
        <v>2013</v>
      </c>
      <c r="N1171" s="1" t="s">
        <v>237</v>
      </c>
      <c r="O1171" s="1">
        <v>0</v>
      </c>
      <c r="P1171" s="1">
        <v>0</v>
      </c>
      <c r="Q1171" s="1">
        <v>0</v>
      </c>
      <c r="R1171" s="1">
        <v>0</v>
      </c>
      <c r="S1171" s="1" t="s">
        <v>235</v>
      </c>
    </row>
    <row r="1172" spans="1:19" ht="14.45" customHeight="1" x14ac:dyDescent="0.25">
      <c r="A1172" s="6">
        <v>1173</v>
      </c>
      <c r="B1172" s="6">
        <v>8002301</v>
      </c>
      <c r="C1172" t="s">
        <v>1070</v>
      </c>
      <c r="D1172" s="1" t="s">
        <v>1065</v>
      </c>
      <c r="E1172" s="21">
        <v>1992</v>
      </c>
      <c r="F1172" s="21">
        <v>3749</v>
      </c>
      <c r="G1172" s="19">
        <v>15.1</v>
      </c>
      <c r="H1172" s="6" t="s">
        <v>1954</v>
      </c>
      <c r="I1172" s="6" t="s">
        <v>388</v>
      </c>
      <c r="J1172" s="6" t="s">
        <v>1849</v>
      </c>
      <c r="K1172" s="1">
        <v>0</v>
      </c>
      <c r="L1172" s="6" t="s">
        <v>236</v>
      </c>
      <c r="M1172" s="1">
        <v>2013</v>
      </c>
      <c r="N1172" s="1" t="s">
        <v>237</v>
      </c>
      <c r="O1172" s="1">
        <v>0</v>
      </c>
      <c r="P1172" s="1">
        <v>0</v>
      </c>
      <c r="Q1172" s="1">
        <v>0</v>
      </c>
      <c r="R1172" s="1">
        <v>0</v>
      </c>
      <c r="S1172" s="1" t="s">
        <v>235</v>
      </c>
    </row>
    <row r="1173" spans="1:19" ht="14.45" customHeight="1" x14ac:dyDescent="0.25">
      <c r="A1173" s="6">
        <v>1174</v>
      </c>
      <c r="B1173" s="6">
        <v>8002301</v>
      </c>
      <c r="C1173" t="s">
        <v>1070</v>
      </c>
      <c r="D1173" s="1" t="s">
        <v>1065</v>
      </c>
      <c r="E1173" s="21">
        <v>1516</v>
      </c>
      <c r="F1173" s="21">
        <v>2763</v>
      </c>
      <c r="G1173" s="19">
        <v>11.1</v>
      </c>
      <c r="H1173" s="6" t="s">
        <v>1954</v>
      </c>
      <c r="I1173" s="6" t="s">
        <v>393</v>
      </c>
      <c r="J1173" s="6" t="s">
        <v>1849</v>
      </c>
      <c r="K1173" s="1">
        <v>0</v>
      </c>
      <c r="L1173" s="6" t="s">
        <v>236</v>
      </c>
      <c r="M1173" s="1">
        <v>2013</v>
      </c>
      <c r="N1173" s="1" t="s">
        <v>237</v>
      </c>
      <c r="O1173" s="1">
        <v>0</v>
      </c>
      <c r="P1173" s="1">
        <v>0</v>
      </c>
      <c r="Q1173" s="1">
        <v>0</v>
      </c>
      <c r="R1173" s="1">
        <v>0</v>
      </c>
      <c r="S1173" s="1" t="s">
        <v>235</v>
      </c>
    </row>
    <row r="1174" spans="1:19" ht="14.45" customHeight="1" x14ac:dyDescent="0.25">
      <c r="A1174" s="6">
        <v>1175</v>
      </c>
      <c r="B1174" s="6">
        <v>8002334</v>
      </c>
      <c r="C1174" t="s">
        <v>1071</v>
      </c>
      <c r="D1174" s="1" t="s">
        <v>1065</v>
      </c>
      <c r="E1174" s="21">
        <v>1303</v>
      </c>
      <c r="F1174" s="21">
        <v>1114</v>
      </c>
      <c r="G1174" s="19">
        <v>9.6</v>
      </c>
      <c r="H1174" s="6" t="s">
        <v>1954</v>
      </c>
      <c r="I1174" s="6" t="s">
        <v>346</v>
      </c>
      <c r="J1174" s="6" t="s">
        <v>1849</v>
      </c>
      <c r="K1174" s="1">
        <v>0</v>
      </c>
      <c r="L1174" s="6" t="s">
        <v>236</v>
      </c>
      <c r="M1174" s="1">
        <v>2011</v>
      </c>
      <c r="N1174" s="1" t="s">
        <v>237</v>
      </c>
      <c r="O1174" s="1">
        <v>0</v>
      </c>
      <c r="P1174" s="1">
        <v>0</v>
      </c>
      <c r="Q1174" s="1">
        <v>0</v>
      </c>
      <c r="R1174" s="1">
        <v>0</v>
      </c>
      <c r="S1174" s="1" t="s">
        <v>235</v>
      </c>
    </row>
    <row r="1175" spans="1:19" ht="14.45" customHeight="1" x14ac:dyDescent="0.25">
      <c r="A1175" s="6">
        <v>1176</v>
      </c>
      <c r="B1175" s="6">
        <v>8002334</v>
      </c>
      <c r="C1175" t="s">
        <v>1071</v>
      </c>
      <c r="D1175" s="1" t="s">
        <v>1065</v>
      </c>
      <c r="E1175" s="21">
        <v>1507</v>
      </c>
      <c r="F1175" s="21">
        <v>3263</v>
      </c>
      <c r="G1175" s="19">
        <v>12</v>
      </c>
      <c r="H1175" s="6" t="s">
        <v>1954</v>
      </c>
      <c r="I1175" s="6" t="s">
        <v>350</v>
      </c>
      <c r="J1175" s="6" t="s">
        <v>1849</v>
      </c>
      <c r="K1175" s="1">
        <v>0</v>
      </c>
      <c r="L1175" s="6" t="s">
        <v>236</v>
      </c>
      <c r="M1175" s="1">
        <v>2012</v>
      </c>
      <c r="N1175" s="1" t="s">
        <v>237</v>
      </c>
      <c r="O1175" s="1">
        <v>0</v>
      </c>
      <c r="P1175" s="1">
        <v>0</v>
      </c>
      <c r="Q1175" s="1">
        <v>0</v>
      </c>
      <c r="R1175" s="1">
        <v>0</v>
      </c>
      <c r="S1175" s="1" t="s">
        <v>235</v>
      </c>
    </row>
    <row r="1176" spans="1:19" ht="14.45" customHeight="1" x14ac:dyDescent="0.25">
      <c r="A1176" s="6">
        <v>1177</v>
      </c>
      <c r="B1176" s="6">
        <v>8002334</v>
      </c>
      <c r="C1176" t="s">
        <v>1071</v>
      </c>
      <c r="D1176" s="1" t="s">
        <v>1065</v>
      </c>
      <c r="E1176" s="21">
        <v>1343</v>
      </c>
      <c r="F1176" s="21">
        <v>1143</v>
      </c>
      <c r="G1176" s="19">
        <v>9.6</v>
      </c>
      <c r="H1176" s="6" t="s">
        <v>1954</v>
      </c>
      <c r="I1176" s="6" t="s">
        <v>355</v>
      </c>
      <c r="J1176" s="6" t="s">
        <v>1849</v>
      </c>
      <c r="K1176" s="1">
        <v>0</v>
      </c>
      <c r="L1176" s="6" t="s">
        <v>236</v>
      </c>
      <c r="M1176" s="1">
        <v>2012</v>
      </c>
      <c r="N1176" s="1" t="s">
        <v>237</v>
      </c>
      <c r="O1176" s="1">
        <v>0</v>
      </c>
      <c r="P1176" s="1">
        <v>0</v>
      </c>
      <c r="Q1176" s="1">
        <v>0</v>
      </c>
      <c r="R1176" s="1">
        <v>0</v>
      </c>
      <c r="S1176" s="1" t="s">
        <v>235</v>
      </c>
    </row>
    <row r="1177" spans="1:19" ht="14.45" customHeight="1" x14ac:dyDescent="0.25">
      <c r="A1177" s="6">
        <v>1178</v>
      </c>
      <c r="B1177" s="6">
        <v>8002334</v>
      </c>
      <c r="C1177" t="s">
        <v>1071</v>
      </c>
      <c r="D1177" s="1" t="s">
        <v>1065</v>
      </c>
      <c r="E1177" s="21">
        <v>1234</v>
      </c>
      <c r="F1177" s="21">
        <v>1060</v>
      </c>
      <c r="G1177" s="19">
        <v>9.5</v>
      </c>
      <c r="H1177" s="6" t="s">
        <v>1954</v>
      </c>
      <c r="I1177" s="6" t="s">
        <v>356</v>
      </c>
      <c r="J1177" s="6" t="s">
        <v>1849</v>
      </c>
      <c r="K1177" s="1">
        <v>0</v>
      </c>
      <c r="L1177" s="6" t="s">
        <v>236</v>
      </c>
      <c r="M1177" s="1">
        <v>2012</v>
      </c>
      <c r="N1177" s="1" t="s">
        <v>237</v>
      </c>
      <c r="O1177" s="1">
        <v>0</v>
      </c>
      <c r="P1177" s="1">
        <v>0</v>
      </c>
      <c r="Q1177" s="1">
        <v>0</v>
      </c>
      <c r="R1177" s="1">
        <v>0</v>
      </c>
      <c r="S1177" s="1" t="s">
        <v>235</v>
      </c>
    </row>
    <row r="1178" spans="1:19" ht="14.45" customHeight="1" x14ac:dyDescent="0.25">
      <c r="A1178" s="6">
        <v>1179</v>
      </c>
      <c r="B1178" s="6">
        <v>8002334</v>
      </c>
      <c r="C1178" t="s">
        <v>1071</v>
      </c>
      <c r="D1178" s="1" t="s">
        <v>1065</v>
      </c>
      <c r="E1178" s="21">
        <v>1263</v>
      </c>
      <c r="F1178" s="21">
        <v>1104</v>
      </c>
      <c r="G1178" s="19">
        <v>9.9</v>
      </c>
      <c r="H1178" s="6" t="s">
        <v>1954</v>
      </c>
      <c r="I1178" s="6" t="s">
        <v>356</v>
      </c>
      <c r="J1178" s="6" t="s">
        <v>1849</v>
      </c>
      <c r="K1178" s="1">
        <v>0</v>
      </c>
      <c r="L1178" s="6" t="s">
        <v>236</v>
      </c>
      <c r="M1178" s="1">
        <v>2012</v>
      </c>
      <c r="N1178" s="1" t="s">
        <v>237</v>
      </c>
      <c r="O1178" s="1">
        <v>0</v>
      </c>
      <c r="P1178" s="1">
        <v>0</v>
      </c>
      <c r="Q1178" s="1">
        <v>0</v>
      </c>
      <c r="R1178" s="1">
        <v>0</v>
      </c>
      <c r="S1178" s="1" t="s">
        <v>235</v>
      </c>
    </row>
    <row r="1179" spans="1:19" ht="14.45" customHeight="1" x14ac:dyDescent="0.25">
      <c r="A1179" s="6">
        <v>1180</v>
      </c>
      <c r="B1179" s="6">
        <v>8002334</v>
      </c>
      <c r="C1179" t="s">
        <v>1071</v>
      </c>
      <c r="D1179" s="1" t="s">
        <v>1065</v>
      </c>
      <c r="E1179" s="21">
        <v>2926</v>
      </c>
      <c r="F1179" s="21">
        <v>1431</v>
      </c>
      <c r="G1179" s="19">
        <v>15.5</v>
      </c>
      <c r="H1179" s="6" t="s">
        <v>1954</v>
      </c>
      <c r="I1179" s="6" t="s">
        <v>359</v>
      </c>
      <c r="J1179" s="6" t="s">
        <v>1849</v>
      </c>
      <c r="K1179" s="1">
        <v>0</v>
      </c>
      <c r="L1179" s="6" t="s">
        <v>236</v>
      </c>
      <c r="M1179" s="1">
        <v>2012</v>
      </c>
      <c r="N1179" s="1" t="s">
        <v>237</v>
      </c>
      <c r="O1179" s="1">
        <v>0</v>
      </c>
      <c r="P1179" s="1" t="s">
        <v>1952</v>
      </c>
      <c r="Q1179" s="1">
        <v>0</v>
      </c>
      <c r="R1179" s="1" t="s">
        <v>1956</v>
      </c>
      <c r="S1179" s="1" t="s">
        <v>235</v>
      </c>
    </row>
    <row r="1180" spans="1:19" ht="14.45" customHeight="1" x14ac:dyDescent="0.25">
      <c r="A1180" s="6">
        <v>1181</v>
      </c>
      <c r="B1180" s="6">
        <v>8002334</v>
      </c>
      <c r="C1180" t="s">
        <v>1071</v>
      </c>
      <c r="D1180" s="1" t="s">
        <v>1065</v>
      </c>
      <c r="E1180" s="21">
        <v>1600</v>
      </c>
      <c r="F1180" s="21">
        <v>847</v>
      </c>
      <c r="G1180" s="19">
        <v>8.9</v>
      </c>
      <c r="H1180" s="6" t="s">
        <v>1954</v>
      </c>
      <c r="I1180" s="6" t="s">
        <v>360</v>
      </c>
      <c r="J1180" s="6" t="s">
        <v>1849</v>
      </c>
      <c r="K1180" s="1">
        <v>0</v>
      </c>
      <c r="L1180" s="6" t="s">
        <v>236</v>
      </c>
      <c r="M1180" s="1">
        <v>2012</v>
      </c>
      <c r="N1180" s="1" t="s">
        <v>237</v>
      </c>
      <c r="O1180" s="1">
        <v>0</v>
      </c>
      <c r="P1180" s="1">
        <v>0</v>
      </c>
      <c r="Q1180" s="1" t="s">
        <v>1953</v>
      </c>
      <c r="R1180" s="1">
        <v>0</v>
      </c>
      <c r="S1180" s="1" t="s">
        <v>235</v>
      </c>
    </row>
    <row r="1181" spans="1:19" ht="14.45" customHeight="1" x14ac:dyDescent="0.25">
      <c r="A1181" s="6">
        <v>1182</v>
      </c>
      <c r="B1181" s="6">
        <v>8002334</v>
      </c>
      <c r="C1181" t="s">
        <v>1071</v>
      </c>
      <c r="D1181" s="1" t="s">
        <v>1065</v>
      </c>
      <c r="E1181" s="21">
        <v>1435</v>
      </c>
      <c r="F1181" s="21">
        <v>3279</v>
      </c>
      <c r="G1181" s="19">
        <v>11.7</v>
      </c>
      <c r="H1181" s="6" t="s">
        <v>1954</v>
      </c>
      <c r="I1181" s="6" t="s">
        <v>376</v>
      </c>
      <c r="J1181" s="6" t="s">
        <v>1849</v>
      </c>
      <c r="K1181" s="1">
        <v>0</v>
      </c>
      <c r="L1181" s="6" t="s">
        <v>236</v>
      </c>
      <c r="M1181" s="1">
        <v>2013</v>
      </c>
      <c r="N1181" s="1" t="s">
        <v>237</v>
      </c>
      <c r="O1181" s="1">
        <v>0</v>
      </c>
      <c r="P1181" s="1">
        <v>0</v>
      </c>
      <c r="Q1181" s="1" t="s">
        <v>1953</v>
      </c>
      <c r="R1181" s="1">
        <v>0</v>
      </c>
      <c r="S1181" s="1" t="s">
        <v>235</v>
      </c>
    </row>
    <row r="1182" spans="1:19" ht="14.45" customHeight="1" x14ac:dyDescent="0.25">
      <c r="A1182" s="6">
        <v>1183</v>
      </c>
      <c r="B1182" s="6">
        <v>8002334</v>
      </c>
      <c r="C1182" t="s">
        <v>1071</v>
      </c>
      <c r="D1182" s="1" t="s">
        <v>1065</v>
      </c>
      <c r="E1182" s="21">
        <v>1364</v>
      </c>
      <c r="F1182" s="21">
        <v>1998</v>
      </c>
      <c r="G1182" s="19">
        <v>10.9</v>
      </c>
      <c r="H1182" s="6" t="s">
        <v>1954</v>
      </c>
      <c r="I1182" s="6" t="s">
        <v>377</v>
      </c>
      <c r="J1182" s="6" t="s">
        <v>1849</v>
      </c>
      <c r="K1182" s="1">
        <v>0</v>
      </c>
      <c r="L1182" s="6" t="s">
        <v>236</v>
      </c>
      <c r="M1182" s="1">
        <v>2013</v>
      </c>
      <c r="N1182" s="1" t="s">
        <v>237</v>
      </c>
      <c r="O1182" s="1">
        <v>0</v>
      </c>
      <c r="P1182" s="1">
        <v>0</v>
      </c>
      <c r="Q1182" s="1">
        <v>0</v>
      </c>
      <c r="R1182" s="1">
        <v>0</v>
      </c>
      <c r="S1182" s="1" t="s">
        <v>235</v>
      </c>
    </row>
    <row r="1183" spans="1:19" ht="14.45" customHeight="1" x14ac:dyDescent="0.25">
      <c r="A1183" s="6">
        <v>1184</v>
      </c>
      <c r="B1183" s="6">
        <v>8002334</v>
      </c>
      <c r="C1183" t="s">
        <v>1071</v>
      </c>
      <c r="D1183" s="1" t="s">
        <v>1065</v>
      </c>
      <c r="E1183" s="21">
        <v>1154</v>
      </c>
      <c r="F1183" s="21">
        <v>1817</v>
      </c>
      <c r="G1183" s="19">
        <v>8.5</v>
      </c>
      <c r="H1183" s="6" t="s">
        <v>1954</v>
      </c>
      <c r="I1183" s="6" t="s">
        <v>380</v>
      </c>
      <c r="J1183" s="6" t="s">
        <v>1849</v>
      </c>
      <c r="K1183" s="1">
        <v>0</v>
      </c>
      <c r="L1183" s="6" t="s">
        <v>236</v>
      </c>
      <c r="M1183" s="1">
        <v>2013</v>
      </c>
      <c r="N1183" s="1" t="s">
        <v>237</v>
      </c>
      <c r="O1183" s="1">
        <v>0</v>
      </c>
      <c r="P1183" s="1" t="s">
        <v>1952</v>
      </c>
      <c r="Q1183" s="1">
        <v>0</v>
      </c>
      <c r="R1183" s="1" t="s">
        <v>1956</v>
      </c>
      <c r="S1183" s="1" t="s">
        <v>235</v>
      </c>
    </row>
    <row r="1184" spans="1:19" ht="14.45" customHeight="1" x14ac:dyDescent="0.25">
      <c r="A1184" s="6">
        <v>1185</v>
      </c>
      <c r="B1184" s="6">
        <v>8002334</v>
      </c>
      <c r="C1184" t="s">
        <v>1071</v>
      </c>
      <c r="D1184" s="1" t="s">
        <v>1065</v>
      </c>
      <c r="E1184" s="21">
        <v>1225</v>
      </c>
      <c r="F1184" s="21">
        <v>1828</v>
      </c>
      <c r="G1184" s="19">
        <v>8.5</v>
      </c>
      <c r="H1184" s="6" t="s">
        <v>1954</v>
      </c>
      <c r="I1184" s="6" t="s">
        <v>381</v>
      </c>
      <c r="J1184" s="6" t="s">
        <v>1849</v>
      </c>
      <c r="K1184" s="1">
        <v>0</v>
      </c>
      <c r="L1184" s="6" t="s">
        <v>236</v>
      </c>
      <c r="M1184" s="1">
        <v>2013</v>
      </c>
      <c r="N1184" s="1" t="s">
        <v>237</v>
      </c>
      <c r="O1184" s="1">
        <v>0</v>
      </c>
      <c r="P1184" s="1">
        <v>0</v>
      </c>
      <c r="Q1184" s="1">
        <v>0</v>
      </c>
      <c r="R1184" s="1" t="s">
        <v>1956</v>
      </c>
      <c r="S1184" s="1" t="s">
        <v>235</v>
      </c>
    </row>
    <row r="1185" spans="1:19" ht="14.45" customHeight="1" x14ac:dyDescent="0.25">
      <c r="A1185" s="6">
        <v>1186</v>
      </c>
      <c r="B1185" s="6">
        <v>8002334</v>
      </c>
      <c r="C1185" t="s">
        <v>1071</v>
      </c>
      <c r="D1185" s="1" t="s">
        <v>1065</v>
      </c>
      <c r="E1185" s="21">
        <v>2549</v>
      </c>
      <c r="F1185" s="21">
        <v>1776</v>
      </c>
      <c r="G1185" s="19">
        <v>13.3</v>
      </c>
      <c r="H1185" s="6" t="s">
        <v>1954</v>
      </c>
      <c r="I1185" s="6" t="s">
        <v>384</v>
      </c>
      <c r="J1185" s="6" t="s">
        <v>1849</v>
      </c>
      <c r="K1185" s="1">
        <v>0</v>
      </c>
      <c r="L1185" s="6" t="s">
        <v>236</v>
      </c>
      <c r="M1185" s="1">
        <v>2013</v>
      </c>
      <c r="N1185" s="1" t="s">
        <v>237</v>
      </c>
      <c r="O1185" s="1">
        <v>0</v>
      </c>
      <c r="P1185" s="1">
        <v>0</v>
      </c>
      <c r="Q1185" s="1">
        <v>0</v>
      </c>
      <c r="R1185" s="1">
        <v>0</v>
      </c>
      <c r="S1185" s="1" t="s">
        <v>235</v>
      </c>
    </row>
    <row r="1186" spans="1:19" ht="14.45" customHeight="1" x14ac:dyDescent="0.25">
      <c r="A1186" s="6">
        <v>1187</v>
      </c>
      <c r="B1186" s="6">
        <v>8002334</v>
      </c>
      <c r="C1186" t="s">
        <v>1071</v>
      </c>
      <c r="D1186" s="1" t="s">
        <v>1065</v>
      </c>
      <c r="E1186" s="21">
        <v>1343</v>
      </c>
      <c r="F1186" s="21">
        <v>1757</v>
      </c>
      <c r="G1186" s="19">
        <v>9.1</v>
      </c>
      <c r="H1186" s="6" t="s">
        <v>1954</v>
      </c>
      <c r="I1186" s="6" t="s">
        <v>385</v>
      </c>
      <c r="J1186" s="6" t="s">
        <v>1849</v>
      </c>
      <c r="K1186" s="1">
        <v>0</v>
      </c>
      <c r="L1186" s="6" t="s">
        <v>236</v>
      </c>
      <c r="M1186" s="1">
        <v>2013</v>
      </c>
      <c r="N1186" s="1" t="s">
        <v>237</v>
      </c>
      <c r="O1186" s="1">
        <v>0</v>
      </c>
      <c r="P1186" s="1">
        <v>0</v>
      </c>
      <c r="Q1186" s="1">
        <v>0</v>
      </c>
      <c r="R1186" s="1">
        <v>0</v>
      </c>
      <c r="S1186" s="1" t="s">
        <v>235</v>
      </c>
    </row>
    <row r="1187" spans="1:19" ht="14.45" customHeight="1" x14ac:dyDescent="0.25">
      <c r="A1187" s="6">
        <v>1188</v>
      </c>
      <c r="B1187" s="6">
        <v>8002334</v>
      </c>
      <c r="C1187" t="s">
        <v>1071</v>
      </c>
      <c r="D1187" s="1" t="s">
        <v>1065</v>
      </c>
      <c r="E1187" s="21">
        <v>1346</v>
      </c>
      <c r="F1187" s="21">
        <v>1363</v>
      </c>
      <c r="G1187" s="19">
        <v>9.1999999999999993</v>
      </c>
      <c r="H1187" s="6" t="s">
        <v>1954</v>
      </c>
      <c r="I1187" s="6" t="s">
        <v>386</v>
      </c>
      <c r="J1187" s="6" t="s">
        <v>1849</v>
      </c>
      <c r="K1187" s="1">
        <v>0</v>
      </c>
      <c r="L1187" s="6" t="s">
        <v>236</v>
      </c>
      <c r="M1187" s="1">
        <v>2013</v>
      </c>
      <c r="N1187" s="1" t="s">
        <v>237</v>
      </c>
      <c r="O1187" s="1">
        <v>0</v>
      </c>
      <c r="P1187" s="1">
        <v>0</v>
      </c>
      <c r="Q1187" s="1">
        <v>0</v>
      </c>
      <c r="R1187" s="1">
        <v>0</v>
      </c>
      <c r="S1187" s="1" t="s">
        <v>235</v>
      </c>
    </row>
    <row r="1188" spans="1:19" ht="14.45" customHeight="1" x14ac:dyDescent="0.25">
      <c r="A1188" s="6">
        <v>1189</v>
      </c>
      <c r="B1188" s="6">
        <v>8002334</v>
      </c>
      <c r="C1188" t="s">
        <v>1071</v>
      </c>
      <c r="D1188" s="1" t="s">
        <v>1065</v>
      </c>
      <c r="E1188" s="21">
        <v>1442</v>
      </c>
      <c r="F1188" s="21">
        <v>1828</v>
      </c>
      <c r="G1188" s="19">
        <v>8.5</v>
      </c>
      <c r="H1188" s="6" t="s">
        <v>1954</v>
      </c>
      <c r="I1188" s="6" t="s">
        <v>390</v>
      </c>
      <c r="J1188" s="6" t="s">
        <v>1849</v>
      </c>
      <c r="K1188" s="1">
        <v>0</v>
      </c>
      <c r="L1188" s="6" t="s">
        <v>236</v>
      </c>
      <c r="M1188" s="1">
        <v>2013</v>
      </c>
      <c r="N1188" s="1" t="s">
        <v>237</v>
      </c>
      <c r="O1188" s="1">
        <v>0</v>
      </c>
      <c r="P1188" s="1">
        <v>0</v>
      </c>
      <c r="Q1188" s="1">
        <v>0</v>
      </c>
      <c r="R1188" s="1" t="s">
        <v>1956</v>
      </c>
      <c r="S1188" s="1" t="s">
        <v>235</v>
      </c>
    </row>
    <row r="1189" spans="1:19" ht="14.45" customHeight="1" x14ac:dyDescent="0.25">
      <c r="A1189" s="6">
        <v>1190</v>
      </c>
      <c r="B1189" s="6">
        <v>8002334</v>
      </c>
      <c r="C1189" t="s">
        <v>1071</v>
      </c>
      <c r="D1189" s="1" t="s">
        <v>1065</v>
      </c>
      <c r="E1189" s="21">
        <v>1559</v>
      </c>
      <c r="F1189" s="21">
        <v>2071</v>
      </c>
      <c r="G1189" s="19">
        <v>9.6999999999999993</v>
      </c>
      <c r="H1189" s="6" t="s">
        <v>1954</v>
      </c>
      <c r="I1189" s="6" t="s">
        <v>392</v>
      </c>
      <c r="J1189" s="6" t="s">
        <v>1849</v>
      </c>
      <c r="K1189" s="1">
        <v>0</v>
      </c>
      <c r="L1189" s="6" t="s">
        <v>236</v>
      </c>
      <c r="M1189" s="1">
        <v>2013</v>
      </c>
      <c r="N1189" s="1" t="s">
        <v>1916</v>
      </c>
      <c r="O1189" s="1">
        <v>0</v>
      </c>
      <c r="P1189" s="1">
        <v>0</v>
      </c>
      <c r="Q1189" s="1">
        <v>0</v>
      </c>
      <c r="R1189" s="1">
        <v>0</v>
      </c>
      <c r="S1189" s="1" t="s">
        <v>235</v>
      </c>
    </row>
    <row r="1190" spans="1:19" ht="14.45" customHeight="1" x14ac:dyDescent="0.25">
      <c r="A1190" s="6">
        <v>1191</v>
      </c>
      <c r="B1190" s="6">
        <v>8002502</v>
      </c>
      <c r="C1190" t="s">
        <v>1072</v>
      </c>
      <c r="D1190" s="1" t="s">
        <v>797</v>
      </c>
      <c r="E1190" s="21">
        <v>1946</v>
      </c>
      <c r="F1190" s="21">
        <v>3180</v>
      </c>
      <c r="G1190" s="19">
        <v>14.8</v>
      </c>
      <c r="H1190" s="6" t="s">
        <v>1954</v>
      </c>
      <c r="I1190" s="6" t="s">
        <v>363</v>
      </c>
      <c r="J1190" s="6" t="s">
        <v>1849</v>
      </c>
      <c r="K1190" s="1">
        <v>0</v>
      </c>
      <c r="L1190" s="6" t="s">
        <v>236</v>
      </c>
      <c r="M1190" s="1">
        <v>2012</v>
      </c>
      <c r="N1190" s="1" t="s">
        <v>237</v>
      </c>
      <c r="O1190" s="1">
        <v>0</v>
      </c>
      <c r="P1190" s="1">
        <v>0</v>
      </c>
      <c r="Q1190" s="1">
        <v>0</v>
      </c>
      <c r="R1190" s="1">
        <v>0</v>
      </c>
      <c r="S1190" s="1" t="s">
        <v>235</v>
      </c>
    </row>
    <row r="1191" spans="1:19" ht="14.45" customHeight="1" x14ac:dyDescent="0.25">
      <c r="A1191" s="6">
        <v>1192</v>
      </c>
      <c r="B1191" s="6">
        <v>8002502</v>
      </c>
      <c r="C1191" t="s">
        <v>1072</v>
      </c>
      <c r="D1191" s="1" t="s">
        <v>797</v>
      </c>
      <c r="E1191" s="21">
        <v>1993</v>
      </c>
      <c r="F1191" s="21">
        <v>1575</v>
      </c>
      <c r="G1191" s="19">
        <v>12.8</v>
      </c>
      <c r="H1191" s="6" t="s">
        <v>1954</v>
      </c>
      <c r="I1191" s="6" t="s">
        <v>363</v>
      </c>
      <c r="J1191" s="6" t="s">
        <v>1849</v>
      </c>
      <c r="K1191" s="1">
        <v>0</v>
      </c>
      <c r="L1191" s="6" t="s">
        <v>236</v>
      </c>
      <c r="M1191" s="1">
        <v>2012</v>
      </c>
      <c r="N1191" s="1" t="s">
        <v>237</v>
      </c>
      <c r="O1191" s="1">
        <v>0</v>
      </c>
      <c r="P1191" s="1">
        <v>0</v>
      </c>
      <c r="Q1191" s="1">
        <v>0</v>
      </c>
      <c r="R1191" s="1">
        <v>0</v>
      </c>
      <c r="S1191" s="1" t="s">
        <v>235</v>
      </c>
    </row>
    <row r="1192" spans="1:19" ht="14.45" customHeight="1" x14ac:dyDescent="0.25">
      <c r="A1192" s="6">
        <v>1193</v>
      </c>
      <c r="B1192" s="6">
        <v>8002502</v>
      </c>
      <c r="C1192" t="s">
        <v>1072</v>
      </c>
      <c r="D1192" s="1" t="s">
        <v>797</v>
      </c>
      <c r="E1192" s="21">
        <v>2240</v>
      </c>
      <c r="F1192" s="21">
        <v>1343</v>
      </c>
      <c r="G1192" s="19">
        <v>12.7</v>
      </c>
      <c r="H1192" s="6" t="s">
        <v>1954</v>
      </c>
      <c r="I1192" s="6" t="s">
        <v>363</v>
      </c>
      <c r="J1192" s="6" t="s">
        <v>1849</v>
      </c>
      <c r="K1192" s="1">
        <v>0</v>
      </c>
      <c r="L1192" s="6" t="s">
        <v>236</v>
      </c>
      <c r="M1192" s="1">
        <v>2012</v>
      </c>
      <c r="N1192" s="1" t="s">
        <v>237</v>
      </c>
      <c r="O1192" s="1">
        <v>0</v>
      </c>
      <c r="P1192" s="1">
        <v>0</v>
      </c>
      <c r="Q1192" s="1">
        <v>0</v>
      </c>
      <c r="R1192" s="1">
        <v>0</v>
      </c>
      <c r="S1192" s="1" t="s">
        <v>235</v>
      </c>
    </row>
    <row r="1193" spans="1:19" ht="14.45" customHeight="1" x14ac:dyDescent="0.25">
      <c r="A1193" s="6">
        <v>1194</v>
      </c>
      <c r="B1193" s="6">
        <v>8002502</v>
      </c>
      <c r="C1193" t="s">
        <v>1072</v>
      </c>
      <c r="D1193" s="1" t="s">
        <v>797</v>
      </c>
      <c r="E1193" s="21" t="s">
        <v>237</v>
      </c>
      <c r="F1193" s="1" t="s">
        <v>233</v>
      </c>
      <c r="G1193" s="19">
        <v>14.285714285714286</v>
      </c>
      <c r="H1193" s="6" t="s">
        <v>1951</v>
      </c>
      <c r="I1193" s="6" t="s">
        <v>1975</v>
      </c>
      <c r="J1193" s="6" t="s">
        <v>1849</v>
      </c>
      <c r="K1193" s="1">
        <v>0</v>
      </c>
      <c r="L1193" s="6" t="s">
        <v>234</v>
      </c>
      <c r="M1193" s="1">
        <v>2005</v>
      </c>
      <c r="N1193" s="1" t="s">
        <v>237</v>
      </c>
      <c r="O1193" s="1">
        <v>0</v>
      </c>
      <c r="P1193" s="1">
        <v>0</v>
      </c>
      <c r="Q1193" s="1">
        <v>0</v>
      </c>
      <c r="R1193" s="1">
        <v>0</v>
      </c>
      <c r="S1193" s="1" t="s">
        <v>235</v>
      </c>
    </row>
    <row r="1194" spans="1:19" ht="14.45" customHeight="1" x14ac:dyDescent="0.25">
      <c r="A1194" s="6">
        <v>1195</v>
      </c>
      <c r="B1194" s="6">
        <v>8003501</v>
      </c>
      <c r="C1194" t="s">
        <v>1073</v>
      </c>
      <c r="D1194" s="1" t="s">
        <v>797</v>
      </c>
      <c r="E1194" s="21">
        <v>1500</v>
      </c>
      <c r="F1194" s="1" t="s">
        <v>233</v>
      </c>
      <c r="G1194" s="1" t="s">
        <v>233</v>
      </c>
      <c r="H1194" s="6" t="s">
        <v>1954</v>
      </c>
      <c r="I1194" s="6" t="s">
        <v>568</v>
      </c>
      <c r="J1194" s="6" t="s">
        <v>1849</v>
      </c>
      <c r="K1194" s="1">
        <v>0</v>
      </c>
      <c r="L1194" s="6" t="s">
        <v>259</v>
      </c>
      <c r="M1194" s="1">
        <v>2010</v>
      </c>
      <c r="N1194" s="1" t="s">
        <v>237</v>
      </c>
      <c r="O1194" s="1">
        <v>0</v>
      </c>
      <c r="P1194" s="1">
        <v>0</v>
      </c>
      <c r="Q1194" s="1">
        <v>0</v>
      </c>
      <c r="R1194" s="1">
        <v>0</v>
      </c>
      <c r="S1194" s="1" t="s">
        <v>235</v>
      </c>
    </row>
    <row r="1195" spans="1:19" ht="14.45" customHeight="1" x14ac:dyDescent="0.25">
      <c r="A1195" s="6">
        <v>1196</v>
      </c>
      <c r="B1195" s="6">
        <v>8003501</v>
      </c>
      <c r="C1195" t="s">
        <v>1073</v>
      </c>
      <c r="D1195" s="1" t="s">
        <v>797</v>
      </c>
      <c r="E1195" s="21">
        <v>4500</v>
      </c>
      <c r="F1195" s="1" t="s">
        <v>233</v>
      </c>
      <c r="G1195" s="1" t="s">
        <v>233</v>
      </c>
      <c r="H1195" s="6" t="s">
        <v>1954</v>
      </c>
      <c r="I1195" s="6" t="s">
        <v>429</v>
      </c>
      <c r="J1195" s="6" t="s">
        <v>1849</v>
      </c>
      <c r="K1195" s="1">
        <v>0</v>
      </c>
      <c r="L1195" s="6" t="s">
        <v>234</v>
      </c>
      <c r="M1195" s="1">
        <v>2015</v>
      </c>
      <c r="N1195" s="1" t="s">
        <v>1864</v>
      </c>
      <c r="O1195" s="1">
        <v>0</v>
      </c>
      <c r="P1195" s="1">
        <v>0</v>
      </c>
      <c r="Q1195" s="1">
        <v>0</v>
      </c>
      <c r="R1195" s="1">
        <v>0</v>
      </c>
      <c r="S1195" s="1" t="s">
        <v>251</v>
      </c>
    </row>
    <row r="1196" spans="1:19" ht="14.45" customHeight="1" x14ac:dyDescent="0.25">
      <c r="A1196" s="6">
        <v>1197</v>
      </c>
      <c r="B1196" s="6">
        <v>8003902</v>
      </c>
      <c r="C1196" t="s">
        <v>1074</v>
      </c>
      <c r="D1196" s="1" t="s">
        <v>797</v>
      </c>
      <c r="E1196" s="21">
        <v>1579</v>
      </c>
      <c r="F1196" s="21">
        <v>1220</v>
      </c>
      <c r="G1196" s="19">
        <v>8</v>
      </c>
      <c r="H1196" s="6" t="s">
        <v>1954</v>
      </c>
      <c r="I1196" s="6" t="s">
        <v>370</v>
      </c>
      <c r="J1196" s="6" t="s">
        <v>1849</v>
      </c>
      <c r="K1196" s="1">
        <v>0</v>
      </c>
      <c r="L1196" s="6" t="s">
        <v>252</v>
      </c>
      <c r="M1196" s="1">
        <v>2012</v>
      </c>
      <c r="N1196" s="1" t="s">
        <v>237</v>
      </c>
      <c r="O1196" s="1">
        <v>0</v>
      </c>
      <c r="P1196" s="1">
        <v>0</v>
      </c>
      <c r="Q1196" s="1">
        <v>0</v>
      </c>
      <c r="R1196" s="1">
        <v>0</v>
      </c>
      <c r="S1196" s="1" t="s">
        <v>235</v>
      </c>
    </row>
    <row r="1197" spans="1:19" ht="14.45" customHeight="1" x14ac:dyDescent="0.25">
      <c r="A1197" s="6">
        <v>1198</v>
      </c>
      <c r="B1197" s="6">
        <v>8003902</v>
      </c>
      <c r="C1197" t="s">
        <v>1074</v>
      </c>
      <c r="D1197" s="1" t="s">
        <v>797</v>
      </c>
      <c r="E1197" s="21">
        <v>1833</v>
      </c>
      <c r="F1197" s="21">
        <v>2834</v>
      </c>
      <c r="G1197" s="19">
        <v>14.5</v>
      </c>
      <c r="H1197" s="6" t="s">
        <v>1954</v>
      </c>
      <c r="I1197" s="6" t="s">
        <v>383</v>
      </c>
      <c r="J1197" s="6" t="s">
        <v>1849</v>
      </c>
      <c r="K1197" s="1">
        <v>0</v>
      </c>
      <c r="L1197" s="6" t="s">
        <v>236</v>
      </c>
      <c r="M1197" s="1">
        <v>2013</v>
      </c>
      <c r="N1197" s="1" t="s">
        <v>237</v>
      </c>
      <c r="O1197" s="1">
        <v>0</v>
      </c>
      <c r="P1197" s="1">
        <v>0</v>
      </c>
      <c r="Q1197" s="1">
        <v>0</v>
      </c>
      <c r="R1197" s="1">
        <v>0</v>
      </c>
      <c r="S1197" s="1" t="s">
        <v>235</v>
      </c>
    </row>
    <row r="1198" spans="1:19" ht="14.45" customHeight="1" x14ac:dyDescent="0.25">
      <c r="A1198" s="6">
        <v>1199</v>
      </c>
      <c r="B1198" s="6">
        <v>8003902</v>
      </c>
      <c r="C1198" t="s">
        <v>1074</v>
      </c>
      <c r="D1198" s="1" t="s">
        <v>797</v>
      </c>
      <c r="E1198" s="21">
        <v>1519</v>
      </c>
      <c r="F1198" s="21">
        <v>1698</v>
      </c>
      <c r="G1198" s="19">
        <v>7.8</v>
      </c>
      <c r="H1198" s="6" t="s">
        <v>1954</v>
      </c>
      <c r="I1198" s="6" t="s">
        <v>406</v>
      </c>
      <c r="J1198" s="6" t="s">
        <v>1849</v>
      </c>
      <c r="K1198" s="1">
        <v>0</v>
      </c>
      <c r="L1198" s="6" t="s">
        <v>252</v>
      </c>
      <c r="M1198" s="1">
        <v>2014</v>
      </c>
      <c r="N1198" s="1" t="s">
        <v>237</v>
      </c>
      <c r="O1198" s="1">
        <v>0</v>
      </c>
      <c r="P1198" s="1">
        <v>0</v>
      </c>
      <c r="Q1198" s="1">
        <v>0</v>
      </c>
      <c r="R1198" s="1">
        <v>0</v>
      </c>
      <c r="S1198" s="1" t="s">
        <v>235</v>
      </c>
    </row>
    <row r="1199" spans="1:19" ht="14.45" customHeight="1" x14ac:dyDescent="0.25">
      <c r="A1199" s="6">
        <v>1200</v>
      </c>
      <c r="B1199" s="6">
        <v>8007701</v>
      </c>
      <c r="C1199" t="s">
        <v>1075</v>
      </c>
      <c r="D1199" s="1">
        <v>190520</v>
      </c>
      <c r="E1199" s="21">
        <v>2669</v>
      </c>
      <c r="F1199" s="21">
        <v>2063</v>
      </c>
      <c r="G1199" s="19">
        <v>17.100000000000001</v>
      </c>
      <c r="H1199" s="6" t="s">
        <v>1954</v>
      </c>
      <c r="I1199" s="6" t="s">
        <v>361</v>
      </c>
      <c r="J1199" s="6" t="s">
        <v>1849</v>
      </c>
      <c r="K1199" s="1">
        <v>0</v>
      </c>
      <c r="L1199" s="6" t="s">
        <v>236</v>
      </c>
      <c r="M1199" s="1">
        <v>2012</v>
      </c>
      <c r="N1199" s="1" t="s">
        <v>237</v>
      </c>
      <c r="O1199" s="1">
        <v>0</v>
      </c>
      <c r="P1199" s="1">
        <v>0</v>
      </c>
      <c r="Q1199" s="1">
        <v>0</v>
      </c>
      <c r="R1199" s="1">
        <v>0</v>
      </c>
      <c r="S1199" s="1" t="s">
        <v>235</v>
      </c>
    </row>
    <row r="1200" spans="1:19" ht="14.45" customHeight="1" x14ac:dyDescent="0.25">
      <c r="A1200" s="6">
        <v>1201</v>
      </c>
      <c r="B1200" s="6">
        <v>8007701</v>
      </c>
      <c r="C1200" t="s">
        <v>1075</v>
      </c>
      <c r="D1200" s="1">
        <v>190520</v>
      </c>
      <c r="E1200" s="21">
        <v>2545</v>
      </c>
      <c r="F1200" s="21">
        <v>1916</v>
      </c>
      <c r="G1200" s="19">
        <v>15.7</v>
      </c>
      <c r="H1200" s="6" t="s">
        <v>1954</v>
      </c>
      <c r="I1200" s="6" t="s">
        <v>367</v>
      </c>
      <c r="J1200" s="6" t="s">
        <v>1849</v>
      </c>
      <c r="K1200" s="1">
        <v>0</v>
      </c>
      <c r="L1200" s="6" t="s">
        <v>236</v>
      </c>
      <c r="M1200" s="1">
        <v>2012</v>
      </c>
      <c r="N1200" s="1" t="s">
        <v>237</v>
      </c>
      <c r="O1200" s="1">
        <v>0</v>
      </c>
      <c r="P1200" s="1">
        <v>0</v>
      </c>
      <c r="Q1200" s="1">
        <v>0</v>
      </c>
      <c r="R1200" s="1">
        <v>0</v>
      </c>
      <c r="S1200" s="1" t="s">
        <v>235</v>
      </c>
    </row>
    <row r="1201" spans="1:19" ht="14.45" customHeight="1" x14ac:dyDescent="0.25">
      <c r="A1201" s="6">
        <v>1202</v>
      </c>
      <c r="B1201" s="6">
        <v>8007701</v>
      </c>
      <c r="C1201" t="s">
        <v>1075</v>
      </c>
      <c r="D1201" s="1">
        <v>190520</v>
      </c>
      <c r="E1201" s="21">
        <v>2463</v>
      </c>
      <c r="F1201" s="21">
        <v>2139</v>
      </c>
      <c r="G1201" s="19">
        <v>12.9</v>
      </c>
      <c r="H1201" s="6" t="s">
        <v>1954</v>
      </c>
      <c r="I1201" s="6" t="s">
        <v>389</v>
      </c>
      <c r="J1201" s="6" t="s">
        <v>1849</v>
      </c>
      <c r="K1201" s="1">
        <v>0</v>
      </c>
      <c r="L1201" s="6" t="s">
        <v>236</v>
      </c>
      <c r="M1201" s="1">
        <v>2013</v>
      </c>
      <c r="N1201" s="1" t="s">
        <v>237</v>
      </c>
      <c r="O1201" s="1">
        <v>0</v>
      </c>
      <c r="P1201" s="1">
        <v>0</v>
      </c>
      <c r="Q1201" s="1">
        <v>0</v>
      </c>
      <c r="R1201" s="1">
        <v>0</v>
      </c>
      <c r="S1201" s="1" t="s">
        <v>235</v>
      </c>
    </row>
    <row r="1202" spans="1:19" ht="14.45" customHeight="1" x14ac:dyDescent="0.25">
      <c r="A1202" s="6">
        <v>1203</v>
      </c>
      <c r="B1202" s="6">
        <v>8004801</v>
      </c>
      <c r="C1202" t="s">
        <v>1076</v>
      </c>
      <c r="D1202" s="1" t="s">
        <v>1065</v>
      </c>
      <c r="E1202" s="21">
        <v>1817</v>
      </c>
      <c r="F1202" s="21">
        <v>1720</v>
      </c>
      <c r="G1202" s="19">
        <v>10.7</v>
      </c>
      <c r="H1202" s="6" t="s">
        <v>1954</v>
      </c>
      <c r="I1202" s="6" t="s">
        <v>362</v>
      </c>
      <c r="J1202" s="6" t="s">
        <v>1849</v>
      </c>
      <c r="K1202" s="1">
        <v>0</v>
      </c>
      <c r="L1202" s="6" t="s">
        <v>236</v>
      </c>
      <c r="M1202" s="1">
        <v>2012</v>
      </c>
      <c r="N1202" s="1" t="s">
        <v>237</v>
      </c>
      <c r="O1202" s="1">
        <v>0</v>
      </c>
      <c r="P1202" s="1">
        <v>0</v>
      </c>
      <c r="Q1202" s="1">
        <v>0</v>
      </c>
      <c r="R1202" s="1">
        <v>0</v>
      </c>
      <c r="S1202" s="1" t="s">
        <v>235</v>
      </c>
    </row>
    <row r="1203" spans="1:19" ht="14.45" customHeight="1" x14ac:dyDescent="0.25">
      <c r="A1203" s="6">
        <v>1204</v>
      </c>
      <c r="B1203" s="6">
        <v>8004810</v>
      </c>
      <c r="C1203" t="s">
        <v>1077</v>
      </c>
      <c r="D1203" s="1" t="s">
        <v>1065</v>
      </c>
      <c r="E1203" s="21">
        <v>1547</v>
      </c>
      <c r="F1203" s="21">
        <v>2462</v>
      </c>
      <c r="G1203" s="19">
        <v>11.5</v>
      </c>
      <c r="H1203" s="6" t="s">
        <v>1954</v>
      </c>
      <c r="I1203" s="6" t="s">
        <v>362</v>
      </c>
      <c r="J1203" s="6" t="s">
        <v>1849</v>
      </c>
      <c r="K1203" s="1">
        <v>0</v>
      </c>
      <c r="L1203" s="6" t="s">
        <v>236</v>
      </c>
      <c r="M1203" s="1">
        <v>2012</v>
      </c>
      <c r="N1203" s="1" t="s">
        <v>237</v>
      </c>
      <c r="O1203" s="1">
        <v>0</v>
      </c>
      <c r="P1203" s="1">
        <v>0</v>
      </c>
      <c r="Q1203" s="1">
        <v>0</v>
      </c>
      <c r="R1203" s="1">
        <v>0</v>
      </c>
      <c r="S1203" s="1" t="s">
        <v>235</v>
      </c>
    </row>
    <row r="1204" spans="1:19" ht="14.45" customHeight="1" x14ac:dyDescent="0.25">
      <c r="A1204" s="6">
        <v>1205</v>
      </c>
      <c r="B1204" s="6">
        <v>8004813</v>
      </c>
      <c r="C1204" t="s">
        <v>1078</v>
      </c>
      <c r="D1204" s="1" t="s">
        <v>797</v>
      </c>
      <c r="E1204" s="21">
        <v>2718</v>
      </c>
      <c r="F1204" s="21">
        <v>1947</v>
      </c>
      <c r="G1204" s="19">
        <v>15.8</v>
      </c>
      <c r="H1204" s="6" t="s">
        <v>1954</v>
      </c>
      <c r="I1204" s="6" t="s">
        <v>351</v>
      </c>
      <c r="J1204" s="6" t="s">
        <v>1849</v>
      </c>
      <c r="K1204" s="1">
        <v>0</v>
      </c>
      <c r="L1204" s="6" t="s">
        <v>236</v>
      </c>
      <c r="M1204" s="1">
        <v>2012</v>
      </c>
      <c r="N1204" s="1" t="s">
        <v>237</v>
      </c>
      <c r="O1204" s="1">
        <v>0</v>
      </c>
      <c r="P1204" s="1">
        <v>0</v>
      </c>
      <c r="Q1204" s="1">
        <v>0</v>
      </c>
      <c r="R1204" s="1" t="s">
        <v>1956</v>
      </c>
      <c r="S1204" s="1" t="s">
        <v>235</v>
      </c>
    </row>
    <row r="1205" spans="1:19" ht="14.45" customHeight="1" x14ac:dyDescent="0.25">
      <c r="A1205" s="6">
        <v>1206</v>
      </c>
      <c r="B1205" s="6">
        <v>8004813</v>
      </c>
      <c r="C1205" t="s">
        <v>1078</v>
      </c>
      <c r="D1205" s="1" t="s">
        <v>797</v>
      </c>
      <c r="E1205" s="21">
        <v>2748</v>
      </c>
      <c r="F1205" s="21">
        <v>1463</v>
      </c>
      <c r="G1205" s="19">
        <v>14.8</v>
      </c>
      <c r="H1205" s="6" t="s">
        <v>1954</v>
      </c>
      <c r="I1205" s="6" t="s">
        <v>351</v>
      </c>
      <c r="J1205" s="6" t="s">
        <v>1849</v>
      </c>
      <c r="K1205" s="1">
        <v>0</v>
      </c>
      <c r="L1205" s="6" t="s">
        <v>236</v>
      </c>
      <c r="M1205" s="1">
        <v>2012</v>
      </c>
      <c r="N1205" s="1" t="s">
        <v>237</v>
      </c>
      <c r="O1205" s="1">
        <v>0</v>
      </c>
      <c r="P1205" s="1" t="s">
        <v>1952</v>
      </c>
      <c r="Q1205" s="1">
        <v>0</v>
      </c>
      <c r="R1205" s="1">
        <v>0</v>
      </c>
      <c r="S1205" s="1" t="s">
        <v>235</v>
      </c>
    </row>
    <row r="1206" spans="1:19" ht="14.45" customHeight="1" x14ac:dyDescent="0.25">
      <c r="A1206" s="6">
        <v>1207</v>
      </c>
      <c r="B1206" s="6">
        <v>8004813</v>
      </c>
      <c r="C1206" t="s">
        <v>1078</v>
      </c>
      <c r="D1206" s="1" t="s">
        <v>797</v>
      </c>
      <c r="E1206" s="21">
        <v>2048</v>
      </c>
      <c r="F1206" s="21">
        <v>2352</v>
      </c>
      <c r="G1206" s="19">
        <v>12.4</v>
      </c>
      <c r="H1206" s="6" t="s">
        <v>1954</v>
      </c>
      <c r="I1206" s="6" t="s">
        <v>354</v>
      </c>
      <c r="J1206" s="6" t="s">
        <v>1849</v>
      </c>
      <c r="K1206" s="1">
        <v>0</v>
      </c>
      <c r="L1206" s="6" t="s">
        <v>236</v>
      </c>
      <c r="M1206" s="1">
        <v>2012</v>
      </c>
      <c r="N1206" s="1" t="s">
        <v>237</v>
      </c>
      <c r="O1206" s="1">
        <v>0</v>
      </c>
      <c r="P1206" s="1" t="s">
        <v>1952</v>
      </c>
      <c r="Q1206" s="1">
        <v>0</v>
      </c>
      <c r="R1206" s="1">
        <v>0</v>
      </c>
      <c r="S1206" s="1" t="s">
        <v>235</v>
      </c>
    </row>
    <row r="1207" spans="1:19" ht="14.45" customHeight="1" x14ac:dyDescent="0.25">
      <c r="A1207" s="6">
        <v>1208</v>
      </c>
      <c r="B1207" s="6">
        <v>8004813</v>
      </c>
      <c r="C1207" t="s">
        <v>1078</v>
      </c>
      <c r="D1207" s="1" t="s">
        <v>797</v>
      </c>
      <c r="E1207" s="21">
        <v>2147</v>
      </c>
      <c r="F1207" s="21">
        <v>1760</v>
      </c>
      <c r="G1207" s="19">
        <v>11.8</v>
      </c>
      <c r="H1207" s="6" t="s">
        <v>1954</v>
      </c>
      <c r="I1207" s="6" t="s">
        <v>354</v>
      </c>
      <c r="J1207" s="6" t="s">
        <v>1849</v>
      </c>
      <c r="K1207" s="1">
        <v>0</v>
      </c>
      <c r="L1207" s="6" t="s">
        <v>236</v>
      </c>
      <c r="M1207" s="1">
        <v>2012</v>
      </c>
      <c r="N1207" s="1" t="s">
        <v>237</v>
      </c>
      <c r="O1207" s="1">
        <v>0</v>
      </c>
      <c r="P1207" s="1">
        <v>0</v>
      </c>
      <c r="Q1207" s="1">
        <v>0</v>
      </c>
      <c r="R1207" s="1">
        <v>0</v>
      </c>
      <c r="S1207" s="1" t="s">
        <v>235</v>
      </c>
    </row>
    <row r="1208" spans="1:19" ht="14.45" customHeight="1" x14ac:dyDescent="0.25">
      <c r="A1208" s="6">
        <v>1209</v>
      </c>
      <c r="B1208" s="6">
        <v>8004813</v>
      </c>
      <c r="C1208" t="s">
        <v>1078</v>
      </c>
      <c r="D1208" s="1" t="s">
        <v>797</v>
      </c>
      <c r="E1208" s="21">
        <v>2168</v>
      </c>
      <c r="F1208" s="21">
        <v>1076</v>
      </c>
      <c r="G1208" s="19">
        <v>10.8</v>
      </c>
      <c r="H1208" s="6" t="s">
        <v>1954</v>
      </c>
      <c r="I1208" s="6" t="s">
        <v>354</v>
      </c>
      <c r="J1208" s="6" t="s">
        <v>1849</v>
      </c>
      <c r="K1208" s="1">
        <v>0</v>
      </c>
      <c r="L1208" s="6" t="s">
        <v>236</v>
      </c>
      <c r="M1208" s="1">
        <v>2012</v>
      </c>
      <c r="N1208" s="1" t="s">
        <v>237</v>
      </c>
      <c r="O1208" s="1">
        <v>0</v>
      </c>
      <c r="P1208" s="1">
        <v>0</v>
      </c>
      <c r="Q1208" s="1" t="s">
        <v>1953</v>
      </c>
      <c r="R1208" s="1" t="s">
        <v>1956</v>
      </c>
      <c r="S1208" s="1" t="s">
        <v>235</v>
      </c>
    </row>
    <row r="1209" spans="1:19" ht="14.45" customHeight="1" x14ac:dyDescent="0.25">
      <c r="A1209" s="6">
        <v>1210</v>
      </c>
      <c r="B1209" s="6">
        <v>8004813</v>
      </c>
      <c r="C1209" t="s">
        <v>1078</v>
      </c>
      <c r="D1209" s="1" t="s">
        <v>797</v>
      </c>
      <c r="E1209" s="21">
        <v>2267</v>
      </c>
      <c r="F1209" s="21">
        <v>2364</v>
      </c>
      <c r="G1209" s="19">
        <v>13.3</v>
      </c>
      <c r="H1209" s="6" t="s">
        <v>1954</v>
      </c>
      <c r="I1209" s="6" t="s">
        <v>378</v>
      </c>
      <c r="J1209" s="6" t="s">
        <v>1849</v>
      </c>
      <c r="K1209" s="1">
        <v>0</v>
      </c>
      <c r="L1209" s="6" t="s">
        <v>236</v>
      </c>
      <c r="M1209" s="1">
        <v>2013</v>
      </c>
      <c r="N1209" s="1" t="s">
        <v>237</v>
      </c>
      <c r="O1209" s="1">
        <v>0</v>
      </c>
      <c r="P1209" s="1">
        <v>0</v>
      </c>
      <c r="Q1209" s="1" t="s">
        <v>1953</v>
      </c>
      <c r="R1209" s="1">
        <v>0</v>
      </c>
      <c r="S1209" s="1" t="s">
        <v>235</v>
      </c>
    </row>
    <row r="1210" spans="1:19" ht="14.45" customHeight="1" x14ac:dyDescent="0.25">
      <c r="A1210" s="6">
        <v>1211</v>
      </c>
      <c r="B1210" s="6">
        <v>8004813</v>
      </c>
      <c r="C1210" t="s">
        <v>1078</v>
      </c>
      <c r="D1210" s="1" t="s">
        <v>797</v>
      </c>
      <c r="E1210" s="21">
        <v>2478</v>
      </c>
      <c r="F1210" s="21">
        <v>2158</v>
      </c>
      <c r="G1210" s="19">
        <v>13.5</v>
      </c>
      <c r="H1210" s="6" t="s">
        <v>1954</v>
      </c>
      <c r="I1210" s="6" t="s">
        <v>378</v>
      </c>
      <c r="J1210" s="6" t="s">
        <v>1849</v>
      </c>
      <c r="K1210" s="1">
        <v>0</v>
      </c>
      <c r="L1210" s="6" t="s">
        <v>236</v>
      </c>
      <c r="M1210" s="1">
        <v>2013</v>
      </c>
      <c r="N1210" s="1" t="s">
        <v>237</v>
      </c>
      <c r="O1210" s="1">
        <v>0</v>
      </c>
      <c r="P1210" s="1">
        <v>0</v>
      </c>
      <c r="Q1210" s="1">
        <v>0</v>
      </c>
      <c r="R1210" s="1">
        <v>0</v>
      </c>
      <c r="S1210" s="1" t="s">
        <v>235</v>
      </c>
    </row>
    <row r="1211" spans="1:19" ht="14.45" customHeight="1" x14ac:dyDescent="0.25">
      <c r="A1211" s="6">
        <v>1212</v>
      </c>
      <c r="B1211" s="6">
        <v>8004813</v>
      </c>
      <c r="C1211" t="s">
        <v>1078</v>
      </c>
      <c r="D1211" s="1" t="s">
        <v>797</v>
      </c>
      <c r="E1211" s="21">
        <v>2498</v>
      </c>
      <c r="F1211" s="21">
        <v>1700</v>
      </c>
      <c r="G1211" s="19">
        <v>12.6</v>
      </c>
      <c r="H1211" s="6" t="s">
        <v>1954</v>
      </c>
      <c r="I1211" s="6" t="s">
        <v>378</v>
      </c>
      <c r="J1211" s="6" t="s">
        <v>1849</v>
      </c>
      <c r="K1211" s="1">
        <v>0</v>
      </c>
      <c r="L1211" s="6" t="s">
        <v>236</v>
      </c>
      <c r="M1211" s="1">
        <v>2013</v>
      </c>
      <c r="N1211" s="1" t="s">
        <v>237</v>
      </c>
      <c r="O1211" s="1">
        <v>0</v>
      </c>
      <c r="P1211" s="1">
        <v>0</v>
      </c>
      <c r="Q1211" s="1">
        <v>0</v>
      </c>
      <c r="R1211" s="1">
        <v>0</v>
      </c>
      <c r="S1211" s="1" t="s">
        <v>235</v>
      </c>
    </row>
    <row r="1212" spans="1:19" ht="14.45" customHeight="1" x14ac:dyDescent="0.25">
      <c r="A1212" s="6">
        <v>1213</v>
      </c>
      <c r="B1212" s="6">
        <v>8005201</v>
      </c>
      <c r="C1212" t="s">
        <v>1079</v>
      </c>
      <c r="D1212" s="1" t="s">
        <v>797</v>
      </c>
      <c r="E1212" s="21">
        <v>2250</v>
      </c>
      <c r="F1212" s="1" t="s">
        <v>233</v>
      </c>
      <c r="G1212" s="1" t="s">
        <v>233</v>
      </c>
      <c r="H1212" s="6" t="s">
        <v>1951</v>
      </c>
      <c r="I1212" s="6" t="s">
        <v>428</v>
      </c>
      <c r="J1212" s="6" t="s">
        <v>1849</v>
      </c>
      <c r="K1212" s="1">
        <v>0</v>
      </c>
      <c r="L1212" s="6" t="s">
        <v>234</v>
      </c>
      <c r="M1212" s="1">
        <v>2012</v>
      </c>
      <c r="N1212" s="1" t="s">
        <v>237</v>
      </c>
      <c r="O1212" s="1">
        <v>0</v>
      </c>
      <c r="P1212" s="1">
        <v>0</v>
      </c>
      <c r="Q1212" s="1">
        <v>0</v>
      </c>
      <c r="R1212" s="1">
        <v>0</v>
      </c>
      <c r="S1212" s="1" t="s">
        <v>235</v>
      </c>
    </row>
    <row r="1213" spans="1:19" ht="14.45" customHeight="1" x14ac:dyDescent="0.25">
      <c r="A1213" s="6">
        <v>1214</v>
      </c>
      <c r="B1213" s="6">
        <v>8005201</v>
      </c>
      <c r="C1213" t="s">
        <v>1079</v>
      </c>
      <c r="D1213" s="1" t="s">
        <v>797</v>
      </c>
      <c r="E1213" s="21" t="s">
        <v>237</v>
      </c>
      <c r="F1213" s="1" t="s">
        <v>233</v>
      </c>
      <c r="G1213" s="19">
        <v>14</v>
      </c>
      <c r="H1213" s="6" t="s">
        <v>1951</v>
      </c>
      <c r="I1213" s="6" t="s">
        <v>465</v>
      </c>
      <c r="J1213" s="6" t="s">
        <v>1849</v>
      </c>
      <c r="K1213" s="1">
        <v>0</v>
      </c>
      <c r="L1213" s="6" t="s">
        <v>234</v>
      </c>
      <c r="M1213" s="1">
        <v>2007</v>
      </c>
      <c r="N1213" s="1" t="s">
        <v>237</v>
      </c>
      <c r="O1213" s="1">
        <v>0</v>
      </c>
      <c r="P1213" s="1">
        <v>0</v>
      </c>
      <c r="Q1213" s="1">
        <v>0</v>
      </c>
      <c r="R1213" s="1">
        <v>0</v>
      </c>
      <c r="S1213" s="1" t="s">
        <v>235</v>
      </c>
    </row>
    <row r="1214" spans="1:19" ht="14.45" customHeight="1" x14ac:dyDescent="0.25">
      <c r="A1214" s="6">
        <v>1215</v>
      </c>
      <c r="B1214" s="6">
        <v>8005201</v>
      </c>
      <c r="C1214" t="s">
        <v>1079</v>
      </c>
      <c r="D1214" s="1" t="s">
        <v>797</v>
      </c>
      <c r="E1214" s="21" t="s">
        <v>237</v>
      </c>
      <c r="F1214" s="1" t="s">
        <v>233</v>
      </c>
      <c r="G1214" s="19">
        <v>13</v>
      </c>
      <c r="H1214" s="6" t="s">
        <v>1951</v>
      </c>
      <c r="I1214" s="6" t="s">
        <v>681</v>
      </c>
      <c r="J1214" s="6" t="s">
        <v>1849</v>
      </c>
      <c r="K1214" s="1">
        <v>0</v>
      </c>
      <c r="L1214" s="6" t="s">
        <v>236</v>
      </c>
      <c r="M1214" s="1">
        <v>2009</v>
      </c>
      <c r="N1214" s="1" t="s">
        <v>237</v>
      </c>
      <c r="O1214" s="1">
        <v>0</v>
      </c>
      <c r="P1214" s="1">
        <v>0</v>
      </c>
      <c r="Q1214" s="1">
        <v>0</v>
      </c>
      <c r="R1214" s="1">
        <v>0</v>
      </c>
      <c r="S1214" s="1" t="s">
        <v>251</v>
      </c>
    </row>
    <row r="1215" spans="1:19" ht="14.45" customHeight="1" x14ac:dyDescent="0.25">
      <c r="A1215" s="6">
        <v>1216</v>
      </c>
      <c r="B1215" s="6">
        <v>8008310</v>
      </c>
      <c r="C1215" t="s">
        <v>1080</v>
      </c>
      <c r="D1215" s="1" t="s">
        <v>1065</v>
      </c>
      <c r="E1215" s="21">
        <v>2943</v>
      </c>
      <c r="F1215" s="21">
        <v>5466</v>
      </c>
      <c r="G1215" s="19">
        <v>21.1</v>
      </c>
      <c r="H1215" s="6" t="s">
        <v>1954</v>
      </c>
      <c r="I1215" s="6" t="s">
        <v>387</v>
      </c>
      <c r="J1215" s="6" t="s">
        <v>1849</v>
      </c>
      <c r="K1215" s="1">
        <v>0</v>
      </c>
      <c r="L1215" s="6" t="s">
        <v>236</v>
      </c>
      <c r="M1215" s="1">
        <v>2013</v>
      </c>
      <c r="N1215" s="1" t="s">
        <v>237</v>
      </c>
      <c r="O1215" s="1">
        <v>0</v>
      </c>
      <c r="P1215" s="1">
        <v>0</v>
      </c>
      <c r="Q1215" s="1">
        <v>0</v>
      </c>
      <c r="R1215" s="1">
        <v>0</v>
      </c>
      <c r="S1215" s="1" t="s">
        <v>235</v>
      </c>
    </row>
    <row r="1216" spans="1:19" ht="14.45" customHeight="1" x14ac:dyDescent="0.25">
      <c r="A1216" s="6">
        <v>1217</v>
      </c>
      <c r="B1216" s="6">
        <v>8101005</v>
      </c>
      <c r="C1216" t="s">
        <v>958</v>
      </c>
      <c r="D1216" s="1" t="s">
        <v>959</v>
      </c>
      <c r="E1216" s="21">
        <v>10200</v>
      </c>
      <c r="F1216" s="1" t="s">
        <v>233</v>
      </c>
      <c r="G1216" s="1" t="s">
        <v>233</v>
      </c>
      <c r="H1216" s="6" t="s">
        <v>1954</v>
      </c>
      <c r="I1216" s="6" t="s">
        <v>429</v>
      </c>
      <c r="J1216" s="6" t="s">
        <v>1849</v>
      </c>
      <c r="K1216" s="1">
        <v>0</v>
      </c>
      <c r="L1216" s="6" t="s">
        <v>234</v>
      </c>
      <c r="M1216" s="1">
        <v>2015</v>
      </c>
      <c r="N1216" s="1" t="s">
        <v>1864</v>
      </c>
      <c r="O1216" s="1">
        <v>0</v>
      </c>
      <c r="P1216" s="1">
        <v>0</v>
      </c>
      <c r="Q1216" s="1">
        <v>0</v>
      </c>
      <c r="R1216" s="1">
        <v>0</v>
      </c>
      <c r="S1216" s="1" t="s">
        <v>251</v>
      </c>
    </row>
    <row r="1217" spans="1:19" ht="14.45" customHeight="1" x14ac:dyDescent="0.25">
      <c r="A1217" s="6">
        <v>1218</v>
      </c>
      <c r="B1217" s="6">
        <v>8102101</v>
      </c>
      <c r="C1217" t="s">
        <v>1081</v>
      </c>
      <c r="D1217" s="1">
        <v>160100</v>
      </c>
      <c r="E1217" s="21" t="s">
        <v>237</v>
      </c>
      <c r="F1217" s="1" t="s">
        <v>233</v>
      </c>
      <c r="G1217" s="19">
        <v>52</v>
      </c>
      <c r="H1217" s="6" t="s">
        <v>1951</v>
      </c>
      <c r="I1217" s="6" t="s">
        <v>681</v>
      </c>
      <c r="J1217" s="6" t="s">
        <v>1849</v>
      </c>
      <c r="K1217" s="1">
        <v>0</v>
      </c>
      <c r="L1217" s="6" t="s">
        <v>236</v>
      </c>
      <c r="M1217" s="1">
        <v>2009</v>
      </c>
      <c r="N1217" s="1" t="s">
        <v>237</v>
      </c>
      <c r="O1217" s="1">
        <v>0</v>
      </c>
      <c r="P1217" s="1">
        <v>0</v>
      </c>
      <c r="Q1217" s="1">
        <v>0</v>
      </c>
      <c r="R1217" s="1">
        <v>0</v>
      </c>
      <c r="S1217" s="1" t="s">
        <v>251</v>
      </c>
    </row>
    <row r="1218" spans="1:19" ht="14.45" customHeight="1" x14ac:dyDescent="0.25">
      <c r="A1218" s="6">
        <v>1219</v>
      </c>
      <c r="B1218" s="6">
        <v>8102101</v>
      </c>
      <c r="C1218" t="s">
        <v>1081</v>
      </c>
      <c r="D1218" s="1">
        <v>160100</v>
      </c>
      <c r="E1218" s="21">
        <v>2700</v>
      </c>
      <c r="F1218" s="1" t="s">
        <v>233</v>
      </c>
      <c r="G1218" s="1" t="s">
        <v>233</v>
      </c>
      <c r="H1218" s="6" t="s">
        <v>1951</v>
      </c>
      <c r="I1218" s="6" t="s">
        <v>685</v>
      </c>
      <c r="J1218" s="6" t="s">
        <v>1852</v>
      </c>
      <c r="K1218" s="1">
        <v>0</v>
      </c>
      <c r="L1218" s="6" t="s">
        <v>239</v>
      </c>
      <c r="M1218" s="1">
        <v>2016</v>
      </c>
      <c r="N1218" s="1" t="s">
        <v>237</v>
      </c>
      <c r="O1218" s="1">
        <v>0</v>
      </c>
      <c r="P1218" s="1">
        <v>0</v>
      </c>
      <c r="Q1218" s="1">
        <v>0</v>
      </c>
      <c r="R1218" s="1">
        <v>0</v>
      </c>
      <c r="S1218" s="1" t="s">
        <v>251</v>
      </c>
    </row>
    <row r="1219" spans="1:19" ht="14.45" customHeight="1" x14ac:dyDescent="0.25">
      <c r="A1219" s="6">
        <v>1220</v>
      </c>
      <c r="B1219" s="6">
        <v>8102901</v>
      </c>
      <c r="C1219" t="s">
        <v>960</v>
      </c>
      <c r="D1219" s="1" t="s">
        <v>961</v>
      </c>
      <c r="E1219" s="21" t="s">
        <v>237</v>
      </c>
      <c r="F1219" s="1" t="s">
        <v>233</v>
      </c>
      <c r="G1219" s="19">
        <v>19</v>
      </c>
      <c r="H1219" s="6" t="s">
        <v>1951</v>
      </c>
      <c r="I1219" s="6" t="s">
        <v>465</v>
      </c>
      <c r="J1219" s="6" t="s">
        <v>1849</v>
      </c>
      <c r="K1219" s="1">
        <v>0</v>
      </c>
      <c r="L1219" s="6" t="s">
        <v>234</v>
      </c>
      <c r="M1219" s="1">
        <v>2007</v>
      </c>
      <c r="N1219" s="1" t="s">
        <v>237</v>
      </c>
      <c r="O1219" s="1">
        <v>0</v>
      </c>
      <c r="P1219" s="1">
        <v>0</v>
      </c>
      <c r="Q1219" s="1">
        <v>0</v>
      </c>
      <c r="R1219" s="1">
        <v>0</v>
      </c>
      <c r="S1219" s="1" t="s">
        <v>235</v>
      </c>
    </row>
    <row r="1220" spans="1:19" ht="14.45" customHeight="1" x14ac:dyDescent="0.25">
      <c r="A1220" s="6">
        <v>1221</v>
      </c>
      <c r="B1220" s="6">
        <v>8102901</v>
      </c>
      <c r="C1220" t="s">
        <v>960</v>
      </c>
      <c r="D1220" s="1" t="s">
        <v>961</v>
      </c>
      <c r="E1220" s="21" t="s">
        <v>237</v>
      </c>
      <c r="F1220" s="21">
        <v>6832.9210312973082</v>
      </c>
      <c r="G1220" s="1" t="s">
        <v>233</v>
      </c>
      <c r="H1220" s="6" t="s">
        <v>1951</v>
      </c>
      <c r="I1220" s="6" t="s">
        <v>594</v>
      </c>
      <c r="J1220" s="6" t="s">
        <v>1853</v>
      </c>
      <c r="K1220" s="1">
        <v>0</v>
      </c>
      <c r="L1220" s="6" t="s">
        <v>245</v>
      </c>
      <c r="M1220" s="1">
        <v>2012</v>
      </c>
      <c r="N1220" s="1" t="s">
        <v>237</v>
      </c>
      <c r="O1220" s="1">
        <v>0</v>
      </c>
      <c r="P1220" s="1">
        <v>0</v>
      </c>
      <c r="Q1220" s="1" t="s">
        <v>1953</v>
      </c>
      <c r="R1220" s="1">
        <v>0</v>
      </c>
      <c r="S1220" s="1" t="s">
        <v>251</v>
      </c>
    </row>
    <row r="1221" spans="1:19" ht="14.45" customHeight="1" x14ac:dyDescent="0.25">
      <c r="A1221" s="6">
        <v>1222</v>
      </c>
      <c r="B1221" s="6">
        <v>8102901</v>
      </c>
      <c r="C1221" t="s">
        <v>960</v>
      </c>
      <c r="D1221" s="1" t="s">
        <v>961</v>
      </c>
      <c r="E1221" s="21" t="s">
        <v>237</v>
      </c>
      <c r="F1221" s="21">
        <v>6832.9210312973082</v>
      </c>
      <c r="G1221" s="1" t="s">
        <v>233</v>
      </c>
      <c r="H1221" s="6" t="s">
        <v>1951</v>
      </c>
      <c r="I1221" s="6" t="s">
        <v>594</v>
      </c>
      <c r="J1221" s="6" t="s">
        <v>1853</v>
      </c>
      <c r="K1221" s="1">
        <v>0</v>
      </c>
      <c r="L1221" s="6" t="s">
        <v>245</v>
      </c>
      <c r="M1221" s="1">
        <v>2012</v>
      </c>
      <c r="N1221" s="1" t="s">
        <v>1857</v>
      </c>
      <c r="O1221" s="1">
        <v>1</v>
      </c>
      <c r="P1221" s="1">
        <v>0</v>
      </c>
      <c r="Q1221" s="1" t="s">
        <v>1953</v>
      </c>
      <c r="R1221" s="1">
        <v>0</v>
      </c>
      <c r="S1221" s="1" t="s">
        <v>251</v>
      </c>
    </row>
    <row r="1222" spans="1:19" ht="14.45" customHeight="1" x14ac:dyDescent="0.25">
      <c r="A1222" s="6">
        <v>1223</v>
      </c>
      <c r="B1222" s="6">
        <v>8102901</v>
      </c>
      <c r="C1222" t="s">
        <v>960</v>
      </c>
      <c r="D1222" s="1" t="s">
        <v>961</v>
      </c>
      <c r="E1222" s="21" t="s">
        <v>237</v>
      </c>
      <c r="F1222" s="21">
        <v>6977.4704400992941</v>
      </c>
      <c r="G1222" s="1" t="s">
        <v>233</v>
      </c>
      <c r="H1222" s="6" t="s">
        <v>1951</v>
      </c>
      <c r="I1222" s="6" t="s">
        <v>594</v>
      </c>
      <c r="J1222" s="6" t="s">
        <v>1853</v>
      </c>
      <c r="K1222" s="1">
        <v>0</v>
      </c>
      <c r="L1222" s="6" t="s">
        <v>245</v>
      </c>
      <c r="M1222" s="1">
        <v>2012</v>
      </c>
      <c r="N1222" s="1" t="s">
        <v>237</v>
      </c>
      <c r="O1222" s="1">
        <v>0</v>
      </c>
      <c r="P1222" s="1">
        <v>0</v>
      </c>
      <c r="Q1222" s="1">
        <v>0</v>
      </c>
      <c r="R1222" s="1">
        <v>0</v>
      </c>
      <c r="S1222" s="1" t="s">
        <v>251</v>
      </c>
    </row>
    <row r="1223" spans="1:19" ht="14.45" customHeight="1" x14ac:dyDescent="0.25">
      <c r="A1223" s="6">
        <v>1224</v>
      </c>
      <c r="B1223" s="6">
        <v>8102901</v>
      </c>
      <c r="C1223" t="s">
        <v>960</v>
      </c>
      <c r="D1223" s="1" t="s">
        <v>961</v>
      </c>
      <c r="E1223" s="21" t="s">
        <v>237</v>
      </c>
      <c r="F1223" s="21">
        <v>7770.3648082923964</v>
      </c>
      <c r="G1223" s="1" t="s">
        <v>233</v>
      </c>
      <c r="H1223" s="6" t="s">
        <v>1951</v>
      </c>
      <c r="I1223" s="6" t="s">
        <v>594</v>
      </c>
      <c r="J1223" s="6" t="s">
        <v>1853</v>
      </c>
      <c r="K1223" s="1">
        <v>0</v>
      </c>
      <c r="L1223" s="6" t="s">
        <v>245</v>
      </c>
      <c r="M1223" s="1">
        <v>2012</v>
      </c>
      <c r="N1223" s="1" t="s">
        <v>237</v>
      </c>
      <c r="O1223" s="1">
        <v>0</v>
      </c>
      <c r="P1223" s="1">
        <v>0</v>
      </c>
      <c r="Q1223" s="1">
        <v>0</v>
      </c>
      <c r="R1223" s="1">
        <v>0</v>
      </c>
      <c r="S1223" s="1" t="s">
        <v>251</v>
      </c>
    </row>
    <row r="1224" spans="1:19" ht="14.45" customHeight="1" x14ac:dyDescent="0.25">
      <c r="A1224" s="6">
        <v>1225</v>
      </c>
      <c r="B1224" s="6">
        <v>8102901</v>
      </c>
      <c r="C1224" t="s">
        <v>960</v>
      </c>
      <c r="D1224" s="1" t="s">
        <v>961</v>
      </c>
      <c r="E1224" s="21">
        <v>5050</v>
      </c>
      <c r="F1224" s="1" t="s">
        <v>233</v>
      </c>
      <c r="G1224" s="1" t="s">
        <v>233</v>
      </c>
      <c r="H1224" s="6" t="s">
        <v>1951</v>
      </c>
      <c r="I1224" s="6" t="s">
        <v>596</v>
      </c>
      <c r="J1224" s="6" t="s">
        <v>1849</v>
      </c>
      <c r="K1224" s="1">
        <v>0</v>
      </c>
      <c r="L1224" s="6" t="s">
        <v>240</v>
      </c>
      <c r="M1224" s="1">
        <v>2008</v>
      </c>
      <c r="N1224" s="1" t="s">
        <v>237</v>
      </c>
      <c r="O1224" s="1">
        <v>0</v>
      </c>
      <c r="P1224" s="1">
        <v>0</v>
      </c>
      <c r="Q1224" s="1">
        <v>0</v>
      </c>
      <c r="R1224" s="1">
        <v>0</v>
      </c>
      <c r="S1224" s="1" t="s">
        <v>235</v>
      </c>
    </row>
    <row r="1225" spans="1:19" ht="14.45" customHeight="1" x14ac:dyDescent="0.25">
      <c r="A1225" s="6">
        <v>1226</v>
      </c>
      <c r="B1225" s="6">
        <v>8200101</v>
      </c>
      <c r="C1225" t="s">
        <v>1082</v>
      </c>
      <c r="D1225" s="1" t="s">
        <v>1083</v>
      </c>
      <c r="E1225" s="21">
        <v>1000</v>
      </c>
      <c r="F1225" s="1" t="s">
        <v>233</v>
      </c>
      <c r="G1225" s="1" t="s">
        <v>233</v>
      </c>
      <c r="H1225" s="6" t="s">
        <v>1951</v>
      </c>
      <c r="I1225" s="6" t="s">
        <v>721</v>
      </c>
      <c r="J1225" s="6" t="s">
        <v>1852</v>
      </c>
      <c r="K1225" s="1">
        <v>0</v>
      </c>
      <c r="L1225" s="6" t="s">
        <v>239</v>
      </c>
      <c r="M1225" s="1">
        <v>2014</v>
      </c>
      <c r="N1225" s="1" t="s">
        <v>237</v>
      </c>
      <c r="O1225" s="1">
        <v>0</v>
      </c>
      <c r="P1225" s="1">
        <v>0</v>
      </c>
      <c r="Q1225" s="1">
        <v>0</v>
      </c>
      <c r="R1225" s="1">
        <v>0</v>
      </c>
      <c r="S1225" s="1" t="s">
        <v>251</v>
      </c>
    </row>
    <row r="1226" spans="1:19" ht="14.45" customHeight="1" x14ac:dyDescent="0.25">
      <c r="A1226" s="6">
        <v>1227</v>
      </c>
      <c r="B1226" s="6">
        <v>8200101</v>
      </c>
      <c r="C1226" t="s">
        <v>1082</v>
      </c>
      <c r="D1226" s="1" t="s">
        <v>1083</v>
      </c>
      <c r="E1226" s="21">
        <v>375</v>
      </c>
      <c r="F1226" s="1" t="s">
        <v>233</v>
      </c>
      <c r="G1226" s="1" t="s">
        <v>233</v>
      </c>
      <c r="H1226" s="6" t="s">
        <v>1954</v>
      </c>
      <c r="I1226" s="6" t="s">
        <v>313</v>
      </c>
      <c r="J1226" s="6" t="s">
        <v>1849</v>
      </c>
      <c r="K1226" s="1">
        <v>0</v>
      </c>
      <c r="L1226" s="6" t="s">
        <v>234</v>
      </c>
      <c r="M1226" s="1">
        <v>2012</v>
      </c>
      <c r="N1226" s="1" t="s">
        <v>237</v>
      </c>
      <c r="O1226" s="1">
        <v>0</v>
      </c>
      <c r="P1226" s="1">
        <v>0</v>
      </c>
      <c r="Q1226" s="1">
        <v>0</v>
      </c>
      <c r="R1226" s="1">
        <v>0</v>
      </c>
      <c r="S1226" s="1" t="s">
        <v>251</v>
      </c>
    </row>
    <row r="1227" spans="1:19" ht="14.45" customHeight="1" x14ac:dyDescent="0.25">
      <c r="A1227" s="6">
        <v>1228</v>
      </c>
      <c r="B1227" s="6">
        <v>8200101</v>
      </c>
      <c r="C1227" t="s">
        <v>1082</v>
      </c>
      <c r="D1227" s="1" t="s">
        <v>1083</v>
      </c>
      <c r="E1227" s="21" t="s">
        <v>237</v>
      </c>
      <c r="F1227" s="21">
        <v>450</v>
      </c>
      <c r="G1227" s="1" t="s">
        <v>233</v>
      </c>
      <c r="H1227" s="6" t="s">
        <v>1951</v>
      </c>
      <c r="I1227" s="6" t="s">
        <v>494</v>
      </c>
      <c r="J1227" s="6" t="s">
        <v>1853</v>
      </c>
      <c r="K1227" s="1">
        <v>0</v>
      </c>
      <c r="L1227" s="6" t="s">
        <v>240</v>
      </c>
      <c r="M1227" s="1">
        <v>2011</v>
      </c>
      <c r="N1227" s="1" t="s">
        <v>237</v>
      </c>
      <c r="O1227" s="1">
        <v>0</v>
      </c>
      <c r="P1227" s="1">
        <v>0</v>
      </c>
      <c r="Q1227" s="1">
        <v>0</v>
      </c>
      <c r="R1227" s="1">
        <v>0</v>
      </c>
      <c r="S1227" s="1" t="s">
        <v>251</v>
      </c>
    </row>
    <row r="1228" spans="1:19" ht="14.45" customHeight="1" x14ac:dyDescent="0.25">
      <c r="A1228" s="6">
        <v>1229</v>
      </c>
      <c r="B1228" s="6">
        <v>8200102</v>
      </c>
      <c r="C1228" t="s">
        <v>1084</v>
      </c>
      <c r="D1228" s="1" t="s">
        <v>1083</v>
      </c>
      <c r="E1228" s="21">
        <v>375</v>
      </c>
      <c r="F1228" s="1" t="s">
        <v>233</v>
      </c>
      <c r="G1228" s="1" t="s">
        <v>233</v>
      </c>
      <c r="H1228" s="6" t="s">
        <v>1954</v>
      </c>
      <c r="I1228" s="6" t="s">
        <v>313</v>
      </c>
      <c r="J1228" s="6" t="s">
        <v>1849</v>
      </c>
      <c r="K1228" s="1">
        <v>0</v>
      </c>
      <c r="L1228" s="6" t="s">
        <v>234</v>
      </c>
      <c r="M1228" s="1">
        <v>2012</v>
      </c>
      <c r="N1228" s="1" t="s">
        <v>237</v>
      </c>
      <c r="O1228" s="1">
        <v>0</v>
      </c>
      <c r="P1228" s="1">
        <v>0</v>
      </c>
      <c r="Q1228" s="1">
        <v>0</v>
      </c>
      <c r="R1228" s="1">
        <v>0</v>
      </c>
      <c r="S1228" s="1" t="s">
        <v>251</v>
      </c>
    </row>
    <row r="1229" spans="1:19" ht="14.45" customHeight="1" x14ac:dyDescent="0.25">
      <c r="A1229" s="6">
        <v>1230</v>
      </c>
      <c r="B1229" s="6">
        <v>8200407</v>
      </c>
      <c r="C1229" t="s">
        <v>1085</v>
      </c>
      <c r="D1229" s="1" t="s">
        <v>1083</v>
      </c>
      <c r="E1229" s="21">
        <v>327</v>
      </c>
      <c r="F1229" s="1" t="s">
        <v>233</v>
      </c>
      <c r="G1229" s="1" t="s">
        <v>233</v>
      </c>
      <c r="H1229" s="6" t="s">
        <v>1954</v>
      </c>
      <c r="I1229" s="6" t="s">
        <v>313</v>
      </c>
      <c r="J1229" s="6" t="s">
        <v>1849</v>
      </c>
      <c r="K1229" s="1">
        <v>0</v>
      </c>
      <c r="L1229" s="6" t="s">
        <v>234</v>
      </c>
      <c r="M1229" s="1">
        <v>2012</v>
      </c>
      <c r="N1229" s="1" t="s">
        <v>237</v>
      </c>
      <c r="O1229" s="1">
        <v>0</v>
      </c>
      <c r="P1229" s="1">
        <v>0</v>
      </c>
      <c r="Q1229" s="1">
        <v>0</v>
      </c>
      <c r="R1229" s="1">
        <v>0</v>
      </c>
      <c r="S1229" s="1" t="s">
        <v>251</v>
      </c>
    </row>
    <row r="1230" spans="1:19" ht="14.45" customHeight="1" x14ac:dyDescent="0.25">
      <c r="A1230" s="6">
        <v>1231</v>
      </c>
      <c r="B1230" s="6">
        <v>8200701</v>
      </c>
      <c r="C1230" t="s">
        <v>1086</v>
      </c>
      <c r="D1230" s="1" t="s">
        <v>1083</v>
      </c>
      <c r="E1230" s="21">
        <v>274</v>
      </c>
      <c r="F1230" s="1" t="s">
        <v>233</v>
      </c>
      <c r="G1230" s="1" t="s">
        <v>233</v>
      </c>
      <c r="H1230" s="6" t="s">
        <v>1954</v>
      </c>
      <c r="I1230" s="6" t="s">
        <v>313</v>
      </c>
      <c r="J1230" s="6" t="s">
        <v>1849</v>
      </c>
      <c r="K1230" s="1">
        <v>0</v>
      </c>
      <c r="L1230" s="6" t="s">
        <v>234</v>
      </c>
      <c r="M1230" s="1">
        <v>2012</v>
      </c>
      <c r="N1230" s="1" t="s">
        <v>237</v>
      </c>
      <c r="O1230" s="1">
        <v>0</v>
      </c>
      <c r="P1230" s="1">
        <v>0</v>
      </c>
      <c r="Q1230" s="1">
        <v>0</v>
      </c>
      <c r="R1230" s="1">
        <v>0</v>
      </c>
      <c r="S1230" s="1" t="s">
        <v>251</v>
      </c>
    </row>
    <row r="1231" spans="1:19" ht="14.45" customHeight="1" x14ac:dyDescent="0.25">
      <c r="A1231" s="6">
        <v>1232</v>
      </c>
      <c r="B1231" s="6">
        <v>8200702</v>
      </c>
      <c r="C1231" t="s">
        <v>1087</v>
      </c>
      <c r="D1231" s="1" t="s">
        <v>1083</v>
      </c>
      <c r="E1231" s="21">
        <v>274</v>
      </c>
      <c r="F1231" s="1" t="s">
        <v>233</v>
      </c>
      <c r="G1231" s="1" t="s">
        <v>233</v>
      </c>
      <c r="H1231" s="6" t="s">
        <v>1954</v>
      </c>
      <c r="I1231" s="6" t="s">
        <v>313</v>
      </c>
      <c r="J1231" s="6" t="s">
        <v>1849</v>
      </c>
      <c r="K1231" s="1">
        <v>0</v>
      </c>
      <c r="L1231" s="6" t="s">
        <v>234</v>
      </c>
      <c r="M1231" s="1">
        <v>2012</v>
      </c>
      <c r="N1231" s="1" t="s">
        <v>237</v>
      </c>
      <c r="O1231" s="1">
        <v>0</v>
      </c>
      <c r="P1231" s="1">
        <v>0</v>
      </c>
      <c r="Q1231" s="1">
        <v>0</v>
      </c>
      <c r="R1231" s="1">
        <v>0</v>
      </c>
      <c r="S1231" s="1" t="s">
        <v>251</v>
      </c>
    </row>
    <row r="1232" spans="1:19" ht="14.45" customHeight="1" x14ac:dyDescent="0.25">
      <c r="A1232" s="6">
        <v>1233</v>
      </c>
      <c r="B1232" s="6">
        <v>8200801</v>
      </c>
      <c r="C1232" t="s">
        <v>1088</v>
      </c>
      <c r="D1232" s="1" t="s">
        <v>1083</v>
      </c>
      <c r="E1232" s="21">
        <v>274</v>
      </c>
      <c r="F1232" s="1" t="s">
        <v>233</v>
      </c>
      <c r="G1232" s="1" t="s">
        <v>233</v>
      </c>
      <c r="H1232" s="6" t="s">
        <v>1954</v>
      </c>
      <c r="I1232" s="6" t="s">
        <v>313</v>
      </c>
      <c r="J1232" s="6" t="s">
        <v>1849</v>
      </c>
      <c r="K1232" s="1">
        <v>0</v>
      </c>
      <c r="L1232" s="6" t="s">
        <v>234</v>
      </c>
      <c r="M1232" s="1">
        <v>2012</v>
      </c>
      <c r="N1232" s="1" t="s">
        <v>237</v>
      </c>
      <c r="O1232" s="1">
        <v>0</v>
      </c>
      <c r="P1232" s="1">
        <v>0</v>
      </c>
      <c r="Q1232" s="1">
        <v>0</v>
      </c>
      <c r="R1232" s="1">
        <v>0</v>
      </c>
      <c r="S1232" s="1" t="s">
        <v>251</v>
      </c>
    </row>
    <row r="1233" spans="1:19" ht="14.45" customHeight="1" x14ac:dyDescent="0.25">
      <c r="A1233" s="6">
        <v>1234</v>
      </c>
      <c r="B1233" s="6">
        <v>8202602</v>
      </c>
      <c r="C1233" t="s">
        <v>1089</v>
      </c>
      <c r="D1233" s="1" t="s">
        <v>1090</v>
      </c>
      <c r="E1233" s="21">
        <v>709</v>
      </c>
      <c r="F1233" s="1" t="s">
        <v>233</v>
      </c>
      <c r="G1233" s="1" t="s">
        <v>233</v>
      </c>
      <c r="H1233" s="6" t="s">
        <v>1951</v>
      </c>
      <c r="I1233" s="6" t="s">
        <v>544</v>
      </c>
      <c r="J1233" s="6" t="s">
        <v>1851</v>
      </c>
      <c r="K1233" s="1">
        <v>0</v>
      </c>
      <c r="L1233" s="6" t="s">
        <v>311</v>
      </c>
      <c r="M1233" s="1">
        <v>2009</v>
      </c>
      <c r="N1233" s="1" t="s">
        <v>1917</v>
      </c>
      <c r="O1233" s="1">
        <v>0</v>
      </c>
      <c r="P1233" s="1">
        <v>0</v>
      </c>
      <c r="Q1233" s="1">
        <v>0</v>
      </c>
      <c r="R1233" s="1">
        <v>0</v>
      </c>
      <c r="S1233" s="1" t="s">
        <v>251</v>
      </c>
    </row>
    <row r="1234" spans="1:19" ht="14.45" customHeight="1" x14ac:dyDescent="0.25">
      <c r="A1234" s="6">
        <v>1235</v>
      </c>
      <c r="B1234" s="6">
        <v>8203501</v>
      </c>
      <c r="C1234" t="s">
        <v>1091</v>
      </c>
      <c r="D1234" s="1" t="s">
        <v>1083</v>
      </c>
      <c r="E1234" s="21" t="s">
        <v>237</v>
      </c>
      <c r="F1234" s="1" t="s">
        <v>233</v>
      </c>
      <c r="G1234" s="19">
        <v>2</v>
      </c>
      <c r="H1234" s="6" t="s">
        <v>1951</v>
      </c>
      <c r="I1234" s="6" t="s">
        <v>465</v>
      </c>
      <c r="J1234" s="6" t="s">
        <v>1849</v>
      </c>
      <c r="K1234" s="1">
        <v>0</v>
      </c>
      <c r="L1234" s="6" t="s">
        <v>234</v>
      </c>
      <c r="M1234" s="1">
        <v>2007</v>
      </c>
      <c r="N1234" s="1" t="s">
        <v>237</v>
      </c>
      <c r="O1234" s="1">
        <v>0</v>
      </c>
      <c r="P1234" s="1">
        <v>0</v>
      </c>
      <c r="Q1234" s="1">
        <v>0</v>
      </c>
      <c r="R1234" s="1">
        <v>0</v>
      </c>
      <c r="S1234" s="1" t="s">
        <v>251</v>
      </c>
    </row>
    <row r="1235" spans="1:19" ht="14.45" customHeight="1" x14ac:dyDescent="0.25">
      <c r="A1235" s="6">
        <v>1236</v>
      </c>
      <c r="B1235" s="6">
        <v>8203501</v>
      </c>
      <c r="C1235" t="s">
        <v>1091</v>
      </c>
      <c r="D1235" s="1" t="s">
        <v>1083</v>
      </c>
      <c r="E1235" s="21" t="s">
        <v>237</v>
      </c>
      <c r="F1235" s="1" t="s">
        <v>233</v>
      </c>
      <c r="G1235" s="19">
        <v>2</v>
      </c>
      <c r="H1235" s="6" t="s">
        <v>1951</v>
      </c>
      <c r="I1235" s="6" t="s">
        <v>465</v>
      </c>
      <c r="J1235" s="6" t="s">
        <v>1849</v>
      </c>
      <c r="K1235" s="1">
        <v>0</v>
      </c>
      <c r="L1235" s="6" t="s">
        <v>234</v>
      </c>
      <c r="M1235" s="1">
        <v>2007</v>
      </c>
      <c r="N1235" s="1" t="s">
        <v>237</v>
      </c>
      <c r="O1235" s="1">
        <v>0</v>
      </c>
      <c r="P1235" s="1">
        <v>0</v>
      </c>
      <c r="Q1235" s="1">
        <v>0</v>
      </c>
      <c r="R1235" s="1">
        <v>0</v>
      </c>
      <c r="S1235" s="1" t="s">
        <v>251</v>
      </c>
    </row>
    <row r="1236" spans="1:19" ht="14.45" customHeight="1" x14ac:dyDescent="0.25">
      <c r="A1236" s="6">
        <v>1237</v>
      </c>
      <c r="B1236" s="6">
        <v>8203501</v>
      </c>
      <c r="C1236" t="s">
        <v>1091</v>
      </c>
      <c r="D1236" s="1" t="s">
        <v>1083</v>
      </c>
      <c r="E1236" s="21">
        <v>900</v>
      </c>
      <c r="F1236" s="1" t="s">
        <v>233</v>
      </c>
      <c r="G1236" s="1" t="s">
        <v>233</v>
      </c>
      <c r="H1236" s="6" t="s">
        <v>1954</v>
      </c>
      <c r="I1236" s="6" t="s">
        <v>429</v>
      </c>
      <c r="J1236" s="6" t="s">
        <v>1849</v>
      </c>
      <c r="K1236" s="1">
        <v>0</v>
      </c>
      <c r="L1236" s="6" t="s">
        <v>234</v>
      </c>
      <c r="M1236" s="1">
        <v>2015</v>
      </c>
      <c r="N1236" s="1" t="s">
        <v>1864</v>
      </c>
      <c r="O1236" s="1">
        <v>0</v>
      </c>
      <c r="P1236" s="1">
        <v>0</v>
      </c>
      <c r="Q1236" s="1">
        <v>0</v>
      </c>
      <c r="R1236" s="1">
        <v>0</v>
      </c>
      <c r="S1236" s="1" t="s">
        <v>251</v>
      </c>
    </row>
    <row r="1237" spans="1:19" ht="14.45" customHeight="1" x14ac:dyDescent="0.25">
      <c r="A1237" s="6">
        <v>1238</v>
      </c>
      <c r="B1237" s="6">
        <v>8203603</v>
      </c>
      <c r="C1237" t="s">
        <v>1092</v>
      </c>
      <c r="D1237" s="1" t="s">
        <v>1093</v>
      </c>
      <c r="E1237" s="21">
        <v>430</v>
      </c>
      <c r="F1237" s="1" t="s">
        <v>233</v>
      </c>
      <c r="G1237" s="1" t="s">
        <v>233</v>
      </c>
      <c r="H1237" s="6" t="s">
        <v>1951</v>
      </c>
      <c r="I1237" s="6" t="s">
        <v>515</v>
      </c>
      <c r="J1237" s="6" t="s">
        <v>1853</v>
      </c>
      <c r="K1237" s="1">
        <v>0</v>
      </c>
      <c r="L1237" s="6" t="s">
        <v>239</v>
      </c>
      <c r="M1237" s="1">
        <v>2011</v>
      </c>
      <c r="N1237" s="1" t="s">
        <v>237</v>
      </c>
      <c r="O1237" s="1">
        <v>0</v>
      </c>
      <c r="P1237" s="1">
        <v>0</v>
      </c>
      <c r="Q1237" s="1">
        <v>0</v>
      </c>
      <c r="R1237" s="1">
        <v>0</v>
      </c>
      <c r="S1237" s="1" t="s">
        <v>235</v>
      </c>
    </row>
    <row r="1238" spans="1:19" ht="14.45" customHeight="1" x14ac:dyDescent="0.25">
      <c r="A1238" s="6">
        <v>1239</v>
      </c>
      <c r="B1238" s="6">
        <v>8203603</v>
      </c>
      <c r="C1238" t="s">
        <v>1092</v>
      </c>
      <c r="D1238" s="1" t="s">
        <v>1093</v>
      </c>
      <c r="E1238" s="21">
        <v>336.5</v>
      </c>
      <c r="F1238" s="1" t="s">
        <v>233</v>
      </c>
      <c r="G1238" s="1" t="s">
        <v>233</v>
      </c>
      <c r="H1238" s="6" t="s">
        <v>1951</v>
      </c>
      <c r="I1238" s="6" t="s">
        <v>562</v>
      </c>
      <c r="J1238" s="6" t="s">
        <v>1852</v>
      </c>
      <c r="K1238" s="1">
        <v>0</v>
      </c>
      <c r="L1238" s="6" t="s">
        <v>249</v>
      </c>
      <c r="M1238" s="1">
        <v>1999</v>
      </c>
      <c r="N1238" s="1" t="s">
        <v>237</v>
      </c>
      <c r="O1238" s="1">
        <v>0</v>
      </c>
      <c r="P1238" s="1" t="s">
        <v>1952</v>
      </c>
      <c r="Q1238" s="1">
        <v>0</v>
      </c>
      <c r="R1238" s="1">
        <v>0</v>
      </c>
      <c r="S1238" s="1" t="s">
        <v>235</v>
      </c>
    </row>
    <row r="1239" spans="1:19" ht="14.45" customHeight="1" x14ac:dyDescent="0.25">
      <c r="A1239" s="6">
        <v>1240</v>
      </c>
      <c r="B1239" s="6">
        <v>8203603</v>
      </c>
      <c r="C1239" t="s">
        <v>1092</v>
      </c>
      <c r="D1239" s="1" t="s">
        <v>1093</v>
      </c>
      <c r="E1239" s="21">
        <v>600</v>
      </c>
      <c r="F1239" s="1" t="s">
        <v>233</v>
      </c>
      <c r="G1239" s="1" t="s">
        <v>233</v>
      </c>
      <c r="H1239" s="6" t="s">
        <v>1954</v>
      </c>
      <c r="I1239" s="6" t="s">
        <v>569</v>
      </c>
      <c r="J1239" s="6" t="s">
        <v>1849</v>
      </c>
      <c r="K1239" s="1">
        <v>0</v>
      </c>
      <c r="L1239" s="6" t="s">
        <v>259</v>
      </c>
      <c r="M1239" s="1">
        <v>2011</v>
      </c>
      <c r="N1239" s="1" t="s">
        <v>1918</v>
      </c>
      <c r="O1239" s="1">
        <v>0</v>
      </c>
      <c r="P1239" s="1">
        <v>0</v>
      </c>
      <c r="Q1239" s="1">
        <v>0</v>
      </c>
      <c r="R1239" s="1">
        <v>0</v>
      </c>
      <c r="S1239" s="1" t="s">
        <v>235</v>
      </c>
    </row>
    <row r="1240" spans="1:19" ht="14.45" customHeight="1" x14ac:dyDescent="0.25">
      <c r="A1240" s="6">
        <v>1241</v>
      </c>
      <c r="B1240" s="6">
        <v>8203603</v>
      </c>
      <c r="C1240" t="s">
        <v>1092</v>
      </c>
      <c r="D1240" s="1" t="s">
        <v>1093</v>
      </c>
      <c r="E1240" s="21">
        <v>357</v>
      </c>
      <c r="F1240" s="1" t="s">
        <v>233</v>
      </c>
      <c r="G1240" s="1" t="s">
        <v>233</v>
      </c>
      <c r="H1240" s="6" t="s">
        <v>1951</v>
      </c>
      <c r="I1240" s="6" t="s">
        <v>595</v>
      </c>
      <c r="J1240" s="6" t="s">
        <v>1849</v>
      </c>
      <c r="K1240" s="1">
        <v>0</v>
      </c>
      <c r="L1240" s="6" t="s">
        <v>252</v>
      </c>
      <c r="M1240" s="1">
        <v>2012</v>
      </c>
      <c r="N1240" s="1" t="s">
        <v>237</v>
      </c>
      <c r="O1240" s="1">
        <v>0</v>
      </c>
      <c r="P1240" s="1">
        <v>0</v>
      </c>
      <c r="Q1240" s="1">
        <v>0</v>
      </c>
      <c r="R1240" s="1">
        <v>0</v>
      </c>
      <c r="S1240" s="1" t="s">
        <v>235</v>
      </c>
    </row>
    <row r="1241" spans="1:19" ht="14.45" customHeight="1" x14ac:dyDescent="0.25">
      <c r="A1241" s="6">
        <v>1242</v>
      </c>
      <c r="B1241" s="6">
        <v>8203603</v>
      </c>
      <c r="C1241" t="s">
        <v>1092</v>
      </c>
      <c r="D1241" s="1" t="s">
        <v>1093</v>
      </c>
      <c r="E1241" s="21">
        <v>765</v>
      </c>
      <c r="F1241" s="1" t="s">
        <v>233</v>
      </c>
      <c r="G1241" s="1" t="s">
        <v>233</v>
      </c>
      <c r="H1241" s="6" t="s">
        <v>1951</v>
      </c>
      <c r="I1241" s="6" t="s">
        <v>658</v>
      </c>
      <c r="J1241" s="6" t="s">
        <v>1849</v>
      </c>
      <c r="K1241" s="1">
        <v>0</v>
      </c>
      <c r="L1241" s="6" t="s">
        <v>261</v>
      </c>
      <c r="M1241" s="1">
        <v>2012</v>
      </c>
      <c r="N1241" s="1" t="s">
        <v>237</v>
      </c>
      <c r="O1241" s="1">
        <v>0</v>
      </c>
      <c r="P1241" s="1" t="s">
        <v>1952</v>
      </c>
      <c r="Q1241" s="1">
        <v>0</v>
      </c>
      <c r="R1241" s="1">
        <v>0</v>
      </c>
      <c r="S1241" s="1" t="s">
        <v>235</v>
      </c>
    </row>
    <row r="1242" spans="1:19" ht="14.45" customHeight="1" x14ac:dyDescent="0.25">
      <c r="A1242" s="6">
        <v>1243</v>
      </c>
      <c r="B1242" s="6">
        <v>8203603</v>
      </c>
      <c r="C1242" t="s">
        <v>1092</v>
      </c>
      <c r="D1242" s="1" t="s">
        <v>1093</v>
      </c>
      <c r="E1242" s="21" t="s">
        <v>237</v>
      </c>
      <c r="F1242" s="1" t="s">
        <v>233</v>
      </c>
      <c r="G1242" s="19">
        <v>8.8000000000000007</v>
      </c>
      <c r="H1242" s="6" t="s">
        <v>1951</v>
      </c>
      <c r="I1242" s="6" t="s">
        <v>720</v>
      </c>
      <c r="J1242" s="6" t="s">
        <v>1849</v>
      </c>
      <c r="K1242" s="1">
        <v>0</v>
      </c>
      <c r="L1242" s="6" t="s">
        <v>255</v>
      </c>
      <c r="M1242" s="1">
        <v>2006</v>
      </c>
      <c r="N1242" s="1" t="s">
        <v>237</v>
      </c>
      <c r="O1242" s="1">
        <v>0</v>
      </c>
      <c r="P1242" s="1">
        <v>0</v>
      </c>
      <c r="Q1242" s="1">
        <v>0</v>
      </c>
      <c r="R1242" s="1">
        <v>0</v>
      </c>
      <c r="S1242" s="1" t="s">
        <v>235</v>
      </c>
    </row>
    <row r="1243" spans="1:19" ht="14.45" customHeight="1" x14ac:dyDescent="0.25">
      <c r="A1243" s="6">
        <v>1244</v>
      </c>
      <c r="B1243" s="6">
        <v>8206301</v>
      </c>
      <c r="C1243" t="s">
        <v>1094</v>
      </c>
      <c r="D1243" s="1" t="s">
        <v>1095</v>
      </c>
      <c r="E1243" s="21" t="s">
        <v>237</v>
      </c>
      <c r="F1243" s="1" t="s">
        <v>233</v>
      </c>
      <c r="G1243" s="19">
        <v>35</v>
      </c>
      <c r="H1243" s="6" t="s">
        <v>1951</v>
      </c>
      <c r="I1243" s="6" t="s">
        <v>465</v>
      </c>
      <c r="J1243" s="6" t="s">
        <v>1849</v>
      </c>
      <c r="K1243" s="1">
        <v>0</v>
      </c>
      <c r="L1243" s="6" t="s">
        <v>234</v>
      </c>
      <c r="M1243" s="1">
        <v>2007</v>
      </c>
      <c r="N1243" s="1" t="s">
        <v>237</v>
      </c>
      <c r="O1243" s="1">
        <v>0</v>
      </c>
      <c r="P1243" s="1">
        <v>0</v>
      </c>
      <c r="Q1243" s="1">
        <v>0</v>
      </c>
      <c r="R1243" s="1">
        <v>0</v>
      </c>
      <c r="S1243" s="1" t="s">
        <v>235</v>
      </c>
    </row>
    <row r="1244" spans="1:19" ht="14.45" customHeight="1" x14ac:dyDescent="0.25">
      <c r="A1244" s="6">
        <v>1245</v>
      </c>
      <c r="B1244" s="6">
        <v>8206301</v>
      </c>
      <c r="C1244" t="s">
        <v>1094</v>
      </c>
      <c r="D1244" s="1" t="s">
        <v>1095</v>
      </c>
      <c r="E1244" s="21" t="s">
        <v>237</v>
      </c>
      <c r="F1244" s="21">
        <v>7404.1882297760048</v>
      </c>
      <c r="G1244" s="1" t="s">
        <v>233</v>
      </c>
      <c r="H1244" s="6" t="s">
        <v>1951</v>
      </c>
      <c r="I1244" s="6" t="s">
        <v>593</v>
      </c>
      <c r="J1244" s="6" t="s">
        <v>1853</v>
      </c>
      <c r="K1244" s="1">
        <v>0</v>
      </c>
      <c r="L1244" s="6" t="s">
        <v>245</v>
      </c>
      <c r="M1244" s="1">
        <v>2011</v>
      </c>
      <c r="N1244" s="1" t="s">
        <v>237</v>
      </c>
      <c r="O1244" s="1">
        <v>0</v>
      </c>
      <c r="P1244" s="1">
        <v>0</v>
      </c>
      <c r="Q1244" s="1">
        <v>0</v>
      </c>
      <c r="R1244" s="1">
        <v>0</v>
      </c>
      <c r="S1244" s="1" t="s">
        <v>251</v>
      </c>
    </row>
    <row r="1245" spans="1:19" ht="14.45" customHeight="1" x14ac:dyDescent="0.25">
      <c r="A1245" s="6">
        <v>1246</v>
      </c>
      <c r="B1245" s="6">
        <v>8206301</v>
      </c>
      <c r="C1245" t="s">
        <v>1094</v>
      </c>
      <c r="D1245" s="1" t="s">
        <v>1095</v>
      </c>
      <c r="E1245" s="21" t="s">
        <v>237</v>
      </c>
      <c r="F1245" s="21">
        <v>7404.1882297760048</v>
      </c>
      <c r="G1245" s="1" t="s">
        <v>233</v>
      </c>
      <c r="H1245" s="6" t="s">
        <v>1951</v>
      </c>
      <c r="I1245" s="6" t="s">
        <v>593</v>
      </c>
      <c r="J1245" s="6" t="s">
        <v>1853</v>
      </c>
      <c r="K1245" s="1">
        <v>0</v>
      </c>
      <c r="L1245" s="6" t="s">
        <v>245</v>
      </c>
      <c r="M1245" s="1">
        <v>2011</v>
      </c>
      <c r="N1245" s="1" t="s">
        <v>237</v>
      </c>
      <c r="O1245" s="1">
        <v>0</v>
      </c>
      <c r="P1245" s="1">
        <v>0</v>
      </c>
      <c r="Q1245" s="1">
        <v>0</v>
      </c>
      <c r="R1245" s="1">
        <v>0</v>
      </c>
      <c r="S1245" s="1" t="s">
        <v>251</v>
      </c>
    </row>
    <row r="1246" spans="1:19" ht="14.45" customHeight="1" x14ac:dyDescent="0.25">
      <c r="A1246" s="6">
        <v>1247</v>
      </c>
      <c r="B1246" s="6">
        <v>8206301</v>
      </c>
      <c r="C1246" t="s">
        <v>1094</v>
      </c>
      <c r="D1246" s="1" t="s">
        <v>1095</v>
      </c>
      <c r="E1246" s="21" t="s">
        <v>237</v>
      </c>
      <c r="F1246" s="21">
        <v>7404.1882297760048</v>
      </c>
      <c r="G1246" s="1" t="s">
        <v>233</v>
      </c>
      <c r="H1246" s="6" t="s">
        <v>1951</v>
      </c>
      <c r="I1246" s="6" t="s">
        <v>593</v>
      </c>
      <c r="J1246" s="6" t="s">
        <v>1853</v>
      </c>
      <c r="K1246" s="1">
        <v>0</v>
      </c>
      <c r="L1246" s="6" t="s">
        <v>245</v>
      </c>
      <c r="M1246" s="1">
        <v>2011</v>
      </c>
      <c r="N1246" s="1" t="s">
        <v>237</v>
      </c>
      <c r="O1246" s="1">
        <v>0</v>
      </c>
      <c r="P1246" s="1">
        <v>0</v>
      </c>
      <c r="Q1246" s="1">
        <v>0</v>
      </c>
      <c r="R1246" s="1">
        <v>0</v>
      </c>
      <c r="S1246" s="1" t="s">
        <v>251</v>
      </c>
    </row>
    <row r="1247" spans="1:19" ht="14.45" customHeight="1" x14ac:dyDescent="0.25">
      <c r="A1247" s="6">
        <v>1248</v>
      </c>
      <c r="B1247" s="6">
        <v>8206301</v>
      </c>
      <c r="C1247" t="s">
        <v>1094</v>
      </c>
      <c r="D1247" s="1" t="s">
        <v>1095</v>
      </c>
      <c r="E1247" s="21" t="s">
        <v>237</v>
      </c>
      <c r="F1247" s="21">
        <v>7404.1882297760048</v>
      </c>
      <c r="G1247" s="1" t="s">
        <v>233</v>
      </c>
      <c r="H1247" s="6" t="s">
        <v>1951</v>
      </c>
      <c r="I1247" s="6" t="s">
        <v>593</v>
      </c>
      <c r="J1247" s="6" t="s">
        <v>1853</v>
      </c>
      <c r="K1247" s="1">
        <v>0</v>
      </c>
      <c r="L1247" s="6" t="s">
        <v>245</v>
      </c>
      <c r="M1247" s="1">
        <v>2011</v>
      </c>
      <c r="N1247" s="1" t="s">
        <v>237</v>
      </c>
      <c r="O1247" s="1">
        <v>0</v>
      </c>
      <c r="P1247" s="1">
        <v>0</v>
      </c>
      <c r="Q1247" s="1">
        <v>0</v>
      </c>
      <c r="R1247" s="1">
        <v>0</v>
      </c>
      <c r="S1247" s="1" t="s">
        <v>251</v>
      </c>
    </row>
    <row r="1248" spans="1:19" ht="14.45" customHeight="1" x14ac:dyDescent="0.25">
      <c r="A1248" s="6">
        <v>1249</v>
      </c>
      <c r="B1248" s="6">
        <v>8206301</v>
      </c>
      <c r="C1248" t="s">
        <v>1094</v>
      </c>
      <c r="D1248" s="1" t="s">
        <v>1095</v>
      </c>
      <c r="E1248" s="21" t="s">
        <v>237</v>
      </c>
      <c r="F1248" s="21">
        <v>7404.1882297760048</v>
      </c>
      <c r="G1248" s="1" t="s">
        <v>233</v>
      </c>
      <c r="H1248" s="6" t="s">
        <v>1951</v>
      </c>
      <c r="I1248" s="6" t="s">
        <v>593</v>
      </c>
      <c r="J1248" s="6" t="s">
        <v>1853</v>
      </c>
      <c r="K1248" s="1">
        <v>0</v>
      </c>
      <c r="L1248" s="6" t="s">
        <v>245</v>
      </c>
      <c r="M1248" s="1">
        <v>2011</v>
      </c>
      <c r="N1248" s="1" t="s">
        <v>237</v>
      </c>
      <c r="O1248" s="1">
        <v>0</v>
      </c>
      <c r="P1248" s="1">
        <v>0</v>
      </c>
      <c r="Q1248" s="1">
        <v>0</v>
      </c>
      <c r="R1248" s="1">
        <v>0</v>
      </c>
      <c r="S1248" s="1" t="s">
        <v>251</v>
      </c>
    </row>
    <row r="1249" spans="1:19" ht="14.45" customHeight="1" x14ac:dyDescent="0.25">
      <c r="A1249" s="6">
        <v>1250</v>
      </c>
      <c r="B1249" s="6">
        <v>8206301</v>
      </c>
      <c r="C1249" t="s">
        <v>1094</v>
      </c>
      <c r="D1249" s="1" t="s">
        <v>1095</v>
      </c>
      <c r="E1249" s="21" t="s">
        <v>237</v>
      </c>
      <c r="F1249" s="1" t="s">
        <v>233</v>
      </c>
      <c r="G1249" s="19">
        <v>59</v>
      </c>
      <c r="H1249" s="6" t="s">
        <v>1951</v>
      </c>
      <c r="I1249" s="6" t="s">
        <v>681</v>
      </c>
      <c r="J1249" s="6" t="s">
        <v>1849</v>
      </c>
      <c r="K1249" s="1">
        <v>0</v>
      </c>
      <c r="L1249" s="6" t="s">
        <v>236</v>
      </c>
      <c r="M1249" s="1">
        <v>2009</v>
      </c>
      <c r="N1249" s="1" t="s">
        <v>237</v>
      </c>
      <c r="O1249" s="1">
        <v>0</v>
      </c>
      <c r="P1249" s="1">
        <v>0</v>
      </c>
      <c r="Q1249" s="1">
        <v>0</v>
      </c>
      <c r="R1249" s="1">
        <v>0</v>
      </c>
      <c r="S1249" s="1" t="s">
        <v>251</v>
      </c>
    </row>
    <row r="1250" spans="1:19" ht="14.45" customHeight="1" x14ac:dyDescent="0.25">
      <c r="A1250" s="6">
        <v>1251</v>
      </c>
      <c r="B1250" s="6">
        <v>8206301</v>
      </c>
      <c r="C1250" t="s">
        <v>1094</v>
      </c>
      <c r="D1250" s="1" t="s">
        <v>1095</v>
      </c>
      <c r="E1250" s="21">
        <v>330</v>
      </c>
      <c r="F1250" s="1" t="s">
        <v>233</v>
      </c>
      <c r="G1250" s="1" t="s">
        <v>233</v>
      </c>
      <c r="H1250" s="6" t="s">
        <v>1951</v>
      </c>
      <c r="I1250" s="6" t="s">
        <v>721</v>
      </c>
      <c r="J1250" s="6" t="s">
        <v>1852</v>
      </c>
      <c r="K1250" s="1">
        <v>0</v>
      </c>
      <c r="L1250" s="6" t="s">
        <v>239</v>
      </c>
      <c r="M1250" s="1">
        <v>2014</v>
      </c>
      <c r="N1250" s="1" t="s">
        <v>237</v>
      </c>
      <c r="O1250" s="1">
        <v>0</v>
      </c>
      <c r="P1250" s="1">
        <v>0</v>
      </c>
      <c r="Q1250" s="1">
        <v>0</v>
      </c>
      <c r="R1250" s="1">
        <v>0</v>
      </c>
      <c r="S1250" s="1" t="s">
        <v>251</v>
      </c>
    </row>
    <row r="1251" spans="1:19" ht="14.45" customHeight="1" x14ac:dyDescent="0.25">
      <c r="A1251" s="6">
        <v>1252</v>
      </c>
      <c r="B1251" s="6">
        <v>8207601</v>
      </c>
      <c r="C1251" t="s">
        <v>1096</v>
      </c>
      <c r="D1251" s="1" t="s">
        <v>1083</v>
      </c>
      <c r="E1251" s="21">
        <v>260</v>
      </c>
      <c r="F1251" s="1" t="s">
        <v>233</v>
      </c>
      <c r="G1251" s="1" t="s">
        <v>233</v>
      </c>
      <c r="H1251" s="6" t="s">
        <v>1954</v>
      </c>
      <c r="I1251" s="6" t="s">
        <v>313</v>
      </c>
      <c r="J1251" s="6" t="s">
        <v>1849</v>
      </c>
      <c r="K1251" s="1">
        <v>0</v>
      </c>
      <c r="L1251" s="6" t="s">
        <v>234</v>
      </c>
      <c r="M1251" s="1">
        <v>2012</v>
      </c>
      <c r="N1251" s="1" t="s">
        <v>237</v>
      </c>
      <c r="O1251" s="1">
        <v>0</v>
      </c>
      <c r="P1251" s="1">
        <v>0</v>
      </c>
      <c r="Q1251" s="1">
        <v>0</v>
      </c>
      <c r="R1251" s="1">
        <v>0</v>
      </c>
      <c r="S1251" s="1" t="s">
        <v>251</v>
      </c>
    </row>
    <row r="1252" spans="1:19" ht="14.45" customHeight="1" x14ac:dyDescent="0.25">
      <c r="A1252" s="6">
        <v>1253</v>
      </c>
      <c r="B1252" s="6">
        <v>8300101</v>
      </c>
      <c r="C1252" t="s">
        <v>1097</v>
      </c>
      <c r="D1252" s="1" t="s">
        <v>1098</v>
      </c>
      <c r="E1252" s="21" t="s">
        <v>237</v>
      </c>
      <c r="F1252" s="1" t="s">
        <v>233</v>
      </c>
      <c r="G1252" s="19">
        <v>5</v>
      </c>
      <c r="H1252" s="6" t="s">
        <v>1951</v>
      </c>
      <c r="I1252" s="6" t="s">
        <v>465</v>
      </c>
      <c r="J1252" s="6" t="s">
        <v>1849</v>
      </c>
      <c r="K1252" s="1">
        <v>0</v>
      </c>
      <c r="L1252" s="6" t="s">
        <v>234</v>
      </c>
      <c r="M1252" s="1">
        <v>2007</v>
      </c>
      <c r="N1252" s="1" t="s">
        <v>237</v>
      </c>
      <c r="O1252" s="1">
        <v>0</v>
      </c>
      <c r="P1252" s="1">
        <v>0</v>
      </c>
      <c r="Q1252" s="1">
        <v>0</v>
      </c>
      <c r="R1252" s="1">
        <v>0</v>
      </c>
      <c r="S1252" s="1" t="s">
        <v>235</v>
      </c>
    </row>
    <row r="1253" spans="1:19" ht="14.45" customHeight="1" x14ac:dyDescent="0.25">
      <c r="A1253" s="6">
        <v>1254</v>
      </c>
      <c r="B1253" s="6">
        <v>8300101</v>
      </c>
      <c r="C1253" t="s">
        <v>1097</v>
      </c>
      <c r="D1253" s="1" t="s">
        <v>1098</v>
      </c>
      <c r="E1253" s="21" t="s">
        <v>237</v>
      </c>
      <c r="F1253" s="21">
        <v>452.50899863661198</v>
      </c>
      <c r="G1253" s="1" t="s">
        <v>233</v>
      </c>
      <c r="H1253" s="6" t="s">
        <v>1951</v>
      </c>
      <c r="I1253" s="6" t="s">
        <v>593</v>
      </c>
      <c r="J1253" s="6" t="s">
        <v>1853</v>
      </c>
      <c r="K1253" s="1">
        <v>0</v>
      </c>
      <c r="L1253" s="6" t="s">
        <v>245</v>
      </c>
      <c r="M1253" s="1">
        <v>2011</v>
      </c>
      <c r="N1253" s="1" t="s">
        <v>237</v>
      </c>
      <c r="O1253" s="1">
        <v>0</v>
      </c>
      <c r="P1253" s="1">
        <v>0</v>
      </c>
      <c r="Q1253" s="1">
        <v>0</v>
      </c>
      <c r="R1253" s="1">
        <v>0</v>
      </c>
      <c r="S1253" s="1" t="s">
        <v>251</v>
      </c>
    </row>
    <row r="1254" spans="1:19" ht="14.45" customHeight="1" x14ac:dyDescent="0.25">
      <c r="A1254" s="6">
        <v>1255</v>
      </c>
      <c r="B1254" s="6">
        <v>8300101</v>
      </c>
      <c r="C1254" t="s">
        <v>1097</v>
      </c>
      <c r="D1254" s="1" t="s">
        <v>1098</v>
      </c>
      <c r="E1254" s="21" t="s">
        <v>237</v>
      </c>
      <c r="F1254" s="1" t="s">
        <v>233</v>
      </c>
      <c r="G1254" s="19">
        <v>4</v>
      </c>
      <c r="H1254" s="6" t="s">
        <v>1951</v>
      </c>
      <c r="I1254" s="6" t="s">
        <v>681</v>
      </c>
      <c r="J1254" s="6" t="s">
        <v>1849</v>
      </c>
      <c r="K1254" s="1">
        <v>0</v>
      </c>
      <c r="L1254" s="6" t="s">
        <v>236</v>
      </c>
      <c r="M1254" s="1">
        <v>2009</v>
      </c>
      <c r="N1254" s="1" t="s">
        <v>237</v>
      </c>
      <c r="O1254" s="1">
        <v>0</v>
      </c>
      <c r="P1254" s="1">
        <v>0</v>
      </c>
      <c r="Q1254" s="1">
        <v>0</v>
      </c>
      <c r="R1254" s="1">
        <v>0</v>
      </c>
      <c r="S1254" s="1" t="s">
        <v>251</v>
      </c>
    </row>
    <row r="1255" spans="1:19" ht="14.45" customHeight="1" x14ac:dyDescent="0.25">
      <c r="A1255" s="6">
        <v>1256</v>
      </c>
      <c r="B1255" s="6">
        <v>8300101</v>
      </c>
      <c r="C1255" t="s">
        <v>1097</v>
      </c>
      <c r="D1255" s="1" t="s">
        <v>1098</v>
      </c>
      <c r="E1255" s="21">
        <v>1090</v>
      </c>
      <c r="F1255" s="1" t="s">
        <v>233</v>
      </c>
      <c r="G1255" s="1" t="s">
        <v>233</v>
      </c>
      <c r="H1255" s="6" t="s">
        <v>1951</v>
      </c>
      <c r="I1255" s="6" t="s">
        <v>685</v>
      </c>
      <c r="J1255" s="6" t="s">
        <v>1852</v>
      </c>
      <c r="K1255" s="1">
        <v>0</v>
      </c>
      <c r="L1255" s="6" t="s">
        <v>239</v>
      </c>
      <c r="M1255" s="1">
        <v>2016</v>
      </c>
      <c r="N1255" s="1" t="s">
        <v>237</v>
      </c>
      <c r="O1255" s="1">
        <v>0</v>
      </c>
      <c r="P1255" s="1">
        <v>0</v>
      </c>
      <c r="Q1255" s="1">
        <v>0</v>
      </c>
      <c r="R1255" s="1">
        <v>0</v>
      </c>
      <c r="S1255" s="1" t="s">
        <v>251</v>
      </c>
    </row>
    <row r="1256" spans="1:19" ht="14.45" customHeight="1" x14ac:dyDescent="0.25">
      <c r="A1256" s="6">
        <v>1257</v>
      </c>
      <c r="B1256" s="6">
        <v>8300101</v>
      </c>
      <c r="C1256" t="s">
        <v>1097</v>
      </c>
      <c r="D1256" s="1" t="s">
        <v>1098</v>
      </c>
      <c r="E1256" s="21">
        <v>1400</v>
      </c>
      <c r="F1256" s="1" t="s">
        <v>233</v>
      </c>
      <c r="G1256" s="1" t="s">
        <v>233</v>
      </c>
      <c r="H1256" s="6" t="s">
        <v>1954</v>
      </c>
      <c r="I1256" s="6" t="s">
        <v>429</v>
      </c>
      <c r="J1256" s="6" t="s">
        <v>1849</v>
      </c>
      <c r="K1256" s="1">
        <v>0</v>
      </c>
      <c r="L1256" s="6" t="s">
        <v>234</v>
      </c>
      <c r="M1256" s="1">
        <v>2015</v>
      </c>
      <c r="N1256" s="1" t="s">
        <v>1864</v>
      </c>
      <c r="O1256" s="1">
        <v>0</v>
      </c>
      <c r="P1256" s="1">
        <v>0</v>
      </c>
      <c r="Q1256" s="1">
        <v>0</v>
      </c>
      <c r="R1256" s="1">
        <v>0</v>
      </c>
      <c r="S1256" s="1" t="s">
        <v>251</v>
      </c>
    </row>
    <row r="1257" spans="1:19" ht="14.45" customHeight="1" x14ac:dyDescent="0.25">
      <c r="A1257" s="6">
        <v>1258</v>
      </c>
      <c r="B1257" s="6">
        <v>8301002</v>
      </c>
      <c r="C1257" t="s">
        <v>1099</v>
      </c>
      <c r="D1257" s="1">
        <v>220830</v>
      </c>
      <c r="E1257" s="21" t="s">
        <v>237</v>
      </c>
      <c r="F1257" s="1" t="s">
        <v>233</v>
      </c>
      <c r="G1257" s="19">
        <v>41</v>
      </c>
      <c r="H1257" s="6" t="s">
        <v>1951</v>
      </c>
      <c r="I1257" s="6" t="s">
        <v>465</v>
      </c>
      <c r="J1257" s="6" t="s">
        <v>1849</v>
      </c>
      <c r="K1257" s="1">
        <v>0</v>
      </c>
      <c r="L1257" s="6" t="s">
        <v>234</v>
      </c>
      <c r="M1257" s="1">
        <v>2007</v>
      </c>
      <c r="N1257" s="1" t="s">
        <v>237</v>
      </c>
      <c r="O1257" s="1">
        <v>0</v>
      </c>
      <c r="P1257" s="1">
        <v>0</v>
      </c>
      <c r="Q1257" s="1">
        <v>0</v>
      </c>
      <c r="R1257" s="1">
        <v>0</v>
      </c>
      <c r="S1257" s="1" t="s">
        <v>235</v>
      </c>
    </row>
    <row r="1258" spans="1:19" ht="14.45" customHeight="1" x14ac:dyDescent="0.25">
      <c r="A1258" s="6">
        <v>1259</v>
      </c>
      <c r="B1258" s="6">
        <v>8301002</v>
      </c>
      <c r="C1258" t="s">
        <v>1099</v>
      </c>
      <c r="D1258" s="1">
        <v>220830</v>
      </c>
      <c r="E1258" s="21">
        <v>3000</v>
      </c>
      <c r="F1258" s="1" t="s">
        <v>233</v>
      </c>
      <c r="G1258" s="1" t="s">
        <v>233</v>
      </c>
      <c r="H1258" s="6" t="s">
        <v>1954</v>
      </c>
      <c r="I1258" s="6" t="s">
        <v>429</v>
      </c>
      <c r="J1258" s="6" t="s">
        <v>1849</v>
      </c>
      <c r="K1258" s="1">
        <v>0</v>
      </c>
      <c r="L1258" s="6" t="s">
        <v>234</v>
      </c>
      <c r="M1258" s="1">
        <v>2015</v>
      </c>
      <c r="N1258" s="1" t="s">
        <v>1864</v>
      </c>
      <c r="O1258" s="1">
        <v>0</v>
      </c>
      <c r="P1258" s="1">
        <v>0</v>
      </c>
      <c r="Q1258" s="1">
        <v>0</v>
      </c>
      <c r="R1258" s="1">
        <v>0</v>
      </c>
      <c r="S1258" s="1" t="s">
        <v>251</v>
      </c>
    </row>
    <row r="1259" spans="1:19" ht="14.45" customHeight="1" x14ac:dyDescent="0.25">
      <c r="A1259" s="6">
        <v>1260</v>
      </c>
      <c r="B1259" s="6">
        <v>8301201</v>
      </c>
      <c r="C1259" t="s">
        <v>1100</v>
      </c>
      <c r="D1259" s="1" t="s">
        <v>1101</v>
      </c>
      <c r="E1259" s="21" t="s">
        <v>237</v>
      </c>
      <c r="F1259" s="21">
        <v>503.31988193593691</v>
      </c>
      <c r="G1259" s="1" t="s">
        <v>233</v>
      </c>
      <c r="H1259" s="6" t="s">
        <v>1951</v>
      </c>
      <c r="I1259" s="6" t="s">
        <v>593</v>
      </c>
      <c r="J1259" s="6" t="s">
        <v>1853</v>
      </c>
      <c r="K1259" s="1">
        <v>0</v>
      </c>
      <c r="L1259" s="6" t="s">
        <v>245</v>
      </c>
      <c r="M1259" s="1">
        <v>2011</v>
      </c>
      <c r="N1259" s="1" t="s">
        <v>237</v>
      </c>
      <c r="O1259" s="1">
        <v>0</v>
      </c>
      <c r="P1259" s="1">
        <v>0</v>
      </c>
      <c r="Q1259" s="1">
        <v>0</v>
      </c>
      <c r="R1259" s="1">
        <v>0</v>
      </c>
      <c r="S1259" s="1" t="s">
        <v>251</v>
      </c>
    </row>
    <row r="1260" spans="1:19" ht="14.45" customHeight="1" x14ac:dyDescent="0.25">
      <c r="A1260" s="6">
        <v>1261</v>
      </c>
      <c r="B1260" s="6">
        <v>8301202</v>
      </c>
      <c r="C1260" t="s">
        <v>1102</v>
      </c>
      <c r="D1260" s="1" t="s">
        <v>1103</v>
      </c>
      <c r="E1260" s="21" t="s">
        <v>237</v>
      </c>
      <c r="F1260" s="21">
        <v>503.31988193593691</v>
      </c>
      <c r="G1260" s="1" t="s">
        <v>233</v>
      </c>
      <c r="H1260" s="6" t="s">
        <v>1951</v>
      </c>
      <c r="I1260" s="6" t="s">
        <v>593</v>
      </c>
      <c r="J1260" s="6" t="s">
        <v>1853</v>
      </c>
      <c r="K1260" s="1">
        <v>0</v>
      </c>
      <c r="L1260" s="6" t="s">
        <v>245</v>
      </c>
      <c r="M1260" s="1">
        <v>2011</v>
      </c>
      <c r="N1260" s="1" t="s">
        <v>237</v>
      </c>
      <c r="O1260" s="1">
        <v>0</v>
      </c>
      <c r="P1260" s="1">
        <v>0</v>
      </c>
      <c r="Q1260" s="1">
        <v>0</v>
      </c>
      <c r="R1260" s="1">
        <v>0</v>
      </c>
      <c r="S1260" s="1" t="s">
        <v>251</v>
      </c>
    </row>
    <row r="1261" spans="1:19" ht="14.45" customHeight="1" x14ac:dyDescent="0.25">
      <c r="A1261" s="6">
        <v>1262</v>
      </c>
      <c r="B1261" s="6">
        <v>8301202</v>
      </c>
      <c r="C1261" t="s">
        <v>1102</v>
      </c>
      <c r="D1261" s="1" t="s">
        <v>1103</v>
      </c>
      <c r="E1261" s="21">
        <v>1400</v>
      </c>
      <c r="F1261" s="1" t="s">
        <v>233</v>
      </c>
      <c r="G1261" s="1" t="s">
        <v>233</v>
      </c>
      <c r="H1261" s="6" t="s">
        <v>1954</v>
      </c>
      <c r="I1261" s="6" t="s">
        <v>324</v>
      </c>
      <c r="J1261" s="6" t="s">
        <v>1849</v>
      </c>
      <c r="K1261" s="1">
        <v>0</v>
      </c>
      <c r="L1261" s="6" t="s">
        <v>240</v>
      </c>
      <c r="M1261" s="1">
        <v>2012</v>
      </c>
      <c r="N1261" s="1" t="s">
        <v>1860</v>
      </c>
      <c r="O1261" s="1">
        <v>0</v>
      </c>
      <c r="P1261" s="1">
        <v>0</v>
      </c>
      <c r="Q1261" s="1">
        <v>0</v>
      </c>
      <c r="R1261" s="1">
        <v>0</v>
      </c>
      <c r="S1261" s="1" t="s">
        <v>251</v>
      </c>
    </row>
    <row r="1262" spans="1:19" ht="14.45" customHeight="1" x14ac:dyDescent="0.25">
      <c r="A1262" s="6">
        <v>1263</v>
      </c>
      <c r="B1262" s="6">
        <v>8301501</v>
      </c>
      <c r="C1262" t="s">
        <v>1104</v>
      </c>
      <c r="D1262" s="1" t="s">
        <v>1105</v>
      </c>
      <c r="E1262" s="21" t="s">
        <v>237</v>
      </c>
      <c r="F1262" s="21">
        <v>503.31988193593691</v>
      </c>
      <c r="G1262" s="1" t="s">
        <v>233</v>
      </c>
      <c r="H1262" s="6" t="s">
        <v>1951</v>
      </c>
      <c r="I1262" s="6" t="s">
        <v>593</v>
      </c>
      <c r="J1262" s="6" t="s">
        <v>1853</v>
      </c>
      <c r="K1262" s="1">
        <v>0</v>
      </c>
      <c r="L1262" s="6" t="s">
        <v>245</v>
      </c>
      <c r="M1262" s="1">
        <v>2011</v>
      </c>
      <c r="N1262" s="1" t="s">
        <v>237</v>
      </c>
      <c r="O1262" s="1">
        <v>0</v>
      </c>
      <c r="P1262" s="1">
        <v>0</v>
      </c>
      <c r="Q1262" s="1">
        <v>0</v>
      </c>
      <c r="R1262" s="1">
        <v>0</v>
      </c>
      <c r="S1262" s="1" t="s">
        <v>251</v>
      </c>
    </row>
    <row r="1263" spans="1:19" ht="14.45" customHeight="1" x14ac:dyDescent="0.25">
      <c r="A1263" s="6">
        <v>1264</v>
      </c>
      <c r="B1263" s="6">
        <v>8301501</v>
      </c>
      <c r="C1263" t="s">
        <v>1104</v>
      </c>
      <c r="D1263" s="1" t="s">
        <v>1105</v>
      </c>
      <c r="E1263" s="21" t="s">
        <v>237</v>
      </c>
      <c r="F1263" s="21">
        <v>503.31988193593691</v>
      </c>
      <c r="G1263" s="1" t="s">
        <v>233</v>
      </c>
      <c r="H1263" s="6" t="s">
        <v>1951</v>
      </c>
      <c r="I1263" s="6" t="s">
        <v>593</v>
      </c>
      <c r="J1263" s="6" t="s">
        <v>1853</v>
      </c>
      <c r="K1263" s="1">
        <v>0</v>
      </c>
      <c r="L1263" s="6" t="s">
        <v>245</v>
      </c>
      <c r="M1263" s="1">
        <v>2011</v>
      </c>
      <c r="N1263" s="1" t="s">
        <v>237</v>
      </c>
      <c r="O1263" s="1">
        <v>0</v>
      </c>
      <c r="P1263" s="1">
        <v>0</v>
      </c>
      <c r="Q1263" s="1">
        <v>0</v>
      </c>
      <c r="R1263" s="1">
        <v>0</v>
      </c>
      <c r="S1263" s="1" t="s">
        <v>251</v>
      </c>
    </row>
    <row r="1264" spans="1:19" ht="14.45" customHeight="1" x14ac:dyDescent="0.25">
      <c r="A1264" s="6">
        <v>1265</v>
      </c>
      <c r="B1264" s="6">
        <v>8301601</v>
      </c>
      <c r="C1264" t="s">
        <v>1106</v>
      </c>
      <c r="D1264" s="1" t="s">
        <v>1107</v>
      </c>
      <c r="E1264" s="21" t="s">
        <v>237</v>
      </c>
      <c r="F1264" s="21">
        <v>503.31988193593691</v>
      </c>
      <c r="G1264" s="1" t="s">
        <v>233</v>
      </c>
      <c r="H1264" s="6" t="s">
        <v>1951</v>
      </c>
      <c r="I1264" s="6" t="s">
        <v>593</v>
      </c>
      <c r="J1264" s="6" t="s">
        <v>1853</v>
      </c>
      <c r="K1264" s="1">
        <v>0</v>
      </c>
      <c r="L1264" s="6" t="s">
        <v>245</v>
      </c>
      <c r="M1264" s="1">
        <v>2011</v>
      </c>
      <c r="N1264" s="1" t="s">
        <v>237</v>
      </c>
      <c r="O1264" s="1">
        <v>0</v>
      </c>
      <c r="P1264" s="1">
        <v>0</v>
      </c>
      <c r="Q1264" s="1">
        <v>0</v>
      </c>
      <c r="R1264" s="1">
        <v>0</v>
      </c>
      <c r="S1264" s="1" t="s">
        <v>251</v>
      </c>
    </row>
    <row r="1265" spans="1:19" ht="14.45" customHeight="1" x14ac:dyDescent="0.25">
      <c r="A1265" s="6">
        <v>1266</v>
      </c>
      <c r="B1265" s="6">
        <v>8301601</v>
      </c>
      <c r="C1265" t="s">
        <v>1106</v>
      </c>
      <c r="D1265" s="1" t="s">
        <v>1107</v>
      </c>
      <c r="E1265" s="21">
        <v>7590</v>
      </c>
      <c r="F1265" s="1" t="s">
        <v>233</v>
      </c>
      <c r="G1265" s="1" t="s">
        <v>233</v>
      </c>
      <c r="H1265" s="6" t="s">
        <v>1951</v>
      </c>
      <c r="I1265" s="6" t="s">
        <v>685</v>
      </c>
      <c r="J1265" s="6" t="s">
        <v>1852</v>
      </c>
      <c r="K1265" s="1">
        <v>0</v>
      </c>
      <c r="L1265" s="6" t="s">
        <v>239</v>
      </c>
      <c r="M1265" s="1">
        <v>2016</v>
      </c>
      <c r="N1265" s="1" t="s">
        <v>237</v>
      </c>
      <c r="O1265" s="1">
        <v>0</v>
      </c>
      <c r="P1265" s="1">
        <v>0</v>
      </c>
      <c r="Q1265" s="1">
        <v>0</v>
      </c>
      <c r="R1265" s="1">
        <v>0</v>
      </c>
      <c r="S1265" s="1" t="s">
        <v>251</v>
      </c>
    </row>
    <row r="1266" spans="1:19" ht="14.45" customHeight="1" x14ac:dyDescent="0.25">
      <c r="A1266" s="6">
        <v>1267</v>
      </c>
      <c r="B1266" s="6">
        <v>8302415</v>
      </c>
      <c r="C1266" t="s">
        <v>1108</v>
      </c>
      <c r="D1266" s="1">
        <v>220429</v>
      </c>
      <c r="E1266" s="21" t="s">
        <v>237</v>
      </c>
      <c r="F1266" s="1" t="s">
        <v>233</v>
      </c>
      <c r="G1266" s="19">
        <v>22</v>
      </c>
      <c r="H1266" s="6" t="s">
        <v>1951</v>
      </c>
      <c r="I1266" s="6" t="s">
        <v>465</v>
      </c>
      <c r="J1266" s="6" t="s">
        <v>1849</v>
      </c>
      <c r="K1266" s="1">
        <v>0</v>
      </c>
      <c r="L1266" s="6" t="s">
        <v>234</v>
      </c>
      <c r="M1266" s="1">
        <v>2007</v>
      </c>
      <c r="N1266" s="1" t="s">
        <v>237</v>
      </c>
      <c r="O1266" s="1">
        <v>0</v>
      </c>
      <c r="P1266" s="1">
        <v>0</v>
      </c>
      <c r="Q1266" s="1">
        <v>0</v>
      </c>
      <c r="R1266" s="1">
        <v>0</v>
      </c>
      <c r="S1266" s="1" t="s">
        <v>235</v>
      </c>
    </row>
    <row r="1267" spans="1:19" ht="14.45" customHeight="1" x14ac:dyDescent="0.25">
      <c r="A1267" s="6">
        <v>1268</v>
      </c>
      <c r="B1267" s="6">
        <v>8302415</v>
      </c>
      <c r="C1267" t="s">
        <v>1108</v>
      </c>
      <c r="D1267" s="1">
        <v>220429</v>
      </c>
      <c r="E1267" s="21" t="s">
        <v>237</v>
      </c>
      <c r="F1267" s="21">
        <v>409.67897366878577</v>
      </c>
      <c r="G1267" s="1" t="s">
        <v>233</v>
      </c>
      <c r="H1267" s="6" t="s">
        <v>1951</v>
      </c>
      <c r="I1267" s="6" t="s">
        <v>593</v>
      </c>
      <c r="J1267" s="6" t="s">
        <v>1853</v>
      </c>
      <c r="K1267" s="1">
        <v>0</v>
      </c>
      <c r="L1267" s="6" t="s">
        <v>245</v>
      </c>
      <c r="M1267" s="1">
        <v>2011</v>
      </c>
      <c r="N1267" s="1" t="s">
        <v>237</v>
      </c>
      <c r="O1267" s="1">
        <v>0</v>
      </c>
      <c r="P1267" s="1">
        <v>0</v>
      </c>
      <c r="Q1267" s="1">
        <v>0</v>
      </c>
      <c r="R1267" s="1">
        <v>0</v>
      </c>
      <c r="S1267" s="1" t="s">
        <v>251</v>
      </c>
    </row>
    <row r="1268" spans="1:19" ht="14.45" customHeight="1" x14ac:dyDescent="0.25">
      <c r="A1268" s="6">
        <v>1269</v>
      </c>
      <c r="B1268" s="6">
        <v>8302415</v>
      </c>
      <c r="C1268" t="s">
        <v>1108</v>
      </c>
      <c r="D1268" s="1">
        <v>220429</v>
      </c>
      <c r="E1268" s="21" t="s">
        <v>237</v>
      </c>
      <c r="F1268" s="21">
        <v>409.67897366878577</v>
      </c>
      <c r="G1268" s="1" t="s">
        <v>233</v>
      </c>
      <c r="H1268" s="6" t="s">
        <v>1951</v>
      </c>
      <c r="I1268" s="6" t="s">
        <v>593</v>
      </c>
      <c r="J1268" s="6" t="s">
        <v>1853</v>
      </c>
      <c r="K1268" s="1">
        <v>0</v>
      </c>
      <c r="L1268" s="6" t="s">
        <v>245</v>
      </c>
      <c r="M1268" s="1">
        <v>2011</v>
      </c>
      <c r="N1268" s="1" t="s">
        <v>237</v>
      </c>
      <c r="O1268" s="1">
        <v>0</v>
      </c>
      <c r="P1268" s="1">
        <v>0</v>
      </c>
      <c r="Q1268" s="1">
        <v>0</v>
      </c>
      <c r="R1268" s="1">
        <v>0</v>
      </c>
      <c r="S1268" s="1" t="s">
        <v>251</v>
      </c>
    </row>
    <row r="1269" spans="1:19" ht="14.45" customHeight="1" x14ac:dyDescent="0.25">
      <c r="A1269" s="6">
        <v>1270</v>
      </c>
      <c r="B1269" s="6">
        <v>8302415</v>
      </c>
      <c r="C1269" t="s">
        <v>1108</v>
      </c>
      <c r="D1269" s="1">
        <v>220429</v>
      </c>
      <c r="E1269" s="21" t="s">
        <v>237</v>
      </c>
      <c r="F1269" s="1" t="s">
        <v>233</v>
      </c>
      <c r="G1269" s="19">
        <v>10</v>
      </c>
      <c r="H1269" s="6" t="s">
        <v>1951</v>
      </c>
      <c r="I1269" s="6" t="s">
        <v>681</v>
      </c>
      <c r="J1269" s="6" t="s">
        <v>1849</v>
      </c>
      <c r="K1269" s="1">
        <v>0</v>
      </c>
      <c r="L1269" s="6" t="s">
        <v>236</v>
      </c>
      <c r="M1269" s="1">
        <v>2009</v>
      </c>
      <c r="N1269" s="1" t="s">
        <v>237</v>
      </c>
      <c r="O1269" s="1">
        <v>0</v>
      </c>
      <c r="P1269" s="1">
        <v>0</v>
      </c>
      <c r="Q1269" s="1">
        <v>0</v>
      </c>
      <c r="R1269" s="1">
        <v>0</v>
      </c>
      <c r="S1269" s="1" t="s">
        <v>251</v>
      </c>
    </row>
    <row r="1270" spans="1:19" ht="14.45" customHeight="1" x14ac:dyDescent="0.25">
      <c r="A1270" s="6">
        <v>1271</v>
      </c>
      <c r="B1270" s="6">
        <v>8302415</v>
      </c>
      <c r="C1270" t="s">
        <v>1108</v>
      </c>
      <c r="D1270" s="1">
        <v>220429</v>
      </c>
      <c r="E1270" s="21">
        <v>2300</v>
      </c>
      <c r="F1270" s="1" t="s">
        <v>233</v>
      </c>
      <c r="G1270" s="1" t="s">
        <v>233</v>
      </c>
      <c r="H1270" s="6" t="s">
        <v>1951</v>
      </c>
      <c r="I1270" s="6" t="s">
        <v>685</v>
      </c>
      <c r="J1270" s="6" t="s">
        <v>1852</v>
      </c>
      <c r="K1270" s="1">
        <v>0</v>
      </c>
      <c r="L1270" s="6" t="s">
        <v>239</v>
      </c>
      <c r="M1270" s="1">
        <v>2016</v>
      </c>
      <c r="N1270" s="1" t="s">
        <v>237</v>
      </c>
      <c r="O1270" s="1">
        <v>0</v>
      </c>
      <c r="P1270" s="1">
        <v>0</v>
      </c>
      <c r="Q1270" s="1">
        <v>0</v>
      </c>
      <c r="R1270" s="1">
        <v>0</v>
      </c>
      <c r="S1270" s="1" t="s">
        <v>251</v>
      </c>
    </row>
    <row r="1271" spans="1:19" ht="14.45" customHeight="1" x14ac:dyDescent="0.25">
      <c r="A1271" s="6">
        <v>1272</v>
      </c>
      <c r="B1271" s="6">
        <v>8302415</v>
      </c>
      <c r="C1271" t="s">
        <v>1108</v>
      </c>
      <c r="D1271" s="1">
        <v>220429</v>
      </c>
      <c r="E1271" s="21">
        <v>2100</v>
      </c>
      <c r="F1271" s="1" t="s">
        <v>233</v>
      </c>
      <c r="G1271" s="1" t="s">
        <v>233</v>
      </c>
      <c r="H1271" s="6" t="s">
        <v>1954</v>
      </c>
      <c r="I1271" s="6" t="s">
        <v>429</v>
      </c>
      <c r="J1271" s="6" t="s">
        <v>1849</v>
      </c>
      <c r="K1271" s="1">
        <v>0</v>
      </c>
      <c r="L1271" s="6" t="s">
        <v>234</v>
      </c>
      <c r="M1271" s="1">
        <v>2015</v>
      </c>
      <c r="N1271" s="1" t="s">
        <v>1864</v>
      </c>
      <c r="O1271" s="1">
        <v>0</v>
      </c>
      <c r="P1271" s="1">
        <v>0</v>
      </c>
      <c r="Q1271" s="1">
        <v>0</v>
      </c>
      <c r="R1271" s="1">
        <v>0</v>
      </c>
      <c r="S1271" s="1" t="s">
        <v>251</v>
      </c>
    </row>
    <row r="1272" spans="1:19" ht="14.45" customHeight="1" x14ac:dyDescent="0.25">
      <c r="A1272" s="6">
        <v>1273</v>
      </c>
      <c r="B1272" s="6">
        <v>8303501</v>
      </c>
      <c r="C1272" t="s">
        <v>1109</v>
      </c>
      <c r="D1272" s="1" t="s">
        <v>1110</v>
      </c>
      <c r="E1272" s="21">
        <v>3000</v>
      </c>
      <c r="F1272" s="1" t="s">
        <v>233</v>
      </c>
      <c r="G1272" s="1" t="s">
        <v>233</v>
      </c>
      <c r="H1272" s="6" t="s">
        <v>1954</v>
      </c>
      <c r="I1272" s="6" t="s">
        <v>324</v>
      </c>
      <c r="J1272" s="6" t="s">
        <v>1849</v>
      </c>
      <c r="K1272" s="1">
        <v>0</v>
      </c>
      <c r="L1272" s="6" t="s">
        <v>240</v>
      </c>
      <c r="M1272" s="1">
        <v>2012</v>
      </c>
      <c r="N1272" s="1" t="s">
        <v>1860</v>
      </c>
      <c r="O1272" s="1">
        <v>0</v>
      </c>
      <c r="P1272" s="1">
        <v>0</v>
      </c>
      <c r="Q1272" s="1">
        <v>0</v>
      </c>
      <c r="R1272" s="1">
        <v>0</v>
      </c>
      <c r="S1272" s="1" t="s">
        <v>251</v>
      </c>
    </row>
    <row r="1273" spans="1:19" ht="14.45" customHeight="1" x14ac:dyDescent="0.25">
      <c r="A1273" s="6">
        <v>1274</v>
      </c>
      <c r="B1273" s="6">
        <v>8400101</v>
      </c>
      <c r="C1273" t="s">
        <v>1111</v>
      </c>
      <c r="D1273" s="1" t="s">
        <v>1112</v>
      </c>
      <c r="E1273" s="21">
        <v>1346</v>
      </c>
      <c r="F1273" s="1" t="s">
        <v>233</v>
      </c>
      <c r="G1273" s="1" t="s">
        <v>233</v>
      </c>
      <c r="H1273" s="6" t="s">
        <v>1954</v>
      </c>
      <c r="I1273" s="6" t="s">
        <v>328</v>
      </c>
      <c r="J1273" s="6" t="s">
        <v>1849</v>
      </c>
      <c r="K1273" s="1">
        <v>0</v>
      </c>
      <c r="L1273" s="6" t="s">
        <v>236</v>
      </c>
      <c r="M1273" s="1">
        <v>2012</v>
      </c>
      <c r="N1273" s="1" t="s">
        <v>237</v>
      </c>
      <c r="O1273" s="1">
        <v>0</v>
      </c>
      <c r="P1273" s="1">
        <v>0</v>
      </c>
      <c r="Q1273" s="1">
        <v>0</v>
      </c>
      <c r="R1273" s="1">
        <v>0</v>
      </c>
      <c r="S1273" s="1" t="s">
        <v>235</v>
      </c>
    </row>
    <row r="1274" spans="1:19" ht="14.45" customHeight="1" x14ac:dyDescent="0.25">
      <c r="A1274" s="6">
        <v>1275</v>
      </c>
      <c r="B1274" s="6">
        <v>8400101</v>
      </c>
      <c r="C1274" t="s">
        <v>1111</v>
      </c>
      <c r="D1274" s="1" t="s">
        <v>1112</v>
      </c>
      <c r="E1274" s="21">
        <v>2794</v>
      </c>
      <c r="F1274" s="1" t="s">
        <v>233</v>
      </c>
      <c r="G1274" s="1" t="s">
        <v>233</v>
      </c>
      <c r="H1274" s="6" t="s">
        <v>1954</v>
      </c>
      <c r="I1274" s="6" t="s">
        <v>333</v>
      </c>
      <c r="J1274" s="6" t="s">
        <v>1849</v>
      </c>
      <c r="K1274" s="1">
        <v>0</v>
      </c>
      <c r="L1274" s="6" t="s">
        <v>236</v>
      </c>
      <c r="M1274" s="1">
        <v>2012</v>
      </c>
      <c r="N1274" s="1" t="s">
        <v>237</v>
      </c>
      <c r="O1274" s="1">
        <v>0</v>
      </c>
      <c r="P1274" s="1">
        <v>0</v>
      </c>
      <c r="Q1274" s="1">
        <v>0</v>
      </c>
      <c r="R1274" s="1">
        <v>0</v>
      </c>
      <c r="S1274" s="1" t="s">
        <v>235</v>
      </c>
    </row>
    <row r="1275" spans="1:19" ht="14.45" customHeight="1" x14ac:dyDescent="0.25">
      <c r="A1275" s="6">
        <v>1276</v>
      </c>
      <c r="B1275" s="6">
        <v>8400101</v>
      </c>
      <c r="C1275" t="s">
        <v>1111</v>
      </c>
      <c r="D1275" s="1" t="s">
        <v>1112</v>
      </c>
      <c r="E1275" s="21">
        <v>3897</v>
      </c>
      <c r="F1275" s="1" t="s">
        <v>233</v>
      </c>
      <c r="G1275" s="1" t="s">
        <v>233</v>
      </c>
      <c r="H1275" s="6" t="s">
        <v>1951</v>
      </c>
      <c r="I1275" s="6" t="s">
        <v>338</v>
      </c>
      <c r="J1275" s="6" t="s">
        <v>1849</v>
      </c>
      <c r="K1275" s="1">
        <v>0</v>
      </c>
      <c r="L1275" s="6" t="s">
        <v>312</v>
      </c>
      <c r="M1275" s="1">
        <v>2008</v>
      </c>
      <c r="N1275" s="1" t="s">
        <v>237</v>
      </c>
      <c r="O1275" s="1">
        <v>0</v>
      </c>
      <c r="P1275" s="1">
        <v>0</v>
      </c>
      <c r="Q1275" s="1">
        <v>0</v>
      </c>
      <c r="R1275" s="1">
        <v>0</v>
      </c>
      <c r="S1275" s="1" t="s">
        <v>235</v>
      </c>
    </row>
    <row r="1276" spans="1:19" ht="14.45" customHeight="1" x14ac:dyDescent="0.25">
      <c r="A1276" s="6">
        <v>1277</v>
      </c>
      <c r="B1276" s="6">
        <v>8400101</v>
      </c>
      <c r="C1276" t="s">
        <v>1111</v>
      </c>
      <c r="D1276" s="1" t="s">
        <v>1112</v>
      </c>
      <c r="E1276" s="21">
        <v>1878.69</v>
      </c>
      <c r="F1276" s="1" t="s">
        <v>233</v>
      </c>
      <c r="G1276" s="1" t="s">
        <v>233</v>
      </c>
      <c r="H1276" s="6" t="s">
        <v>1954</v>
      </c>
      <c r="I1276" s="6" t="s">
        <v>448</v>
      </c>
      <c r="J1276" s="6" t="s">
        <v>1849</v>
      </c>
      <c r="K1276" s="1">
        <v>0</v>
      </c>
      <c r="L1276" s="6" t="s">
        <v>258</v>
      </c>
      <c r="M1276" s="1">
        <v>2014</v>
      </c>
      <c r="N1276" s="1" t="s">
        <v>237</v>
      </c>
      <c r="O1276" s="1">
        <v>0</v>
      </c>
      <c r="P1276" s="1">
        <v>0</v>
      </c>
      <c r="Q1276" s="1">
        <v>0</v>
      </c>
      <c r="R1276" s="1">
        <v>0</v>
      </c>
      <c r="S1276" s="1" t="s">
        <v>235</v>
      </c>
    </row>
    <row r="1277" spans="1:19" ht="14.45" customHeight="1" x14ac:dyDescent="0.25">
      <c r="A1277" s="6">
        <v>1278</v>
      </c>
      <c r="B1277" s="6">
        <v>8400101</v>
      </c>
      <c r="C1277" t="s">
        <v>1111</v>
      </c>
      <c r="D1277" s="1" t="s">
        <v>1112</v>
      </c>
      <c r="E1277" s="21">
        <v>5225</v>
      </c>
      <c r="F1277" s="1" t="s">
        <v>233</v>
      </c>
      <c r="G1277" s="1" t="s">
        <v>233</v>
      </c>
      <c r="H1277" s="6" t="s">
        <v>1951</v>
      </c>
      <c r="I1277" s="6" t="s">
        <v>464</v>
      </c>
      <c r="J1277" s="6" t="s">
        <v>1851</v>
      </c>
      <c r="K1277" s="1">
        <v>0</v>
      </c>
      <c r="L1277" s="6" t="s">
        <v>236</v>
      </c>
      <c r="M1277" s="1">
        <v>2008</v>
      </c>
      <c r="N1277" s="1" t="s">
        <v>237</v>
      </c>
      <c r="O1277" s="1">
        <v>0</v>
      </c>
      <c r="P1277" s="1" t="s">
        <v>1952</v>
      </c>
      <c r="Q1277" s="1">
        <v>0</v>
      </c>
      <c r="R1277" s="1">
        <v>0</v>
      </c>
      <c r="S1277" s="1" t="s">
        <v>235</v>
      </c>
    </row>
    <row r="1278" spans="1:19" ht="14.45" customHeight="1" x14ac:dyDescent="0.25">
      <c r="A1278" s="6">
        <v>1279</v>
      </c>
      <c r="B1278" s="6">
        <v>8400101</v>
      </c>
      <c r="C1278" t="s">
        <v>1111</v>
      </c>
      <c r="D1278" s="1" t="s">
        <v>1112</v>
      </c>
      <c r="E1278" s="21">
        <v>2575</v>
      </c>
      <c r="F1278" s="1" t="s">
        <v>233</v>
      </c>
      <c r="G1278" s="1" t="s">
        <v>233</v>
      </c>
      <c r="H1278" s="6" t="s">
        <v>1954</v>
      </c>
      <c r="I1278" s="6" t="s">
        <v>479</v>
      </c>
      <c r="J1278" s="6" t="s">
        <v>1849</v>
      </c>
      <c r="K1278" s="1">
        <v>0</v>
      </c>
      <c r="L1278" s="6" t="s">
        <v>236</v>
      </c>
      <c r="M1278" s="1">
        <v>2012</v>
      </c>
      <c r="N1278" s="1" t="s">
        <v>237</v>
      </c>
      <c r="O1278" s="1">
        <v>0</v>
      </c>
      <c r="P1278" s="1">
        <v>0</v>
      </c>
      <c r="Q1278" s="1">
        <v>0</v>
      </c>
      <c r="R1278" s="1">
        <v>0</v>
      </c>
      <c r="S1278" s="1" t="s">
        <v>235</v>
      </c>
    </row>
    <row r="1279" spans="1:19" ht="14.45" customHeight="1" x14ac:dyDescent="0.25">
      <c r="A1279" s="6">
        <v>1280</v>
      </c>
      <c r="B1279" s="6">
        <v>8400101</v>
      </c>
      <c r="C1279" t="s">
        <v>1111</v>
      </c>
      <c r="D1279" s="1" t="s">
        <v>1112</v>
      </c>
      <c r="E1279" s="21">
        <v>937</v>
      </c>
      <c r="F1279" s="1" t="s">
        <v>233</v>
      </c>
      <c r="G1279" s="1" t="s">
        <v>233</v>
      </c>
      <c r="H1279" s="6" t="s">
        <v>1951</v>
      </c>
      <c r="I1279" s="6" t="s">
        <v>507</v>
      </c>
      <c r="J1279" s="6" t="s">
        <v>1849</v>
      </c>
      <c r="K1279" s="1">
        <v>0</v>
      </c>
      <c r="L1279" s="6" t="s">
        <v>236</v>
      </c>
      <c r="M1279" s="1">
        <v>2009</v>
      </c>
      <c r="N1279" s="1" t="s">
        <v>237</v>
      </c>
      <c r="O1279" s="1">
        <v>0</v>
      </c>
      <c r="P1279" s="1" t="s">
        <v>1952</v>
      </c>
      <c r="Q1279" s="1">
        <v>0</v>
      </c>
      <c r="R1279" s="1">
        <v>0</v>
      </c>
      <c r="S1279" s="1" t="s">
        <v>235</v>
      </c>
    </row>
    <row r="1280" spans="1:19" ht="14.45" customHeight="1" x14ac:dyDescent="0.25">
      <c r="A1280" s="6">
        <v>1281</v>
      </c>
      <c r="B1280" s="6">
        <v>8400101</v>
      </c>
      <c r="C1280" t="s">
        <v>1111</v>
      </c>
      <c r="D1280" s="1" t="s">
        <v>1112</v>
      </c>
      <c r="E1280" s="21">
        <v>2017</v>
      </c>
      <c r="F1280" s="1">
        <v>6730</v>
      </c>
      <c r="G1280" s="1" t="s">
        <v>233</v>
      </c>
      <c r="H1280" s="6" t="s">
        <v>1954</v>
      </c>
      <c r="I1280" s="6" t="s">
        <v>610</v>
      </c>
      <c r="J1280" s="6" t="s">
        <v>1851</v>
      </c>
      <c r="K1280" s="1">
        <v>0</v>
      </c>
      <c r="L1280" s="6" t="s">
        <v>236</v>
      </c>
      <c r="M1280" s="1">
        <v>2012</v>
      </c>
      <c r="N1280" s="1" t="s">
        <v>237</v>
      </c>
      <c r="O1280" s="1">
        <v>0</v>
      </c>
      <c r="P1280" s="1">
        <v>0</v>
      </c>
      <c r="Q1280" s="1">
        <v>0</v>
      </c>
      <c r="R1280" s="1">
        <v>0</v>
      </c>
      <c r="S1280" s="1" t="s">
        <v>235</v>
      </c>
    </row>
    <row r="1281" spans="1:19" ht="14.45" customHeight="1" x14ac:dyDescent="0.25">
      <c r="A1281" s="6">
        <v>1282</v>
      </c>
      <c r="B1281" s="6">
        <v>8400101</v>
      </c>
      <c r="C1281" t="s">
        <v>1111</v>
      </c>
      <c r="D1281" s="1" t="s">
        <v>1112</v>
      </c>
      <c r="E1281" s="21">
        <v>2098</v>
      </c>
      <c r="F1281" s="1">
        <v>6783</v>
      </c>
      <c r="G1281" s="1" t="s">
        <v>233</v>
      </c>
      <c r="H1281" s="6" t="s">
        <v>1954</v>
      </c>
      <c r="I1281" s="6" t="s">
        <v>611</v>
      </c>
      <c r="J1281" s="6" t="s">
        <v>1851</v>
      </c>
      <c r="K1281" s="1">
        <v>0</v>
      </c>
      <c r="L1281" s="6" t="s">
        <v>236</v>
      </c>
      <c r="M1281" s="1">
        <v>2012</v>
      </c>
      <c r="N1281" s="1" t="s">
        <v>237</v>
      </c>
      <c r="O1281" s="1">
        <v>0</v>
      </c>
      <c r="P1281" s="1">
        <v>0</v>
      </c>
      <c r="Q1281" s="1">
        <v>0</v>
      </c>
      <c r="R1281" s="1">
        <v>0</v>
      </c>
      <c r="S1281" s="1" t="s">
        <v>235</v>
      </c>
    </row>
    <row r="1282" spans="1:19" ht="14.45" customHeight="1" x14ac:dyDescent="0.25">
      <c r="A1282" s="6">
        <v>1283</v>
      </c>
      <c r="B1282" s="6">
        <v>8400101</v>
      </c>
      <c r="C1282" t="s">
        <v>1111</v>
      </c>
      <c r="D1282" s="1" t="s">
        <v>1112</v>
      </c>
      <c r="E1282" s="21">
        <v>1908</v>
      </c>
      <c r="F1282" s="1">
        <v>6738</v>
      </c>
      <c r="G1282" s="1" t="s">
        <v>233</v>
      </c>
      <c r="H1282" s="6" t="s">
        <v>1954</v>
      </c>
      <c r="I1282" s="6" t="s">
        <v>612</v>
      </c>
      <c r="J1282" s="6" t="s">
        <v>1851</v>
      </c>
      <c r="K1282" s="1">
        <v>0</v>
      </c>
      <c r="L1282" s="6" t="s">
        <v>236</v>
      </c>
      <c r="M1282" s="1">
        <v>2012</v>
      </c>
      <c r="N1282" s="1" t="s">
        <v>237</v>
      </c>
      <c r="O1282" s="1">
        <v>0</v>
      </c>
      <c r="P1282" s="1">
        <v>0</v>
      </c>
      <c r="Q1282" s="1">
        <v>0</v>
      </c>
      <c r="R1282" s="1">
        <v>0</v>
      </c>
      <c r="S1282" s="1" t="s">
        <v>235</v>
      </c>
    </row>
    <row r="1283" spans="1:19" ht="14.45" customHeight="1" x14ac:dyDescent="0.25">
      <c r="A1283" s="6">
        <v>1284</v>
      </c>
      <c r="B1283" s="6">
        <v>8400101</v>
      </c>
      <c r="C1283" t="s">
        <v>1111</v>
      </c>
      <c r="D1283" s="1" t="s">
        <v>1112</v>
      </c>
      <c r="E1283" s="21">
        <v>2759</v>
      </c>
      <c r="F1283" s="1" t="s">
        <v>233</v>
      </c>
      <c r="G1283" s="1" t="s">
        <v>233</v>
      </c>
      <c r="H1283" s="6" t="s">
        <v>1954</v>
      </c>
      <c r="I1283" s="6" t="s">
        <v>1113</v>
      </c>
      <c r="J1283" s="6" t="s">
        <v>1851</v>
      </c>
      <c r="K1283" s="1">
        <v>0</v>
      </c>
      <c r="L1283" s="6" t="s">
        <v>236</v>
      </c>
      <c r="M1283" s="1">
        <v>2014</v>
      </c>
      <c r="N1283" s="1" t="s">
        <v>1859</v>
      </c>
      <c r="O1283" s="1">
        <v>0</v>
      </c>
      <c r="P1283" s="1">
        <v>0</v>
      </c>
      <c r="Q1283" s="1">
        <v>0</v>
      </c>
      <c r="R1283" s="1">
        <v>0</v>
      </c>
      <c r="S1283" s="1" t="s">
        <v>235</v>
      </c>
    </row>
    <row r="1284" spans="1:19" ht="14.45" customHeight="1" x14ac:dyDescent="0.25">
      <c r="A1284" s="6">
        <v>1285</v>
      </c>
      <c r="B1284" s="6">
        <v>8400101</v>
      </c>
      <c r="C1284" t="s">
        <v>1111</v>
      </c>
      <c r="D1284" s="1" t="s">
        <v>1112</v>
      </c>
      <c r="E1284" s="21">
        <v>5024</v>
      </c>
      <c r="F1284" s="1" t="s">
        <v>233</v>
      </c>
      <c r="G1284" s="1" t="s">
        <v>233</v>
      </c>
      <c r="H1284" s="6" t="s">
        <v>1954</v>
      </c>
      <c r="I1284" s="6" t="s">
        <v>605</v>
      </c>
      <c r="J1284" s="6" t="s">
        <v>1851</v>
      </c>
      <c r="K1284" s="1">
        <v>0</v>
      </c>
      <c r="L1284" s="6" t="s">
        <v>236</v>
      </c>
      <c r="M1284" s="1">
        <v>2014</v>
      </c>
      <c r="N1284" s="1" t="s">
        <v>237</v>
      </c>
      <c r="O1284" s="1">
        <v>0</v>
      </c>
      <c r="P1284" s="1">
        <v>0</v>
      </c>
      <c r="Q1284" s="1">
        <v>0</v>
      </c>
      <c r="R1284" s="1">
        <v>0</v>
      </c>
      <c r="S1284" s="1" t="s">
        <v>235</v>
      </c>
    </row>
    <row r="1285" spans="1:19" ht="14.45" customHeight="1" x14ac:dyDescent="0.25">
      <c r="A1285" s="6">
        <v>1286</v>
      </c>
      <c r="B1285" s="6">
        <v>8400101</v>
      </c>
      <c r="C1285" t="s">
        <v>1111</v>
      </c>
      <c r="D1285" s="1" t="s">
        <v>1112</v>
      </c>
      <c r="E1285" s="21">
        <v>4579</v>
      </c>
      <c r="F1285" s="1" t="s">
        <v>233</v>
      </c>
      <c r="G1285" s="1" t="s">
        <v>233</v>
      </c>
      <c r="H1285" s="6" t="s">
        <v>1954</v>
      </c>
      <c r="I1285" s="6" t="s">
        <v>606</v>
      </c>
      <c r="J1285" s="6" t="s">
        <v>1851</v>
      </c>
      <c r="K1285" s="1">
        <v>0</v>
      </c>
      <c r="L1285" s="6" t="s">
        <v>236</v>
      </c>
      <c r="M1285" s="1">
        <v>2014</v>
      </c>
      <c r="N1285" s="1" t="s">
        <v>237</v>
      </c>
      <c r="O1285" s="1">
        <v>0</v>
      </c>
      <c r="P1285" s="1">
        <v>0</v>
      </c>
      <c r="Q1285" s="1">
        <v>0</v>
      </c>
      <c r="R1285" s="1">
        <v>0</v>
      </c>
      <c r="S1285" s="1" t="s">
        <v>235</v>
      </c>
    </row>
    <row r="1286" spans="1:19" ht="14.45" customHeight="1" x14ac:dyDescent="0.25">
      <c r="A1286" s="6">
        <v>1287</v>
      </c>
      <c r="B1286" s="6">
        <v>8400101</v>
      </c>
      <c r="C1286" t="s">
        <v>1111</v>
      </c>
      <c r="D1286" s="1" t="s">
        <v>1112</v>
      </c>
      <c r="E1286" s="21">
        <v>5076</v>
      </c>
      <c r="F1286" s="1" t="s">
        <v>233</v>
      </c>
      <c r="G1286" s="1" t="s">
        <v>233</v>
      </c>
      <c r="H1286" s="6" t="s">
        <v>1954</v>
      </c>
      <c r="I1286" s="6" t="s">
        <v>607</v>
      </c>
      <c r="J1286" s="6" t="s">
        <v>1851</v>
      </c>
      <c r="K1286" s="1">
        <v>0</v>
      </c>
      <c r="L1286" s="6" t="s">
        <v>236</v>
      </c>
      <c r="M1286" s="1">
        <v>2014</v>
      </c>
      <c r="N1286" s="1" t="s">
        <v>237</v>
      </c>
      <c r="O1286" s="1">
        <v>0</v>
      </c>
      <c r="P1286" s="1">
        <v>0</v>
      </c>
      <c r="Q1286" s="1">
        <v>0</v>
      </c>
      <c r="R1286" s="1">
        <v>0</v>
      </c>
      <c r="S1286" s="1" t="s">
        <v>235</v>
      </c>
    </row>
    <row r="1287" spans="1:19" ht="14.45" customHeight="1" x14ac:dyDescent="0.25">
      <c r="A1287" s="6">
        <v>1288</v>
      </c>
      <c r="B1287" s="6">
        <v>8400101</v>
      </c>
      <c r="C1287" t="s">
        <v>1111</v>
      </c>
      <c r="D1287" s="1" t="s">
        <v>1112</v>
      </c>
      <c r="E1287" s="21">
        <v>5558</v>
      </c>
      <c r="F1287" s="1" t="s">
        <v>233</v>
      </c>
      <c r="G1287" s="1" t="s">
        <v>233</v>
      </c>
      <c r="H1287" s="6" t="s">
        <v>1954</v>
      </c>
      <c r="I1287" s="6" t="s">
        <v>608</v>
      </c>
      <c r="J1287" s="6" t="s">
        <v>1851</v>
      </c>
      <c r="K1287" s="1">
        <v>0</v>
      </c>
      <c r="L1287" s="6" t="s">
        <v>236</v>
      </c>
      <c r="M1287" s="1">
        <v>2014</v>
      </c>
      <c r="N1287" s="1" t="s">
        <v>237</v>
      </c>
      <c r="O1287" s="1">
        <v>0</v>
      </c>
      <c r="P1287" s="1" t="s">
        <v>1952</v>
      </c>
      <c r="Q1287" s="1">
        <v>0</v>
      </c>
      <c r="R1287" s="1">
        <v>0</v>
      </c>
      <c r="S1287" s="1" t="s">
        <v>235</v>
      </c>
    </row>
    <row r="1288" spans="1:19" ht="14.45" customHeight="1" x14ac:dyDescent="0.25">
      <c r="A1288" s="6">
        <v>1289</v>
      </c>
      <c r="B1288" s="6">
        <v>8400101</v>
      </c>
      <c r="C1288" t="s">
        <v>1111</v>
      </c>
      <c r="D1288" s="1" t="s">
        <v>1112</v>
      </c>
      <c r="E1288" s="21">
        <v>4749</v>
      </c>
      <c r="F1288" s="1">
        <v>9189</v>
      </c>
      <c r="G1288" s="1" t="s">
        <v>233</v>
      </c>
      <c r="H1288" s="6" t="s">
        <v>1954</v>
      </c>
      <c r="I1288" s="6" t="s">
        <v>609</v>
      </c>
      <c r="J1288" s="6" t="s">
        <v>1851</v>
      </c>
      <c r="K1288" s="1">
        <v>0</v>
      </c>
      <c r="L1288" s="6" t="s">
        <v>236</v>
      </c>
      <c r="M1288" s="1">
        <v>2014</v>
      </c>
      <c r="N1288" s="1" t="s">
        <v>237</v>
      </c>
      <c r="O1288" s="1">
        <v>0</v>
      </c>
      <c r="P1288" s="1">
        <v>0</v>
      </c>
      <c r="Q1288" s="1">
        <v>0</v>
      </c>
      <c r="R1288" s="1">
        <v>0</v>
      </c>
      <c r="S1288" s="1" t="s">
        <v>235</v>
      </c>
    </row>
    <row r="1289" spans="1:19" ht="14.45" customHeight="1" x14ac:dyDescent="0.25">
      <c r="A1289" s="6">
        <v>1290</v>
      </c>
      <c r="B1289" s="6">
        <v>8400101</v>
      </c>
      <c r="C1289" t="s">
        <v>1111</v>
      </c>
      <c r="D1289" s="1" t="s">
        <v>1112</v>
      </c>
      <c r="E1289" s="21">
        <v>1194.6695652173912</v>
      </c>
      <c r="F1289" s="1" t="s">
        <v>233</v>
      </c>
      <c r="G1289" s="1" t="s">
        <v>233</v>
      </c>
      <c r="H1289" s="6" t="s">
        <v>1951</v>
      </c>
      <c r="I1289" s="6" t="s">
        <v>644</v>
      </c>
      <c r="J1289" s="6" t="s">
        <v>1849</v>
      </c>
      <c r="K1289" s="1">
        <v>0</v>
      </c>
      <c r="L1289" s="6" t="s">
        <v>258</v>
      </c>
      <c r="M1289" s="1">
        <v>2010</v>
      </c>
      <c r="N1289" s="1" t="s">
        <v>237</v>
      </c>
      <c r="O1289" s="1">
        <v>0</v>
      </c>
      <c r="P1289" s="1">
        <v>0</v>
      </c>
      <c r="Q1289" s="1">
        <v>0</v>
      </c>
      <c r="R1289" s="1">
        <v>0</v>
      </c>
      <c r="S1289" s="1" t="s">
        <v>235</v>
      </c>
    </row>
    <row r="1290" spans="1:19" ht="14.45" customHeight="1" x14ac:dyDescent="0.25">
      <c r="A1290" s="6">
        <v>1291</v>
      </c>
      <c r="B1290" s="6">
        <v>8400101</v>
      </c>
      <c r="C1290" t="s">
        <v>1111</v>
      </c>
      <c r="D1290" s="1" t="s">
        <v>1112</v>
      </c>
      <c r="E1290" s="21">
        <v>1239.9347826086955</v>
      </c>
      <c r="F1290" s="1" t="s">
        <v>233</v>
      </c>
      <c r="G1290" s="1" t="s">
        <v>233</v>
      </c>
      <c r="H1290" s="6" t="s">
        <v>1951</v>
      </c>
      <c r="I1290" s="6" t="s">
        <v>644</v>
      </c>
      <c r="J1290" s="6" t="s">
        <v>1849</v>
      </c>
      <c r="K1290" s="1">
        <v>0</v>
      </c>
      <c r="L1290" s="6" t="s">
        <v>258</v>
      </c>
      <c r="M1290" s="1">
        <v>2010</v>
      </c>
      <c r="N1290" s="1" t="s">
        <v>1859</v>
      </c>
      <c r="O1290" s="1">
        <v>0</v>
      </c>
      <c r="P1290" s="1">
        <v>0</v>
      </c>
      <c r="Q1290" s="1">
        <v>0</v>
      </c>
      <c r="R1290" s="1">
        <v>0</v>
      </c>
      <c r="S1290" s="1" t="s">
        <v>235</v>
      </c>
    </row>
    <row r="1291" spans="1:19" ht="14.45" customHeight="1" x14ac:dyDescent="0.25">
      <c r="A1291" s="6">
        <v>1292</v>
      </c>
      <c r="B1291" s="6">
        <v>8400101</v>
      </c>
      <c r="C1291" t="s">
        <v>1111</v>
      </c>
      <c r="D1291" s="1" t="s">
        <v>1112</v>
      </c>
      <c r="E1291" s="21">
        <v>488.5</v>
      </c>
      <c r="F1291" s="1" t="s">
        <v>233</v>
      </c>
      <c r="G1291" s="1" t="s">
        <v>233</v>
      </c>
      <c r="H1291" s="6" t="s">
        <v>1951</v>
      </c>
      <c r="I1291" s="6" t="s">
        <v>667</v>
      </c>
      <c r="J1291" s="6" t="s">
        <v>1853</v>
      </c>
      <c r="K1291" s="1">
        <v>0</v>
      </c>
      <c r="L1291" s="6" t="s">
        <v>236</v>
      </c>
      <c r="M1291" s="1">
        <v>2012</v>
      </c>
      <c r="N1291" s="1" t="s">
        <v>237</v>
      </c>
      <c r="O1291" s="1">
        <v>0</v>
      </c>
      <c r="P1291" s="1" t="s">
        <v>1952</v>
      </c>
      <c r="Q1291" s="1">
        <v>0</v>
      </c>
      <c r="R1291" s="1">
        <v>0</v>
      </c>
      <c r="S1291" s="1" t="s">
        <v>235</v>
      </c>
    </row>
    <row r="1292" spans="1:19" ht="14.45" customHeight="1" x14ac:dyDescent="0.25">
      <c r="A1292" s="6">
        <v>1293</v>
      </c>
      <c r="B1292" s="6">
        <v>8400101</v>
      </c>
      <c r="C1292" t="s">
        <v>1111</v>
      </c>
      <c r="D1292" s="1" t="s">
        <v>1112</v>
      </c>
      <c r="E1292" s="21" t="s">
        <v>237</v>
      </c>
      <c r="F1292" s="1" t="s">
        <v>233</v>
      </c>
      <c r="G1292" s="19">
        <v>75.416666666666671</v>
      </c>
      <c r="H1292" s="6" t="s">
        <v>1951</v>
      </c>
      <c r="I1292" s="6" t="s">
        <v>681</v>
      </c>
      <c r="J1292" s="6" t="s">
        <v>1849</v>
      </c>
      <c r="K1292" s="1">
        <v>0</v>
      </c>
      <c r="L1292" s="6" t="s">
        <v>236</v>
      </c>
      <c r="M1292" s="1">
        <v>2009</v>
      </c>
      <c r="N1292" s="1" t="s">
        <v>237</v>
      </c>
      <c r="O1292" s="1">
        <v>0</v>
      </c>
      <c r="P1292" s="1">
        <v>0</v>
      </c>
      <c r="Q1292" s="1">
        <v>0</v>
      </c>
      <c r="R1292" s="1">
        <v>0</v>
      </c>
      <c r="S1292" s="1" t="s">
        <v>235</v>
      </c>
    </row>
    <row r="1293" spans="1:19" ht="14.45" customHeight="1" x14ac:dyDescent="0.25">
      <c r="A1293" s="6">
        <v>1294</v>
      </c>
      <c r="B1293" s="6">
        <v>8400101</v>
      </c>
      <c r="C1293" t="s">
        <v>1111</v>
      </c>
      <c r="D1293" s="1" t="s">
        <v>1112</v>
      </c>
      <c r="E1293" s="21">
        <v>3600</v>
      </c>
      <c r="F1293" s="1" t="s">
        <v>233</v>
      </c>
      <c r="G1293" s="1" t="s">
        <v>233</v>
      </c>
      <c r="H1293" s="6" t="s">
        <v>1954</v>
      </c>
      <c r="I1293" s="6" t="s">
        <v>313</v>
      </c>
      <c r="J1293" s="6" t="s">
        <v>1849</v>
      </c>
      <c r="K1293" s="1">
        <v>0</v>
      </c>
      <c r="L1293" s="6" t="s">
        <v>234</v>
      </c>
      <c r="M1293" s="1">
        <v>2012</v>
      </c>
      <c r="N1293" s="1" t="s">
        <v>1859</v>
      </c>
      <c r="O1293" s="1">
        <v>0</v>
      </c>
      <c r="P1293" s="1">
        <v>0</v>
      </c>
      <c r="Q1293" s="1">
        <v>0</v>
      </c>
      <c r="R1293" s="1">
        <v>0</v>
      </c>
      <c r="S1293" s="1" t="s">
        <v>251</v>
      </c>
    </row>
    <row r="1294" spans="1:19" ht="14.45" customHeight="1" x14ac:dyDescent="0.25">
      <c r="A1294" s="6">
        <v>1295</v>
      </c>
      <c r="B1294" s="6">
        <v>8400101</v>
      </c>
      <c r="C1294" t="s">
        <v>1111</v>
      </c>
      <c r="D1294" s="1" t="s">
        <v>1112</v>
      </c>
      <c r="E1294" s="21">
        <v>5125</v>
      </c>
      <c r="F1294" s="1" t="s">
        <v>233</v>
      </c>
      <c r="G1294" s="1" t="s">
        <v>233</v>
      </c>
      <c r="H1294" s="6" t="s">
        <v>1954</v>
      </c>
      <c r="I1294" s="6" t="s">
        <v>313</v>
      </c>
      <c r="J1294" s="6" t="s">
        <v>1849</v>
      </c>
      <c r="K1294" s="1">
        <v>0</v>
      </c>
      <c r="L1294" s="6" t="s">
        <v>234</v>
      </c>
      <c r="M1294" s="1">
        <v>2012</v>
      </c>
      <c r="N1294" s="1" t="s">
        <v>237</v>
      </c>
      <c r="O1294" s="1">
        <v>0</v>
      </c>
      <c r="P1294" s="1">
        <v>0</v>
      </c>
      <c r="Q1294" s="1">
        <v>0</v>
      </c>
      <c r="R1294" s="1">
        <v>0</v>
      </c>
      <c r="S1294" s="1" t="s">
        <v>251</v>
      </c>
    </row>
    <row r="1295" spans="1:19" ht="14.45" customHeight="1" x14ac:dyDescent="0.25">
      <c r="A1295" s="6">
        <v>1296</v>
      </c>
      <c r="B1295" s="6">
        <v>8400101</v>
      </c>
      <c r="C1295" t="s">
        <v>1111</v>
      </c>
      <c r="D1295" s="1" t="s">
        <v>1112</v>
      </c>
      <c r="E1295" s="21">
        <v>1086.6500000000001</v>
      </c>
      <c r="F1295" s="1" t="s">
        <v>233</v>
      </c>
      <c r="G1295" s="1" t="s">
        <v>233</v>
      </c>
      <c r="H1295" s="6" t="s">
        <v>1951</v>
      </c>
      <c r="I1295" s="6" t="s">
        <v>699</v>
      </c>
      <c r="J1295" s="6" t="s">
        <v>1849</v>
      </c>
      <c r="K1295" s="1">
        <v>0</v>
      </c>
      <c r="L1295" s="6" t="s">
        <v>257</v>
      </c>
      <c r="M1295" s="1">
        <v>2015</v>
      </c>
      <c r="N1295" s="1" t="s">
        <v>237</v>
      </c>
      <c r="O1295" s="1">
        <v>0</v>
      </c>
      <c r="P1295" s="1">
        <v>0</v>
      </c>
      <c r="Q1295" s="1">
        <v>0</v>
      </c>
      <c r="R1295" s="1">
        <v>0</v>
      </c>
      <c r="S1295" s="1" t="s">
        <v>235</v>
      </c>
    </row>
    <row r="1296" spans="1:19" ht="14.45" customHeight="1" x14ac:dyDescent="0.25">
      <c r="A1296" s="6">
        <v>1297</v>
      </c>
      <c r="B1296" s="6">
        <v>8400301</v>
      </c>
      <c r="C1296" t="s">
        <v>1114</v>
      </c>
      <c r="D1296" s="1" t="s">
        <v>1115</v>
      </c>
      <c r="E1296" s="21">
        <v>1360</v>
      </c>
      <c r="F1296" s="1" t="s">
        <v>233</v>
      </c>
      <c r="G1296" s="1" t="s">
        <v>233</v>
      </c>
      <c r="H1296" s="6" t="s">
        <v>1951</v>
      </c>
      <c r="I1296" s="6" t="s">
        <v>477</v>
      </c>
      <c r="J1296" s="6" t="s">
        <v>1849</v>
      </c>
      <c r="K1296" s="1">
        <v>0</v>
      </c>
      <c r="L1296" s="6" t="s">
        <v>270</v>
      </c>
      <c r="M1296" s="1">
        <v>2008</v>
      </c>
      <c r="N1296" s="1" t="s">
        <v>237</v>
      </c>
      <c r="O1296" s="1">
        <v>0</v>
      </c>
      <c r="P1296" s="1">
        <v>0</v>
      </c>
      <c r="Q1296" s="1">
        <v>0</v>
      </c>
      <c r="R1296" s="1">
        <v>0</v>
      </c>
      <c r="S1296" s="1" t="s">
        <v>235</v>
      </c>
    </row>
    <row r="1297" spans="1:19" ht="14.45" customHeight="1" x14ac:dyDescent="0.25">
      <c r="A1297" s="6">
        <v>1298</v>
      </c>
      <c r="B1297" s="6">
        <v>8400301</v>
      </c>
      <c r="C1297" t="s">
        <v>1114</v>
      </c>
      <c r="D1297" s="1" t="s">
        <v>1115</v>
      </c>
      <c r="E1297" s="21" t="s">
        <v>237</v>
      </c>
      <c r="F1297" s="21">
        <v>4293.0304906780584</v>
      </c>
      <c r="G1297" s="1" t="s">
        <v>233</v>
      </c>
      <c r="H1297" s="6" t="s">
        <v>1951</v>
      </c>
      <c r="I1297" s="6" t="s">
        <v>593</v>
      </c>
      <c r="J1297" s="6" t="s">
        <v>1853</v>
      </c>
      <c r="K1297" s="1">
        <v>0</v>
      </c>
      <c r="L1297" s="6" t="s">
        <v>245</v>
      </c>
      <c r="M1297" s="1">
        <v>2011</v>
      </c>
      <c r="N1297" s="1" t="s">
        <v>237</v>
      </c>
      <c r="O1297" s="1">
        <v>0</v>
      </c>
      <c r="P1297" s="1">
        <v>0</v>
      </c>
      <c r="Q1297" s="1">
        <v>0</v>
      </c>
      <c r="R1297" s="1">
        <v>0</v>
      </c>
      <c r="S1297" s="1" t="s">
        <v>251</v>
      </c>
    </row>
    <row r="1298" spans="1:19" ht="14.45" customHeight="1" x14ac:dyDescent="0.25">
      <c r="A1298" s="6">
        <v>1299</v>
      </c>
      <c r="B1298" s="6">
        <v>8400301</v>
      </c>
      <c r="C1298" t="s">
        <v>1114</v>
      </c>
      <c r="D1298" s="1" t="s">
        <v>1115</v>
      </c>
      <c r="E1298" s="21">
        <v>2024</v>
      </c>
      <c r="F1298" s="1" t="s">
        <v>233</v>
      </c>
      <c r="G1298" s="1" t="s">
        <v>233</v>
      </c>
      <c r="H1298" s="6" t="s">
        <v>1951</v>
      </c>
      <c r="I1298" s="6" t="s">
        <v>680</v>
      </c>
      <c r="J1298" s="6" t="s">
        <v>1853</v>
      </c>
      <c r="K1298" s="1">
        <v>0</v>
      </c>
      <c r="L1298" s="6" t="s">
        <v>240</v>
      </c>
      <c r="M1298" s="1">
        <v>2015</v>
      </c>
      <c r="N1298" s="1" t="s">
        <v>237</v>
      </c>
      <c r="O1298" s="1">
        <v>0</v>
      </c>
      <c r="P1298" s="1">
        <v>0</v>
      </c>
      <c r="Q1298" s="1">
        <v>0</v>
      </c>
      <c r="R1298" s="1">
        <v>0</v>
      </c>
      <c r="S1298" s="1" t="s">
        <v>235</v>
      </c>
    </row>
    <row r="1299" spans="1:19" ht="14.45" customHeight="1" x14ac:dyDescent="0.25">
      <c r="A1299" s="6">
        <v>1300</v>
      </c>
      <c r="B1299" s="6">
        <v>8403201</v>
      </c>
      <c r="C1299" t="s">
        <v>1116</v>
      </c>
      <c r="D1299" s="1" t="s">
        <v>1115</v>
      </c>
      <c r="E1299" s="21">
        <v>1270</v>
      </c>
      <c r="F1299" s="1" t="s">
        <v>233</v>
      </c>
      <c r="G1299" s="1" t="s">
        <v>233</v>
      </c>
      <c r="H1299" s="6" t="s">
        <v>1951</v>
      </c>
      <c r="I1299" s="6" t="s">
        <v>340</v>
      </c>
      <c r="J1299" s="6" t="s">
        <v>1853</v>
      </c>
      <c r="K1299" s="1">
        <v>0</v>
      </c>
      <c r="L1299" s="6" t="s">
        <v>252</v>
      </c>
      <c r="M1299" s="1">
        <v>2013</v>
      </c>
      <c r="N1299" s="1" t="s">
        <v>237</v>
      </c>
      <c r="O1299" s="1">
        <v>0</v>
      </c>
      <c r="P1299" s="1">
        <v>0</v>
      </c>
      <c r="Q1299" s="1">
        <v>0</v>
      </c>
      <c r="R1299" s="1">
        <v>0</v>
      </c>
      <c r="S1299" s="1" t="s">
        <v>235</v>
      </c>
    </row>
    <row r="1300" spans="1:19" ht="14.45" customHeight="1" x14ac:dyDescent="0.25">
      <c r="A1300" s="6">
        <v>1301</v>
      </c>
      <c r="B1300" s="6">
        <v>8403201</v>
      </c>
      <c r="C1300" t="s">
        <v>1116</v>
      </c>
      <c r="D1300" s="1" t="s">
        <v>1115</v>
      </c>
      <c r="E1300" s="21">
        <v>890</v>
      </c>
      <c r="F1300" s="1" t="s">
        <v>233</v>
      </c>
      <c r="G1300" s="1" t="s">
        <v>233</v>
      </c>
      <c r="H1300" s="6" t="s">
        <v>1951</v>
      </c>
      <c r="I1300" s="6" t="s">
        <v>340</v>
      </c>
      <c r="J1300" s="6" t="s">
        <v>1853</v>
      </c>
      <c r="K1300" s="1">
        <v>0</v>
      </c>
      <c r="L1300" s="6" t="s">
        <v>252</v>
      </c>
      <c r="M1300" s="1">
        <v>2013</v>
      </c>
      <c r="N1300" s="1" t="s">
        <v>237</v>
      </c>
      <c r="O1300" s="1">
        <v>0</v>
      </c>
      <c r="P1300" s="1">
        <v>0</v>
      </c>
      <c r="Q1300" s="1">
        <v>0</v>
      </c>
      <c r="R1300" s="1">
        <v>0</v>
      </c>
      <c r="S1300" s="1" t="s">
        <v>235</v>
      </c>
    </row>
    <row r="1301" spans="1:19" ht="14.45" customHeight="1" x14ac:dyDescent="0.25">
      <c r="A1301" s="6">
        <v>1302</v>
      </c>
      <c r="B1301" s="6">
        <v>8403201</v>
      </c>
      <c r="C1301" t="s">
        <v>1116</v>
      </c>
      <c r="D1301" s="1" t="s">
        <v>1115</v>
      </c>
      <c r="E1301" s="21" t="s">
        <v>237</v>
      </c>
      <c r="F1301" s="1" t="s">
        <v>233</v>
      </c>
      <c r="G1301" s="19">
        <v>38</v>
      </c>
      <c r="H1301" s="6" t="s">
        <v>1951</v>
      </c>
      <c r="I1301" s="6" t="s">
        <v>465</v>
      </c>
      <c r="J1301" s="6" t="s">
        <v>1849</v>
      </c>
      <c r="K1301" s="1">
        <v>0</v>
      </c>
      <c r="L1301" s="6" t="s">
        <v>234</v>
      </c>
      <c r="M1301" s="1">
        <v>2007</v>
      </c>
      <c r="N1301" s="1" t="s">
        <v>237</v>
      </c>
      <c r="O1301" s="1">
        <v>0</v>
      </c>
      <c r="P1301" s="1">
        <v>0</v>
      </c>
      <c r="Q1301" s="1">
        <v>0</v>
      </c>
      <c r="R1301" s="1">
        <v>0</v>
      </c>
      <c r="S1301" s="1" t="s">
        <v>235</v>
      </c>
    </row>
    <row r="1302" spans="1:19" ht="14.45" customHeight="1" x14ac:dyDescent="0.25">
      <c r="A1302" s="6">
        <v>1303</v>
      </c>
      <c r="B1302" s="6">
        <v>8403201</v>
      </c>
      <c r="C1302" t="s">
        <v>1116</v>
      </c>
      <c r="D1302" s="1" t="s">
        <v>1115</v>
      </c>
      <c r="E1302" s="21">
        <v>796</v>
      </c>
      <c r="F1302" s="1" t="s">
        <v>233</v>
      </c>
      <c r="G1302" s="1" t="s">
        <v>233</v>
      </c>
      <c r="H1302" s="6" t="s">
        <v>1951</v>
      </c>
      <c r="I1302" s="6" t="s">
        <v>502</v>
      </c>
      <c r="J1302" s="6" t="s">
        <v>1853</v>
      </c>
      <c r="K1302" s="1">
        <v>0</v>
      </c>
      <c r="L1302" s="6" t="s">
        <v>284</v>
      </c>
      <c r="M1302" s="1">
        <v>2012</v>
      </c>
      <c r="N1302" s="1" t="s">
        <v>237</v>
      </c>
      <c r="O1302" s="1">
        <v>0</v>
      </c>
      <c r="P1302" s="1">
        <v>0</v>
      </c>
      <c r="Q1302" s="1">
        <v>0</v>
      </c>
      <c r="R1302" s="1">
        <v>0</v>
      </c>
      <c r="S1302" s="1" t="s">
        <v>235</v>
      </c>
    </row>
    <row r="1303" spans="1:19" ht="14.45" customHeight="1" x14ac:dyDescent="0.25">
      <c r="A1303" s="6">
        <v>1304</v>
      </c>
      <c r="B1303" s="6">
        <v>8403201</v>
      </c>
      <c r="C1303" t="s">
        <v>1116</v>
      </c>
      <c r="D1303" s="1" t="s">
        <v>1115</v>
      </c>
      <c r="E1303" s="21" t="s">
        <v>237</v>
      </c>
      <c r="F1303" s="21">
        <v>3605.1118936693847</v>
      </c>
      <c r="G1303" s="1" t="s">
        <v>233</v>
      </c>
      <c r="H1303" s="6" t="s">
        <v>1951</v>
      </c>
      <c r="I1303" s="6" t="s">
        <v>593</v>
      </c>
      <c r="J1303" s="6" t="s">
        <v>1853</v>
      </c>
      <c r="K1303" s="1">
        <v>0</v>
      </c>
      <c r="L1303" s="6" t="s">
        <v>245</v>
      </c>
      <c r="M1303" s="1">
        <v>2011</v>
      </c>
      <c r="N1303" s="1" t="s">
        <v>237</v>
      </c>
      <c r="O1303" s="1">
        <v>0</v>
      </c>
      <c r="P1303" s="1">
        <v>0</v>
      </c>
      <c r="Q1303" s="1" t="s">
        <v>1953</v>
      </c>
      <c r="R1303" s="1">
        <v>0</v>
      </c>
      <c r="S1303" s="1" t="s">
        <v>251</v>
      </c>
    </row>
    <row r="1304" spans="1:19" ht="14.45" customHeight="1" x14ac:dyDescent="0.25">
      <c r="A1304" s="6">
        <v>1305</v>
      </c>
      <c r="B1304" s="6">
        <v>8403201</v>
      </c>
      <c r="C1304" t="s">
        <v>1116</v>
      </c>
      <c r="D1304" s="1" t="s">
        <v>1115</v>
      </c>
      <c r="E1304" s="21" t="s">
        <v>237</v>
      </c>
      <c r="F1304" s="21">
        <v>3678.6856057850869</v>
      </c>
      <c r="G1304" s="1" t="s">
        <v>233</v>
      </c>
      <c r="H1304" s="6" t="s">
        <v>1951</v>
      </c>
      <c r="I1304" s="6" t="s">
        <v>593</v>
      </c>
      <c r="J1304" s="6" t="s">
        <v>1853</v>
      </c>
      <c r="K1304" s="1">
        <v>0</v>
      </c>
      <c r="L1304" s="6" t="s">
        <v>245</v>
      </c>
      <c r="M1304" s="1">
        <v>2011</v>
      </c>
      <c r="N1304" s="1" t="s">
        <v>237</v>
      </c>
      <c r="O1304" s="1">
        <v>0</v>
      </c>
      <c r="P1304" s="1">
        <v>0</v>
      </c>
      <c r="Q1304" s="1">
        <v>0</v>
      </c>
      <c r="R1304" s="1">
        <v>0</v>
      </c>
      <c r="S1304" s="1" t="s">
        <v>251</v>
      </c>
    </row>
    <row r="1305" spans="1:19" ht="14.45" customHeight="1" x14ac:dyDescent="0.25">
      <c r="A1305" s="6">
        <v>1306</v>
      </c>
      <c r="B1305" s="6">
        <v>8403201</v>
      </c>
      <c r="C1305" t="s">
        <v>1116</v>
      </c>
      <c r="D1305" s="1" t="s">
        <v>1115</v>
      </c>
      <c r="E1305" s="21" t="s">
        <v>237</v>
      </c>
      <c r="F1305" s="21">
        <v>8295.9202663974884</v>
      </c>
      <c r="G1305" s="1" t="s">
        <v>233</v>
      </c>
      <c r="H1305" s="6" t="s">
        <v>1951</v>
      </c>
      <c r="I1305" s="6" t="s">
        <v>593</v>
      </c>
      <c r="J1305" s="6" t="s">
        <v>1853</v>
      </c>
      <c r="K1305" s="1">
        <v>0</v>
      </c>
      <c r="L1305" s="6" t="s">
        <v>245</v>
      </c>
      <c r="M1305" s="1">
        <v>2011</v>
      </c>
      <c r="N1305" s="1" t="s">
        <v>237</v>
      </c>
      <c r="O1305" s="1">
        <v>0</v>
      </c>
      <c r="P1305" s="1">
        <v>0</v>
      </c>
      <c r="Q1305" s="1">
        <v>0</v>
      </c>
      <c r="R1305" s="1">
        <v>0</v>
      </c>
      <c r="S1305" s="1" t="s">
        <v>251</v>
      </c>
    </row>
    <row r="1306" spans="1:19" ht="14.45" customHeight="1" x14ac:dyDescent="0.25">
      <c r="A1306" s="6">
        <v>1307</v>
      </c>
      <c r="B1306" s="6">
        <v>8403201</v>
      </c>
      <c r="C1306" t="s">
        <v>1116</v>
      </c>
      <c r="D1306" s="1" t="s">
        <v>1115</v>
      </c>
      <c r="E1306" s="21" t="s">
        <v>237</v>
      </c>
      <c r="F1306" s="21">
        <v>8465.2247616300901</v>
      </c>
      <c r="G1306" s="1" t="s">
        <v>233</v>
      </c>
      <c r="H1306" s="6" t="s">
        <v>1951</v>
      </c>
      <c r="I1306" s="6" t="s">
        <v>593</v>
      </c>
      <c r="J1306" s="6" t="s">
        <v>1853</v>
      </c>
      <c r="K1306" s="1">
        <v>0</v>
      </c>
      <c r="L1306" s="6" t="s">
        <v>245</v>
      </c>
      <c r="M1306" s="1">
        <v>2011</v>
      </c>
      <c r="N1306" s="1" t="s">
        <v>237</v>
      </c>
      <c r="O1306" s="1">
        <v>0</v>
      </c>
      <c r="P1306" s="1">
        <v>0</v>
      </c>
      <c r="Q1306" s="1">
        <v>0</v>
      </c>
      <c r="R1306" s="1">
        <v>0</v>
      </c>
      <c r="S1306" s="1" t="s">
        <v>251</v>
      </c>
    </row>
    <row r="1307" spans="1:19" ht="14.45" customHeight="1" x14ac:dyDescent="0.25">
      <c r="A1307" s="6">
        <v>1308</v>
      </c>
      <c r="B1307" s="6">
        <v>8403201</v>
      </c>
      <c r="C1307" t="s">
        <v>1116</v>
      </c>
      <c r="D1307" s="1" t="s">
        <v>1115</v>
      </c>
      <c r="E1307" s="21" t="s">
        <v>237</v>
      </c>
      <c r="F1307" s="21">
        <v>5385.6076829004851</v>
      </c>
      <c r="G1307" s="1" t="s">
        <v>233</v>
      </c>
      <c r="H1307" s="6" t="s">
        <v>1951</v>
      </c>
      <c r="I1307" s="6" t="s">
        <v>593</v>
      </c>
      <c r="J1307" s="6" t="s">
        <v>1853</v>
      </c>
      <c r="K1307" s="1">
        <v>0</v>
      </c>
      <c r="L1307" s="6" t="s">
        <v>245</v>
      </c>
      <c r="M1307" s="1">
        <v>2011</v>
      </c>
      <c r="N1307" s="1" t="s">
        <v>237</v>
      </c>
      <c r="O1307" s="1">
        <v>0</v>
      </c>
      <c r="P1307" s="1">
        <v>0</v>
      </c>
      <c r="Q1307" s="1">
        <v>0</v>
      </c>
      <c r="R1307" s="1">
        <v>0</v>
      </c>
      <c r="S1307" s="1" t="s">
        <v>251</v>
      </c>
    </row>
    <row r="1308" spans="1:19" ht="14.45" customHeight="1" x14ac:dyDescent="0.25">
      <c r="A1308" s="6">
        <v>1309</v>
      </c>
      <c r="B1308" s="6">
        <v>8403201</v>
      </c>
      <c r="C1308" t="s">
        <v>1116</v>
      </c>
      <c r="D1308" s="1" t="s">
        <v>1115</v>
      </c>
      <c r="E1308" s="21" t="s">
        <v>237</v>
      </c>
      <c r="F1308" s="21">
        <v>15927.403983872849</v>
      </c>
      <c r="G1308" s="1" t="s">
        <v>233</v>
      </c>
      <c r="H1308" s="6" t="s">
        <v>1951</v>
      </c>
      <c r="I1308" s="6" t="s">
        <v>593</v>
      </c>
      <c r="J1308" s="6" t="s">
        <v>1853</v>
      </c>
      <c r="K1308" s="1">
        <v>0</v>
      </c>
      <c r="L1308" s="6" t="s">
        <v>245</v>
      </c>
      <c r="M1308" s="1">
        <v>2011</v>
      </c>
      <c r="N1308" s="1" t="s">
        <v>237</v>
      </c>
      <c r="O1308" s="1">
        <v>0</v>
      </c>
      <c r="P1308" s="1">
        <v>0</v>
      </c>
      <c r="Q1308" s="1">
        <v>0</v>
      </c>
      <c r="R1308" s="1">
        <v>0</v>
      </c>
      <c r="S1308" s="1" t="s">
        <v>251</v>
      </c>
    </row>
    <row r="1309" spans="1:19" ht="14.45" customHeight="1" x14ac:dyDescent="0.25">
      <c r="A1309" s="6">
        <v>1310</v>
      </c>
      <c r="B1309" s="6">
        <v>8403201</v>
      </c>
      <c r="C1309" t="s">
        <v>1116</v>
      </c>
      <c r="D1309" s="1" t="s">
        <v>1115</v>
      </c>
      <c r="E1309" s="21" t="s">
        <v>237</v>
      </c>
      <c r="F1309" s="21">
        <v>6769.46434566071</v>
      </c>
      <c r="G1309" s="1" t="s">
        <v>233</v>
      </c>
      <c r="H1309" s="6" t="s">
        <v>1951</v>
      </c>
      <c r="I1309" s="6" t="s">
        <v>593</v>
      </c>
      <c r="J1309" s="6" t="s">
        <v>1853</v>
      </c>
      <c r="K1309" s="1">
        <v>0</v>
      </c>
      <c r="L1309" s="6" t="s">
        <v>245</v>
      </c>
      <c r="M1309" s="1">
        <v>2011</v>
      </c>
      <c r="N1309" s="1" t="s">
        <v>237</v>
      </c>
      <c r="O1309" s="1">
        <v>0</v>
      </c>
      <c r="P1309" s="1">
        <v>0</v>
      </c>
      <c r="Q1309" s="1">
        <v>0</v>
      </c>
      <c r="R1309" s="1">
        <v>0</v>
      </c>
      <c r="S1309" s="1" t="s">
        <v>251</v>
      </c>
    </row>
    <row r="1310" spans="1:19" ht="14.45" customHeight="1" x14ac:dyDescent="0.25">
      <c r="A1310" s="6">
        <v>1311</v>
      </c>
      <c r="B1310" s="6">
        <v>8403201</v>
      </c>
      <c r="C1310" t="s">
        <v>1116</v>
      </c>
      <c r="D1310" s="1" t="s">
        <v>1115</v>
      </c>
      <c r="E1310" s="21" t="s">
        <v>237</v>
      </c>
      <c r="F1310" s="21">
        <v>6907.6166792456224</v>
      </c>
      <c r="G1310" s="1" t="s">
        <v>233</v>
      </c>
      <c r="H1310" s="6" t="s">
        <v>1951</v>
      </c>
      <c r="I1310" s="6" t="s">
        <v>593</v>
      </c>
      <c r="J1310" s="6" t="s">
        <v>1853</v>
      </c>
      <c r="K1310" s="1">
        <v>0</v>
      </c>
      <c r="L1310" s="6" t="s">
        <v>245</v>
      </c>
      <c r="M1310" s="1">
        <v>2011</v>
      </c>
      <c r="N1310" s="1" t="s">
        <v>237</v>
      </c>
      <c r="O1310" s="1">
        <v>0</v>
      </c>
      <c r="P1310" s="1">
        <v>0</v>
      </c>
      <c r="Q1310" s="1">
        <v>0</v>
      </c>
      <c r="R1310" s="1">
        <v>0</v>
      </c>
      <c r="S1310" s="1" t="s">
        <v>251</v>
      </c>
    </row>
    <row r="1311" spans="1:19" ht="14.45" customHeight="1" x14ac:dyDescent="0.25">
      <c r="A1311" s="6">
        <v>1312</v>
      </c>
      <c r="B1311" s="6">
        <v>8403201</v>
      </c>
      <c r="C1311" t="s">
        <v>1116</v>
      </c>
      <c r="D1311" s="1" t="s">
        <v>1115</v>
      </c>
      <c r="E1311" s="21" t="s">
        <v>237</v>
      </c>
      <c r="F1311" s="21">
        <v>52777.29496422143</v>
      </c>
      <c r="G1311" s="1" t="s">
        <v>233</v>
      </c>
      <c r="H1311" s="6" t="s">
        <v>1951</v>
      </c>
      <c r="I1311" s="6" t="s">
        <v>593</v>
      </c>
      <c r="J1311" s="6" t="s">
        <v>1853</v>
      </c>
      <c r="K1311" s="1">
        <v>0</v>
      </c>
      <c r="L1311" s="6" t="s">
        <v>245</v>
      </c>
      <c r="M1311" s="1">
        <v>2011</v>
      </c>
      <c r="N1311" s="1" t="s">
        <v>237</v>
      </c>
      <c r="O1311" s="1">
        <v>0</v>
      </c>
      <c r="P1311" s="1">
        <v>0</v>
      </c>
      <c r="Q1311" s="1" t="s">
        <v>1953</v>
      </c>
      <c r="R1311" s="1">
        <v>0</v>
      </c>
      <c r="S1311" s="1" t="s">
        <v>251</v>
      </c>
    </row>
    <row r="1312" spans="1:19" ht="14.45" customHeight="1" x14ac:dyDescent="0.25">
      <c r="A1312" s="6">
        <v>1313</v>
      </c>
      <c r="B1312" s="6">
        <v>8403201</v>
      </c>
      <c r="C1312" t="s">
        <v>1116</v>
      </c>
      <c r="D1312" s="1" t="s">
        <v>1115</v>
      </c>
      <c r="E1312" s="21" t="s">
        <v>237</v>
      </c>
      <c r="F1312" s="21">
        <v>7408.0073223019854</v>
      </c>
      <c r="G1312" s="1" t="s">
        <v>233</v>
      </c>
      <c r="H1312" s="6" t="s">
        <v>1951</v>
      </c>
      <c r="I1312" s="6" t="s">
        <v>593</v>
      </c>
      <c r="J1312" s="6" t="s">
        <v>1853</v>
      </c>
      <c r="K1312" s="1">
        <v>0</v>
      </c>
      <c r="L1312" s="6" t="s">
        <v>245</v>
      </c>
      <c r="M1312" s="1">
        <v>2011</v>
      </c>
      <c r="N1312" s="1" t="s">
        <v>237</v>
      </c>
      <c r="O1312" s="1">
        <v>0</v>
      </c>
      <c r="P1312" s="1">
        <v>0</v>
      </c>
      <c r="Q1312" s="1">
        <v>0</v>
      </c>
      <c r="R1312" s="1">
        <v>0</v>
      </c>
      <c r="S1312" s="1" t="s">
        <v>251</v>
      </c>
    </row>
    <row r="1313" spans="1:19" ht="14.45" customHeight="1" x14ac:dyDescent="0.25">
      <c r="A1313" s="6">
        <v>1314</v>
      </c>
      <c r="B1313" s="6">
        <v>8403201</v>
      </c>
      <c r="C1313" t="s">
        <v>1116</v>
      </c>
      <c r="D1313" s="1" t="s">
        <v>1115</v>
      </c>
      <c r="E1313" s="21" t="s">
        <v>237</v>
      </c>
      <c r="F1313" s="21">
        <v>7559.1911452061067</v>
      </c>
      <c r="G1313" s="1" t="s">
        <v>233</v>
      </c>
      <c r="H1313" s="6" t="s">
        <v>1951</v>
      </c>
      <c r="I1313" s="6" t="s">
        <v>593</v>
      </c>
      <c r="J1313" s="6" t="s">
        <v>1853</v>
      </c>
      <c r="K1313" s="1">
        <v>0</v>
      </c>
      <c r="L1313" s="6" t="s">
        <v>245</v>
      </c>
      <c r="M1313" s="1">
        <v>2011</v>
      </c>
      <c r="N1313" s="1" t="s">
        <v>237</v>
      </c>
      <c r="O1313" s="1">
        <v>0</v>
      </c>
      <c r="P1313" s="1">
        <v>0</v>
      </c>
      <c r="Q1313" s="1">
        <v>0</v>
      </c>
      <c r="R1313" s="1">
        <v>0</v>
      </c>
      <c r="S1313" s="1" t="s">
        <v>251</v>
      </c>
    </row>
    <row r="1314" spans="1:19" ht="14.45" customHeight="1" x14ac:dyDescent="0.25">
      <c r="A1314" s="6">
        <v>1315</v>
      </c>
      <c r="B1314" s="6">
        <v>8403201</v>
      </c>
      <c r="C1314" t="s">
        <v>1116</v>
      </c>
      <c r="D1314" s="1" t="s">
        <v>1115</v>
      </c>
      <c r="E1314" s="21">
        <v>3255</v>
      </c>
      <c r="F1314" s="1" t="s">
        <v>233</v>
      </c>
      <c r="G1314" s="1" t="s">
        <v>233</v>
      </c>
      <c r="H1314" s="6" t="s">
        <v>1951</v>
      </c>
      <c r="I1314" s="6" t="s">
        <v>676</v>
      </c>
      <c r="J1314" s="6" t="s">
        <v>1853</v>
      </c>
      <c r="K1314" s="1">
        <v>0</v>
      </c>
      <c r="L1314" s="6" t="s">
        <v>290</v>
      </c>
      <c r="M1314" s="1">
        <v>2009</v>
      </c>
      <c r="N1314" s="1" t="s">
        <v>237</v>
      </c>
      <c r="O1314" s="1">
        <v>0</v>
      </c>
      <c r="P1314" s="1">
        <v>0</v>
      </c>
      <c r="Q1314" s="1">
        <v>0</v>
      </c>
      <c r="R1314" s="1">
        <v>0</v>
      </c>
      <c r="S1314" s="1" t="s">
        <v>235</v>
      </c>
    </row>
    <row r="1315" spans="1:19" ht="14.45" customHeight="1" x14ac:dyDescent="0.25">
      <c r="A1315" s="6">
        <v>1316</v>
      </c>
      <c r="B1315" s="6">
        <v>8403201</v>
      </c>
      <c r="C1315" t="s">
        <v>1116</v>
      </c>
      <c r="D1315" s="1" t="s">
        <v>1115</v>
      </c>
      <c r="E1315" s="21">
        <v>7064.2857142857138</v>
      </c>
      <c r="F1315" s="1" t="s">
        <v>233</v>
      </c>
      <c r="G1315" s="1" t="s">
        <v>233</v>
      </c>
      <c r="H1315" s="6" t="s">
        <v>1951</v>
      </c>
      <c r="I1315" s="6" t="s">
        <v>677</v>
      </c>
      <c r="J1315" s="6" t="s">
        <v>1849</v>
      </c>
      <c r="K1315" s="1">
        <v>0</v>
      </c>
      <c r="L1315" s="6" t="s">
        <v>262</v>
      </c>
      <c r="M1315" s="1">
        <v>2010</v>
      </c>
      <c r="N1315" s="1" t="s">
        <v>237</v>
      </c>
      <c r="O1315" s="1">
        <v>0</v>
      </c>
      <c r="P1315" s="1" t="s">
        <v>1952</v>
      </c>
      <c r="Q1315" s="1">
        <v>0</v>
      </c>
      <c r="R1315" s="1">
        <v>0</v>
      </c>
      <c r="S1315" s="1" t="s">
        <v>235</v>
      </c>
    </row>
    <row r="1316" spans="1:19" ht="14.45" customHeight="1" x14ac:dyDescent="0.25">
      <c r="A1316" s="6">
        <v>1317</v>
      </c>
      <c r="B1316" s="6">
        <v>8403201</v>
      </c>
      <c r="C1316" t="s">
        <v>1116</v>
      </c>
      <c r="D1316" s="1" t="s">
        <v>1115</v>
      </c>
      <c r="E1316" s="21">
        <v>4717</v>
      </c>
      <c r="F1316" s="1" t="s">
        <v>233</v>
      </c>
      <c r="G1316" s="1" t="s">
        <v>233</v>
      </c>
      <c r="H1316" s="6" t="s">
        <v>1951</v>
      </c>
      <c r="I1316" s="6" t="s">
        <v>680</v>
      </c>
      <c r="J1316" s="6" t="s">
        <v>1853</v>
      </c>
      <c r="K1316" s="1">
        <v>0</v>
      </c>
      <c r="L1316" s="6" t="s">
        <v>240</v>
      </c>
      <c r="M1316" s="1">
        <v>2015</v>
      </c>
      <c r="N1316" s="1" t="s">
        <v>237</v>
      </c>
      <c r="O1316" s="1">
        <v>0</v>
      </c>
      <c r="P1316" s="1">
        <v>0</v>
      </c>
      <c r="Q1316" s="1">
        <v>0</v>
      </c>
      <c r="R1316" s="1">
        <v>0</v>
      </c>
      <c r="S1316" s="1" t="s">
        <v>235</v>
      </c>
    </row>
    <row r="1317" spans="1:19" ht="14.45" customHeight="1" x14ac:dyDescent="0.25">
      <c r="A1317" s="6">
        <v>1318</v>
      </c>
      <c r="B1317" s="6">
        <v>8403201</v>
      </c>
      <c r="C1317" t="s">
        <v>1116</v>
      </c>
      <c r="D1317" s="1" t="s">
        <v>1115</v>
      </c>
      <c r="E1317" s="21">
        <v>262</v>
      </c>
      <c r="F1317" s="1" t="s">
        <v>233</v>
      </c>
      <c r="G1317" s="1" t="s">
        <v>233</v>
      </c>
      <c r="H1317" s="6" t="s">
        <v>1951</v>
      </c>
      <c r="I1317" s="6" t="s">
        <v>680</v>
      </c>
      <c r="J1317" s="6" t="s">
        <v>1853</v>
      </c>
      <c r="K1317" s="1">
        <v>0</v>
      </c>
      <c r="L1317" s="6" t="s">
        <v>240</v>
      </c>
      <c r="M1317" s="1">
        <v>2015</v>
      </c>
      <c r="N1317" s="1" t="s">
        <v>237</v>
      </c>
      <c r="O1317" s="1">
        <v>0</v>
      </c>
      <c r="P1317" s="1" t="s">
        <v>1952</v>
      </c>
      <c r="Q1317" s="1">
        <v>0</v>
      </c>
      <c r="R1317" s="1">
        <v>0</v>
      </c>
      <c r="S1317" s="1" t="s">
        <v>235</v>
      </c>
    </row>
    <row r="1318" spans="1:19" ht="14.45" customHeight="1" x14ac:dyDescent="0.25">
      <c r="A1318" s="6">
        <v>1319</v>
      </c>
      <c r="B1318" s="6">
        <v>8403201</v>
      </c>
      <c r="C1318" t="s">
        <v>1116</v>
      </c>
      <c r="D1318" s="1" t="s">
        <v>1115</v>
      </c>
      <c r="E1318" s="21">
        <v>760</v>
      </c>
      <c r="F1318" s="1" t="s">
        <v>233</v>
      </c>
      <c r="G1318" s="1" t="s">
        <v>233</v>
      </c>
      <c r="H1318" s="6" t="s">
        <v>1951</v>
      </c>
      <c r="I1318" s="6" t="s">
        <v>680</v>
      </c>
      <c r="J1318" s="6" t="s">
        <v>1853</v>
      </c>
      <c r="K1318" s="1">
        <v>0</v>
      </c>
      <c r="L1318" s="6" t="s">
        <v>240</v>
      </c>
      <c r="M1318" s="1">
        <v>2015</v>
      </c>
      <c r="N1318" s="1" t="s">
        <v>237</v>
      </c>
      <c r="O1318" s="1">
        <v>0</v>
      </c>
      <c r="P1318" s="1">
        <v>0</v>
      </c>
      <c r="Q1318" s="1">
        <v>0</v>
      </c>
      <c r="R1318" s="1">
        <v>0</v>
      </c>
      <c r="S1318" s="1" t="s">
        <v>235</v>
      </c>
    </row>
    <row r="1319" spans="1:19" ht="14.45" customHeight="1" x14ac:dyDescent="0.25">
      <c r="A1319" s="6">
        <v>1320</v>
      </c>
      <c r="B1319" s="6">
        <v>8403201</v>
      </c>
      <c r="C1319" t="s">
        <v>1116</v>
      </c>
      <c r="D1319" s="1" t="s">
        <v>1115</v>
      </c>
      <c r="E1319" s="21">
        <v>1400</v>
      </c>
      <c r="F1319" s="1" t="s">
        <v>233</v>
      </c>
      <c r="G1319" s="1" t="s">
        <v>233</v>
      </c>
      <c r="H1319" s="6" t="s">
        <v>1951</v>
      </c>
      <c r="I1319" s="6" t="s">
        <v>727</v>
      </c>
      <c r="J1319" s="6" t="s">
        <v>1853</v>
      </c>
      <c r="K1319" s="1">
        <v>0</v>
      </c>
      <c r="L1319" s="6" t="s">
        <v>234</v>
      </c>
      <c r="M1319" s="1">
        <v>2010</v>
      </c>
      <c r="N1319" s="1" t="s">
        <v>237</v>
      </c>
      <c r="O1319" s="1">
        <v>0</v>
      </c>
      <c r="P1319" s="1">
        <v>0</v>
      </c>
      <c r="Q1319" s="1">
        <v>0</v>
      </c>
      <c r="R1319" s="1">
        <v>0</v>
      </c>
      <c r="S1319" s="1" t="s">
        <v>235</v>
      </c>
    </row>
    <row r="1320" spans="1:19" ht="14.45" customHeight="1" x14ac:dyDescent="0.25">
      <c r="A1320" s="6">
        <v>1321</v>
      </c>
      <c r="B1320" s="6">
        <v>8403501</v>
      </c>
      <c r="C1320" t="s">
        <v>1117</v>
      </c>
      <c r="D1320" s="1" t="s">
        <v>1118</v>
      </c>
      <c r="E1320" s="21">
        <v>869.5</v>
      </c>
      <c r="F1320" s="1" t="s">
        <v>233</v>
      </c>
      <c r="G1320" s="1" t="s">
        <v>233</v>
      </c>
      <c r="H1320" s="6" t="s">
        <v>1951</v>
      </c>
      <c r="I1320" s="6" t="s">
        <v>462</v>
      </c>
      <c r="J1320" s="6" t="s">
        <v>1853</v>
      </c>
      <c r="K1320" s="1">
        <v>0</v>
      </c>
      <c r="L1320" s="6" t="s">
        <v>290</v>
      </c>
      <c r="M1320" s="1">
        <v>2011</v>
      </c>
      <c r="N1320" s="1" t="s">
        <v>1919</v>
      </c>
      <c r="O1320" s="1">
        <v>0</v>
      </c>
      <c r="P1320" s="1" t="s">
        <v>1952</v>
      </c>
      <c r="Q1320" s="1">
        <v>0</v>
      </c>
      <c r="R1320" s="1">
        <v>0</v>
      </c>
      <c r="S1320" s="1" t="s">
        <v>235</v>
      </c>
    </row>
    <row r="1321" spans="1:19" ht="14.45" customHeight="1" x14ac:dyDescent="0.25">
      <c r="A1321" s="6">
        <v>1322</v>
      </c>
      <c r="B1321" s="6">
        <v>8403501</v>
      </c>
      <c r="C1321" t="s">
        <v>1117</v>
      </c>
      <c r="D1321" s="1" t="s">
        <v>1118</v>
      </c>
      <c r="E1321" s="21" t="s">
        <v>237</v>
      </c>
      <c r="F1321" s="21">
        <v>5295.505142422533</v>
      </c>
      <c r="G1321" s="1" t="s">
        <v>233</v>
      </c>
      <c r="H1321" s="6" t="s">
        <v>1951</v>
      </c>
      <c r="I1321" s="6" t="s">
        <v>593</v>
      </c>
      <c r="J1321" s="6" t="s">
        <v>1853</v>
      </c>
      <c r="K1321" s="1">
        <v>0</v>
      </c>
      <c r="L1321" s="6" t="s">
        <v>245</v>
      </c>
      <c r="M1321" s="1">
        <v>2011</v>
      </c>
      <c r="N1321" s="1" t="s">
        <v>237</v>
      </c>
      <c r="O1321" s="1">
        <v>0</v>
      </c>
      <c r="P1321" s="1">
        <v>0</v>
      </c>
      <c r="Q1321" s="1">
        <v>0</v>
      </c>
      <c r="R1321" s="1">
        <v>0</v>
      </c>
      <c r="S1321" s="1" t="s">
        <v>251</v>
      </c>
    </row>
    <row r="1322" spans="1:19" ht="14.45" customHeight="1" x14ac:dyDescent="0.25">
      <c r="A1322" s="6">
        <v>1323</v>
      </c>
      <c r="B1322" s="6">
        <v>8403501</v>
      </c>
      <c r="C1322" t="s">
        <v>1117</v>
      </c>
      <c r="D1322" s="1" t="s">
        <v>1118</v>
      </c>
      <c r="E1322" s="21" t="s">
        <v>237</v>
      </c>
      <c r="F1322" s="21">
        <v>5403.57667594136</v>
      </c>
      <c r="G1322" s="1" t="s">
        <v>233</v>
      </c>
      <c r="H1322" s="6" t="s">
        <v>1951</v>
      </c>
      <c r="I1322" s="6" t="s">
        <v>593</v>
      </c>
      <c r="J1322" s="6" t="s">
        <v>1853</v>
      </c>
      <c r="K1322" s="1">
        <v>0</v>
      </c>
      <c r="L1322" s="6" t="s">
        <v>245</v>
      </c>
      <c r="M1322" s="1">
        <v>2011</v>
      </c>
      <c r="N1322" s="1" t="s">
        <v>237</v>
      </c>
      <c r="O1322" s="1">
        <v>0</v>
      </c>
      <c r="P1322" s="1">
        <v>0</v>
      </c>
      <c r="Q1322" s="1">
        <v>0</v>
      </c>
      <c r="R1322" s="1">
        <v>0</v>
      </c>
      <c r="S1322" s="1" t="s">
        <v>251</v>
      </c>
    </row>
    <row r="1323" spans="1:19" ht="14.45" customHeight="1" x14ac:dyDescent="0.25">
      <c r="A1323" s="6">
        <v>1324</v>
      </c>
      <c r="B1323" s="6">
        <v>8403501</v>
      </c>
      <c r="C1323" t="s">
        <v>1117</v>
      </c>
      <c r="D1323" s="1" t="s">
        <v>1118</v>
      </c>
      <c r="E1323" s="21" t="s">
        <v>237</v>
      </c>
      <c r="F1323" s="21">
        <v>5871.381258611179</v>
      </c>
      <c r="G1323" s="1" t="s">
        <v>233</v>
      </c>
      <c r="H1323" s="6" t="s">
        <v>1951</v>
      </c>
      <c r="I1323" s="6" t="s">
        <v>593</v>
      </c>
      <c r="J1323" s="6" t="s">
        <v>1853</v>
      </c>
      <c r="K1323" s="1">
        <v>0</v>
      </c>
      <c r="L1323" s="6" t="s">
        <v>245</v>
      </c>
      <c r="M1323" s="1">
        <v>2011</v>
      </c>
      <c r="N1323" s="1" t="s">
        <v>237</v>
      </c>
      <c r="O1323" s="1">
        <v>0</v>
      </c>
      <c r="P1323" s="1">
        <v>0</v>
      </c>
      <c r="Q1323" s="1">
        <v>0</v>
      </c>
      <c r="R1323" s="1">
        <v>0</v>
      </c>
      <c r="S1323" s="1" t="s">
        <v>251</v>
      </c>
    </row>
    <row r="1324" spans="1:19" x14ac:dyDescent="0.25">
      <c r="A1324" s="6">
        <v>1325</v>
      </c>
      <c r="B1324" s="6">
        <v>8403501</v>
      </c>
      <c r="C1324" t="s">
        <v>1117</v>
      </c>
      <c r="D1324" s="1" t="s">
        <v>1118</v>
      </c>
      <c r="E1324" s="21">
        <v>3180</v>
      </c>
      <c r="F1324" s="1" t="s">
        <v>233</v>
      </c>
      <c r="G1324" s="1" t="s">
        <v>233</v>
      </c>
      <c r="H1324" s="6" t="s">
        <v>1951</v>
      </c>
      <c r="I1324" s="6" t="s">
        <v>676</v>
      </c>
      <c r="J1324" s="6" t="s">
        <v>1853</v>
      </c>
      <c r="K1324" s="1">
        <v>0</v>
      </c>
      <c r="L1324" s="6" t="s">
        <v>290</v>
      </c>
      <c r="M1324" s="1">
        <v>2009</v>
      </c>
      <c r="N1324" s="1" t="s">
        <v>237</v>
      </c>
      <c r="O1324" s="1">
        <v>0</v>
      </c>
      <c r="P1324" s="1">
        <v>0</v>
      </c>
      <c r="Q1324" s="1">
        <v>0</v>
      </c>
      <c r="R1324" s="1">
        <v>0</v>
      </c>
      <c r="S1324" s="1" t="s">
        <v>235</v>
      </c>
    </row>
    <row r="1325" spans="1:19" x14ac:dyDescent="0.25">
      <c r="A1325" s="6">
        <v>1326</v>
      </c>
      <c r="B1325" s="6">
        <v>8403501</v>
      </c>
      <c r="C1325" t="s">
        <v>1117</v>
      </c>
      <c r="D1325" s="1" t="s">
        <v>1118</v>
      </c>
      <c r="E1325" s="21">
        <v>2382</v>
      </c>
      <c r="F1325" s="1" t="s">
        <v>233</v>
      </c>
      <c r="G1325" s="1" t="s">
        <v>233</v>
      </c>
      <c r="H1325" s="6" t="s">
        <v>1951</v>
      </c>
      <c r="I1325" s="6" t="s">
        <v>677</v>
      </c>
      <c r="J1325" s="6" t="s">
        <v>1849</v>
      </c>
      <c r="K1325" s="1">
        <v>0</v>
      </c>
      <c r="L1325" s="6" t="s">
        <v>262</v>
      </c>
      <c r="M1325" s="1">
        <v>2010</v>
      </c>
      <c r="N1325" s="1" t="s">
        <v>237</v>
      </c>
      <c r="O1325" s="1">
        <v>0</v>
      </c>
      <c r="P1325" s="1">
        <v>0</v>
      </c>
      <c r="Q1325" s="1">
        <v>0</v>
      </c>
      <c r="R1325" s="1">
        <v>0</v>
      </c>
      <c r="S1325" s="1" t="s">
        <v>235</v>
      </c>
    </row>
    <row r="1326" spans="1:19" x14ac:dyDescent="0.25">
      <c r="A1326" s="6">
        <v>1327</v>
      </c>
      <c r="B1326" s="6">
        <v>8403501</v>
      </c>
      <c r="C1326" t="s">
        <v>1117</v>
      </c>
      <c r="D1326" s="1" t="s">
        <v>1118</v>
      </c>
      <c r="E1326" s="21">
        <v>4750</v>
      </c>
      <c r="F1326" s="1" t="s">
        <v>233</v>
      </c>
      <c r="G1326" s="1" t="s">
        <v>233</v>
      </c>
      <c r="H1326" s="6" t="s">
        <v>1951</v>
      </c>
      <c r="I1326" s="6" t="s">
        <v>678</v>
      </c>
      <c r="J1326" s="6" t="s">
        <v>1853</v>
      </c>
      <c r="K1326" s="1">
        <v>0</v>
      </c>
      <c r="L1326" s="6" t="s">
        <v>290</v>
      </c>
      <c r="M1326" s="1">
        <v>2011</v>
      </c>
      <c r="N1326" s="1" t="s">
        <v>237</v>
      </c>
      <c r="O1326" s="1">
        <v>0</v>
      </c>
      <c r="P1326" s="1" t="s">
        <v>1952</v>
      </c>
      <c r="Q1326" s="1">
        <v>0</v>
      </c>
      <c r="R1326" s="1">
        <v>0</v>
      </c>
      <c r="S1326" s="1" t="s">
        <v>235</v>
      </c>
    </row>
    <row r="1327" spans="1:19" x14ac:dyDescent="0.25">
      <c r="A1327" s="6">
        <v>1328</v>
      </c>
      <c r="B1327" s="6">
        <v>8403501</v>
      </c>
      <c r="C1327" t="s">
        <v>1117</v>
      </c>
      <c r="D1327" s="1" t="s">
        <v>1118</v>
      </c>
      <c r="E1327" s="21">
        <v>2024</v>
      </c>
      <c r="F1327" s="1" t="s">
        <v>233</v>
      </c>
      <c r="G1327" s="1" t="s">
        <v>233</v>
      </c>
      <c r="H1327" s="6" t="s">
        <v>1951</v>
      </c>
      <c r="I1327" s="6" t="s">
        <v>680</v>
      </c>
      <c r="J1327" s="6" t="s">
        <v>1853</v>
      </c>
      <c r="K1327" s="1">
        <v>0</v>
      </c>
      <c r="L1327" s="6" t="s">
        <v>240</v>
      </c>
      <c r="M1327" s="1">
        <v>2015</v>
      </c>
      <c r="N1327" s="1" t="s">
        <v>237</v>
      </c>
      <c r="O1327" s="1">
        <v>0</v>
      </c>
      <c r="P1327" s="1">
        <v>0</v>
      </c>
      <c r="Q1327" s="1">
        <v>0</v>
      </c>
      <c r="R1327" s="1">
        <v>0</v>
      </c>
      <c r="S1327" s="1" t="s">
        <v>235</v>
      </c>
    </row>
    <row r="1328" spans="1:19" x14ac:dyDescent="0.25">
      <c r="A1328" s="6">
        <v>1329</v>
      </c>
      <c r="B1328" s="6">
        <v>8403501</v>
      </c>
      <c r="C1328" t="s">
        <v>1117</v>
      </c>
      <c r="D1328" s="1" t="s">
        <v>1118</v>
      </c>
      <c r="E1328" s="21">
        <v>2514</v>
      </c>
      <c r="F1328" s="1" t="s">
        <v>233</v>
      </c>
      <c r="G1328" s="1" t="s">
        <v>233</v>
      </c>
      <c r="H1328" s="6" t="s">
        <v>1951</v>
      </c>
      <c r="I1328" s="6" t="s">
        <v>730</v>
      </c>
      <c r="J1328" s="6" t="s">
        <v>1849</v>
      </c>
      <c r="K1328" s="1">
        <v>0</v>
      </c>
      <c r="L1328" s="6" t="s">
        <v>290</v>
      </c>
      <c r="M1328" s="1">
        <v>2007</v>
      </c>
      <c r="N1328" s="1" t="s">
        <v>237</v>
      </c>
      <c r="O1328" s="1">
        <v>0</v>
      </c>
      <c r="P1328" s="1">
        <v>0</v>
      </c>
      <c r="Q1328" s="1">
        <v>0</v>
      </c>
      <c r="R1328" s="1">
        <v>0</v>
      </c>
      <c r="S1328" s="1" t="s">
        <v>235</v>
      </c>
    </row>
    <row r="1329" spans="1:19" x14ac:dyDescent="0.25">
      <c r="A1329" s="6">
        <v>1330</v>
      </c>
      <c r="B1329" s="6">
        <v>8500303</v>
      </c>
      <c r="C1329" t="s">
        <v>1119</v>
      </c>
      <c r="D1329" s="1" t="s">
        <v>1120</v>
      </c>
      <c r="E1329" s="21">
        <v>9000</v>
      </c>
      <c r="F1329" s="1" t="s">
        <v>233</v>
      </c>
      <c r="G1329" s="1" t="s">
        <v>233</v>
      </c>
      <c r="H1329" s="6" t="s">
        <v>1954</v>
      </c>
      <c r="I1329" s="6" t="s">
        <v>429</v>
      </c>
      <c r="J1329" s="6" t="s">
        <v>1849</v>
      </c>
      <c r="K1329" s="1">
        <v>0</v>
      </c>
      <c r="L1329" s="6" t="s">
        <v>234</v>
      </c>
      <c r="M1329" s="1">
        <v>2015</v>
      </c>
      <c r="N1329" s="1" t="s">
        <v>1864</v>
      </c>
      <c r="O1329" s="1">
        <v>0</v>
      </c>
      <c r="P1329" s="1">
        <v>0</v>
      </c>
      <c r="Q1329" s="1">
        <v>0</v>
      </c>
      <c r="R1329" s="1">
        <v>0</v>
      </c>
      <c r="S1329" s="1" t="s">
        <v>251</v>
      </c>
    </row>
    <row r="1330" spans="1:19" x14ac:dyDescent="0.25">
      <c r="A1330" s="6">
        <v>1331</v>
      </c>
      <c r="B1330" s="6">
        <v>8500401</v>
      </c>
      <c r="C1330" t="s">
        <v>1121</v>
      </c>
      <c r="D1330" s="1" t="s">
        <v>1122</v>
      </c>
      <c r="E1330" s="21">
        <v>700</v>
      </c>
      <c r="F1330" s="1" t="s">
        <v>233</v>
      </c>
      <c r="G1330" s="1" t="s">
        <v>233</v>
      </c>
      <c r="H1330" s="6" t="s">
        <v>1951</v>
      </c>
      <c r="I1330" s="6" t="s">
        <v>421</v>
      </c>
      <c r="J1330" s="6" t="s">
        <v>1849</v>
      </c>
      <c r="K1330" s="1">
        <v>0</v>
      </c>
      <c r="L1330" s="6" t="s">
        <v>236</v>
      </c>
      <c r="M1330" s="1">
        <v>2009</v>
      </c>
      <c r="N1330" s="1" t="s">
        <v>237</v>
      </c>
      <c r="O1330" s="1">
        <v>0</v>
      </c>
      <c r="P1330" s="1">
        <v>0</v>
      </c>
      <c r="Q1330" s="1">
        <v>0</v>
      </c>
      <c r="R1330" s="1">
        <v>0</v>
      </c>
      <c r="S1330" s="1" t="s">
        <v>235</v>
      </c>
    </row>
    <row r="1331" spans="1:19" x14ac:dyDescent="0.25">
      <c r="A1331" s="6">
        <v>1332</v>
      </c>
      <c r="B1331" s="6">
        <v>8500401</v>
      </c>
      <c r="C1331" t="s">
        <v>1121</v>
      </c>
      <c r="D1331" s="1" t="s">
        <v>1122</v>
      </c>
      <c r="E1331" s="21">
        <v>600</v>
      </c>
      <c r="F1331" s="1" t="s">
        <v>233</v>
      </c>
      <c r="G1331" s="1" t="s">
        <v>233</v>
      </c>
      <c r="H1331" s="6" t="s">
        <v>1951</v>
      </c>
      <c r="I1331" s="6" t="s">
        <v>422</v>
      </c>
      <c r="J1331" s="6" t="s">
        <v>1849</v>
      </c>
      <c r="K1331" s="1">
        <v>0</v>
      </c>
      <c r="L1331" s="6" t="s">
        <v>236</v>
      </c>
      <c r="M1331" s="1">
        <v>2010</v>
      </c>
      <c r="N1331" s="1" t="s">
        <v>237</v>
      </c>
      <c r="O1331" s="1">
        <v>0</v>
      </c>
      <c r="P1331" s="1">
        <v>0</v>
      </c>
      <c r="Q1331" s="1">
        <v>0</v>
      </c>
      <c r="R1331" s="1">
        <v>0</v>
      </c>
      <c r="S1331" s="1" t="s">
        <v>235</v>
      </c>
    </row>
    <row r="1332" spans="1:19" x14ac:dyDescent="0.25">
      <c r="A1332" s="6">
        <v>1333</v>
      </c>
      <c r="B1332" s="6">
        <v>8500401</v>
      </c>
      <c r="C1332" t="s">
        <v>1121</v>
      </c>
      <c r="D1332" s="1" t="s">
        <v>1122</v>
      </c>
      <c r="E1332" s="21" t="s">
        <v>237</v>
      </c>
      <c r="F1332" s="1" t="s">
        <v>233</v>
      </c>
      <c r="G1332" s="19">
        <v>11</v>
      </c>
      <c r="H1332" s="6" t="s">
        <v>1951</v>
      </c>
      <c r="I1332" s="6" t="s">
        <v>465</v>
      </c>
      <c r="J1332" s="6" t="s">
        <v>1849</v>
      </c>
      <c r="K1332" s="1">
        <v>0</v>
      </c>
      <c r="L1332" s="6" t="s">
        <v>234</v>
      </c>
      <c r="M1332" s="1">
        <v>2007</v>
      </c>
      <c r="N1332" s="1" t="s">
        <v>237</v>
      </c>
      <c r="O1332" s="1">
        <v>0</v>
      </c>
      <c r="P1332" s="1">
        <v>0</v>
      </c>
      <c r="Q1332" s="1">
        <v>0</v>
      </c>
      <c r="R1332" s="1">
        <v>0</v>
      </c>
      <c r="S1332" s="1" t="s">
        <v>235</v>
      </c>
    </row>
    <row r="1333" spans="1:19" x14ac:dyDescent="0.25">
      <c r="A1333" s="6">
        <v>1334</v>
      </c>
      <c r="B1333" s="6">
        <v>8500401</v>
      </c>
      <c r="C1333" t="s">
        <v>1121</v>
      </c>
      <c r="D1333" s="1" t="s">
        <v>1122</v>
      </c>
      <c r="E1333" s="21" t="s">
        <v>237</v>
      </c>
      <c r="F1333" s="21">
        <v>117.96184498401392</v>
      </c>
      <c r="G1333" s="1" t="s">
        <v>233</v>
      </c>
      <c r="H1333" s="6" t="s">
        <v>1951</v>
      </c>
      <c r="I1333" s="6" t="s">
        <v>593</v>
      </c>
      <c r="J1333" s="6" t="s">
        <v>1853</v>
      </c>
      <c r="K1333" s="1">
        <v>0</v>
      </c>
      <c r="L1333" s="6" t="s">
        <v>245</v>
      </c>
      <c r="M1333" s="1">
        <v>2011</v>
      </c>
      <c r="N1333" s="1" t="s">
        <v>237</v>
      </c>
      <c r="O1333" s="1">
        <v>0</v>
      </c>
      <c r="P1333" s="1">
        <v>0</v>
      </c>
      <c r="Q1333" s="1" t="s">
        <v>1953</v>
      </c>
      <c r="R1333" s="1">
        <v>0</v>
      </c>
      <c r="S1333" s="1" t="s">
        <v>251</v>
      </c>
    </row>
    <row r="1334" spans="1:19" x14ac:dyDescent="0.25">
      <c r="A1334" s="6">
        <v>1335</v>
      </c>
      <c r="B1334" s="6">
        <v>8500401</v>
      </c>
      <c r="C1334" t="s">
        <v>1121</v>
      </c>
      <c r="D1334" s="1" t="s">
        <v>1122</v>
      </c>
      <c r="E1334" s="21" t="s">
        <v>237</v>
      </c>
      <c r="F1334" s="21">
        <v>591.49021539158025</v>
      </c>
      <c r="G1334" s="1" t="s">
        <v>233</v>
      </c>
      <c r="H1334" s="6" t="s">
        <v>1951</v>
      </c>
      <c r="I1334" s="6" t="s">
        <v>593</v>
      </c>
      <c r="J1334" s="6" t="s">
        <v>1853</v>
      </c>
      <c r="K1334" s="1">
        <v>0</v>
      </c>
      <c r="L1334" s="6" t="s">
        <v>245</v>
      </c>
      <c r="M1334" s="1">
        <v>2011</v>
      </c>
      <c r="N1334" s="1" t="s">
        <v>237</v>
      </c>
      <c r="O1334" s="1">
        <v>0</v>
      </c>
      <c r="P1334" s="1">
        <v>0</v>
      </c>
      <c r="Q1334" s="1">
        <v>0</v>
      </c>
      <c r="R1334" s="1">
        <v>0</v>
      </c>
      <c r="S1334" s="1" t="s">
        <v>251</v>
      </c>
    </row>
    <row r="1335" spans="1:19" x14ac:dyDescent="0.25">
      <c r="A1335" s="6">
        <v>1336</v>
      </c>
      <c r="B1335" s="6">
        <v>8500401</v>
      </c>
      <c r="C1335" t="s">
        <v>1121</v>
      </c>
      <c r="D1335" s="1" t="s">
        <v>1122</v>
      </c>
      <c r="E1335" s="21" t="s">
        <v>237</v>
      </c>
      <c r="F1335" s="21">
        <v>513.73932929522971</v>
      </c>
      <c r="G1335" s="1" t="s">
        <v>233</v>
      </c>
      <c r="H1335" s="6" t="s">
        <v>1951</v>
      </c>
      <c r="I1335" s="6" t="s">
        <v>593</v>
      </c>
      <c r="J1335" s="6" t="s">
        <v>1853</v>
      </c>
      <c r="K1335" s="1">
        <v>0</v>
      </c>
      <c r="L1335" s="6" t="s">
        <v>245</v>
      </c>
      <c r="M1335" s="1">
        <v>2011</v>
      </c>
      <c r="N1335" s="1" t="s">
        <v>237</v>
      </c>
      <c r="O1335" s="1">
        <v>0</v>
      </c>
      <c r="P1335" s="1">
        <v>0</v>
      </c>
      <c r="Q1335" s="1">
        <v>0</v>
      </c>
      <c r="R1335" s="1">
        <v>0</v>
      </c>
      <c r="S1335" s="1" t="s">
        <v>251</v>
      </c>
    </row>
    <row r="1336" spans="1:19" x14ac:dyDescent="0.25">
      <c r="A1336" s="6">
        <v>1337</v>
      </c>
      <c r="B1336" s="6">
        <v>8500401</v>
      </c>
      <c r="C1336" t="s">
        <v>1121</v>
      </c>
      <c r="D1336" s="1" t="s">
        <v>1122</v>
      </c>
      <c r="E1336" s="21" t="s">
        <v>237</v>
      </c>
      <c r="F1336" s="21">
        <v>469.76522314020775</v>
      </c>
      <c r="G1336" s="1" t="s">
        <v>233</v>
      </c>
      <c r="H1336" s="6" t="s">
        <v>1951</v>
      </c>
      <c r="I1336" s="6" t="s">
        <v>593</v>
      </c>
      <c r="J1336" s="6" t="s">
        <v>1853</v>
      </c>
      <c r="K1336" s="1">
        <v>0</v>
      </c>
      <c r="L1336" s="6" t="s">
        <v>245</v>
      </c>
      <c r="M1336" s="1">
        <v>2011</v>
      </c>
      <c r="N1336" s="1" t="s">
        <v>237</v>
      </c>
      <c r="O1336" s="1">
        <v>0</v>
      </c>
      <c r="P1336" s="1">
        <v>0</v>
      </c>
      <c r="Q1336" s="1">
        <v>0</v>
      </c>
      <c r="R1336" s="1">
        <v>0</v>
      </c>
      <c r="S1336" s="1" t="s">
        <v>251</v>
      </c>
    </row>
    <row r="1337" spans="1:19" x14ac:dyDescent="0.25">
      <c r="A1337" s="6">
        <v>1338</v>
      </c>
      <c r="B1337" s="6">
        <v>8500401</v>
      </c>
      <c r="C1337" t="s">
        <v>1121</v>
      </c>
      <c r="D1337" s="1" t="s">
        <v>1122</v>
      </c>
      <c r="E1337" s="21" t="s">
        <v>237</v>
      </c>
      <c r="F1337" s="21">
        <v>949.53768322779649</v>
      </c>
      <c r="G1337" s="1" t="s">
        <v>233</v>
      </c>
      <c r="H1337" s="6" t="s">
        <v>1951</v>
      </c>
      <c r="I1337" s="6" t="s">
        <v>593</v>
      </c>
      <c r="J1337" s="6" t="s">
        <v>1853</v>
      </c>
      <c r="K1337" s="1">
        <v>0</v>
      </c>
      <c r="L1337" s="6" t="s">
        <v>245</v>
      </c>
      <c r="M1337" s="1">
        <v>2011</v>
      </c>
      <c r="N1337" s="1" t="s">
        <v>237</v>
      </c>
      <c r="O1337" s="1">
        <v>0</v>
      </c>
      <c r="P1337" s="1">
        <v>0</v>
      </c>
      <c r="Q1337" s="1" t="s">
        <v>1953</v>
      </c>
      <c r="R1337" s="1">
        <v>0</v>
      </c>
      <c r="S1337" s="1" t="s">
        <v>251</v>
      </c>
    </row>
    <row r="1338" spans="1:19" x14ac:dyDescent="0.25">
      <c r="A1338" s="6">
        <v>1339</v>
      </c>
      <c r="B1338" s="6">
        <v>8500402</v>
      </c>
      <c r="C1338" t="s">
        <v>1123</v>
      </c>
      <c r="D1338" s="1" t="s">
        <v>1124</v>
      </c>
      <c r="E1338" s="21" t="s">
        <v>237</v>
      </c>
      <c r="F1338" s="21">
        <v>797.72771605166247</v>
      </c>
      <c r="G1338" s="1" t="s">
        <v>233</v>
      </c>
      <c r="H1338" s="6" t="s">
        <v>1951</v>
      </c>
      <c r="I1338" s="6" t="s">
        <v>593</v>
      </c>
      <c r="J1338" s="6" t="s">
        <v>1853</v>
      </c>
      <c r="K1338" s="1">
        <v>0</v>
      </c>
      <c r="L1338" s="6" t="s">
        <v>245</v>
      </c>
      <c r="M1338" s="1">
        <v>2011</v>
      </c>
      <c r="N1338" s="1" t="s">
        <v>237</v>
      </c>
      <c r="O1338" s="1">
        <v>0</v>
      </c>
      <c r="P1338" s="1">
        <v>0</v>
      </c>
      <c r="Q1338" s="1">
        <v>0</v>
      </c>
      <c r="R1338" s="1">
        <v>0</v>
      </c>
      <c r="S1338" s="1" t="s">
        <v>251</v>
      </c>
    </row>
    <row r="1339" spans="1:19" x14ac:dyDescent="0.25">
      <c r="A1339" s="6">
        <v>1340</v>
      </c>
      <c r="B1339" s="6">
        <v>8500407</v>
      </c>
      <c r="C1339" t="s">
        <v>1125</v>
      </c>
      <c r="D1339" s="1" t="s">
        <v>1126</v>
      </c>
      <c r="E1339" s="21">
        <v>1000</v>
      </c>
      <c r="F1339" s="1" t="s">
        <v>233</v>
      </c>
      <c r="G1339" s="1" t="s">
        <v>233</v>
      </c>
      <c r="H1339" s="6" t="s">
        <v>1951</v>
      </c>
      <c r="I1339" s="6" t="s">
        <v>421</v>
      </c>
      <c r="J1339" s="6" t="s">
        <v>1849</v>
      </c>
      <c r="K1339" s="1">
        <v>0</v>
      </c>
      <c r="L1339" s="6" t="s">
        <v>236</v>
      </c>
      <c r="M1339" s="1">
        <v>2009</v>
      </c>
      <c r="N1339" s="1" t="s">
        <v>237</v>
      </c>
      <c r="O1339" s="1">
        <v>0</v>
      </c>
      <c r="P1339" s="1">
        <v>0</v>
      </c>
      <c r="Q1339" s="1">
        <v>0</v>
      </c>
      <c r="R1339" s="1">
        <v>0</v>
      </c>
      <c r="S1339" s="1" t="s">
        <v>235</v>
      </c>
    </row>
    <row r="1340" spans="1:19" x14ac:dyDescent="0.25">
      <c r="A1340" s="6">
        <v>1341</v>
      </c>
      <c r="B1340" s="6">
        <v>8500407</v>
      </c>
      <c r="C1340" t="s">
        <v>1125</v>
      </c>
      <c r="D1340" s="1" t="s">
        <v>1126</v>
      </c>
      <c r="E1340" s="21">
        <v>900</v>
      </c>
      <c r="F1340" s="1" t="s">
        <v>233</v>
      </c>
      <c r="G1340" s="1" t="s">
        <v>233</v>
      </c>
      <c r="H1340" s="6" t="s">
        <v>1951</v>
      </c>
      <c r="I1340" s="6" t="s">
        <v>422</v>
      </c>
      <c r="J1340" s="6" t="s">
        <v>1849</v>
      </c>
      <c r="K1340" s="1">
        <v>0</v>
      </c>
      <c r="L1340" s="6" t="s">
        <v>236</v>
      </c>
      <c r="M1340" s="1">
        <v>2010</v>
      </c>
      <c r="N1340" s="1" t="s">
        <v>237</v>
      </c>
      <c r="O1340" s="1">
        <v>0</v>
      </c>
      <c r="P1340" s="1">
        <v>0</v>
      </c>
      <c r="Q1340" s="1">
        <v>0</v>
      </c>
      <c r="R1340" s="1">
        <v>0</v>
      </c>
      <c r="S1340" s="1" t="s">
        <v>235</v>
      </c>
    </row>
    <row r="1341" spans="1:19" x14ac:dyDescent="0.25">
      <c r="A1341" s="6">
        <v>1342</v>
      </c>
      <c r="B1341" s="6">
        <v>8500407</v>
      </c>
      <c r="C1341" t="s">
        <v>1125</v>
      </c>
      <c r="D1341" s="1" t="s">
        <v>1126</v>
      </c>
      <c r="E1341" s="21">
        <v>441.45536185948231</v>
      </c>
      <c r="F1341" s="1" t="s">
        <v>233</v>
      </c>
      <c r="G1341" s="1" t="s">
        <v>233</v>
      </c>
      <c r="H1341" s="6" t="s">
        <v>1951</v>
      </c>
      <c r="I1341" s="6" t="s">
        <v>491</v>
      </c>
      <c r="J1341" s="6" t="s">
        <v>1849</v>
      </c>
      <c r="K1341" s="1">
        <v>0</v>
      </c>
      <c r="L1341" s="6" t="s">
        <v>238</v>
      </c>
      <c r="M1341" s="1">
        <v>2012</v>
      </c>
      <c r="N1341" s="1" t="s">
        <v>237</v>
      </c>
      <c r="O1341" s="1">
        <v>0</v>
      </c>
      <c r="P1341" s="1">
        <v>0</v>
      </c>
      <c r="Q1341" s="1">
        <v>0</v>
      </c>
      <c r="R1341" s="1">
        <v>0</v>
      </c>
      <c r="S1341" s="1" t="s">
        <v>235</v>
      </c>
    </row>
    <row r="1342" spans="1:19" x14ac:dyDescent="0.25">
      <c r="A1342" s="6">
        <v>1343</v>
      </c>
      <c r="B1342" s="6">
        <v>8500407</v>
      </c>
      <c r="C1342" t="s">
        <v>1125</v>
      </c>
      <c r="D1342" s="1" t="s">
        <v>1126</v>
      </c>
      <c r="E1342" s="21" t="s">
        <v>237</v>
      </c>
      <c r="F1342" s="21">
        <v>718.51525990446032</v>
      </c>
      <c r="G1342" s="1" t="s">
        <v>233</v>
      </c>
      <c r="H1342" s="6" t="s">
        <v>1951</v>
      </c>
      <c r="I1342" s="6" t="s">
        <v>593</v>
      </c>
      <c r="J1342" s="6" t="s">
        <v>1853</v>
      </c>
      <c r="K1342" s="1">
        <v>0</v>
      </c>
      <c r="L1342" s="6" t="s">
        <v>245</v>
      </c>
      <c r="M1342" s="1">
        <v>2011</v>
      </c>
      <c r="N1342" s="1" t="s">
        <v>1857</v>
      </c>
      <c r="O1342" s="1">
        <v>1</v>
      </c>
      <c r="P1342" s="1">
        <v>0</v>
      </c>
      <c r="Q1342" s="1">
        <v>0</v>
      </c>
      <c r="R1342" s="1">
        <v>0</v>
      </c>
      <c r="S1342" s="1" t="s">
        <v>251</v>
      </c>
    </row>
    <row r="1343" spans="1:19" x14ac:dyDescent="0.25">
      <c r="A1343" s="6">
        <v>1344</v>
      </c>
      <c r="B1343" s="6">
        <v>8500407</v>
      </c>
      <c r="C1343" t="s">
        <v>1125</v>
      </c>
      <c r="D1343" s="1" t="s">
        <v>1126</v>
      </c>
      <c r="E1343" s="21" t="s">
        <v>237</v>
      </c>
      <c r="F1343" s="21">
        <v>718.51525990446032</v>
      </c>
      <c r="G1343" s="1" t="s">
        <v>233</v>
      </c>
      <c r="H1343" s="6" t="s">
        <v>1951</v>
      </c>
      <c r="I1343" s="6" t="s">
        <v>593</v>
      </c>
      <c r="J1343" s="6" t="s">
        <v>1853</v>
      </c>
      <c r="K1343" s="1">
        <v>0</v>
      </c>
      <c r="L1343" s="6" t="s">
        <v>245</v>
      </c>
      <c r="M1343" s="1">
        <v>2011</v>
      </c>
      <c r="N1343" s="1" t="s">
        <v>237</v>
      </c>
      <c r="O1343" s="1">
        <v>0</v>
      </c>
      <c r="P1343" s="1">
        <v>0</v>
      </c>
      <c r="Q1343" s="1">
        <v>0</v>
      </c>
      <c r="R1343" s="1">
        <v>0</v>
      </c>
      <c r="S1343" s="1" t="s">
        <v>251</v>
      </c>
    </row>
    <row r="1344" spans="1:19" x14ac:dyDescent="0.25">
      <c r="A1344" s="6">
        <v>1345</v>
      </c>
      <c r="B1344" s="6">
        <v>8500601</v>
      </c>
      <c r="C1344" t="s">
        <v>1127</v>
      </c>
      <c r="D1344" s="1" t="s">
        <v>1128</v>
      </c>
      <c r="E1344" s="21">
        <v>520.9</v>
      </c>
      <c r="F1344" s="1" t="s">
        <v>233</v>
      </c>
      <c r="G1344" s="1" t="s">
        <v>233</v>
      </c>
      <c r="H1344" s="6" t="s">
        <v>1954</v>
      </c>
      <c r="I1344" s="6" t="s">
        <v>705</v>
      </c>
      <c r="J1344" s="6" t="s">
        <v>1849</v>
      </c>
      <c r="K1344" s="1">
        <v>0</v>
      </c>
      <c r="L1344" s="6" t="s">
        <v>236</v>
      </c>
      <c r="M1344" s="1">
        <v>2014</v>
      </c>
      <c r="N1344" s="1" t="s">
        <v>237</v>
      </c>
      <c r="O1344" s="1">
        <v>0</v>
      </c>
      <c r="P1344" s="1">
        <v>0</v>
      </c>
      <c r="Q1344" s="1">
        <v>0</v>
      </c>
      <c r="R1344" s="1">
        <v>0</v>
      </c>
      <c r="S1344" s="1" t="s">
        <v>235</v>
      </c>
    </row>
    <row r="1345" spans="1:19" x14ac:dyDescent="0.25">
      <c r="A1345" s="6">
        <v>1346</v>
      </c>
      <c r="B1345" s="6">
        <v>8500601</v>
      </c>
      <c r="C1345" t="s">
        <v>1127</v>
      </c>
      <c r="D1345" s="1" t="s">
        <v>1128</v>
      </c>
      <c r="E1345" s="21">
        <v>434.5</v>
      </c>
      <c r="F1345" s="1" t="s">
        <v>233</v>
      </c>
      <c r="G1345" s="1" t="s">
        <v>233</v>
      </c>
      <c r="H1345" s="6" t="s">
        <v>1954</v>
      </c>
      <c r="I1345" s="6" t="s">
        <v>706</v>
      </c>
      <c r="J1345" s="6" t="s">
        <v>1849</v>
      </c>
      <c r="K1345" s="1">
        <v>0</v>
      </c>
      <c r="L1345" s="6" t="s">
        <v>236</v>
      </c>
      <c r="M1345" s="1">
        <v>2016</v>
      </c>
      <c r="N1345" s="1" t="s">
        <v>237</v>
      </c>
      <c r="O1345" s="1">
        <v>0</v>
      </c>
      <c r="P1345" s="1">
        <v>0</v>
      </c>
      <c r="Q1345" s="1">
        <v>0</v>
      </c>
      <c r="R1345" s="1">
        <v>0</v>
      </c>
      <c r="S1345" s="1" t="s">
        <v>251</v>
      </c>
    </row>
    <row r="1346" spans="1:19" x14ac:dyDescent="0.25">
      <c r="A1346" s="6">
        <v>1347</v>
      </c>
      <c r="B1346" s="6">
        <v>8500903</v>
      </c>
      <c r="C1346" t="s">
        <v>1129</v>
      </c>
      <c r="D1346" s="1" t="s">
        <v>797</v>
      </c>
      <c r="E1346" s="21">
        <v>4400</v>
      </c>
      <c r="F1346" s="1" t="s">
        <v>233</v>
      </c>
      <c r="G1346" s="1" t="s">
        <v>233</v>
      </c>
      <c r="H1346" s="6" t="s">
        <v>1954</v>
      </c>
      <c r="I1346" s="6" t="s">
        <v>313</v>
      </c>
      <c r="J1346" s="6" t="s">
        <v>1849</v>
      </c>
      <c r="K1346" s="1">
        <v>0</v>
      </c>
      <c r="L1346" s="6" t="s">
        <v>234</v>
      </c>
      <c r="M1346" s="1">
        <v>2012</v>
      </c>
      <c r="N1346" s="1" t="s">
        <v>237</v>
      </c>
      <c r="O1346" s="1">
        <v>0</v>
      </c>
      <c r="P1346" s="1">
        <v>0</v>
      </c>
      <c r="Q1346" s="1">
        <v>0</v>
      </c>
      <c r="R1346" s="1">
        <v>0</v>
      </c>
      <c r="S1346" s="1" t="s">
        <v>251</v>
      </c>
    </row>
    <row r="1347" spans="1:19" x14ac:dyDescent="0.25">
      <c r="A1347" s="6">
        <v>1349</v>
      </c>
      <c r="B1347" s="6">
        <v>8500914</v>
      </c>
      <c r="C1347" t="s">
        <v>1133</v>
      </c>
      <c r="D1347" s="1" t="s">
        <v>797</v>
      </c>
      <c r="E1347" s="21">
        <v>4700</v>
      </c>
      <c r="F1347" s="1" t="s">
        <v>233</v>
      </c>
      <c r="G1347" s="1" t="s">
        <v>233</v>
      </c>
      <c r="H1347" s="6" t="s">
        <v>1954</v>
      </c>
      <c r="I1347" s="6" t="s">
        <v>313</v>
      </c>
      <c r="J1347" s="6" t="s">
        <v>1849</v>
      </c>
      <c r="K1347" s="1">
        <v>0</v>
      </c>
      <c r="L1347" s="6" t="s">
        <v>234</v>
      </c>
      <c r="M1347" s="1">
        <v>2012</v>
      </c>
      <c r="N1347" s="1" t="s">
        <v>237</v>
      </c>
      <c r="O1347" s="1">
        <v>0</v>
      </c>
      <c r="P1347" s="1">
        <v>0</v>
      </c>
      <c r="Q1347" s="1">
        <v>0</v>
      </c>
      <c r="R1347" s="1">
        <v>0</v>
      </c>
      <c r="S1347" s="1" t="s">
        <v>251</v>
      </c>
    </row>
    <row r="1348" spans="1:19" x14ac:dyDescent="0.25">
      <c r="A1348" s="6">
        <v>1350</v>
      </c>
      <c r="B1348" s="6">
        <v>8500915</v>
      </c>
      <c r="C1348" t="s">
        <v>1134</v>
      </c>
      <c r="D1348" s="1" t="s">
        <v>797</v>
      </c>
      <c r="E1348" s="21">
        <v>4000</v>
      </c>
      <c r="F1348" s="1" t="s">
        <v>233</v>
      </c>
      <c r="G1348" s="1" t="s">
        <v>233</v>
      </c>
      <c r="H1348" s="6" t="s">
        <v>1954</v>
      </c>
      <c r="I1348" s="6" t="s">
        <v>313</v>
      </c>
      <c r="J1348" s="6" t="s">
        <v>1849</v>
      </c>
      <c r="K1348" s="1">
        <v>0</v>
      </c>
      <c r="L1348" s="6" t="s">
        <v>234</v>
      </c>
      <c r="M1348" s="1">
        <v>2012</v>
      </c>
      <c r="N1348" s="1" t="s">
        <v>237</v>
      </c>
      <c r="O1348" s="1">
        <v>0</v>
      </c>
      <c r="P1348" s="1">
        <v>0</v>
      </c>
      <c r="Q1348" s="1">
        <v>0</v>
      </c>
      <c r="R1348" s="1">
        <v>0</v>
      </c>
      <c r="S1348" s="1" t="s">
        <v>251</v>
      </c>
    </row>
    <row r="1349" spans="1:19" x14ac:dyDescent="0.25">
      <c r="A1349" s="6">
        <v>1351</v>
      </c>
      <c r="B1349" s="6">
        <v>8500916</v>
      </c>
      <c r="C1349" t="s">
        <v>1135</v>
      </c>
      <c r="D1349" s="1" t="s">
        <v>797</v>
      </c>
      <c r="E1349" s="21">
        <v>4200</v>
      </c>
      <c r="F1349" s="1" t="s">
        <v>233</v>
      </c>
      <c r="G1349" s="1" t="s">
        <v>233</v>
      </c>
      <c r="H1349" s="6" t="s">
        <v>1954</v>
      </c>
      <c r="I1349" s="6" t="s">
        <v>313</v>
      </c>
      <c r="J1349" s="6" t="s">
        <v>1849</v>
      </c>
      <c r="K1349" s="1">
        <v>0</v>
      </c>
      <c r="L1349" s="6" t="s">
        <v>234</v>
      </c>
      <c r="M1349" s="1">
        <v>2012</v>
      </c>
      <c r="N1349" s="1" t="s">
        <v>237</v>
      </c>
      <c r="O1349" s="1">
        <v>0</v>
      </c>
      <c r="P1349" s="1">
        <v>0</v>
      </c>
      <c r="Q1349" s="1">
        <v>0</v>
      </c>
      <c r="R1349" s="1">
        <v>0</v>
      </c>
      <c r="S1349" s="1" t="s">
        <v>251</v>
      </c>
    </row>
    <row r="1350" spans="1:19" x14ac:dyDescent="0.25">
      <c r="A1350" s="6">
        <v>1352</v>
      </c>
      <c r="B1350" s="6">
        <v>8501302</v>
      </c>
      <c r="C1350" t="s">
        <v>1136</v>
      </c>
      <c r="D1350" s="1" t="s">
        <v>1137</v>
      </c>
      <c r="E1350" s="21" t="s">
        <v>237</v>
      </c>
      <c r="F1350" s="1" t="s">
        <v>233</v>
      </c>
      <c r="G1350" s="19">
        <v>45</v>
      </c>
      <c r="H1350" s="6" t="s">
        <v>1951</v>
      </c>
      <c r="I1350" s="6" t="s">
        <v>465</v>
      </c>
      <c r="J1350" s="6" t="s">
        <v>1849</v>
      </c>
      <c r="K1350" s="1">
        <v>0</v>
      </c>
      <c r="L1350" s="6" t="s">
        <v>234</v>
      </c>
      <c r="M1350" s="1">
        <v>2007</v>
      </c>
      <c r="N1350" s="1" t="s">
        <v>237</v>
      </c>
      <c r="O1350" s="1">
        <v>0</v>
      </c>
      <c r="P1350" s="1">
        <v>0</v>
      </c>
      <c r="Q1350" s="1">
        <v>0</v>
      </c>
      <c r="R1350" s="1">
        <v>0</v>
      </c>
      <c r="S1350" s="1" t="s">
        <v>235</v>
      </c>
    </row>
    <row r="1351" spans="1:19" x14ac:dyDescent="0.25">
      <c r="A1351" s="6">
        <v>1353</v>
      </c>
      <c r="B1351" s="6">
        <v>8501302</v>
      </c>
      <c r="C1351" t="s">
        <v>1136</v>
      </c>
      <c r="D1351" s="1" t="s">
        <v>1137</v>
      </c>
      <c r="E1351" s="21" t="s">
        <v>237</v>
      </c>
      <c r="F1351" s="21">
        <v>11194.592430831275</v>
      </c>
      <c r="G1351" s="1" t="s">
        <v>233</v>
      </c>
      <c r="H1351" s="6" t="s">
        <v>1951</v>
      </c>
      <c r="I1351" s="6" t="s">
        <v>593</v>
      </c>
      <c r="J1351" s="6" t="s">
        <v>1853</v>
      </c>
      <c r="K1351" s="1">
        <v>0</v>
      </c>
      <c r="L1351" s="6" t="s">
        <v>245</v>
      </c>
      <c r="M1351" s="1">
        <v>2011</v>
      </c>
      <c r="N1351" s="1" t="s">
        <v>237</v>
      </c>
      <c r="O1351" s="1">
        <v>0</v>
      </c>
      <c r="P1351" s="1">
        <v>0</v>
      </c>
      <c r="Q1351" s="1">
        <v>0</v>
      </c>
      <c r="R1351" s="1">
        <v>0</v>
      </c>
      <c r="S1351" s="1" t="s">
        <v>251</v>
      </c>
    </row>
    <row r="1352" spans="1:19" x14ac:dyDescent="0.25">
      <c r="A1352" s="6">
        <v>1354</v>
      </c>
      <c r="B1352" s="6">
        <v>8501302</v>
      </c>
      <c r="C1352" t="s">
        <v>1136</v>
      </c>
      <c r="D1352" s="1" t="s">
        <v>1137</v>
      </c>
      <c r="E1352" s="21" t="s">
        <v>237</v>
      </c>
      <c r="F1352" s="21">
        <v>11194.592430831275</v>
      </c>
      <c r="G1352" s="1" t="s">
        <v>233</v>
      </c>
      <c r="H1352" s="6" t="s">
        <v>1951</v>
      </c>
      <c r="I1352" s="6" t="s">
        <v>593</v>
      </c>
      <c r="J1352" s="6" t="s">
        <v>1853</v>
      </c>
      <c r="K1352" s="1">
        <v>0</v>
      </c>
      <c r="L1352" s="6" t="s">
        <v>245</v>
      </c>
      <c r="M1352" s="1">
        <v>2011</v>
      </c>
      <c r="N1352" s="1" t="s">
        <v>237</v>
      </c>
      <c r="O1352" s="1">
        <v>0</v>
      </c>
      <c r="P1352" s="1">
        <v>0</v>
      </c>
      <c r="Q1352" s="1">
        <v>0</v>
      </c>
      <c r="R1352" s="1">
        <v>0</v>
      </c>
      <c r="S1352" s="1" t="s">
        <v>251</v>
      </c>
    </row>
    <row r="1353" spans="1:19" x14ac:dyDescent="0.25">
      <c r="A1353" s="6">
        <v>1355</v>
      </c>
      <c r="B1353" s="6">
        <v>8501302</v>
      </c>
      <c r="C1353" t="s">
        <v>1136</v>
      </c>
      <c r="D1353" s="1" t="s">
        <v>1137</v>
      </c>
      <c r="E1353" s="21" t="s">
        <v>237</v>
      </c>
      <c r="F1353" s="21">
        <v>13326.895750989614</v>
      </c>
      <c r="G1353" s="1" t="s">
        <v>233</v>
      </c>
      <c r="H1353" s="6" t="s">
        <v>1951</v>
      </c>
      <c r="I1353" s="6" t="s">
        <v>593</v>
      </c>
      <c r="J1353" s="6" t="s">
        <v>1853</v>
      </c>
      <c r="K1353" s="1">
        <v>0</v>
      </c>
      <c r="L1353" s="6" t="s">
        <v>245</v>
      </c>
      <c r="M1353" s="1">
        <v>2011</v>
      </c>
      <c r="N1353" s="1" t="s">
        <v>237</v>
      </c>
      <c r="O1353" s="1">
        <v>0</v>
      </c>
      <c r="P1353" s="1">
        <v>0</v>
      </c>
      <c r="Q1353" s="1">
        <v>0</v>
      </c>
      <c r="R1353" s="1">
        <v>0</v>
      </c>
      <c r="S1353" s="1" t="s">
        <v>251</v>
      </c>
    </row>
    <row r="1354" spans="1:19" x14ac:dyDescent="0.25">
      <c r="A1354" s="6">
        <v>1356</v>
      </c>
      <c r="B1354" s="6">
        <v>8501302</v>
      </c>
      <c r="C1354" t="s">
        <v>1136</v>
      </c>
      <c r="D1354" s="1" t="s">
        <v>1137</v>
      </c>
      <c r="E1354" s="21" t="s">
        <v>237</v>
      </c>
      <c r="F1354" s="21">
        <v>13326.895750989614</v>
      </c>
      <c r="G1354" s="1" t="s">
        <v>233</v>
      </c>
      <c r="H1354" s="6" t="s">
        <v>1951</v>
      </c>
      <c r="I1354" s="6" t="s">
        <v>593</v>
      </c>
      <c r="J1354" s="6" t="s">
        <v>1853</v>
      </c>
      <c r="K1354" s="1">
        <v>0</v>
      </c>
      <c r="L1354" s="6" t="s">
        <v>245</v>
      </c>
      <c r="M1354" s="1">
        <v>2011</v>
      </c>
      <c r="N1354" s="1" t="s">
        <v>237</v>
      </c>
      <c r="O1354" s="1">
        <v>0</v>
      </c>
      <c r="P1354" s="1">
        <v>0</v>
      </c>
      <c r="Q1354" s="1">
        <v>0</v>
      </c>
      <c r="R1354" s="1">
        <v>0</v>
      </c>
      <c r="S1354" s="1" t="s">
        <v>251</v>
      </c>
    </row>
    <row r="1355" spans="1:19" x14ac:dyDescent="0.25">
      <c r="A1355" s="6">
        <v>1357</v>
      </c>
      <c r="B1355" s="6">
        <v>8501302</v>
      </c>
      <c r="C1355" t="s">
        <v>1136</v>
      </c>
      <c r="D1355" s="1" t="s">
        <v>1137</v>
      </c>
      <c r="E1355" s="21" t="s">
        <v>237</v>
      </c>
      <c r="F1355" s="1" t="s">
        <v>233</v>
      </c>
      <c r="G1355" s="19">
        <v>59</v>
      </c>
      <c r="H1355" s="6" t="s">
        <v>1951</v>
      </c>
      <c r="I1355" s="6" t="s">
        <v>681</v>
      </c>
      <c r="J1355" s="6" t="s">
        <v>1849</v>
      </c>
      <c r="K1355" s="1">
        <v>0</v>
      </c>
      <c r="L1355" s="6" t="s">
        <v>236</v>
      </c>
      <c r="M1355" s="1">
        <v>2009</v>
      </c>
      <c r="N1355" s="1" t="s">
        <v>237</v>
      </c>
      <c r="O1355" s="1">
        <v>0</v>
      </c>
      <c r="P1355" s="1">
        <v>0</v>
      </c>
      <c r="Q1355" s="1">
        <v>0</v>
      </c>
      <c r="R1355" s="1">
        <v>0</v>
      </c>
      <c r="S1355" s="1" t="s">
        <v>251</v>
      </c>
    </row>
    <row r="1356" spans="1:19" x14ac:dyDescent="0.25">
      <c r="A1356" s="6">
        <v>1358</v>
      </c>
      <c r="B1356" s="6">
        <v>8501302</v>
      </c>
      <c r="C1356" t="s">
        <v>1136</v>
      </c>
      <c r="D1356" s="1" t="s">
        <v>1137</v>
      </c>
      <c r="E1356" s="21">
        <v>330</v>
      </c>
      <c r="F1356" s="1" t="s">
        <v>233</v>
      </c>
      <c r="G1356" s="1" t="s">
        <v>233</v>
      </c>
      <c r="H1356" s="6" t="s">
        <v>1951</v>
      </c>
      <c r="I1356" s="6" t="s">
        <v>721</v>
      </c>
      <c r="J1356" s="6" t="s">
        <v>1852</v>
      </c>
      <c r="K1356" s="1">
        <v>0</v>
      </c>
      <c r="L1356" s="6" t="s">
        <v>239</v>
      </c>
      <c r="M1356" s="1">
        <v>2014</v>
      </c>
      <c r="N1356" s="1" t="s">
        <v>237</v>
      </c>
      <c r="O1356" s="1">
        <v>0</v>
      </c>
      <c r="P1356" s="1">
        <v>0</v>
      </c>
      <c r="Q1356" s="1">
        <v>0</v>
      </c>
      <c r="R1356" s="1">
        <v>0</v>
      </c>
      <c r="S1356" s="1" t="s">
        <v>251</v>
      </c>
    </row>
    <row r="1357" spans="1:19" x14ac:dyDescent="0.25">
      <c r="A1357" s="6">
        <v>1359</v>
      </c>
      <c r="B1357" s="6">
        <v>8202602</v>
      </c>
      <c r="C1357" t="s">
        <v>1089</v>
      </c>
      <c r="D1357" s="1" t="s">
        <v>1090</v>
      </c>
      <c r="E1357" s="21">
        <v>1161</v>
      </c>
      <c r="F1357" s="1" t="s">
        <v>233</v>
      </c>
      <c r="G1357" s="1" t="s">
        <v>233</v>
      </c>
      <c r="H1357" s="6" t="s">
        <v>1951</v>
      </c>
      <c r="I1357" s="6" t="s">
        <v>544</v>
      </c>
      <c r="J1357" s="6" t="s">
        <v>1851</v>
      </c>
      <c r="K1357" s="1">
        <v>0</v>
      </c>
      <c r="L1357" s="6" t="s">
        <v>311</v>
      </c>
      <c r="M1357" s="1">
        <v>2009</v>
      </c>
      <c r="N1357" s="1" t="s">
        <v>1917</v>
      </c>
      <c r="O1357" s="1">
        <v>0</v>
      </c>
      <c r="P1357" s="1">
        <v>0</v>
      </c>
      <c r="Q1357" s="1">
        <v>0</v>
      </c>
      <c r="R1357" s="1">
        <v>0</v>
      </c>
      <c r="S1357" s="1" t="s">
        <v>251</v>
      </c>
    </row>
    <row r="1358" spans="1:19" x14ac:dyDescent="0.25">
      <c r="A1358" s="6">
        <v>1360</v>
      </c>
      <c r="B1358" s="6">
        <v>8501503</v>
      </c>
      <c r="C1358" t="s">
        <v>1138</v>
      </c>
      <c r="D1358" s="1" t="s">
        <v>797</v>
      </c>
      <c r="E1358" s="21">
        <v>2200</v>
      </c>
      <c r="F1358" s="1" t="s">
        <v>233</v>
      </c>
      <c r="G1358" s="1" t="s">
        <v>233</v>
      </c>
      <c r="H1358" s="6" t="s">
        <v>1951</v>
      </c>
      <c r="I1358" s="6" t="s">
        <v>625</v>
      </c>
      <c r="J1358" s="6" t="s">
        <v>1852</v>
      </c>
      <c r="K1358" s="1">
        <v>0</v>
      </c>
      <c r="L1358" s="6" t="s">
        <v>259</v>
      </c>
      <c r="M1358" s="1">
        <v>2011</v>
      </c>
      <c r="N1358" s="1" t="s">
        <v>237</v>
      </c>
      <c r="O1358" s="1">
        <v>0</v>
      </c>
      <c r="P1358" s="1">
        <v>0</v>
      </c>
      <c r="Q1358" s="1">
        <v>0</v>
      </c>
      <c r="R1358" s="1">
        <v>0</v>
      </c>
      <c r="S1358" s="1" t="s">
        <v>251</v>
      </c>
    </row>
    <row r="1359" spans="1:19" x14ac:dyDescent="0.25">
      <c r="A1359" s="6">
        <v>1361</v>
      </c>
      <c r="B1359" s="6">
        <v>8500914</v>
      </c>
      <c r="C1359" t="s">
        <v>1133</v>
      </c>
      <c r="D1359" s="1" t="s">
        <v>797</v>
      </c>
      <c r="E1359" s="21">
        <v>6700</v>
      </c>
      <c r="F1359" s="1" t="s">
        <v>233</v>
      </c>
      <c r="G1359" s="19" t="s">
        <v>233</v>
      </c>
      <c r="H1359" s="6" t="s">
        <v>1954</v>
      </c>
      <c r="I1359" s="6" t="s">
        <v>429</v>
      </c>
      <c r="J1359" s="6" t="s">
        <v>1849</v>
      </c>
      <c r="K1359" s="1">
        <v>0</v>
      </c>
      <c r="L1359" s="6" t="s">
        <v>234</v>
      </c>
      <c r="M1359" s="1">
        <v>2015</v>
      </c>
      <c r="N1359" s="1" t="s">
        <v>1864</v>
      </c>
      <c r="O1359" s="1">
        <v>0</v>
      </c>
      <c r="P1359" s="1">
        <v>0</v>
      </c>
      <c r="Q1359" s="1">
        <v>0</v>
      </c>
      <c r="R1359" s="1">
        <v>0</v>
      </c>
      <c r="S1359" s="1" t="s">
        <v>251</v>
      </c>
    </row>
    <row r="1360" spans="1:19" x14ac:dyDescent="0.25">
      <c r="A1360" s="6">
        <v>1362</v>
      </c>
      <c r="B1360" s="6">
        <v>8503202</v>
      </c>
      <c r="C1360" t="s">
        <v>1139</v>
      </c>
      <c r="D1360" s="1" t="s">
        <v>998</v>
      </c>
      <c r="E1360" s="41">
        <v>2800</v>
      </c>
      <c r="F1360" s="1" t="s">
        <v>233</v>
      </c>
      <c r="G1360" s="1" t="s">
        <v>233</v>
      </c>
      <c r="H1360" s="6" t="s">
        <v>1954</v>
      </c>
      <c r="I1360" s="6" t="s">
        <v>431</v>
      </c>
      <c r="J1360" s="6" t="s">
        <v>1849</v>
      </c>
      <c r="K1360" s="1">
        <v>0</v>
      </c>
      <c r="L1360" s="6" t="s">
        <v>234</v>
      </c>
      <c r="M1360" s="1">
        <v>2015</v>
      </c>
      <c r="N1360" s="1" t="s">
        <v>1864</v>
      </c>
      <c r="O1360" s="1">
        <v>0</v>
      </c>
      <c r="P1360" s="1">
        <v>0</v>
      </c>
      <c r="Q1360" s="1">
        <v>0</v>
      </c>
      <c r="R1360" s="1">
        <v>0</v>
      </c>
      <c r="S1360" s="1" t="s">
        <v>251</v>
      </c>
    </row>
    <row r="1361" spans="1:19" x14ac:dyDescent="0.25">
      <c r="A1361" s="6">
        <v>1363</v>
      </c>
      <c r="B1361" s="6">
        <v>8504501</v>
      </c>
      <c r="C1361" t="s">
        <v>1140</v>
      </c>
      <c r="D1361" s="1" t="s">
        <v>1141</v>
      </c>
      <c r="E1361" s="21" t="s">
        <v>237</v>
      </c>
      <c r="F1361" s="1" t="s">
        <v>233</v>
      </c>
      <c r="G1361" s="19">
        <v>11</v>
      </c>
      <c r="H1361" s="6" t="s">
        <v>1951</v>
      </c>
      <c r="I1361" s="6" t="s">
        <v>465</v>
      </c>
      <c r="J1361" s="6" t="s">
        <v>1849</v>
      </c>
      <c r="K1361" s="1">
        <v>0</v>
      </c>
      <c r="L1361" s="6" t="s">
        <v>234</v>
      </c>
      <c r="M1361" s="1">
        <v>2007</v>
      </c>
      <c r="N1361" s="1" t="s">
        <v>237</v>
      </c>
      <c r="O1361" s="1">
        <v>0</v>
      </c>
      <c r="P1361" s="1">
        <v>0</v>
      </c>
      <c r="Q1361" s="1">
        <v>0</v>
      </c>
      <c r="R1361" s="1">
        <v>0</v>
      </c>
      <c r="S1361" s="1" t="s">
        <v>235</v>
      </c>
    </row>
    <row r="1362" spans="1:19" x14ac:dyDescent="0.25">
      <c r="A1362" s="6">
        <v>1364</v>
      </c>
      <c r="B1362" s="6">
        <v>8507601</v>
      </c>
      <c r="C1362" t="s">
        <v>920</v>
      </c>
      <c r="D1362" s="1" t="s">
        <v>921</v>
      </c>
      <c r="E1362" s="21" t="s">
        <v>237</v>
      </c>
      <c r="F1362" s="1" t="s">
        <v>233</v>
      </c>
      <c r="G1362" s="19">
        <v>46</v>
      </c>
      <c r="H1362" s="6" t="s">
        <v>1951</v>
      </c>
      <c r="I1362" s="6" t="s">
        <v>465</v>
      </c>
      <c r="J1362" s="6" t="s">
        <v>1849</v>
      </c>
      <c r="K1362" s="1">
        <v>0</v>
      </c>
      <c r="L1362" s="6" t="s">
        <v>234</v>
      </c>
      <c r="M1362" s="1">
        <v>2007</v>
      </c>
      <c r="N1362" s="1" t="s">
        <v>237</v>
      </c>
      <c r="O1362" s="1">
        <v>0</v>
      </c>
      <c r="P1362" s="1">
        <v>0</v>
      </c>
      <c r="Q1362" s="1">
        <v>0</v>
      </c>
      <c r="R1362" s="1">
        <v>0</v>
      </c>
      <c r="S1362" s="1" t="s">
        <v>251</v>
      </c>
    </row>
    <row r="1363" spans="1:19" x14ac:dyDescent="0.25">
      <c r="A1363" s="6">
        <v>1365</v>
      </c>
      <c r="B1363" s="6">
        <v>6900801</v>
      </c>
      <c r="C1363" t="s">
        <v>922</v>
      </c>
      <c r="D1363" s="1" t="s">
        <v>923</v>
      </c>
      <c r="E1363" s="21" t="s">
        <v>237</v>
      </c>
      <c r="F1363" s="21">
        <v>26099.224302179467</v>
      </c>
      <c r="G1363" s="1" t="s">
        <v>233</v>
      </c>
      <c r="H1363" s="6" t="s">
        <v>1951</v>
      </c>
      <c r="I1363" s="6" t="s">
        <v>593</v>
      </c>
      <c r="J1363" s="6" t="s">
        <v>1853</v>
      </c>
      <c r="K1363" s="1">
        <v>0</v>
      </c>
      <c r="L1363" s="6" t="s">
        <v>245</v>
      </c>
      <c r="M1363" s="1">
        <v>2011</v>
      </c>
      <c r="N1363" s="1" t="s">
        <v>237</v>
      </c>
      <c r="O1363" s="1">
        <v>0</v>
      </c>
      <c r="P1363" s="1">
        <v>0</v>
      </c>
      <c r="Q1363" s="1">
        <v>0</v>
      </c>
      <c r="R1363" s="1">
        <v>0</v>
      </c>
      <c r="S1363" s="1" t="s">
        <v>251</v>
      </c>
    </row>
    <row r="1364" spans="1:19" x14ac:dyDescent="0.25">
      <c r="A1364" s="6">
        <v>1366</v>
      </c>
      <c r="B1364" s="6">
        <v>8507601</v>
      </c>
      <c r="C1364" t="s">
        <v>920</v>
      </c>
      <c r="D1364" s="1" t="s">
        <v>921</v>
      </c>
      <c r="E1364" s="21">
        <v>990</v>
      </c>
      <c r="F1364" s="1" t="s">
        <v>233</v>
      </c>
      <c r="G1364" s="1" t="s">
        <v>233</v>
      </c>
      <c r="H1364" s="6" t="s">
        <v>1951</v>
      </c>
      <c r="I1364" s="6" t="s">
        <v>625</v>
      </c>
      <c r="J1364" s="6" t="s">
        <v>1852</v>
      </c>
      <c r="K1364" s="1">
        <v>0</v>
      </c>
      <c r="L1364" s="6" t="s">
        <v>259</v>
      </c>
      <c r="M1364" s="1">
        <v>2011</v>
      </c>
      <c r="N1364" s="1" t="s">
        <v>237</v>
      </c>
      <c r="O1364" s="1">
        <v>0</v>
      </c>
      <c r="P1364" s="1">
        <v>0</v>
      </c>
      <c r="Q1364" s="1">
        <v>0</v>
      </c>
      <c r="R1364" s="1">
        <v>0</v>
      </c>
      <c r="S1364" s="1" t="s">
        <v>251</v>
      </c>
    </row>
    <row r="1365" spans="1:19" x14ac:dyDescent="0.25">
      <c r="A1365" s="6">
        <v>1367</v>
      </c>
      <c r="B1365" s="6">
        <v>8507601</v>
      </c>
      <c r="C1365" t="s">
        <v>920</v>
      </c>
      <c r="D1365" s="1" t="s">
        <v>921</v>
      </c>
      <c r="E1365" s="21">
        <v>2910</v>
      </c>
      <c r="F1365" s="1" t="s">
        <v>233</v>
      </c>
      <c r="G1365" s="1" t="s">
        <v>233</v>
      </c>
      <c r="H1365" s="6" t="s">
        <v>1951</v>
      </c>
      <c r="I1365" s="6" t="s">
        <v>625</v>
      </c>
      <c r="J1365" s="6" t="s">
        <v>1852</v>
      </c>
      <c r="K1365" s="1">
        <v>0</v>
      </c>
      <c r="L1365" s="6" t="s">
        <v>259</v>
      </c>
      <c r="M1365" s="1">
        <v>2011</v>
      </c>
      <c r="N1365" s="1" t="s">
        <v>237</v>
      </c>
      <c r="O1365" s="1">
        <v>0</v>
      </c>
      <c r="P1365" s="1">
        <v>0</v>
      </c>
      <c r="Q1365" s="1">
        <v>0</v>
      </c>
      <c r="R1365" s="1">
        <v>0</v>
      </c>
      <c r="S1365" s="1" t="s">
        <v>251</v>
      </c>
    </row>
    <row r="1366" spans="1:19" x14ac:dyDescent="0.25">
      <c r="A1366" s="6">
        <v>1368</v>
      </c>
      <c r="B1366" s="6">
        <v>6700101</v>
      </c>
      <c r="C1366" t="s">
        <v>819</v>
      </c>
      <c r="D1366" s="1" t="s">
        <v>820</v>
      </c>
      <c r="E1366" s="21" t="s">
        <v>237</v>
      </c>
      <c r="F1366" s="1" t="s">
        <v>233</v>
      </c>
      <c r="G1366" s="19">
        <v>1.4925373134328359</v>
      </c>
      <c r="H1366" s="6" t="s">
        <v>1951</v>
      </c>
      <c r="I1366" s="6" t="s">
        <v>1975</v>
      </c>
      <c r="J1366" s="6" t="s">
        <v>1849</v>
      </c>
      <c r="K1366" s="1">
        <v>0</v>
      </c>
      <c r="L1366" s="6" t="s">
        <v>234</v>
      </c>
      <c r="M1366" s="1">
        <v>2005</v>
      </c>
      <c r="N1366" s="1" t="s">
        <v>237</v>
      </c>
      <c r="O1366" s="1">
        <v>0</v>
      </c>
      <c r="P1366" s="1">
        <v>0</v>
      </c>
      <c r="Q1366" s="1">
        <v>0</v>
      </c>
      <c r="R1366" s="1">
        <v>0</v>
      </c>
      <c r="S1366" s="1" t="s">
        <v>235</v>
      </c>
    </row>
    <row r="1367" spans="1:19" x14ac:dyDescent="0.25">
      <c r="A1367" s="6">
        <v>1369</v>
      </c>
      <c r="B1367" s="6">
        <v>6700101</v>
      </c>
      <c r="C1367" t="s">
        <v>819</v>
      </c>
      <c r="D1367" s="1" t="s">
        <v>820</v>
      </c>
      <c r="E1367" s="21" t="s">
        <v>237</v>
      </c>
      <c r="F1367" s="1" t="s">
        <v>233</v>
      </c>
      <c r="G1367" s="19">
        <v>2.9999999999999996</v>
      </c>
      <c r="H1367" s="6" t="s">
        <v>1951</v>
      </c>
      <c r="I1367" s="6" t="s">
        <v>465</v>
      </c>
      <c r="J1367" s="6" t="s">
        <v>1849</v>
      </c>
      <c r="K1367" s="1">
        <v>0</v>
      </c>
      <c r="L1367" s="6" t="s">
        <v>234</v>
      </c>
      <c r="M1367" s="1">
        <v>2007</v>
      </c>
      <c r="N1367" s="1" t="s">
        <v>237</v>
      </c>
      <c r="O1367" s="1">
        <v>0</v>
      </c>
      <c r="P1367" s="1">
        <v>0</v>
      </c>
      <c r="Q1367" s="1">
        <v>0</v>
      </c>
      <c r="R1367" s="1">
        <v>0</v>
      </c>
      <c r="S1367" s="1" t="s">
        <v>235</v>
      </c>
    </row>
    <row r="1368" spans="1:19" x14ac:dyDescent="0.25">
      <c r="A1368" s="6">
        <v>1370</v>
      </c>
      <c r="B1368" s="6">
        <v>6700101</v>
      </c>
      <c r="C1368" t="s">
        <v>819</v>
      </c>
      <c r="D1368" s="1" t="s">
        <v>820</v>
      </c>
      <c r="E1368" s="21" t="s">
        <v>237</v>
      </c>
      <c r="F1368" s="1" t="s">
        <v>233</v>
      </c>
      <c r="G1368" s="19">
        <v>4</v>
      </c>
      <c r="H1368" s="6" t="s">
        <v>1951</v>
      </c>
      <c r="I1368" s="6" t="s">
        <v>465</v>
      </c>
      <c r="J1368" s="6" t="s">
        <v>1849</v>
      </c>
      <c r="K1368" s="1">
        <v>0</v>
      </c>
      <c r="L1368" s="6" t="s">
        <v>234</v>
      </c>
      <c r="M1368" s="1">
        <v>2007</v>
      </c>
      <c r="N1368" s="1" t="s">
        <v>237</v>
      </c>
      <c r="O1368" s="1">
        <v>0</v>
      </c>
      <c r="P1368" s="1">
        <v>0</v>
      </c>
      <c r="Q1368" s="1">
        <v>0</v>
      </c>
      <c r="R1368" s="1">
        <v>0</v>
      </c>
      <c r="S1368" s="1" t="s">
        <v>235</v>
      </c>
    </row>
    <row r="1369" spans="1:19" x14ac:dyDescent="0.25">
      <c r="A1369" s="6">
        <v>1371</v>
      </c>
      <c r="B1369" s="6">
        <v>6700101</v>
      </c>
      <c r="C1369" t="s">
        <v>819</v>
      </c>
      <c r="D1369" s="1" t="s">
        <v>820</v>
      </c>
      <c r="E1369" s="21" t="s">
        <v>237</v>
      </c>
      <c r="F1369" s="21">
        <v>379.9</v>
      </c>
      <c r="G1369" s="1" t="s">
        <v>233</v>
      </c>
      <c r="H1369" s="6" t="s">
        <v>1951</v>
      </c>
      <c r="I1369" s="6" t="s">
        <v>542</v>
      </c>
      <c r="J1369" s="6" t="s">
        <v>1852</v>
      </c>
      <c r="K1369" s="1">
        <v>0</v>
      </c>
      <c r="L1369" s="6" t="s">
        <v>243</v>
      </c>
      <c r="M1369" s="1">
        <v>2012</v>
      </c>
      <c r="N1369" s="1" t="s">
        <v>237</v>
      </c>
      <c r="O1369" s="1">
        <v>0</v>
      </c>
      <c r="P1369" s="1">
        <v>0</v>
      </c>
      <c r="Q1369" s="1">
        <v>0</v>
      </c>
      <c r="R1369" s="1">
        <v>0</v>
      </c>
      <c r="S1369" s="1" t="s">
        <v>235</v>
      </c>
    </row>
    <row r="1370" spans="1:19" x14ac:dyDescent="0.25">
      <c r="A1370" s="6">
        <v>1372</v>
      </c>
      <c r="B1370" s="6">
        <v>6700101</v>
      </c>
      <c r="C1370" t="s">
        <v>819</v>
      </c>
      <c r="D1370" s="1" t="s">
        <v>820</v>
      </c>
      <c r="E1370" s="21" t="s">
        <v>237</v>
      </c>
      <c r="F1370" s="21">
        <v>431.1</v>
      </c>
      <c r="G1370" s="1" t="s">
        <v>233</v>
      </c>
      <c r="H1370" s="6" t="s">
        <v>1951</v>
      </c>
      <c r="I1370" s="6" t="s">
        <v>542</v>
      </c>
      <c r="J1370" s="6" t="s">
        <v>1852</v>
      </c>
      <c r="K1370" s="1">
        <v>0</v>
      </c>
      <c r="L1370" s="6" t="s">
        <v>243</v>
      </c>
      <c r="M1370" s="1">
        <v>2012</v>
      </c>
      <c r="N1370" s="1" t="s">
        <v>1850</v>
      </c>
      <c r="O1370" s="1">
        <v>1</v>
      </c>
      <c r="P1370" s="1">
        <v>0</v>
      </c>
      <c r="Q1370" s="1">
        <v>0</v>
      </c>
      <c r="R1370" s="1">
        <v>0</v>
      </c>
      <c r="S1370" s="1" t="s">
        <v>235</v>
      </c>
    </row>
    <row r="1371" spans="1:19" x14ac:dyDescent="0.25">
      <c r="A1371" s="6">
        <v>1373</v>
      </c>
      <c r="B1371" s="6">
        <v>6700101</v>
      </c>
      <c r="C1371" t="s">
        <v>819</v>
      </c>
      <c r="D1371" s="1" t="s">
        <v>820</v>
      </c>
      <c r="E1371" s="21" t="s">
        <v>237</v>
      </c>
      <c r="F1371" s="1" t="s">
        <v>233</v>
      </c>
      <c r="G1371" s="19">
        <v>0.59389237297860686</v>
      </c>
      <c r="H1371" s="6" t="s">
        <v>1951</v>
      </c>
      <c r="I1371" s="6" t="s">
        <v>580</v>
      </c>
      <c r="J1371" s="6" t="s">
        <v>1851</v>
      </c>
      <c r="K1371" s="1">
        <v>0</v>
      </c>
      <c r="L1371" s="6" t="s">
        <v>243</v>
      </c>
      <c r="M1371" s="1">
        <v>2008</v>
      </c>
      <c r="N1371" s="1" t="s">
        <v>237</v>
      </c>
      <c r="O1371" s="1">
        <v>0</v>
      </c>
      <c r="P1371" s="1">
        <v>0</v>
      </c>
      <c r="Q1371" s="1">
        <v>0</v>
      </c>
      <c r="R1371" s="1" t="s">
        <v>1956</v>
      </c>
      <c r="S1371" s="1" t="s">
        <v>251</v>
      </c>
    </row>
    <row r="1372" spans="1:19" x14ac:dyDescent="0.25">
      <c r="A1372" s="6">
        <v>1374</v>
      </c>
      <c r="B1372" s="6">
        <v>6700101</v>
      </c>
      <c r="C1372" t="s">
        <v>819</v>
      </c>
      <c r="D1372" s="1" t="s">
        <v>820</v>
      </c>
      <c r="E1372" s="21">
        <v>750</v>
      </c>
      <c r="F1372" s="1" t="s">
        <v>233</v>
      </c>
      <c r="G1372" s="1" t="s">
        <v>233</v>
      </c>
      <c r="H1372" s="6" t="s">
        <v>1951</v>
      </c>
      <c r="I1372" s="6" t="s">
        <v>590</v>
      </c>
      <c r="J1372" s="6" t="s">
        <v>1849</v>
      </c>
      <c r="K1372" s="1">
        <v>0</v>
      </c>
      <c r="L1372" s="6" t="s">
        <v>269</v>
      </c>
      <c r="M1372" s="1">
        <v>2012</v>
      </c>
      <c r="N1372" s="1" t="s">
        <v>237</v>
      </c>
      <c r="O1372" s="1">
        <v>0</v>
      </c>
      <c r="P1372" s="1">
        <v>0</v>
      </c>
      <c r="Q1372" s="1">
        <v>0</v>
      </c>
      <c r="R1372" s="1">
        <v>0</v>
      </c>
      <c r="S1372" s="1" t="s">
        <v>235</v>
      </c>
    </row>
    <row r="1373" spans="1:19" x14ac:dyDescent="0.25">
      <c r="A1373" s="6">
        <v>1375</v>
      </c>
      <c r="B1373" s="6">
        <v>6700101</v>
      </c>
      <c r="C1373" t="s">
        <v>819</v>
      </c>
      <c r="D1373" s="1" t="s">
        <v>820</v>
      </c>
      <c r="E1373" s="21" t="s">
        <v>237</v>
      </c>
      <c r="F1373" s="21">
        <v>452.24841777751669</v>
      </c>
      <c r="G1373" s="1" t="s">
        <v>233</v>
      </c>
      <c r="H1373" s="6" t="s">
        <v>1951</v>
      </c>
      <c r="I1373" s="6" t="s">
        <v>593</v>
      </c>
      <c r="J1373" s="6" t="s">
        <v>1853</v>
      </c>
      <c r="K1373" s="1">
        <v>0</v>
      </c>
      <c r="L1373" s="6" t="s">
        <v>245</v>
      </c>
      <c r="M1373" s="1">
        <v>2011</v>
      </c>
      <c r="N1373" s="1" t="s">
        <v>237</v>
      </c>
      <c r="O1373" s="1">
        <v>0</v>
      </c>
      <c r="P1373" s="1">
        <v>0</v>
      </c>
      <c r="Q1373" s="1">
        <v>0</v>
      </c>
      <c r="R1373" s="1">
        <v>0</v>
      </c>
      <c r="S1373" s="1" t="s">
        <v>251</v>
      </c>
    </row>
    <row r="1374" spans="1:19" x14ac:dyDescent="0.25">
      <c r="A1374" s="6">
        <v>1376</v>
      </c>
      <c r="B1374" s="6">
        <v>6700101</v>
      </c>
      <c r="C1374" t="s">
        <v>819</v>
      </c>
      <c r="D1374" s="1" t="s">
        <v>820</v>
      </c>
      <c r="E1374" s="21">
        <v>1371</v>
      </c>
      <c r="F1374" s="1" t="s">
        <v>233</v>
      </c>
      <c r="G1374" s="1" t="s">
        <v>233</v>
      </c>
      <c r="H1374" s="6" t="s">
        <v>1951</v>
      </c>
      <c r="I1374" s="6" t="s">
        <v>642</v>
      </c>
      <c r="J1374" s="6" t="s">
        <v>1853</v>
      </c>
      <c r="K1374" s="1">
        <v>0</v>
      </c>
      <c r="L1374" s="6" t="s">
        <v>241</v>
      </c>
      <c r="M1374" s="1">
        <v>2011</v>
      </c>
      <c r="N1374" s="1" t="s">
        <v>237</v>
      </c>
      <c r="O1374" s="1">
        <v>0</v>
      </c>
      <c r="P1374" s="1" t="s">
        <v>1952</v>
      </c>
      <c r="Q1374" s="1">
        <v>0</v>
      </c>
      <c r="R1374" s="1">
        <v>0</v>
      </c>
      <c r="S1374" s="1" t="s">
        <v>235</v>
      </c>
    </row>
    <row r="1375" spans="1:19" x14ac:dyDescent="0.25">
      <c r="A1375" s="6">
        <v>1377</v>
      </c>
      <c r="B1375" s="6">
        <v>6700101</v>
      </c>
      <c r="C1375" t="s">
        <v>819</v>
      </c>
      <c r="D1375" s="1" t="s">
        <v>820</v>
      </c>
      <c r="E1375" s="21" t="s">
        <v>237</v>
      </c>
      <c r="F1375" s="1" t="s">
        <v>233</v>
      </c>
      <c r="G1375" s="19">
        <v>4.2647887323943658</v>
      </c>
      <c r="H1375" s="6" t="s">
        <v>1951</v>
      </c>
      <c r="I1375" s="6" t="s">
        <v>681</v>
      </c>
      <c r="J1375" s="6" t="s">
        <v>1849</v>
      </c>
      <c r="K1375" s="1">
        <v>0</v>
      </c>
      <c r="L1375" s="6" t="s">
        <v>236</v>
      </c>
      <c r="M1375" s="1">
        <v>2009</v>
      </c>
      <c r="N1375" s="1" t="s">
        <v>237</v>
      </c>
      <c r="O1375" s="1">
        <v>0</v>
      </c>
      <c r="P1375" s="1">
        <v>0</v>
      </c>
      <c r="Q1375" s="1">
        <v>0</v>
      </c>
      <c r="R1375" s="1" t="s">
        <v>1956</v>
      </c>
      <c r="S1375" s="1" t="s">
        <v>235</v>
      </c>
    </row>
    <row r="1376" spans="1:19" x14ac:dyDescent="0.25">
      <c r="A1376" s="6">
        <v>1378</v>
      </c>
      <c r="B1376" s="6">
        <v>6700101</v>
      </c>
      <c r="C1376" t="s">
        <v>819</v>
      </c>
      <c r="D1376" s="1" t="s">
        <v>820</v>
      </c>
      <c r="E1376" s="21" t="s">
        <v>237</v>
      </c>
      <c r="F1376" s="1" t="s">
        <v>233</v>
      </c>
      <c r="G1376" s="19">
        <v>1.3</v>
      </c>
      <c r="H1376" s="6" t="s">
        <v>1951</v>
      </c>
      <c r="I1376" s="6" t="s">
        <v>720</v>
      </c>
      <c r="J1376" s="6" t="s">
        <v>1849</v>
      </c>
      <c r="K1376" s="1">
        <v>0</v>
      </c>
      <c r="L1376" s="6" t="s">
        <v>255</v>
      </c>
      <c r="M1376" s="1">
        <v>2006</v>
      </c>
      <c r="N1376" s="1" t="s">
        <v>237</v>
      </c>
      <c r="O1376" s="1">
        <v>0</v>
      </c>
      <c r="P1376" s="1">
        <v>0</v>
      </c>
      <c r="Q1376" s="1">
        <v>0</v>
      </c>
      <c r="R1376" s="1">
        <v>0</v>
      </c>
      <c r="S1376" s="1" t="s">
        <v>235</v>
      </c>
    </row>
    <row r="1377" spans="1:19" x14ac:dyDescent="0.25">
      <c r="A1377" s="6">
        <v>1379</v>
      </c>
      <c r="B1377" s="6">
        <v>8102101</v>
      </c>
      <c r="C1377" t="s">
        <v>1081</v>
      </c>
      <c r="D1377" s="1">
        <v>160100</v>
      </c>
      <c r="E1377" s="21">
        <v>4600</v>
      </c>
      <c r="F1377" s="1" t="s">
        <v>233</v>
      </c>
      <c r="G1377" s="1" t="s">
        <v>233</v>
      </c>
      <c r="H1377" s="6" t="s">
        <v>1954</v>
      </c>
      <c r="I1377" s="6" t="s">
        <v>313</v>
      </c>
      <c r="J1377" s="6" t="s">
        <v>1849</v>
      </c>
      <c r="K1377" s="1">
        <v>0</v>
      </c>
      <c r="L1377" s="6" t="s">
        <v>234</v>
      </c>
      <c r="M1377" s="1">
        <v>2012</v>
      </c>
      <c r="N1377" s="1" t="s">
        <v>237</v>
      </c>
      <c r="O1377" s="1">
        <v>0</v>
      </c>
      <c r="P1377" s="1">
        <v>0</v>
      </c>
      <c r="Q1377" s="1">
        <v>0</v>
      </c>
      <c r="R1377" s="1">
        <v>0</v>
      </c>
      <c r="S1377" s="1" t="s">
        <v>251</v>
      </c>
    </row>
    <row r="1378" spans="1:19" x14ac:dyDescent="0.25">
      <c r="A1378" s="6">
        <v>1386</v>
      </c>
      <c r="B1378" s="6">
        <v>7802902</v>
      </c>
      <c r="C1378" t="s">
        <v>1142</v>
      </c>
      <c r="D1378" s="1" t="s">
        <v>1008</v>
      </c>
      <c r="E1378" s="21">
        <v>4000</v>
      </c>
      <c r="F1378" s="1" t="s">
        <v>233</v>
      </c>
      <c r="G1378" s="1" t="s">
        <v>233</v>
      </c>
      <c r="H1378" s="6" t="s">
        <v>1954</v>
      </c>
      <c r="I1378" s="6" t="s">
        <v>313</v>
      </c>
      <c r="J1378" s="6" t="s">
        <v>1849</v>
      </c>
      <c r="K1378" s="1">
        <v>0</v>
      </c>
      <c r="L1378" s="6" t="s">
        <v>234</v>
      </c>
      <c r="M1378" s="1">
        <v>2012</v>
      </c>
      <c r="N1378" s="1" t="s">
        <v>237</v>
      </c>
      <c r="O1378" s="1">
        <v>0</v>
      </c>
      <c r="P1378" s="1">
        <v>0</v>
      </c>
      <c r="Q1378" s="1">
        <v>0</v>
      </c>
      <c r="R1378" s="1">
        <v>0</v>
      </c>
      <c r="S1378" s="1" t="s">
        <v>251</v>
      </c>
    </row>
    <row r="1379" spans="1:19" x14ac:dyDescent="0.25">
      <c r="A1379" s="6">
        <v>1387</v>
      </c>
      <c r="B1379" s="6">
        <v>7802902</v>
      </c>
      <c r="C1379" t="s">
        <v>1142</v>
      </c>
      <c r="D1379" s="1" t="s">
        <v>1008</v>
      </c>
      <c r="E1379" s="21">
        <v>4200</v>
      </c>
      <c r="F1379" s="1" t="s">
        <v>233</v>
      </c>
      <c r="G1379" s="1" t="s">
        <v>233</v>
      </c>
      <c r="H1379" s="6" t="s">
        <v>1954</v>
      </c>
      <c r="I1379" s="6" t="s">
        <v>313</v>
      </c>
      <c r="J1379" s="6" t="s">
        <v>1849</v>
      </c>
      <c r="K1379" s="1">
        <v>0</v>
      </c>
      <c r="L1379" s="6" t="s">
        <v>234</v>
      </c>
      <c r="M1379" s="1">
        <v>2012</v>
      </c>
      <c r="N1379" s="1" t="s">
        <v>237</v>
      </c>
      <c r="O1379" s="1">
        <v>0</v>
      </c>
      <c r="P1379" s="1">
        <v>0</v>
      </c>
      <c r="Q1379" s="1">
        <v>0</v>
      </c>
      <c r="R1379" s="1">
        <v>0</v>
      </c>
      <c r="S1379" s="1" t="s">
        <v>251</v>
      </c>
    </row>
    <row r="1380" spans="1:19" x14ac:dyDescent="0.25">
      <c r="A1380" s="6">
        <v>1388</v>
      </c>
      <c r="B1380" s="6">
        <v>7802902</v>
      </c>
      <c r="C1380" t="s">
        <v>1142</v>
      </c>
      <c r="D1380" s="1" t="s">
        <v>1008</v>
      </c>
      <c r="E1380" s="21">
        <v>4100</v>
      </c>
      <c r="F1380" s="1" t="s">
        <v>233</v>
      </c>
      <c r="G1380" s="1" t="s">
        <v>233</v>
      </c>
      <c r="H1380" s="6" t="s">
        <v>1954</v>
      </c>
      <c r="I1380" s="6" t="s">
        <v>313</v>
      </c>
      <c r="J1380" s="6" t="s">
        <v>1849</v>
      </c>
      <c r="K1380" s="1">
        <v>0</v>
      </c>
      <c r="L1380" s="6" t="s">
        <v>234</v>
      </c>
      <c r="M1380" s="1">
        <v>2012</v>
      </c>
      <c r="N1380" s="1" t="s">
        <v>237</v>
      </c>
      <c r="O1380" s="1">
        <v>0</v>
      </c>
      <c r="P1380" s="1">
        <v>0</v>
      </c>
      <c r="Q1380" s="1">
        <v>0</v>
      </c>
      <c r="R1380" s="1">
        <v>0</v>
      </c>
      <c r="S1380" s="1" t="s">
        <v>251</v>
      </c>
    </row>
    <row r="1381" spans="1:19" x14ac:dyDescent="0.25">
      <c r="A1381" s="6">
        <v>1396</v>
      </c>
      <c r="B1381" s="6">
        <v>8508004</v>
      </c>
      <c r="C1381" t="s">
        <v>1130</v>
      </c>
      <c r="D1381" s="1" t="s">
        <v>1131</v>
      </c>
      <c r="E1381" s="21">
        <v>12800</v>
      </c>
      <c r="F1381" s="1" t="s">
        <v>233</v>
      </c>
      <c r="G1381" s="1" t="s">
        <v>233</v>
      </c>
      <c r="H1381" s="6" t="s">
        <v>1954</v>
      </c>
      <c r="I1381" s="6" t="s">
        <v>313</v>
      </c>
      <c r="J1381" s="6" t="s">
        <v>1849</v>
      </c>
      <c r="K1381" s="1">
        <v>0</v>
      </c>
      <c r="L1381" s="6" t="s">
        <v>234</v>
      </c>
      <c r="M1381" s="1">
        <v>2012</v>
      </c>
      <c r="N1381" s="1" t="s">
        <v>237</v>
      </c>
      <c r="O1381" s="1">
        <v>0</v>
      </c>
      <c r="P1381" s="1">
        <v>0</v>
      </c>
      <c r="Q1381" s="1">
        <v>0</v>
      </c>
      <c r="R1381" s="1">
        <v>0</v>
      </c>
      <c r="S1381" s="1" t="s">
        <v>251</v>
      </c>
    </row>
    <row r="1382" spans="1:19" x14ac:dyDescent="0.25">
      <c r="A1382" s="6">
        <v>1399</v>
      </c>
      <c r="B1382" s="6">
        <v>7802902</v>
      </c>
      <c r="C1382" t="s">
        <v>1142</v>
      </c>
      <c r="D1382" s="1" t="s">
        <v>1008</v>
      </c>
      <c r="E1382" s="21">
        <v>7900</v>
      </c>
      <c r="F1382" s="1" t="s">
        <v>233</v>
      </c>
      <c r="G1382" s="1" t="s">
        <v>233</v>
      </c>
      <c r="H1382" s="6" t="s">
        <v>1954</v>
      </c>
      <c r="I1382" s="6" t="s">
        <v>313</v>
      </c>
      <c r="J1382" s="6" t="s">
        <v>1849</v>
      </c>
      <c r="K1382" s="1">
        <v>0</v>
      </c>
      <c r="L1382" s="6" t="s">
        <v>234</v>
      </c>
      <c r="M1382" s="1">
        <v>2012</v>
      </c>
      <c r="N1382" s="1" t="s">
        <v>237</v>
      </c>
      <c r="O1382" s="1">
        <v>0</v>
      </c>
      <c r="P1382" s="1" t="s">
        <v>1952</v>
      </c>
      <c r="Q1382" s="1">
        <v>0</v>
      </c>
      <c r="R1382" s="1">
        <v>0</v>
      </c>
      <c r="S1382" s="1" t="s">
        <v>251</v>
      </c>
    </row>
    <row r="1383" spans="1:19" x14ac:dyDescent="0.25">
      <c r="A1383" s="6">
        <v>1402</v>
      </c>
      <c r="B1383" s="6">
        <v>7102501</v>
      </c>
      <c r="C1383" t="s">
        <v>1214</v>
      </c>
      <c r="D1383" s="1" t="s">
        <v>1207</v>
      </c>
      <c r="E1383" s="21">
        <v>12500</v>
      </c>
      <c r="F1383" s="1" t="s">
        <v>233</v>
      </c>
      <c r="G1383" s="1" t="s">
        <v>233</v>
      </c>
      <c r="H1383" s="6" t="s">
        <v>1954</v>
      </c>
      <c r="I1383" s="6" t="s">
        <v>313</v>
      </c>
      <c r="J1383" s="6" t="s">
        <v>1849</v>
      </c>
      <c r="K1383" s="1">
        <v>0</v>
      </c>
      <c r="L1383" s="6" t="s">
        <v>234</v>
      </c>
      <c r="M1383" s="1">
        <v>2012</v>
      </c>
      <c r="N1383" s="1" t="s">
        <v>237</v>
      </c>
      <c r="O1383" s="1">
        <v>0</v>
      </c>
      <c r="P1383" s="1">
        <v>0</v>
      </c>
      <c r="Q1383" s="1">
        <v>0</v>
      </c>
      <c r="R1383" s="1">
        <v>0</v>
      </c>
      <c r="S1383" s="1" t="s">
        <v>251</v>
      </c>
    </row>
    <row r="1384" spans="1:19" x14ac:dyDescent="0.25">
      <c r="A1384" s="6">
        <v>1403</v>
      </c>
      <c r="B1384" s="6">
        <v>7102501</v>
      </c>
      <c r="C1384" t="s">
        <v>1214</v>
      </c>
      <c r="D1384" s="1" t="s">
        <v>1207</v>
      </c>
      <c r="E1384" s="21">
        <v>7700</v>
      </c>
      <c r="F1384" s="1" t="s">
        <v>233</v>
      </c>
      <c r="G1384" s="1" t="s">
        <v>233</v>
      </c>
      <c r="H1384" s="6" t="s">
        <v>1954</v>
      </c>
      <c r="I1384" s="6" t="s">
        <v>313</v>
      </c>
      <c r="J1384" s="6" t="s">
        <v>1849</v>
      </c>
      <c r="K1384" s="1">
        <v>0</v>
      </c>
      <c r="L1384" s="6" t="s">
        <v>234</v>
      </c>
      <c r="M1384" s="1">
        <v>2012</v>
      </c>
      <c r="N1384" s="1" t="s">
        <v>237</v>
      </c>
      <c r="O1384" s="1">
        <v>0</v>
      </c>
      <c r="P1384" s="1">
        <v>0</v>
      </c>
      <c r="Q1384" s="1">
        <v>0</v>
      </c>
      <c r="R1384" s="1">
        <v>0</v>
      </c>
      <c r="S1384" s="1" t="s">
        <v>251</v>
      </c>
    </row>
    <row r="1385" spans="1:19" x14ac:dyDescent="0.25">
      <c r="A1385" s="6">
        <v>1404</v>
      </c>
      <c r="B1385" s="6">
        <v>8508004</v>
      </c>
      <c r="C1385" t="s">
        <v>1130</v>
      </c>
      <c r="D1385" s="1" t="s">
        <v>1131</v>
      </c>
      <c r="E1385" s="21">
        <v>10400</v>
      </c>
      <c r="F1385" s="1" t="s">
        <v>233</v>
      </c>
      <c r="G1385" s="1" t="s">
        <v>233</v>
      </c>
      <c r="H1385" s="6" t="s">
        <v>1954</v>
      </c>
      <c r="I1385" s="6" t="s">
        <v>313</v>
      </c>
      <c r="J1385" s="6" t="s">
        <v>1849</v>
      </c>
      <c r="K1385" s="1">
        <v>0</v>
      </c>
      <c r="L1385" s="6" t="s">
        <v>234</v>
      </c>
      <c r="M1385" s="1">
        <v>2012</v>
      </c>
      <c r="N1385" s="1" t="s">
        <v>237</v>
      </c>
      <c r="O1385" s="1">
        <v>0</v>
      </c>
      <c r="P1385" s="1">
        <v>0</v>
      </c>
      <c r="Q1385" s="1">
        <v>0</v>
      </c>
      <c r="R1385" s="1">
        <v>0</v>
      </c>
      <c r="S1385" s="1" t="s">
        <v>251</v>
      </c>
    </row>
    <row r="1386" spans="1:19" x14ac:dyDescent="0.25">
      <c r="A1386" s="6">
        <v>1405</v>
      </c>
      <c r="B1386" s="6">
        <v>7802902</v>
      </c>
      <c r="C1386" t="s">
        <v>1142</v>
      </c>
      <c r="D1386" s="1" t="s">
        <v>1008</v>
      </c>
      <c r="E1386" s="21">
        <v>4400</v>
      </c>
      <c r="F1386" s="1" t="s">
        <v>233</v>
      </c>
      <c r="G1386" s="1" t="s">
        <v>233</v>
      </c>
      <c r="H1386" s="6" t="s">
        <v>1954</v>
      </c>
      <c r="I1386" s="6" t="s">
        <v>313</v>
      </c>
      <c r="J1386" s="6" t="s">
        <v>1849</v>
      </c>
      <c r="K1386" s="1">
        <v>0</v>
      </c>
      <c r="L1386" s="6" t="s">
        <v>234</v>
      </c>
      <c r="M1386" s="1">
        <v>2012</v>
      </c>
      <c r="N1386" s="1" t="s">
        <v>237</v>
      </c>
      <c r="O1386" s="1">
        <v>0</v>
      </c>
      <c r="P1386" s="1">
        <v>0</v>
      </c>
      <c r="Q1386" s="1">
        <v>0</v>
      </c>
      <c r="R1386" s="1">
        <v>0</v>
      </c>
      <c r="S1386" s="1" t="s">
        <v>251</v>
      </c>
    </row>
    <row r="1387" spans="1:19" x14ac:dyDescent="0.25">
      <c r="A1387" s="6">
        <v>1406</v>
      </c>
      <c r="B1387" s="6">
        <v>7802902</v>
      </c>
      <c r="C1387" t="s">
        <v>1142</v>
      </c>
      <c r="D1387" s="1" t="s">
        <v>1008</v>
      </c>
      <c r="E1387" s="21">
        <v>4000</v>
      </c>
      <c r="F1387" s="1" t="s">
        <v>233</v>
      </c>
      <c r="G1387" s="1" t="s">
        <v>233</v>
      </c>
      <c r="H1387" s="6" t="s">
        <v>1954</v>
      </c>
      <c r="I1387" s="6" t="s">
        <v>313</v>
      </c>
      <c r="J1387" s="6" t="s">
        <v>1849</v>
      </c>
      <c r="K1387" s="1">
        <v>0</v>
      </c>
      <c r="L1387" s="6" t="s">
        <v>234</v>
      </c>
      <c r="M1387" s="1">
        <v>2012</v>
      </c>
      <c r="N1387" s="1" t="s">
        <v>237</v>
      </c>
      <c r="O1387" s="1">
        <v>0</v>
      </c>
      <c r="P1387" s="1">
        <v>0</v>
      </c>
      <c r="Q1387" s="1">
        <v>0</v>
      </c>
      <c r="R1387" s="1">
        <v>0</v>
      </c>
      <c r="S1387" s="1" t="s">
        <v>251</v>
      </c>
    </row>
    <row r="1388" spans="1:19" x14ac:dyDescent="0.25">
      <c r="A1388" s="6">
        <v>1407</v>
      </c>
      <c r="B1388" s="6">
        <v>8102101</v>
      </c>
      <c r="C1388" t="s">
        <v>1081</v>
      </c>
      <c r="D1388" s="1">
        <v>160100</v>
      </c>
      <c r="E1388" s="21">
        <v>3300</v>
      </c>
      <c r="F1388" s="1" t="s">
        <v>233</v>
      </c>
      <c r="G1388" s="1" t="s">
        <v>233</v>
      </c>
      <c r="H1388" s="6" t="s">
        <v>1954</v>
      </c>
      <c r="I1388" s="6" t="s">
        <v>313</v>
      </c>
      <c r="J1388" s="6" t="s">
        <v>1849</v>
      </c>
      <c r="K1388" s="1">
        <v>0</v>
      </c>
      <c r="L1388" s="6" t="s">
        <v>234</v>
      </c>
      <c r="M1388" s="1">
        <v>2012</v>
      </c>
      <c r="N1388" s="1" t="s">
        <v>237</v>
      </c>
      <c r="O1388" s="1">
        <v>0</v>
      </c>
      <c r="P1388" s="1">
        <v>0</v>
      </c>
      <c r="Q1388" s="1">
        <v>0</v>
      </c>
      <c r="R1388" s="1">
        <v>0</v>
      </c>
      <c r="S1388" s="1" t="s">
        <v>251</v>
      </c>
    </row>
    <row r="1389" spans="1:19" x14ac:dyDescent="0.25">
      <c r="A1389" s="6">
        <v>1409</v>
      </c>
      <c r="B1389" s="6">
        <v>8508004</v>
      </c>
      <c r="C1389" t="s">
        <v>1130</v>
      </c>
      <c r="D1389" s="1" t="s">
        <v>1131</v>
      </c>
      <c r="E1389" s="21">
        <v>18000</v>
      </c>
      <c r="F1389" s="1" t="s">
        <v>233</v>
      </c>
      <c r="G1389" s="1" t="s">
        <v>233</v>
      </c>
      <c r="H1389" s="6" t="s">
        <v>1954</v>
      </c>
      <c r="I1389" s="6" t="s">
        <v>313</v>
      </c>
      <c r="J1389" s="6" t="s">
        <v>1849</v>
      </c>
      <c r="K1389" s="1">
        <v>0</v>
      </c>
      <c r="L1389" s="6" t="s">
        <v>234</v>
      </c>
      <c r="M1389" s="1">
        <v>2012</v>
      </c>
      <c r="N1389" s="1" t="s">
        <v>237</v>
      </c>
      <c r="O1389" s="1">
        <v>0</v>
      </c>
      <c r="P1389" s="1" t="s">
        <v>1952</v>
      </c>
      <c r="Q1389" s="1">
        <v>0</v>
      </c>
      <c r="R1389" s="1">
        <v>0</v>
      </c>
      <c r="S1389" s="1" t="s">
        <v>251</v>
      </c>
    </row>
    <row r="1390" spans="1:19" x14ac:dyDescent="0.25">
      <c r="A1390" s="6">
        <v>1416</v>
      </c>
      <c r="B1390" s="6">
        <v>8508004</v>
      </c>
      <c r="C1390" t="s">
        <v>1130</v>
      </c>
      <c r="D1390" s="1" t="s">
        <v>1131</v>
      </c>
      <c r="E1390" s="21">
        <v>10000</v>
      </c>
      <c r="F1390" s="1" t="s">
        <v>233</v>
      </c>
      <c r="G1390" s="1" t="s">
        <v>233</v>
      </c>
      <c r="H1390" s="6" t="s">
        <v>1954</v>
      </c>
      <c r="I1390" s="6" t="s">
        <v>313</v>
      </c>
      <c r="J1390" s="6" t="s">
        <v>1849</v>
      </c>
      <c r="K1390" s="1">
        <v>0</v>
      </c>
      <c r="L1390" s="6" t="s">
        <v>234</v>
      </c>
      <c r="M1390" s="1">
        <v>2012</v>
      </c>
      <c r="N1390" s="1" t="s">
        <v>237</v>
      </c>
      <c r="O1390" s="1">
        <v>0</v>
      </c>
      <c r="P1390" s="1" t="s">
        <v>1952</v>
      </c>
      <c r="Q1390" s="1">
        <v>0</v>
      </c>
      <c r="R1390" s="1">
        <v>0</v>
      </c>
      <c r="S1390" s="1" t="s">
        <v>251</v>
      </c>
    </row>
    <row r="1391" spans="1:19" x14ac:dyDescent="0.25">
      <c r="A1391" s="6">
        <v>1417</v>
      </c>
      <c r="B1391" s="6">
        <v>8508004</v>
      </c>
      <c r="C1391" t="s">
        <v>1130</v>
      </c>
      <c r="D1391" s="1" t="s">
        <v>1131</v>
      </c>
      <c r="E1391" s="21">
        <v>10000</v>
      </c>
      <c r="F1391" s="1" t="s">
        <v>233</v>
      </c>
      <c r="G1391" s="1" t="s">
        <v>233</v>
      </c>
      <c r="H1391" s="6" t="s">
        <v>1954</v>
      </c>
      <c r="I1391" s="6" t="s">
        <v>313</v>
      </c>
      <c r="J1391" s="6" t="s">
        <v>1849</v>
      </c>
      <c r="K1391" s="1">
        <v>0</v>
      </c>
      <c r="L1391" s="6" t="s">
        <v>234</v>
      </c>
      <c r="M1391" s="1">
        <v>2012</v>
      </c>
      <c r="N1391" s="1" t="s">
        <v>237</v>
      </c>
      <c r="O1391" s="1">
        <v>0</v>
      </c>
      <c r="P1391" s="1" t="s">
        <v>1952</v>
      </c>
      <c r="Q1391" s="1">
        <v>0</v>
      </c>
      <c r="R1391" s="1">
        <v>0</v>
      </c>
      <c r="S1391" s="1" t="s">
        <v>251</v>
      </c>
    </row>
    <row r="1392" spans="1:19" x14ac:dyDescent="0.25">
      <c r="A1392" s="6">
        <v>1419</v>
      </c>
      <c r="B1392" s="6">
        <v>7802902</v>
      </c>
      <c r="C1392" t="s">
        <v>1142</v>
      </c>
      <c r="D1392" s="1" t="s">
        <v>1008</v>
      </c>
      <c r="E1392" s="21">
        <v>5000</v>
      </c>
      <c r="F1392" s="1" t="s">
        <v>233</v>
      </c>
      <c r="G1392" s="1" t="s">
        <v>233</v>
      </c>
      <c r="H1392" s="6" t="s">
        <v>1954</v>
      </c>
      <c r="I1392" s="6" t="s">
        <v>313</v>
      </c>
      <c r="J1392" s="6" t="s">
        <v>1849</v>
      </c>
      <c r="K1392" s="1">
        <v>0</v>
      </c>
      <c r="L1392" s="6" t="s">
        <v>234</v>
      </c>
      <c r="M1392" s="1">
        <v>2012</v>
      </c>
      <c r="N1392" s="1" t="s">
        <v>237</v>
      </c>
      <c r="O1392" s="1">
        <v>0</v>
      </c>
      <c r="P1392" s="1">
        <v>0</v>
      </c>
      <c r="Q1392" s="1">
        <v>0</v>
      </c>
      <c r="R1392" s="1">
        <v>0</v>
      </c>
      <c r="S1392" s="1" t="s">
        <v>251</v>
      </c>
    </row>
    <row r="1393" spans="1:19" x14ac:dyDescent="0.25">
      <c r="A1393" s="6">
        <v>1421</v>
      </c>
      <c r="B1393" s="6">
        <v>7802902</v>
      </c>
      <c r="C1393" t="s">
        <v>1142</v>
      </c>
      <c r="D1393" s="1" t="s">
        <v>1008</v>
      </c>
      <c r="E1393" s="21">
        <v>7200</v>
      </c>
      <c r="F1393" s="1" t="s">
        <v>233</v>
      </c>
      <c r="G1393" s="1" t="s">
        <v>233</v>
      </c>
      <c r="H1393" s="6" t="s">
        <v>1954</v>
      </c>
      <c r="I1393" s="6" t="s">
        <v>313</v>
      </c>
      <c r="J1393" s="6" t="s">
        <v>1849</v>
      </c>
      <c r="K1393" s="1">
        <v>0</v>
      </c>
      <c r="L1393" s="6" t="s">
        <v>234</v>
      </c>
      <c r="M1393" s="1">
        <v>2012</v>
      </c>
      <c r="N1393" s="1" t="s">
        <v>237</v>
      </c>
      <c r="O1393" s="1">
        <v>0</v>
      </c>
      <c r="P1393" s="1">
        <v>0</v>
      </c>
      <c r="Q1393" s="1">
        <v>0</v>
      </c>
      <c r="R1393" s="1">
        <v>0</v>
      </c>
      <c r="S1393" s="1" t="s">
        <v>251</v>
      </c>
    </row>
    <row r="1394" spans="1:19" x14ac:dyDescent="0.25">
      <c r="A1394" s="6">
        <v>1425</v>
      </c>
      <c r="B1394" s="6">
        <v>7802902</v>
      </c>
      <c r="C1394" t="s">
        <v>1142</v>
      </c>
      <c r="D1394" s="1" t="s">
        <v>1008</v>
      </c>
      <c r="E1394" s="21">
        <v>5200</v>
      </c>
      <c r="F1394" s="1" t="s">
        <v>233</v>
      </c>
      <c r="G1394" s="1" t="s">
        <v>233</v>
      </c>
      <c r="H1394" s="6" t="s">
        <v>1954</v>
      </c>
      <c r="I1394" s="6" t="s">
        <v>313</v>
      </c>
      <c r="J1394" s="6" t="s">
        <v>1849</v>
      </c>
      <c r="K1394" s="1">
        <v>0</v>
      </c>
      <c r="L1394" s="6" t="s">
        <v>234</v>
      </c>
      <c r="M1394" s="1">
        <v>2012</v>
      </c>
      <c r="N1394" s="1" t="s">
        <v>237</v>
      </c>
      <c r="O1394" s="1">
        <v>0</v>
      </c>
      <c r="P1394" s="1">
        <v>0</v>
      </c>
      <c r="Q1394" s="1">
        <v>0</v>
      </c>
      <c r="R1394" s="1">
        <v>0</v>
      </c>
      <c r="S1394" s="1" t="s">
        <v>251</v>
      </c>
    </row>
    <row r="1395" spans="1:19" x14ac:dyDescent="0.25">
      <c r="A1395" s="6">
        <v>1426</v>
      </c>
      <c r="B1395" s="6">
        <v>8508004</v>
      </c>
      <c r="C1395" t="s">
        <v>1130</v>
      </c>
      <c r="D1395" s="1" t="s">
        <v>1131</v>
      </c>
      <c r="E1395" s="21">
        <v>11300</v>
      </c>
      <c r="F1395" s="1" t="s">
        <v>233</v>
      </c>
      <c r="G1395" s="1" t="s">
        <v>233</v>
      </c>
      <c r="H1395" s="6" t="s">
        <v>1954</v>
      </c>
      <c r="I1395" s="6" t="s">
        <v>313</v>
      </c>
      <c r="J1395" s="6" t="s">
        <v>1849</v>
      </c>
      <c r="K1395" s="1">
        <v>0</v>
      </c>
      <c r="L1395" s="6" t="s">
        <v>234</v>
      </c>
      <c r="M1395" s="1">
        <v>2012</v>
      </c>
      <c r="N1395" s="1" t="s">
        <v>237</v>
      </c>
      <c r="O1395" s="1">
        <v>0</v>
      </c>
      <c r="P1395" s="1">
        <v>0</v>
      </c>
      <c r="Q1395" s="1">
        <v>0</v>
      </c>
      <c r="R1395" s="1">
        <v>0</v>
      </c>
      <c r="S1395" s="1" t="s">
        <v>251</v>
      </c>
    </row>
    <row r="1396" spans="1:19" x14ac:dyDescent="0.25">
      <c r="A1396" s="6">
        <v>1427</v>
      </c>
      <c r="B1396" s="6">
        <v>7802902</v>
      </c>
      <c r="C1396" t="s">
        <v>1142</v>
      </c>
      <c r="D1396" s="1" t="s">
        <v>1008</v>
      </c>
      <c r="E1396" s="21">
        <v>4500</v>
      </c>
      <c r="F1396" s="1" t="s">
        <v>233</v>
      </c>
      <c r="G1396" s="1" t="s">
        <v>233</v>
      </c>
      <c r="H1396" s="6" t="s">
        <v>1954</v>
      </c>
      <c r="I1396" s="6" t="s">
        <v>313</v>
      </c>
      <c r="J1396" s="6" t="s">
        <v>1849</v>
      </c>
      <c r="K1396" s="1">
        <v>0</v>
      </c>
      <c r="L1396" s="6" t="s">
        <v>234</v>
      </c>
      <c r="M1396" s="1">
        <v>2012</v>
      </c>
      <c r="N1396" s="1" t="s">
        <v>237</v>
      </c>
      <c r="O1396" s="1">
        <v>0</v>
      </c>
      <c r="P1396" s="1">
        <v>0</v>
      </c>
      <c r="Q1396" s="1">
        <v>0</v>
      </c>
      <c r="R1396" s="1">
        <v>0</v>
      </c>
      <c r="S1396" s="1" t="s">
        <v>251</v>
      </c>
    </row>
    <row r="1397" spans="1:19" x14ac:dyDescent="0.25">
      <c r="A1397" s="6">
        <v>1428</v>
      </c>
      <c r="B1397" s="6">
        <v>7802902</v>
      </c>
      <c r="C1397" t="s">
        <v>1142</v>
      </c>
      <c r="D1397" s="1" t="s">
        <v>1008</v>
      </c>
      <c r="E1397" s="21">
        <v>4600</v>
      </c>
      <c r="F1397" s="1" t="s">
        <v>233</v>
      </c>
      <c r="G1397" s="1" t="s">
        <v>233</v>
      </c>
      <c r="H1397" s="6" t="s">
        <v>1954</v>
      </c>
      <c r="I1397" s="6" t="s">
        <v>313</v>
      </c>
      <c r="J1397" s="6" t="s">
        <v>1849</v>
      </c>
      <c r="K1397" s="1">
        <v>0</v>
      </c>
      <c r="L1397" s="6" t="s">
        <v>234</v>
      </c>
      <c r="M1397" s="1">
        <v>2012</v>
      </c>
      <c r="N1397" s="1" t="s">
        <v>237</v>
      </c>
      <c r="O1397" s="1">
        <v>0</v>
      </c>
      <c r="P1397" s="1">
        <v>0</v>
      </c>
      <c r="Q1397" s="1">
        <v>0</v>
      </c>
      <c r="R1397" s="1">
        <v>0</v>
      </c>
      <c r="S1397" s="1" t="s">
        <v>251</v>
      </c>
    </row>
    <row r="1398" spans="1:19" x14ac:dyDescent="0.25">
      <c r="A1398" s="6">
        <v>1431</v>
      </c>
      <c r="B1398" s="6">
        <v>7802902</v>
      </c>
      <c r="C1398" t="s">
        <v>1142</v>
      </c>
      <c r="D1398" s="1" t="s">
        <v>1008</v>
      </c>
      <c r="E1398" s="21">
        <v>1600</v>
      </c>
      <c r="F1398" s="1" t="s">
        <v>233</v>
      </c>
      <c r="G1398" s="1" t="s">
        <v>233</v>
      </c>
      <c r="H1398" s="6" t="s">
        <v>1954</v>
      </c>
      <c r="I1398" s="6" t="s">
        <v>313</v>
      </c>
      <c r="J1398" s="6" t="s">
        <v>1849</v>
      </c>
      <c r="K1398" s="1">
        <v>0</v>
      </c>
      <c r="L1398" s="6" t="s">
        <v>234</v>
      </c>
      <c r="M1398" s="1">
        <v>2012</v>
      </c>
      <c r="N1398" s="1" t="s">
        <v>237</v>
      </c>
      <c r="O1398" s="1">
        <v>0</v>
      </c>
      <c r="P1398" s="1" t="s">
        <v>1952</v>
      </c>
      <c r="Q1398" s="1">
        <v>0</v>
      </c>
      <c r="R1398" s="1">
        <v>0</v>
      </c>
      <c r="S1398" s="1" t="s">
        <v>251</v>
      </c>
    </row>
    <row r="1399" spans="1:19" x14ac:dyDescent="0.25">
      <c r="A1399" s="6">
        <v>1432</v>
      </c>
      <c r="B1399" s="6">
        <v>7802902</v>
      </c>
      <c r="C1399" t="s">
        <v>1142</v>
      </c>
      <c r="D1399" s="1" t="s">
        <v>1008</v>
      </c>
      <c r="E1399" s="21">
        <v>1800</v>
      </c>
      <c r="F1399" s="1" t="s">
        <v>233</v>
      </c>
      <c r="G1399" s="1" t="s">
        <v>233</v>
      </c>
      <c r="H1399" s="6" t="s">
        <v>1954</v>
      </c>
      <c r="I1399" s="6" t="s">
        <v>313</v>
      </c>
      <c r="J1399" s="6" t="s">
        <v>1849</v>
      </c>
      <c r="K1399" s="1">
        <v>0</v>
      </c>
      <c r="L1399" s="6" t="s">
        <v>234</v>
      </c>
      <c r="M1399" s="1">
        <v>2012</v>
      </c>
      <c r="N1399" s="1" t="s">
        <v>237</v>
      </c>
      <c r="O1399" s="1">
        <v>0</v>
      </c>
      <c r="P1399" s="1">
        <v>0</v>
      </c>
      <c r="Q1399" s="1">
        <v>0</v>
      </c>
      <c r="R1399" s="1">
        <v>0</v>
      </c>
      <c r="S1399" s="1" t="s">
        <v>251</v>
      </c>
    </row>
    <row r="1400" spans="1:19" x14ac:dyDescent="0.25">
      <c r="A1400" s="6">
        <v>1437</v>
      </c>
      <c r="B1400" s="6">
        <v>7802902</v>
      </c>
      <c r="C1400" t="s">
        <v>1142</v>
      </c>
      <c r="D1400" s="1" t="s">
        <v>1008</v>
      </c>
      <c r="E1400" s="21">
        <v>1700</v>
      </c>
      <c r="F1400" s="1" t="s">
        <v>233</v>
      </c>
      <c r="G1400" s="1" t="s">
        <v>233</v>
      </c>
      <c r="H1400" s="6" t="s">
        <v>1954</v>
      </c>
      <c r="I1400" s="6" t="s">
        <v>313</v>
      </c>
      <c r="J1400" s="6" t="s">
        <v>1849</v>
      </c>
      <c r="K1400" s="1">
        <v>0</v>
      </c>
      <c r="L1400" s="6" t="s">
        <v>234</v>
      </c>
      <c r="M1400" s="1">
        <v>2012</v>
      </c>
      <c r="N1400" s="1" t="s">
        <v>237</v>
      </c>
      <c r="O1400" s="1">
        <v>0</v>
      </c>
      <c r="P1400" s="1">
        <v>0</v>
      </c>
      <c r="Q1400" s="1">
        <v>0</v>
      </c>
      <c r="R1400" s="1">
        <v>0</v>
      </c>
      <c r="S1400" s="1" t="s">
        <v>251</v>
      </c>
    </row>
    <row r="1401" spans="1:19" x14ac:dyDescent="0.25">
      <c r="A1401" s="6">
        <v>1441</v>
      </c>
      <c r="B1401" s="6">
        <v>8500205</v>
      </c>
      <c r="C1401" t="s">
        <v>1143</v>
      </c>
      <c r="D1401" s="1" t="s">
        <v>1131</v>
      </c>
      <c r="E1401" s="21">
        <v>3600</v>
      </c>
      <c r="F1401" s="1" t="s">
        <v>233</v>
      </c>
      <c r="G1401" s="1" t="s">
        <v>233</v>
      </c>
      <c r="H1401" s="6" t="s">
        <v>1954</v>
      </c>
      <c r="I1401" s="6" t="s">
        <v>313</v>
      </c>
      <c r="J1401" s="6" t="s">
        <v>1849</v>
      </c>
      <c r="K1401" s="1">
        <v>0</v>
      </c>
      <c r="L1401" s="6" t="s">
        <v>234</v>
      </c>
      <c r="M1401" s="1">
        <v>2012</v>
      </c>
      <c r="N1401" s="1" t="s">
        <v>237</v>
      </c>
      <c r="O1401" s="1">
        <v>0</v>
      </c>
      <c r="P1401" s="1">
        <v>0</v>
      </c>
      <c r="Q1401" s="1">
        <v>0</v>
      </c>
      <c r="R1401" s="1">
        <v>0</v>
      </c>
      <c r="S1401" s="1" t="s">
        <v>251</v>
      </c>
    </row>
    <row r="1402" spans="1:19" x14ac:dyDescent="0.25">
      <c r="A1402" s="6">
        <v>1444</v>
      </c>
      <c r="B1402" s="6">
        <v>8102901</v>
      </c>
      <c r="C1402" t="s">
        <v>960</v>
      </c>
      <c r="D1402" s="1" t="s">
        <v>961</v>
      </c>
      <c r="E1402" s="21">
        <v>10700</v>
      </c>
      <c r="F1402" s="1">
        <v>9100</v>
      </c>
      <c r="G1402" s="1" t="s">
        <v>233</v>
      </c>
      <c r="H1402" s="6" t="s">
        <v>1951</v>
      </c>
      <c r="I1402" s="6" t="s">
        <v>314</v>
      </c>
      <c r="J1402" s="6" t="s">
        <v>1849</v>
      </c>
      <c r="K1402" s="1">
        <v>0</v>
      </c>
      <c r="L1402" s="6" t="s">
        <v>315</v>
      </c>
      <c r="M1402" s="1">
        <v>2016</v>
      </c>
      <c r="N1402" s="1" t="s">
        <v>254</v>
      </c>
      <c r="O1402" s="1">
        <v>0</v>
      </c>
      <c r="P1402" s="1">
        <v>0</v>
      </c>
      <c r="Q1402" s="1" t="s">
        <v>1953</v>
      </c>
      <c r="R1402" s="1">
        <v>0</v>
      </c>
      <c r="S1402" s="1" t="s">
        <v>251</v>
      </c>
    </row>
    <row r="1403" spans="1:19" x14ac:dyDescent="0.25">
      <c r="A1403" s="6">
        <v>1445</v>
      </c>
      <c r="B1403" s="6">
        <v>8102204</v>
      </c>
      <c r="C1403" t="s">
        <v>1144</v>
      </c>
      <c r="D1403" s="1" t="s">
        <v>1145</v>
      </c>
      <c r="E1403" s="21">
        <v>17800</v>
      </c>
      <c r="F1403" s="1">
        <v>15600</v>
      </c>
      <c r="G1403" s="1" t="s">
        <v>233</v>
      </c>
      <c r="H1403" s="6" t="s">
        <v>1951</v>
      </c>
      <c r="I1403" s="6" t="s">
        <v>314</v>
      </c>
      <c r="J1403" s="6" t="s">
        <v>1849</v>
      </c>
      <c r="K1403" s="1">
        <v>0</v>
      </c>
      <c r="L1403" s="6" t="s">
        <v>315</v>
      </c>
      <c r="M1403" s="1">
        <v>2016</v>
      </c>
      <c r="N1403" s="1" t="s">
        <v>254</v>
      </c>
      <c r="O1403" s="1">
        <v>0</v>
      </c>
      <c r="P1403" s="1">
        <v>0</v>
      </c>
      <c r="Q1403" s="1">
        <v>0</v>
      </c>
      <c r="R1403" s="1">
        <v>0</v>
      </c>
      <c r="S1403" s="1" t="s">
        <v>251</v>
      </c>
    </row>
    <row r="1404" spans="1:19" x14ac:dyDescent="0.25">
      <c r="A1404" s="6">
        <v>1446</v>
      </c>
      <c r="B1404" s="6">
        <v>8102702</v>
      </c>
      <c r="C1404" t="s">
        <v>1146</v>
      </c>
      <c r="D1404" s="1" t="s">
        <v>1145</v>
      </c>
      <c r="E1404" s="21">
        <v>11300</v>
      </c>
      <c r="F1404" s="1">
        <v>10000</v>
      </c>
      <c r="G1404" s="1" t="s">
        <v>233</v>
      </c>
      <c r="H1404" s="6" t="s">
        <v>1951</v>
      </c>
      <c r="I1404" s="6" t="s">
        <v>314</v>
      </c>
      <c r="J1404" s="6" t="s">
        <v>1849</v>
      </c>
      <c r="K1404" s="1">
        <v>0</v>
      </c>
      <c r="L1404" s="6" t="s">
        <v>315</v>
      </c>
      <c r="M1404" s="1">
        <v>2016</v>
      </c>
      <c r="N1404" s="1" t="s">
        <v>254</v>
      </c>
      <c r="O1404" s="1">
        <v>0</v>
      </c>
      <c r="P1404" s="1">
        <v>0</v>
      </c>
      <c r="Q1404" s="1">
        <v>0</v>
      </c>
      <c r="R1404" s="1">
        <v>0</v>
      </c>
      <c r="S1404" s="1" t="s">
        <v>251</v>
      </c>
    </row>
    <row r="1405" spans="1:19" x14ac:dyDescent="0.25">
      <c r="A1405" s="6">
        <v>1447</v>
      </c>
      <c r="B1405" s="6">
        <v>6500902</v>
      </c>
      <c r="C1405" t="s">
        <v>788</v>
      </c>
      <c r="D1405" s="1">
        <v>190410</v>
      </c>
      <c r="E1405" s="21">
        <v>2640</v>
      </c>
      <c r="F1405" s="1">
        <v>1772</v>
      </c>
      <c r="G1405" s="1" t="s">
        <v>233</v>
      </c>
      <c r="H1405" s="6" t="s">
        <v>1951</v>
      </c>
      <c r="I1405" s="6" t="s">
        <v>316</v>
      </c>
      <c r="J1405" s="6" t="s">
        <v>1851</v>
      </c>
      <c r="K1405" s="1">
        <v>0</v>
      </c>
      <c r="L1405" s="6" t="s">
        <v>234</v>
      </c>
      <c r="M1405" s="1">
        <v>2015</v>
      </c>
      <c r="N1405" s="1" t="s">
        <v>254</v>
      </c>
      <c r="O1405" s="1">
        <v>0</v>
      </c>
      <c r="P1405" s="1">
        <v>0</v>
      </c>
      <c r="Q1405" s="1">
        <v>0</v>
      </c>
      <c r="R1405" s="1">
        <v>0</v>
      </c>
      <c r="S1405" s="1" t="s">
        <v>251</v>
      </c>
    </row>
    <row r="1406" spans="1:19" x14ac:dyDescent="0.25">
      <c r="A1406" s="6">
        <v>1448</v>
      </c>
      <c r="B1406" s="6">
        <v>8500915</v>
      </c>
      <c r="C1406" t="s">
        <v>1134</v>
      </c>
      <c r="D1406" s="1" t="s">
        <v>797</v>
      </c>
      <c r="E1406" s="21" t="s">
        <v>237</v>
      </c>
      <c r="F1406" s="1">
        <v>1600</v>
      </c>
      <c r="G1406" s="1" t="s">
        <v>233</v>
      </c>
      <c r="H1406" s="6" t="s">
        <v>1951</v>
      </c>
      <c r="I1406" s="6" t="s">
        <v>317</v>
      </c>
      <c r="J1406" s="6" t="s">
        <v>1849</v>
      </c>
      <c r="K1406" s="1">
        <v>0</v>
      </c>
      <c r="L1406" s="6" t="s">
        <v>236</v>
      </c>
      <c r="M1406" s="1">
        <v>2009</v>
      </c>
      <c r="N1406" s="1" t="s">
        <v>254</v>
      </c>
      <c r="O1406" s="1">
        <v>0</v>
      </c>
      <c r="P1406" s="1">
        <v>0</v>
      </c>
      <c r="Q1406" s="1">
        <v>0</v>
      </c>
      <c r="R1406" s="1">
        <v>0</v>
      </c>
      <c r="S1406" s="1" t="s">
        <v>251</v>
      </c>
    </row>
    <row r="1407" spans="1:19" x14ac:dyDescent="0.25">
      <c r="A1407" s="6">
        <v>1449</v>
      </c>
      <c r="B1407" s="6">
        <v>7902301</v>
      </c>
      <c r="C1407" t="s">
        <v>1147</v>
      </c>
      <c r="D1407" s="1">
        <v>220290</v>
      </c>
      <c r="E1407" s="21" t="s">
        <v>254</v>
      </c>
      <c r="F1407" s="1">
        <v>296.89999999999998</v>
      </c>
      <c r="G1407" s="1" t="s">
        <v>233</v>
      </c>
      <c r="H1407" s="6" t="s">
        <v>1951</v>
      </c>
      <c r="I1407" s="6" t="s">
        <v>265</v>
      </c>
      <c r="J1407" s="6" t="s">
        <v>1854</v>
      </c>
      <c r="K1407" s="1">
        <v>1</v>
      </c>
      <c r="L1407" s="6" t="s">
        <v>240</v>
      </c>
      <c r="M1407" s="1">
        <v>2012</v>
      </c>
      <c r="N1407" s="1" t="s">
        <v>254</v>
      </c>
      <c r="O1407" s="1">
        <v>0</v>
      </c>
      <c r="P1407" s="1">
        <v>0</v>
      </c>
      <c r="Q1407" s="1">
        <v>0</v>
      </c>
      <c r="R1407" s="1">
        <v>0</v>
      </c>
      <c r="S1407" s="1" t="s">
        <v>251</v>
      </c>
    </row>
    <row r="1408" spans="1:19" x14ac:dyDescent="0.25">
      <c r="A1408" s="6">
        <v>1450</v>
      </c>
      <c r="B1408" s="6">
        <v>8401801</v>
      </c>
      <c r="C1408" t="s">
        <v>1148</v>
      </c>
      <c r="D1408" s="1" t="s">
        <v>1149</v>
      </c>
      <c r="E1408" s="21" t="s">
        <v>254</v>
      </c>
      <c r="F1408" s="1">
        <v>4474</v>
      </c>
      <c r="G1408" s="1" t="s">
        <v>233</v>
      </c>
      <c r="H1408" s="6" t="s">
        <v>1951</v>
      </c>
      <c r="I1408" s="6" t="s">
        <v>594</v>
      </c>
      <c r="J1408" s="6" t="s">
        <v>1853</v>
      </c>
      <c r="K1408" s="1">
        <v>0</v>
      </c>
      <c r="L1408" s="6" t="s">
        <v>245</v>
      </c>
      <c r="M1408" s="1">
        <v>2012</v>
      </c>
      <c r="N1408" s="1" t="s">
        <v>237</v>
      </c>
      <c r="O1408" s="1">
        <v>0</v>
      </c>
      <c r="P1408" s="1">
        <v>0</v>
      </c>
      <c r="Q1408" s="1">
        <v>0</v>
      </c>
      <c r="R1408" s="1">
        <v>0</v>
      </c>
      <c r="S1408" s="1" t="s">
        <v>251</v>
      </c>
    </row>
    <row r="1409" spans="1:19" x14ac:dyDescent="0.25">
      <c r="A1409" s="6">
        <v>1451</v>
      </c>
      <c r="B1409" s="6">
        <v>8401801</v>
      </c>
      <c r="C1409" t="s">
        <v>1148</v>
      </c>
      <c r="D1409" s="1" t="s">
        <v>1149</v>
      </c>
      <c r="E1409" s="21" t="s">
        <v>254</v>
      </c>
      <c r="F1409" s="1">
        <v>4325</v>
      </c>
      <c r="G1409" s="1" t="s">
        <v>233</v>
      </c>
      <c r="H1409" s="6" t="s">
        <v>1951</v>
      </c>
      <c r="I1409" s="6" t="s">
        <v>603</v>
      </c>
      <c r="J1409" s="6" t="s">
        <v>1853</v>
      </c>
      <c r="K1409" s="1">
        <v>0</v>
      </c>
      <c r="L1409" s="6" t="s">
        <v>240</v>
      </c>
      <c r="M1409" s="1">
        <v>2012</v>
      </c>
      <c r="N1409" s="1" t="s">
        <v>237</v>
      </c>
      <c r="O1409" s="1">
        <v>0</v>
      </c>
      <c r="P1409" s="1">
        <v>0</v>
      </c>
      <c r="Q1409" s="1">
        <v>0</v>
      </c>
      <c r="R1409" s="1">
        <v>0</v>
      </c>
      <c r="S1409" s="1" t="s">
        <v>251</v>
      </c>
    </row>
    <row r="1410" spans="1:19" x14ac:dyDescent="0.25">
      <c r="A1410" s="6">
        <v>1452</v>
      </c>
      <c r="B1410" s="6">
        <v>65010</v>
      </c>
      <c r="C1410" t="s">
        <v>789</v>
      </c>
      <c r="D1410" s="1" t="s">
        <v>790</v>
      </c>
      <c r="E1410" s="21" t="s">
        <v>237</v>
      </c>
      <c r="F1410" s="21">
        <v>712</v>
      </c>
      <c r="G1410" s="1" t="s">
        <v>233</v>
      </c>
      <c r="H1410" s="6" t="s">
        <v>1951</v>
      </c>
      <c r="I1410" s="6" t="s">
        <v>542</v>
      </c>
      <c r="J1410" s="6" t="s">
        <v>1852</v>
      </c>
      <c r="K1410" s="1">
        <v>0</v>
      </c>
      <c r="L1410" s="6" t="s">
        <v>243</v>
      </c>
      <c r="M1410" s="1">
        <v>2012</v>
      </c>
      <c r="N1410" s="1" t="s">
        <v>1920</v>
      </c>
      <c r="O1410" s="1">
        <v>0</v>
      </c>
      <c r="P1410" s="1">
        <v>0</v>
      </c>
      <c r="Q1410" s="40" t="s">
        <v>1953</v>
      </c>
      <c r="R1410" s="1">
        <v>0</v>
      </c>
      <c r="S1410" s="1" t="s">
        <v>251</v>
      </c>
    </row>
    <row r="1411" spans="1:19" x14ac:dyDescent="0.25">
      <c r="A1411" s="6">
        <v>1453</v>
      </c>
      <c r="B1411" s="6">
        <v>65010</v>
      </c>
      <c r="C1411" t="s">
        <v>789</v>
      </c>
      <c r="D1411" s="1" t="s">
        <v>790</v>
      </c>
      <c r="E1411" s="21" t="s">
        <v>237</v>
      </c>
      <c r="F1411" s="1">
        <v>1924</v>
      </c>
      <c r="G1411" s="1" t="s">
        <v>233</v>
      </c>
      <c r="H1411" s="6" t="s">
        <v>1951</v>
      </c>
      <c r="I1411" s="6" t="s">
        <v>317</v>
      </c>
      <c r="J1411" s="6" t="s">
        <v>1849</v>
      </c>
      <c r="K1411" s="1">
        <v>0</v>
      </c>
      <c r="L1411" s="6" t="s">
        <v>236</v>
      </c>
      <c r="M1411" s="1">
        <v>2009</v>
      </c>
      <c r="N1411" s="1" t="s">
        <v>254</v>
      </c>
      <c r="O1411" s="1">
        <v>0</v>
      </c>
      <c r="P1411" s="1">
        <v>0</v>
      </c>
      <c r="Q1411" s="1">
        <v>0</v>
      </c>
      <c r="R1411" s="1">
        <v>0</v>
      </c>
      <c r="S1411" s="1" t="s">
        <v>251</v>
      </c>
    </row>
    <row r="1412" spans="1:19" x14ac:dyDescent="0.25">
      <c r="A1412" s="6">
        <v>1454</v>
      </c>
      <c r="B1412" s="6">
        <v>65010</v>
      </c>
      <c r="C1412" t="s">
        <v>789</v>
      </c>
      <c r="D1412" s="1" t="s">
        <v>790</v>
      </c>
      <c r="E1412" s="21" t="s">
        <v>237</v>
      </c>
      <c r="F1412" s="1">
        <v>961</v>
      </c>
      <c r="G1412" s="1" t="s">
        <v>233</v>
      </c>
      <c r="H1412" s="6" t="s">
        <v>1951</v>
      </c>
      <c r="I1412" s="6" t="s">
        <v>317</v>
      </c>
      <c r="J1412" s="6" t="s">
        <v>1849</v>
      </c>
      <c r="K1412" s="1">
        <v>0</v>
      </c>
      <c r="L1412" s="6" t="s">
        <v>236</v>
      </c>
      <c r="M1412" s="1">
        <v>2009</v>
      </c>
      <c r="N1412" s="1" t="s">
        <v>254</v>
      </c>
      <c r="O1412" s="1">
        <v>0</v>
      </c>
      <c r="P1412" s="1">
        <v>0</v>
      </c>
      <c r="Q1412" s="1">
        <v>0</v>
      </c>
      <c r="R1412" s="1">
        <v>0</v>
      </c>
      <c r="S1412" s="1" t="s">
        <v>251</v>
      </c>
    </row>
    <row r="1413" spans="1:19" x14ac:dyDescent="0.25">
      <c r="A1413" s="6">
        <v>1455</v>
      </c>
      <c r="B1413" s="6">
        <v>6705101</v>
      </c>
      <c r="C1413" t="s">
        <v>844</v>
      </c>
      <c r="D1413" s="1" t="s">
        <v>845</v>
      </c>
      <c r="E1413" s="21" t="s">
        <v>237</v>
      </c>
      <c r="F1413" s="1">
        <v>199</v>
      </c>
      <c r="G1413" s="1" t="s">
        <v>233</v>
      </c>
      <c r="H1413" s="6" t="s">
        <v>1951</v>
      </c>
      <c r="I1413" s="6" t="s">
        <v>317</v>
      </c>
      <c r="J1413" s="6" t="s">
        <v>1849</v>
      </c>
      <c r="K1413" s="1">
        <v>0</v>
      </c>
      <c r="L1413" s="6" t="s">
        <v>236</v>
      </c>
      <c r="M1413" s="1">
        <v>2009</v>
      </c>
      <c r="N1413" s="1" t="s">
        <v>254</v>
      </c>
      <c r="O1413" s="1">
        <v>0</v>
      </c>
      <c r="P1413" s="1">
        <v>0</v>
      </c>
      <c r="Q1413" s="1" t="s">
        <v>1953</v>
      </c>
      <c r="R1413" s="1">
        <v>0</v>
      </c>
      <c r="S1413" s="1" t="s">
        <v>251</v>
      </c>
    </row>
    <row r="1414" spans="1:19" x14ac:dyDescent="0.25">
      <c r="A1414" s="6">
        <v>1456</v>
      </c>
      <c r="B1414" s="6">
        <v>6705101</v>
      </c>
      <c r="C1414" t="s">
        <v>844</v>
      </c>
      <c r="D1414" s="1" t="s">
        <v>845</v>
      </c>
      <c r="E1414" s="21" t="s">
        <v>237</v>
      </c>
      <c r="F1414" s="1">
        <v>114</v>
      </c>
      <c r="G1414" s="1" t="s">
        <v>233</v>
      </c>
      <c r="H1414" s="6" t="s">
        <v>1951</v>
      </c>
      <c r="I1414" s="6" t="s">
        <v>317</v>
      </c>
      <c r="J1414" s="6" t="s">
        <v>1849</v>
      </c>
      <c r="K1414" s="1">
        <v>0</v>
      </c>
      <c r="L1414" s="6" t="s">
        <v>236</v>
      </c>
      <c r="M1414" s="1">
        <v>2009</v>
      </c>
      <c r="N1414" s="1" t="s">
        <v>254</v>
      </c>
      <c r="O1414" s="1">
        <v>0</v>
      </c>
      <c r="P1414" s="1">
        <v>0</v>
      </c>
      <c r="Q1414" s="1">
        <v>0</v>
      </c>
      <c r="R1414" s="1">
        <v>0</v>
      </c>
      <c r="S1414" s="1" t="s">
        <v>251</v>
      </c>
    </row>
    <row r="1415" spans="1:19" x14ac:dyDescent="0.25">
      <c r="A1415" s="6">
        <v>1457</v>
      </c>
      <c r="B1415" s="6">
        <v>7004701</v>
      </c>
      <c r="C1415" t="s">
        <v>943</v>
      </c>
      <c r="D1415" s="1" t="s">
        <v>944</v>
      </c>
      <c r="E1415" s="21" t="s">
        <v>237</v>
      </c>
      <c r="F1415" s="1">
        <v>380</v>
      </c>
      <c r="G1415" s="1" t="s">
        <v>233</v>
      </c>
      <c r="H1415" s="6" t="s">
        <v>1951</v>
      </c>
      <c r="I1415" s="6" t="s">
        <v>317</v>
      </c>
      <c r="J1415" s="6" t="s">
        <v>1849</v>
      </c>
      <c r="K1415" s="1">
        <v>0</v>
      </c>
      <c r="L1415" s="6" t="s">
        <v>236</v>
      </c>
      <c r="M1415" s="1">
        <v>2009</v>
      </c>
      <c r="N1415" s="1" t="s">
        <v>254</v>
      </c>
      <c r="O1415" s="1">
        <v>0</v>
      </c>
      <c r="P1415" s="1">
        <v>0</v>
      </c>
      <c r="Q1415" s="1">
        <v>0</v>
      </c>
      <c r="R1415" s="1">
        <v>0</v>
      </c>
      <c r="S1415" s="1" t="s">
        <v>251</v>
      </c>
    </row>
    <row r="1416" spans="1:19" x14ac:dyDescent="0.25">
      <c r="A1416" s="6">
        <v>1458</v>
      </c>
      <c r="B1416" s="6">
        <v>7901803</v>
      </c>
      <c r="C1416" t="s">
        <v>1150</v>
      </c>
      <c r="D1416" s="1" t="s">
        <v>1042</v>
      </c>
      <c r="E1416" s="21" t="s">
        <v>237</v>
      </c>
      <c r="F1416" s="1">
        <v>7117</v>
      </c>
      <c r="G1416" s="1" t="s">
        <v>233</v>
      </c>
      <c r="H1416" s="6" t="s">
        <v>1951</v>
      </c>
      <c r="I1416" s="6" t="s">
        <v>317</v>
      </c>
      <c r="J1416" s="6" t="s">
        <v>1849</v>
      </c>
      <c r="K1416" s="1">
        <v>0</v>
      </c>
      <c r="L1416" s="6" t="s">
        <v>236</v>
      </c>
      <c r="M1416" s="1">
        <v>2009</v>
      </c>
      <c r="N1416" s="1" t="s">
        <v>254</v>
      </c>
      <c r="O1416" s="1">
        <v>0</v>
      </c>
      <c r="P1416" s="1">
        <v>0</v>
      </c>
      <c r="Q1416" s="1">
        <v>0</v>
      </c>
      <c r="R1416" s="1">
        <v>0</v>
      </c>
      <c r="S1416" s="1" t="s">
        <v>251</v>
      </c>
    </row>
    <row r="1417" spans="1:19" x14ac:dyDescent="0.25">
      <c r="A1417" s="6">
        <v>1459</v>
      </c>
      <c r="B1417" s="6">
        <v>7902201</v>
      </c>
      <c r="C1417" t="s">
        <v>1151</v>
      </c>
      <c r="D1417" s="1" t="s">
        <v>1042</v>
      </c>
      <c r="E1417" s="21">
        <v>4000</v>
      </c>
      <c r="F1417" s="1">
        <v>2620</v>
      </c>
      <c r="G1417" s="1">
        <v>13.7</v>
      </c>
      <c r="H1417" s="6" t="s">
        <v>1954</v>
      </c>
      <c r="I1417" s="6" t="s">
        <v>318</v>
      </c>
      <c r="J1417" s="6" t="s">
        <v>1851</v>
      </c>
      <c r="K1417" s="1">
        <v>0</v>
      </c>
      <c r="L1417" s="6" t="s">
        <v>236</v>
      </c>
      <c r="M1417" s="1">
        <v>2016</v>
      </c>
      <c r="N1417" s="1" t="s">
        <v>254</v>
      </c>
      <c r="O1417" s="1">
        <v>0</v>
      </c>
      <c r="P1417" s="1">
        <v>0</v>
      </c>
      <c r="Q1417" s="1">
        <v>0</v>
      </c>
      <c r="R1417" s="1">
        <v>0</v>
      </c>
      <c r="S1417" s="1" t="s">
        <v>251</v>
      </c>
    </row>
    <row r="1418" spans="1:19" x14ac:dyDescent="0.25">
      <c r="A1418" s="6">
        <v>1460</v>
      </c>
      <c r="B1418" s="6">
        <v>7902303</v>
      </c>
      <c r="C1418" t="s">
        <v>1036</v>
      </c>
      <c r="D1418" s="1">
        <v>220290</v>
      </c>
      <c r="E1418" s="21">
        <v>940</v>
      </c>
      <c r="F1418" s="1">
        <v>58.15</v>
      </c>
      <c r="G1418" s="1" t="s">
        <v>233</v>
      </c>
      <c r="H1418" s="6" t="s">
        <v>1954</v>
      </c>
      <c r="I1418" s="6" t="s">
        <v>319</v>
      </c>
      <c r="J1418" s="6" t="s">
        <v>1851</v>
      </c>
      <c r="K1418" s="1">
        <v>0</v>
      </c>
      <c r="L1418" s="6" t="s">
        <v>236</v>
      </c>
      <c r="M1418" s="1">
        <v>2016</v>
      </c>
      <c r="N1418" s="1" t="s">
        <v>254</v>
      </c>
      <c r="O1418" s="1">
        <v>0</v>
      </c>
      <c r="P1418" s="1">
        <v>0</v>
      </c>
      <c r="Q1418" s="1">
        <v>0</v>
      </c>
      <c r="R1418" s="1">
        <v>0</v>
      </c>
      <c r="S1418" s="1" t="s">
        <v>251</v>
      </c>
    </row>
    <row r="1419" spans="1:19" x14ac:dyDescent="0.25">
      <c r="A1419" s="6">
        <v>1461</v>
      </c>
      <c r="B1419" s="6">
        <v>7107601</v>
      </c>
      <c r="C1419" t="s">
        <v>1235</v>
      </c>
      <c r="D1419" s="1" t="s">
        <v>1236</v>
      </c>
      <c r="E1419" s="1">
        <v>3321</v>
      </c>
      <c r="F1419" s="1" t="s">
        <v>233</v>
      </c>
      <c r="G1419" s="1" t="s">
        <v>233</v>
      </c>
      <c r="I1419" s="6" t="s">
        <v>1967</v>
      </c>
      <c r="J1419" s="6" t="s">
        <v>1853</v>
      </c>
      <c r="K1419" s="1">
        <v>0</v>
      </c>
      <c r="L1419" s="6" t="s">
        <v>245</v>
      </c>
      <c r="M1419" s="1">
        <v>2020</v>
      </c>
      <c r="N1419" s="1" t="s">
        <v>1971</v>
      </c>
      <c r="O1419" s="1">
        <v>0</v>
      </c>
      <c r="P1419" s="1">
        <v>0</v>
      </c>
      <c r="Q1419" s="1">
        <v>0</v>
      </c>
      <c r="R1419" s="1">
        <v>0</v>
      </c>
      <c r="S1419" s="1" t="s">
        <v>251</v>
      </c>
    </row>
    <row r="1420" spans="1:19" x14ac:dyDescent="0.25">
      <c r="A1420" s="6">
        <v>1462</v>
      </c>
      <c r="B1420" s="6">
        <v>7080101</v>
      </c>
      <c r="C1420" t="str">
        <f>VLOOKUP(B1420,[2]Cod_Ingred_18!$A$2:$O$998,2,)</f>
        <v>SAL</v>
      </c>
      <c r="D1420" s="1">
        <f>VLOOKUP(B1420,[2]Cod_Ingred_18!$A$2:$O$998,9,)</f>
        <v>250100</v>
      </c>
      <c r="E1420" s="1">
        <v>180</v>
      </c>
      <c r="F1420" s="1" t="s">
        <v>233</v>
      </c>
      <c r="G1420" s="1" t="s">
        <v>233</v>
      </c>
      <c r="H1420" s="6" t="s">
        <v>1951</v>
      </c>
      <c r="I1420" s="6" t="s">
        <v>1982</v>
      </c>
      <c r="J1420" s="6" t="s">
        <v>1853</v>
      </c>
      <c r="K1420" s="1">
        <v>1</v>
      </c>
      <c r="L1420" s="6" t="s">
        <v>245</v>
      </c>
      <c r="M1420" s="6" t="s">
        <v>1983</v>
      </c>
      <c r="N1420" s="1" t="s">
        <v>254</v>
      </c>
      <c r="O1420" s="1">
        <v>0</v>
      </c>
      <c r="P1420" s="1">
        <v>0</v>
      </c>
      <c r="Q1420" s="1">
        <v>0</v>
      </c>
      <c r="R1420" s="1">
        <v>0</v>
      </c>
      <c r="S1420" s="1" t="s">
        <v>251</v>
      </c>
    </row>
    <row r="1421" spans="1:19" x14ac:dyDescent="0.25">
      <c r="A1421" s="6">
        <v>1463</v>
      </c>
      <c r="B1421" s="42">
        <v>7703402</v>
      </c>
      <c r="C1421" t="str">
        <f>VLOOKUP(B1421,[2]Cod_Ingred_18!$A$2:$O$998,2,)</f>
        <v>ATUM EM CONSERVA</v>
      </c>
      <c r="D1421" s="1" t="str">
        <f>VLOOKUP(B1421,[2]Cod_Ingred_18!$A$2:$O$998,9,)</f>
        <v>160414</v>
      </c>
      <c r="E1421" s="1">
        <v>9590</v>
      </c>
      <c r="F1421" s="1">
        <v>632</v>
      </c>
      <c r="G1421" s="1" t="s">
        <v>233</v>
      </c>
      <c r="H1421" s="6" t="s">
        <v>1954</v>
      </c>
      <c r="I1421" s="43" t="s">
        <v>1984</v>
      </c>
      <c r="J1421" s="6" t="s">
        <v>1851</v>
      </c>
      <c r="K1421" s="1">
        <v>1</v>
      </c>
      <c r="L1421" s="6" t="s">
        <v>236</v>
      </c>
      <c r="M1421" s="6" t="s">
        <v>275</v>
      </c>
      <c r="N1421" s="1" t="s">
        <v>254</v>
      </c>
      <c r="O1421" s="1">
        <v>0</v>
      </c>
      <c r="P1421" s="1">
        <v>0</v>
      </c>
      <c r="Q1421" s="1">
        <v>0</v>
      </c>
      <c r="R1421" s="1">
        <v>0</v>
      </c>
      <c r="S1421" s="1" t="s">
        <v>251</v>
      </c>
    </row>
    <row r="1422" spans="1:19" x14ac:dyDescent="0.25">
      <c r="A1422" s="6">
        <v>1464</v>
      </c>
      <c r="B1422" s="42">
        <v>8201005</v>
      </c>
      <c r="C1422" t="str">
        <f>VLOOKUP(B1422,[2]Cod_Ingred_18!$A$2:$O$998,2,)</f>
        <v>AGUA, MINERAL, NAO GASEIFICADA</v>
      </c>
      <c r="D1422" s="1">
        <f>VLOOKUP(B1422,[2]Cod_Ingred_18!$A$2:$O$998,9,)</f>
        <v>220110</v>
      </c>
      <c r="E1422" s="1">
        <v>178</v>
      </c>
      <c r="F1422" s="1">
        <v>10</v>
      </c>
      <c r="G1422" s="1" t="s">
        <v>233</v>
      </c>
      <c r="H1422" s="6" t="s">
        <v>1954</v>
      </c>
      <c r="I1422" s="6" t="s">
        <v>1985</v>
      </c>
      <c r="J1422" s="6" t="s">
        <v>1851</v>
      </c>
      <c r="K1422" s="1">
        <v>1</v>
      </c>
      <c r="L1422" s="6" t="s">
        <v>236</v>
      </c>
      <c r="M1422" s="6" t="s">
        <v>275</v>
      </c>
      <c r="N1422" s="1" t="s">
        <v>254</v>
      </c>
      <c r="O1422" s="1">
        <v>0</v>
      </c>
      <c r="P1422" s="1">
        <v>0</v>
      </c>
      <c r="Q1422" s="1">
        <v>0</v>
      </c>
      <c r="R1422" s="1">
        <v>0</v>
      </c>
      <c r="S1422" s="1" t="s">
        <v>251</v>
      </c>
    </row>
    <row r="1423" spans="1:19" x14ac:dyDescent="0.25">
      <c r="A1423" s="6">
        <v>1465</v>
      </c>
      <c r="B1423" s="42">
        <v>8201007</v>
      </c>
      <c r="C1423" t="str">
        <f>VLOOKUP(B1423,[2]Cod_Ingred_18!$A$2:$O$998,2,)</f>
        <v>AGUA, MINERAL GASEIFICADA</v>
      </c>
      <c r="D1423" s="1">
        <f>VLOOKUP(B1423,[2]Cod_Ingred_18!$A$2:$O$998,9,)</f>
        <v>220110</v>
      </c>
      <c r="E1423" s="1">
        <v>200</v>
      </c>
      <c r="F1423" s="1" t="s">
        <v>233</v>
      </c>
      <c r="G1423" s="1" t="s">
        <v>233</v>
      </c>
      <c r="H1423" s="6" t="s">
        <v>1954</v>
      </c>
      <c r="I1423" s="6" t="s">
        <v>1986</v>
      </c>
      <c r="J1423" s="6" t="s">
        <v>1851</v>
      </c>
      <c r="K1423" s="1">
        <v>1</v>
      </c>
      <c r="L1423" s="6" t="s">
        <v>236</v>
      </c>
      <c r="M1423" s="6" t="s">
        <v>275</v>
      </c>
      <c r="N1423" s="1" t="s">
        <v>254</v>
      </c>
      <c r="O1423" s="1">
        <v>0</v>
      </c>
      <c r="P1423" s="1">
        <v>0</v>
      </c>
      <c r="Q1423" s="1">
        <v>0</v>
      </c>
      <c r="R1423" s="1">
        <v>0</v>
      </c>
      <c r="S1423" s="1" t="s">
        <v>251</v>
      </c>
    </row>
    <row r="1424" spans="1:19" x14ac:dyDescent="0.25">
      <c r="A1424" s="6">
        <v>1466</v>
      </c>
      <c r="B1424" s="6">
        <v>8216301</v>
      </c>
      <c r="C1424" t="str">
        <f>VLOOKUP(B1424,[2]Cod_Ingred_18!$A$2:$O$998,2,)</f>
        <v>AGUA, REDE PUBLICA</v>
      </c>
      <c r="D1424" s="1" t="str">
        <f>VLOOKUP(B1424,[2]Cod_Ingred_18!$A$2:$O$998,9,)</f>
        <v>000000</v>
      </c>
      <c r="E1424" s="1">
        <v>0</v>
      </c>
      <c r="F1424" s="1">
        <v>0</v>
      </c>
      <c r="G1424" s="1">
        <v>0</v>
      </c>
      <c r="H1424" s="6" t="s">
        <v>1987</v>
      </c>
      <c r="I1424" s="6" t="s">
        <v>1988</v>
      </c>
      <c r="J1424" s="6">
        <v>0</v>
      </c>
      <c r="K1424" s="1">
        <v>0</v>
      </c>
      <c r="L1424" s="6" t="s">
        <v>245</v>
      </c>
      <c r="M1424" s="6" t="s">
        <v>1983</v>
      </c>
      <c r="N1424" s="1" t="s">
        <v>254</v>
      </c>
      <c r="O1424" s="1">
        <v>0</v>
      </c>
      <c r="P1424" s="1">
        <v>0</v>
      </c>
      <c r="Q1424" s="1">
        <v>0</v>
      </c>
      <c r="R1424" s="1">
        <v>0</v>
      </c>
      <c r="S1424" s="1" t="s">
        <v>251</v>
      </c>
    </row>
    <row r="1425" spans="1:19" x14ac:dyDescent="0.25">
      <c r="A1425" s="6">
        <v>1467</v>
      </c>
      <c r="B1425" s="6">
        <v>7080001</v>
      </c>
      <c r="C1425" t="str">
        <f>VLOOKUP(B1425,[2]Cod_Ingred_18!$A$2:$O$998,2,)</f>
        <v>VINAGRE</v>
      </c>
      <c r="D1425" s="1">
        <f>VLOOKUP(B1425,[2]Cod_Ingred_18!$A$2:$O$998,9,)</f>
        <v>220900</v>
      </c>
      <c r="E1425" s="1" t="s">
        <v>254</v>
      </c>
      <c r="F1425" s="1">
        <v>410</v>
      </c>
      <c r="G1425" s="1" t="s">
        <v>233</v>
      </c>
      <c r="H1425" s="6" t="s">
        <v>1951</v>
      </c>
      <c r="I1425" s="6" t="str">
        <f>[2]Base_referencias!A353</f>
        <v>Maciel, 2016a</v>
      </c>
      <c r="J1425" s="6" t="s">
        <v>1852</v>
      </c>
      <c r="K1425" s="1">
        <v>1</v>
      </c>
      <c r="L1425" s="6" t="s">
        <v>245</v>
      </c>
      <c r="M1425" s="6" t="s">
        <v>1983</v>
      </c>
      <c r="N1425" s="1" t="s">
        <v>254</v>
      </c>
      <c r="O1425" s="1">
        <v>0</v>
      </c>
      <c r="P1425" s="1">
        <v>0</v>
      </c>
      <c r="Q1425" s="1">
        <v>0</v>
      </c>
      <c r="R1425" s="1">
        <v>0</v>
      </c>
      <c r="S1425" s="1" t="s">
        <v>251</v>
      </c>
    </row>
    <row r="1426" spans="1:19" x14ac:dyDescent="0.25">
      <c r="A1426" s="6">
        <v>1468</v>
      </c>
      <c r="B1426" s="42">
        <v>6300901</v>
      </c>
      <c r="C1426" t="str">
        <f>VLOOKUP(B1426,[2]Cod_Ingred_18!$A$2:$O$998,2,)</f>
        <v>TRIGO EM GRAO</v>
      </c>
      <c r="D1426" s="1">
        <f>VLOOKUP(B1426,[2]Cod_Ingred_18!$A$2:$O$998,9,)</f>
        <v>100110</v>
      </c>
      <c r="E1426" s="21" t="s">
        <v>237</v>
      </c>
      <c r="F1426" s="21">
        <v>712</v>
      </c>
      <c r="G1426" s="1" t="s">
        <v>233</v>
      </c>
      <c r="H1426" s="6" t="s">
        <v>1951</v>
      </c>
      <c r="I1426" s="6" t="str">
        <f>[2]Base_referencias!A353</f>
        <v>Maciel, 2016a</v>
      </c>
      <c r="J1426" s="6" t="s">
        <v>1852</v>
      </c>
      <c r="K1426" s="1">
        <v>1</v>
      </c>
      <c r="L1426" s="6" t="s">
        <v>245</v>
      </c>
      <c r="M1426" s="6" t="s">
        <v>1983</v>
      </c>
      <c r="N1426" s="1" t="s">
        <v>1920</v>
      </c>
      <c r="O1426" s="1">
        <v>0</v>
      </c>
      <c r="P1426" s="1">
        <v>0</v>
      </c>
      <c r="Q1426" s="40">
        <v>0</v>
      </c>
      <c r="R1426" s="1">
        <v>0</v>
      </c>
      <c r="S1426" s="1" t="s">
        <v>251</v>
      </c>
    </row>
    <row r="1427" spans="1:19" x14ac:dyDescent="0.25">
      <c r="A1427" s="6">
        <v>1469</v>
      </c>
      <c r="B1427" s="42">
        <v>8201005</v>
      </c>
      <c r="C1427" t="str">
        <f>VLOOKUP(B1427,[2]Cod_Ingred_18!$A$2:$O$998,2,)</f>
        <v>AGUA, MINERAL, NAO GASEIFICADA</v>
      </c>
      <c r="D1427" s="1">
        <f>VLOOKUP(B1427,[2]Cod_Ingred_18!$A$2:$O$998,9,)</f>
        <v>220110</v>
      </c>
      <c r="E1427" s="1">
        <v>235</v>
      </c>
      <c r="F1427" s="1">
        <v>14</v>
      </c>
      <c r="G1427" s="1" t="s">
        <v>233</v>
      </c>
      <c r="H1427" s="6" t="s">
        <v>1954</v>
      </c>
      <c r="I1427" s="6" t="s">
        <v>1989</v>
      </c>
      <c r="J1427" s="6" t="s">
        <v>1851</v>
      </c>
      <c r="K1427" s="1">
        <v>1</v>
      </c>
      <c r="L1427" s="6" t="s">
        <v>236</v>
      </c>
      <c r="M1427" s="6" t="s">
        <v>275</v>
      </c>
      <c r="N1427" s="1" t="s">
        <v>254</v>
      </c>
      <c r="O1427" s="1">
        <v>0</v>
      </c>
      <c r="P1427" s="1">
        <v>0</v>
      </c>
      <c r="Q1427" s="1">
        <v>0</v>
      </c>
      <c r="R1427" s="1">
        <v>0</v>
      </c>
      <c r="S1427" s="1" t="s">
        <v>251</v>
      </c>
    </row>
    <row r="1428" spans="1:19" x14ac:dyDescent="0.25">
      <c r="A1428" s="6">
        <v>1470</v>
      </c>
      <c r="B1428" s="6">
        <v>7080001</v>
      </c>
      <c r="C1428" t="str">
        <f>VLOOKUP(B1428,[2]Cod_Ingred_18!$A$2:$O$998,2,)</f>
        <v>VINAGRE</v>
      </c>
      <c r="D1428" s="1">
        <f>VLOOKUP(B1428,[2]Cod_Ingred_18!$A$2:$O$998,9,)</f>
        <v>220900</v>
      </c>
      <c r="E1428" s="1">
        <v>2240</v>
      </c>
      <c r="F1428" s="1">
        <v>1612</v>
      </c>
      <c r="G1428" s="1">
        <v>11.5</v>
      </c>
      <c r="H1428" s="6" t="s">
        <v>1951</v>
      </c>
      <c r="I1428" s="6" t="s">
        <v>1990</v>
      </c>
      <c r="J1428" s="6" t="s">
        <v>1851</v>
      </c>
      <c r="K1428" s="1">
        <v>1</v>
      </c>
      <c r="L1428" s="6" t="s">
        <v>236</v>
      </c>
      <c r="M1428" s="6" t="s">
        <v>275</v>
      </c>
      <c r="N1428" s="1" t="s">
        <v>254</v>
      </c>
      <c r="O1428" s="1">
        <v>0</v>
      </c>
      <c r="P1428" s="1">
        <v>0</v>
      </c>
      <c r="Q1428" s="1">
        <v>0</v>
      </c>
      <c r="R1428" s="1">
        <v>0</v>
      </c>
      <c r="S1428" s="1" t="s">
        <v>251</v>
      </c>
    </row>
  </sheetData>
  <autoFilter ref="A1:S1428" xr:uid="{00000000-0009-0000-0000-000007000000}"/>
  <pageMargins left="0.23622047244094491" right="0.27559055118110237" top="0.47244094488188981" bottom="0.78740157480314965" header="0.31496062992125984" footer="0.31496062992125984"/>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77"/>
  <sheetViews>
    <sheetView workbookViewId="0">
      <selection activeCell="A2" sqref="A2"/>
    </sheetView>
  </sheetViews>
  <sheetFormatPr defaultRowHeight="15" x14ac:dyDescent="0.25"/>
  <cols>
    <col min="1" max="1" width="23.5703125" style="45" bestFit="1" customWidth="1"/>
    <col min="2" max="2" width="143" style="46" customWidth="1"/>
    <col min="3" max="3" width="15.140625" bestFit="1" customWidth="1"/>
    <col min="4" max="4" width="94" customWidth="1"/>
  </cols>
  <sheetData>
    <row r="1" spans="1:2" x14ac:dyDescent="0.25">
      <c r="A1" s="47" t="s">
        <v>1155</v>
      </c>
      <c r="B1" s="48" t="s">
        <v>1156</v>
      </c>
    </row>
    <row r="2" spans="1:2" x14ac:dyDescent="0.25">
      <c r="A2" s="44" t="s">
        <v>320</v>
      </c>
      <c r="B2" s="35" t="s">
        <v>1991</v>
      </c>
    </row>
    <row r="3" spans="1:2" ht="45" x14ac:dyDescent="0.25">
      <c r="A3" s="44" t="s">
        <v>321</v>
      </c>
      <c r="B3" s="35" t="s">
        <v>1992</v>
      </c>
    </row>
    <row r="4" spans="1:2" x14ac:dyDescent="0.25">
      <c r="A4" s="44" t="s">
        <v>1982</v>
      </c>
      <c r="B4" s="35" t="s">
        <v>1993</v>
      </c>
    </row>
    <row r="5" spans="1:2" x14ac:dyDescent="0.25">
      <c r="A5" s="44" t="s">
        <v>1994</v>
      </c>
      <c r="B5" s="35" t="s">
        <v>1995</v>
      </c>
    </row>
    <row r="6" spans="1:2" x14ac:dyDescent="0.25">
      <c r="A6" s="44" t="s">
        <v>317</v>
      </c>
      <c r="B6" s="35" t="s">
        <v>1996</v>
      </c>
    </row>
    <row r="7" spans="1:2" ht="45" x14ac:dyDescent="0.25">
      <c r="A7" s="44" t="s">
        <v>322</v>
      </c>
      <c r="B7" s="35" t="s">
        <v>1997</v>
      </c>
    </row>
    <row r="8" spans="1:2" ht="45" x14ac:dyDescent="0.25">
      <c r="A8" s="44" t="s">
        <v>846</v>
      </c>
      <c r="B8" s="35" t="s">
        <v>1998</v>
      </c>
    </row>
    <row r="9" spans="1:2" ht="30" x14ac:dyDescent="0.25">
      <c r="A9" s="44" t="s">
        <v>323</v>
      </c>
      <c r="B9" s="35" t="s">
        <v>1999</v>
      </c>
    </row>
    <row r="10" spans="1:2" x14ac:dyDescent="0.25">
      <c r="A10" s="44" t="s">
        <v>324</v>
      </c>
      <c r="B10" s="35" t="s">
        <v>2000</v>
      </c>
    </row>
    <row r="11" spans="1:2" ht="30" x14ac:dyDescent="0.25">
      <c r="A11" s="44" t="s">
        <v>325</v>
      </c>
      <c r="B11" s="35" t="s">
        <v>2001</v>
      </c>
    </row>
    <row r="12" spans="1:2" x14ac:dyDescent="0.25">
      <c r="A12" s="44" t="s">
        <v>2002</v>
      </c>
      <c r="B12" s="35" t="s">
        <v>2003</v>
      </c>
    </row>
    <row r="13" spans="1:2" x14ac:dyDescent="0.25">
      <c r="A13" s="44" t="s">
        <v>326</v>
      </c>
      <c r="B13" s="35" t="s">
        <v>2004</v>
      </c>
    </row>
    <row r="14" spans="1:2" x14ac:dyDescent="0.25">
      <c r="A14" s="44" t="s">
        <v>327</v>
      </c>
      <c r="B14" s="35" t="s">
        <v>2005</v>
      </c>
    </row>
    <row r="15" spans="1:2" ht="60" x14ac:dyDescent="0.25">
      <c r="A15" s="44" t="s">
        <v>847</v>
      </c>
      <c r="B15" s="35" t="s">
        <v>2006</v>
      </c>
    </row>
    <row r="16" spans="1:2" x14ac:dyDescent="0.25">
      <c r="A16" s="44" t="s">
        <v>328</v>
      </c>
      <c r="B16" s="35" t="s">
        <v>2007</v>
      </c>
    </row>
    <row r="17" spans="1:2" ht="30" x14ac:dyDescent="0.25">
      <c r="A17" s="44" t="s">
        <v>329</v>
      </c>
      <c r="B17" s="35" t="s">
        <v>2008</v>
      </c>
    </row>
    <row r="18" spans="1:2" ht="30" x14ac:dyDescent="0.25">
      <c r="A18" s="44" t="s">
        <v>2009</v>
      </c>
      <c r="B18" s="35" t="s">
        <v>2010</v>
      </c>
    </row>
    <row r="19" spans="1:2" x14ac:dyDescent="0.25">
      <c r="A19" s="44" t="s">
        <v>330</v>
      </c>
      <c r="B19" s="35" t="s">
        <v>2011</v>
      </c>
    </row>
    <row r="20" spans="1:2" x14ac:dyDescent="0.25">
      <c r="A20" s="44" t="s">
        <v>331</v>
      </c>
      <c r="B20" s="35" t="s">
        <v>2012</v>
      </c>
    </row>
    <row r="21" spans="1:2" x14ac:dyDescent="0.25">
      <c r="A21" s="44" t="s">
        <v>332</v>
      </c>
      <c r="B21" s="35" t="s">
        <v>2013</v>
      </c>
    </row>
    <row r="22" spans="1:2" ht="30" x14ac:dyDescent="0.25">
      <c r="A22" s="44" t="s">
        <v>333</v>
      </c>
      <c r="B22" s="35" t="s">
        <v>2014</v>
      </c>
    </row>
    <row r="23" spans="1:2" x14ac:dyDescent="0.25">
      <c r="A23" s="44" t="s">
        <v>334</v>
      </c>
      <c r="B23" s="35" t="s">
        <v>2015</v>
      </c>
    </row>
    <row r="24" spans="1:2" x14ac:dyDescent="0.25">
      <c r="A24" s="44" t="s">
        <v>335</v>
      </c>
      <c r="B24" s="35" t="s">
        <v>2016</v>
      </c>
    </row>
    <row r="25" spans="1:2" x14ac:dyDescent="0.25">
      <c r="A25" s="44" t="s">
        <v>336</v>
      </c>
      <c r="B25" s="35" t="s">
        <v>2017</v>
      </c>
    </row>
    <row r="26" spans="1:2" ht="45" x14ac:dyDescent="0.25">
      <c r="A26" s="44" t="s">
        <v>337</v>
      </c>
      <c r="B26" s="35" t="s">
        <v>2018</v>
      </c>
    </row>
    <row r="27" spans="1:2" x14ac:dyDescent="0.25">
      <c r="A27" s="44" t="s">
        <v>338</v>
      </c>
      <c r="B27" s="35" t="s">
        <v>2019</v>
      </c>
    </row>
    <row r="28" spans="1:2" x14ac:dyDescent="0.25">
      <c r="A28" s="44" t="s">
        <v>339</v>
      </c>
      <c r="B28" s="35" t="s">
        <v>2020</v>
      </c>
    </row>
    <row r="29" spans="1:2" x14ac:dyDescent="0.25">
      <c r="A29" s="44" t="s">
        <v>340</v>
      </c>
      <c r="B29" s="35" t="s">
        <v>2021</v>
      </c>
    </row>
    <row r="30" spans="1:2" ht="30" x14ac:dyDescent="0.25">
      <c r="A30" s="44" t="s">
        <v>341</v>
      </c>
      <c r="B30" s="35" t="s">
        <v>2022</v>
      </c>
    </row>
    <row r="31" spans="1:2" x14ac:dyDescent="0.25">
      <c r="A31" s="44" t="s">
        <v>342</v>
      </c>
      <c r="B31" s="35" t="s">
        <v>2023</v>
      </c>
    </row>
    <row r="32" spans="1:2" x14ac:dyDescent="0.25">
      <c r="A32" s="44" t="s">
        <v>343</v>
      </c>
      <c r="B32" s="35" t="s">
        <v>2024</v>
      </c>
    </row>
    <row r="33" spans="1:2" x14ac:dyDescent="0.25">
      <c r="A33" s="44" t="s">
        <v>344</v>
      </c>
      <c r="B33" s="35" t="s">
        <v>2025</v>
      </c>
    </row>
    <row r="34" spans="1:2" x14ac:dyDescent="0.25">
      <c r="A34" s="44" t="s">
        <v>345</v>
      </c>
      <c r="B34" s="35" t="s">
        <v>2026</v>
      </c>
    </row>
    <row r="35" spans="1:2" x14ac:dyDescent="0.25">
      <c r="A35" s="44" t="s">
        <v>346</v>
      </c>
      <c r="B35" s="35" t="s">
        <v>2027</v>
      </c>
    </row>
    <row r="36" spans="1:2" ht="30" x14ac:dyDescent="0.25">
      <c r="A36" s="44" t="s">
        <v>347</v>
      </c>
      <c r="B36" s="35" t="s">
        <v>2028</v>
      </c>
    </row>
    <row r="37" spans="1:2" x14ac:dyDescent="0.25">
      <c r="A37" s="44" t="s">
        <v>348</v>
      </c>
      <c r="B37" s="35" t="s">
        <v>2029</v>
      </c>
    </row>
    <row r="38" spans="1:2" ht="30" x14ac:dyDescent="0.25">
      <c r="A38" s="44" t="s">
        <v>349</v>
      </c>
      <c r="B38" s="35" t="s">
        <v>2030</v>
      </c>
    </row>
    <row r="39" spans="1:2" x14ac:dyDescent="0.25">
      <c r="A39" s="44" t="s">
        <v>350</v>
      </c>
      <c r="B39" s="35" t="s">
        <v>2031</v>
      </c>
    </row>
    <row r="40" spans="1:2" x14ac:dyDescent="0.25">
      <c r="A40" s="44" t="s">
        <v>351</v>
      </c>
      <c r="B40" s="35" t="s">
        <v>2032</v>
      </c>
    </row>
    <row r="41" spans="1:2" x14ac:dyDescent="0.25">
      <c r="A41" s="44" t="s">
        <v>352</v>
      </c>
      <c r="B41" s="35" t="s">
        <v>2033</v>
      </c>
    </row>
    <row r="42" spans="1:2" x14ac:dyDescent="0.25">
      <c r="A42" s="44" t="s">
        <v>353</v>
      </c>
      <c r="B42" s="35" t="s">
        <v>2034</v>
      </c>
    </row>
    <row r="43" spans="1:2" ht="30" x14ac:dyDescent="0.25">
      <c r="A43" s="44" t="s">
        <v>354</v>
      </c>
      <c r="B43" s="35" t="s">
        <v>2035</v>
      </c>
    </row>
    <row r="44" spans="1:2" x14ac:dyDescent="0.25">
      <c r="A44" s="44" t="s">
        <v>355</v>
      </c>
      <c r="B44" s="35" t="s">
        <v>2036</v>
      </c>
    </row>
    <row r="45" spans="1:2" x14ac:dyDescent="0.25">
      <c r="A45" s="44" t="s">
        <v>356</v>
      </c>
      <c r="B45" s="35" t="s">
        <v>2037</v>
      </c>
    </row>
    <row r="46" spans="1:2" x14ac:dyDescent="0.25">
      <c r="A46" s="44" t="s">
        <v>357</v>
      </c>
      <c r="B46" s="35" t="s">
        <v>2038</v>
      </c>
    </row>
    <row r="47" spans="1:2" x14ac:dyDescent="0.25">
      <c r="A47" s="44" t="s">
        <v>358</v>
      </c>
      <c r="B47" s="35" t="s">
        <v>2039</v>
      </c>
    </row>
    <row r="48" spans="1:2" x14ac:dyDescent="0.25">
      <c r="A48" s="44" t="s">
        <v>359</v>
      </c>
      <c r="B48" s="35" t="s">
        <v>2040</v>
      </c>
    </row>
    <row r="49" spans="1:2" x14ac:dyDescent="0.25">
      <c r="A49" s="44" t="s">
        <v>360</v>
      </c>
      <c r="B49" s="35" t="s">
        <v>2041</v>
      </c>
    </row>
    <row r="50" spans="1:2" x14ac:dyDescent="0.25">
      <c r="A50" s="44" t="s">
        <v>361</v>
      </c>
      <c r="B50" s="35" t="s">
        <v>2042</v>
      </c>
    </row>
    <row r="51" spans="1:2" x14ac:dyDescent="0.25">
      <c r="A51" s="44" t="s">
        <v>362</v>
      </c>
      <c r="B51" s="35" t="s">
        <v>2043</v>
      </c>
    </row>
    <row r="52" spans="1:2" ht="30" x14ac:dyDescent="0.25">
      <c r="A52" s="44" t="s">
        <v>363</v>
      </c>
      <c r="B52" s="35" t="s">
        <v>2044</v>
      </c>
    </row>
    <row r="53" spans="1:2" x14ac:dyDescent="0.25">
      <c r="A53" s="44" t="s">
        <v>364</v>
      </c>
      <c r="B53" s="35" t="s">
        <v>2045</v>
      </c>
    </row>
    <row r="54" spans="1:2" x14ac:dyDescent="0.25">
      <c r="A54" s="44" t="s">
        <v>365</v>
      </c>
      <c r="B54" s="35" t="s">
        <v>2046</v>
      </c>
    </row>
    <row r="55" spans="1:2" x14ac:dyDescent="0.25">
      <c r="A55" s="44" t="s">
        <v>366</v>
      </c>
      <c r="B55" s="35" t="s">
        <v>2047</v>
      </c>
    </row>
    <row r="56" spans="1:2" x14ac:dyDescent="0.25">
      <c r="A56" s="44" t="s">
        <v>367</v>
      </c>
      <c r="B56" s="35" t="s">
        <v>2048</v>
      </c>
    </row>
    <row r="57" spans="1:2" x14ac:dyDescent="0.25">
      <c r="A57" s="44" t="s">
        <v>368</v>
      </c>
      <c r="B57" s="35" t="s">
        <v>2049</v>
      </c>
    </row>
    <row r="58" spans="1:2" x14ac:dyDescent="0.25">
      <c r="A58" s="44" t="s">
        <v>369</v>
      </c>
      <c r="B58" s="35" t="s">
        <v>2050</v>
      </c>
    </row>
    <row r="59" spans="1:2" x14ac:dyDescent="0.25">
      <c r="A59" s="44" t="s">
        <v>370</v>
      </c>
      <c r="B59" s="35" t="s">
        <v>2051</v>
      </c>
    </row>
    <row r="60" spans="1:2" x14ac:dyDescent="0.25">
      <c r="A60" s="44" t="s">
        <v>371</v>
      </c>
      <c r="B60" s="35" t="s">
        <v>2052</v>
      </c>
    </row>
    <row r="61" spans="1:2" x14ac:dyDescent="0.25">
      <c r="A61" s="44" t="s">
        <v>372</v>
      </c>
      <c r="B61" s="35" t="s">
        <v>2053</v>
      </c>
    </row>
    <row r="62" spans="1:2" x14ac:dyDescent="0.25">
      <c r="A62" s="44" t="s">
        <v>373</v>
      </c>
      <c r="B62" s="35" t="s">
        <v>2054</v>
      </c>
    </row>
    <row r="63" spans="1:2" x14ac:dyDescent="0.25">
      <c r="A63" s="44" t="s">
        <v>374</v>
      </c>
      <c r="B63" s="35" t="s">
        <v>2055</v>
      </c>
    </row>
    <row r="64" spans="1:2" x14ac:dyDescent="0.25">
      <c r="A64" s="44" t="s">
        <v>375</v>
      </c>
      <c r="B64" s="35" t="s">
        <v>2056</v>
      </c>
    </row>
    <row r="65" spans="1:2" x14ac:dyDescent="0.25">
      <c r="A65" s="44" t="s">
        <v>376</v>
      </c>
      <c r="B65" s="35" t="s">
        <v>2057</v>
      </c>
    </row>
    <row r="66" spans="1:2" x14ac:dyDescent="0.25">
      <c r="A66" s="44" t="s">
        <v>377</v>
      </c>
      <c r="B66" s="35" t="s">
        <v>2058</v>
      </c>
    </row>
    <row r="67" spans="1:2" x14ac:dyDescent="0.25">
      <c r="A67" s="44" t="s">
        <v>378</v>
      </c>
      <c r="B67" s="35" t="s">
        <v>2059</v>
      </c>
    </row>
    <row r="68" spans="1:2" x14ac:dyDescent="0.25">
      <c r="A68" s="44" t="s">
        <v>379</v>
      </c>
      <c r="B68" s="35" t="s">
        <v>2060</v>
      </c>
    </row>
    <row r="69" spans="1:2" x14ac:dyDescent="0.25">
      <c r="A69" s="44" t="s">
        <v>380</v>
      </c>
      <c r="B69" s="35" t="s">
        <v>2061</v>
      </c>
    </row>
    <row r="70" spans="1:2" x14ac:dyDescent="0.25">
      <c r="A70" s="44" t="s">
        <v>381</v>
      </c>
      <c r="B70" s="35" t="s">
        <v>2062</v>
      </c>
    </row>
    <row r="71" spans="1:2" x14ac:dyDescent="0.25">
      <c r="A71" s="44" t="s">
        <v>382</v>
      </c>
      <c r="B71" s="35" t="s">
        <v>2063</v>
      </c>
    </row>
    <row r="72" spans="1:2" x14ac:dyDescent="0.25">
      <c r="A72" s="44" t="s">
        <v>383</v>
      </c>
      <c r="B72" s="35" t="s">
        <v>2064</v>
      </c>
    </row>
    <row r="73" spans="1:2" x14ac:dyDescent="0.25">
      <c r="A73" s="44" t="s">
        <v>384</v>
      </c>
      <c r="B73" s="35" t="s">
        <v>2065</v>
      </c>
    </row>
    <row r="74" spans="1:2" x14ac:dyDescent="0.25">
      <c r="A74" s="44" t="s">
        <v>385</v>
      </c>
      <c r="B74" s="35" t="s">
        <v>2066</v>
      </c>
    </row>
    <row r="75" spans="1:2" x14ac:dyDescent="0.25">
      <c r="A75" s="44" t="s">
        <v>386</v>
      </c>
      <c r="B75" s="35" t="s">
        <v>2067</v>
      </c>
    </row>
    <row r="76" spans="1:2" x14ac:dyDescent="0.25">
      <c r="A76" s="44" t="s">
        <v>387</v>
      </c>
      <c r="B76" s="35" t="s">
        <v>2068</v>
      </c>
    </row>
    <row r="77" spans="1:2" x14ac:dyDescent="0.25">
      <c r="A77" s="44" t="s">
        <v>388</v>
      </c>
      <c r="B77" s="35" t="s">
        <v>2069</v>
      </c>
    </row>
    <row r="78" spans="1:2" x14ac:dyDescent="0.25">
      <c r="A78" s="44" t="s">
        <v>389</v>
      </c>
      <c r="B78" s="35" t="s">
        <v>2070</v>
      </c>
    </row>
    <row r="79" spans="1:2" x14ac:dyDescent="0.25">
      <c r="A79" s="44" t="s">
        <v>390</v>
      </c>
      <c r="B79" s="35" t="s">
        <v>2071</v>
      </c>
    </row>
    <row r="80" spans="1:2" ht="30" x14ac:dyDescent="0.25">
      <c r="A80" s="44" t="s">
        <v>391</v>
      </c>
      <c r="B80" s="35" t="s">
        <v>2072</v>
      </c>
    </row>
    <row r="81" spans="1:2" x14ac:dyDescent="0.25">
      <c r="A81" s="44" t="s">
        <v>392</v>
      </c>
      <c r="B81" s="35" t="s">
        <v>2073</v>
      </c>
    </row>
    <row r="82" spans="1:2" x14ac:dyDescent="0.25">
      <c r="A82" s="44" t="s">
        <v>393</v>
      </c>
      <c r="B82" s="35" t="s">
        <v>2074</v>
      </c>
    </row>
    <row r="83" spans="1:2" x14ac:dyDescent="0.25">
      <c r="A83" s="44" t="s">
        <v>394</v>
      </c>
      <c r="B83" s="35" t="s">
        <v>2075</v>
      </c>
    </row>
    <row r="84" spans="1:2" ht="30" x14ac:dyDescent="0.25">
      <c r="A84" s="44" t="s">
        <v>395</v>
      </c>
      <c r="B84" s="35" t="s">
        <v>2076</v>
      </c>
    </row>
    <row r="85" spans="1:2" x14ac:dyDescent="0.25">
      <c r="A85" s="44" t="s">
        <v>396</v>
      </c>
      <c r="B85" s="35" t="s">
        <v>2077</v>
      </c>
    </row>
    <row r="86" spans="1:2" x14ac:dyDescent="0.25">
      <c r="A86" s="44" t="s">
        <v>397</v>
      </c>
      <c r="B86" s="35" t="s">
        <v>2078</v>
      </c>
    </row>
    <row r="87" spans="1:2" x14ac:dyDescent="0.25">
      <c r="A87" s="44" t="s">
        <v>398</v>
      </c>
      <c r="B87" s="35" t="s">
        <v>2079</v>
      </c>
    </row>
    <row r="88" spans="1:2" x14ac:dyDescent="0.25">
      <c r="A88" s="44" t="s">
        <v>399</v>
      </c>
      <c r="B88" s="35" t="s">
        <v>2080</v>
      </c>
    </row>
    <row r="89" spans="1:2" x14ac:dyDescent="0.25">
      <c r="A89" s="44" t="s">
        <v>400</v>
      </c>
      <c r="B89" s="35" t="s">
        <v>2081</v>
      </c>
    </row>
    <row r="90" spans="1:2" ht="30" x14ac:dyDescent="0.25">
      <c r="A90" s="44" t="s">
        <v>401</v>
      </c>
      <c r="B90" s="35" t="s">
        <v>2082</v>
      </c>
    </row>
    <row r="91" spans="1:2" x14ac:dyDescent="0.25">
      <c r="A91" s="44" t="s">
        <v>402</v>
      </c>
      <c r="B91" s="35" t="s">
        <v>2083</v>
      </c>
    </row>
    <row r="92" spans="1:2" x14ac:dyDescent="0.25">
      <c r="A92" s="44" t="s">
        <v>403</v>
      </c>
      <c r="B92" s="35" t="s">
        <v>2084</v>
      </c>
    </row>
    <row r="93" spans="1:2" x14ac:dyDescent="0.25">
      <c r="A93" s="44" t="s">
        <v>404</v>
      </c>
      <c r="B93" s="35" t="s">
        <v>2085</v>
      </c>
    </row>
    <row r="94" spans="1:2" x14ac:dyDescent="0.25">
      <c r="A94" s="44" t="s">
        <v>405</v>
      </c>
      <c r="B94" s="35" t="s">
        <v>2086</v>
      </c>
    </row>
    <row r="95" spans="1:2" x14ac:dyDescent="0.25">
      <c r="A95" s="44" t="s">
        <v>406</v>
      </c>
      <c r="B95" s="35" t="s">
        <v>2087</v>
      </c>
    </row>
    <row r="96" spans="1:2" x14ac:dyDescent="0.25">
      <c r="A96" s="44" t="s">
        <v>407</v>
      </c>
      <c r="B96" s="35" t="s">
        <v>2088</v>
      </c>
    </row>
    <row r="97" spans="1:2" x14ac:dyDescent="0.25">
      <c r="A97" s="44" t="s">
        <v>408</v>
      </c>
      <c r="B97" s="35" t="s">
        <v>2089</v>
      </c>
    </row>
    <row r="98" spans="1:2" x14ac:dyDescent="0.25">
      <c r="A98" s="44" t="s">
        <v>409</v>
      </c>
      <c r="B98" s="35" t="s">
        <v>2090</v>
      </c>
    </row>
    <row r="99" spans="1:2" x14ac:dyDescent="0.25">
      <c r="A99" s="44" t="s">
        <v>410</v>
      </c>
      <c r="B99" s="35" t="s">
        <v>2091</v>
      </c>
    </row>
    <row r="100" spans="1:2" x14ac:dyDescent="0.25">
      <c r="A100" s="44" t="s">
        <v>411</v>
      </c>
      <c r="B100" s="35" t="s">
        <v>2092</v>
      </c>
    </row>
    <row r="101" spans="1:2" x14ac:dyDescent="0.25">
      <c r="A101" s="44" t="s">
        <v>412</v>
      </c>
      <c r="B101" s="35" t="s">
        <v>2093</v>
      </c>
    </row>
    <row r="102" spans="1:2" x14ac:dyDescent="0.25">
      <c r="A102" s="44" t="s">
        <v>2094</v>
      </c>
      <c r="B102" s="35" t="s">
        <v>2095</v>
      </c>
    </row>
    <row r="103" spans="1:2" x14ac:dyDescent="0.25">
      <c r="A103" s="44" t="s">
        <v>413</v>
      </c>
      <c r="B103" s="35" t="s">
        <v>2096</v>
      </c>
    </row>
    <row r="104" spans="1:2" x14ac:dyDescent="0.25">
      <c r="A104" s="44" t="s">
        <v>414</v>
      </c>
      <c r="B104" s="35" t="s">
        <v>2097</v>
      </c>
    </row>
    <row r="105" spans="1:2" ht="30" x14ac:dyDescent="0.25">
      <c r="A105" s="44" t="s">
        <v>415</v>
      </c>
      <c r="B105" s="35" t="s">
        <v>2098</v>
      </c>
    </row>
    <row r="106" spans="1:2" x14ac:dyDescent="0.25">
      <c r="A106" s="44" t="s">
        <v>416</v>
      </c>
      <c r="B106" s="35" t="s">
        <v>2099</v>
      </c>
    </row>
    <row r="107" spans="1:2" ht="45" x14ac:dyDescent="0.25">
      <c r="A107" s="44" t="s">
        <v>2100</v>
      </c>
      <c r="B107" s="35" t="s">
        <v>2101</v>
      </c>
    </row>
    <row r="108" spans="1:2" ht="30" x14ac:dyDescent="0.25">
      <c r="A108" s="44" t="s">
        <v>417</v>
      </c>
      <c r="B108" s="35" t="s">
        <v>2102</v>
      </c>
    </row>
    <row r="109" spans="1:2" ht="30" x14ac:dyDescent="0.25">
      <c r="A109" s="44" t="s">
        <v>418</v>
      </c>
      <c r="B109" s="35" t="s">
        <v>2103</v>
      </c>
    </row>
    <row r="110" spans="1:2" ht="45" x14ac:dyDescent="0.25">
      <c r="A110" s="44" t="s">
        <v>419</v>
      </c>
      <c r="B110" s="35" t="s">
        <v>2104</v>
      </c>
    </row>
    <row r="111" spans="1:2" x14ac:dyDescent="0.25">
      <c r="A111" s="44" t="s">
        <v>420</v>
      </c>
      <c r="B111" s="35" t="s">
        <v>2105</v>
      </c>
    </row>
    <row r="112" spans="1:2" ht="30" x14ac:dyDescent="0.25">
      <c r="A112" s="44" t="s">
        <v>2106</v>
      </c>
      <c r="B112" s="35" t="s">
        <v>2107</v>
      </c>
    </row>
    <row r="113" spans="1:2" ht="30" x14ac:dyDescent="0.25">
      <c r="A113" s="44" t="s">
        <v>421</v>
      </c>
      <c r="B113" s="35" t="s">
        <v>2108</v>
      </c>
    </row>
    <row r="114" spans="1:2" x14ac:dyDescent="0.25">
      <c r="A114" s="44" t="s">
        <v>422</v>
      </c>
      <c r="B114" s="35" t="s">
        <v>2109</v>
      </c>
    </row>
    <row r="115" spans="1:2" x14ac:dyDescent="0.25">
      <c r="A115" s="44" t="s">
        <v>423</v>
      </c>
      <c r="B115" s="35" t="s">
        <v>2110</v>
      </c>
    </row>
    <row r="116" spans="1:2" x14ac:dyDescent="0.25">
      <c r="A116" s="44" t="s">
        <v>424</v>
      </c>
      <c r="B116" s="35" t="s">
        <v>2111</v>
      </c>
    </row>
    <row r="117" spans="1:2" x14ac:dyDescent="0.25">
      <c r="A117" s="44" t="s">
        <v>425</v>
      </c>
      <c r="B117" s="35" t="s">
        <v>2112</v>
      </c>
    </row>
    <row r="118" spans="1:2" x14ac:dyDescent="0.25">
      <c r="A118" s="44" t="s">
        <v>2113</v>
      </c>
      <c r="B118" s="35" t="s">
        <v>2114</v>
      </c>
    </row>
    <row r="119" spans="1:2" x14ac:dyDescent="0.25">
      <c r="A119" s="44" t="s">
        <v>426</v>
      </c>
      <c r="B119" s="35" t="s">
        <v>2115</v>
      </c>
    </row>
    <row r="120" spans="1:2" x14ac:dyDescent="0.25">
      <c r="A120" s="44" t="s">
        <v>427</v>
      </c>
      <c r="B120" s="35" t="s">
        <v>2116</v>
      </c>
    </row>
    <row r="121" spans="1:2" x14ac:dyDescent="0.25">
      <c r="A121" s="44" t="s">
        <v>428</v>
      </c>
      <c r="B121" s="35" t="s">
        <v>2117</v>
      </c>
    </row>
    <row r="122" spans="1:2" x14ac:dyDescent="0.25">
      <c r="A122" s="44" t="s">
        <v>429</v>
      </c>
      <c r="B122" s="35" t="s">
        <v>2118</v>
      </c>
    </row>
    <row r="123" spans="1:2" x14ac:dyDescent="0.25">
      <c r="A123" s="44" t="s">
        <v>2119</v>
      </c>
      <c r="B123" s="35" t="s">
        <v>2120</v>
      </c>
    </row>
    <row r="124" spans="1:2" x14ac:dyDescent="0.25">
      <c r="A124" s="44" t="s">
        <v>430</v>
      </c>
      <c r="B124" s="35" t="s">
        <v>2121</v>
      </c>
    </row>
    <row r="125" spans="1:2" ht="45" x14ac:dyDescent="0.25">
      <c r="A125" s="44" t="s">
        <v>431</v>
      </c>
      <c r="B125" s="35" t="s">
        <v>2122</v>
      </c>
    </row>
    <row r="126" spans="1:2" x14ac:dyDescent="0.25">
      <c r="A126" s="44" t="s">
        <v>432</v>
      </c>
      <c r="B126" s="35" t="s">
        <v>2123</v>
      </c>
    </row>
    <row r="127" spans="1:2" x14ac:dyDescent="0.25">
      <c r="A127" s="44" t="s">
        <v>433</v>
      </c>
      <c r="B127" s="35" t="s">
        <v>2124</v>
      </c>
    </row>
    <row r="128" spans="1:2" x14ac:dyDescent="0.25">
      <c r="A128" s="44" t="s">
        <v>434</v>
      </c>
      <c r="B128" s="35" t="s">
        <v>2125</v>
      </c>
    </row>
    <row r="129" spans="1:2" ht="30" x14ac:dyDescent="0.25">
      <c r="A129" s="44" t="s">
        <v>435</v>
      </c>
      <c r="B129" s="35" t="s">
        <v>2126</v>
      </c>
    </row>
    <row r="130" spans="1:2" ht="30" x14ac:dyDescent="0.25">
      <c r="A130" s="44" t="s">
        <v>1984</v>
      </c>
      <c r="B130" s="35" t="s">
        <v>2127</v>
      </c>
    </row>
    <row r="131" spans="1:2" x14ac:dyDescent="0.25">
      <c r="A131" s="44" t="s">
        <v>436</v>
      </c>
      <c r="B131" s="35" t="s">
        <v>2128</v>
      </c>
    </row>
    <row r="132" spans="1:2" ht="30" x14ac:dyDescent="0.25">
      <c r="A132" s="44" t="s">
        <v>437</v>
      </c>
      <c r="B132" s="35" t="s">
        <v>2129</v>
      </c>
    </row>
    <row r="133" spans="1:2" x14ac:dyDescent="0.25">
      <c r="A133" s="44" t="s">
        <v>438</v>
      </c>
      <c r="B133" s="35" t="s">
        <v>2130</v>
      </c>
    </row>
    <row r="134" spans="1:2" ht="30" x14ac:dyDescent="0.25">
      <c r="A134" s="44" t="s">
        <v>1978</v>
      </c>
      <c r="B134" s="35" t="s">
        <v>2131</v>
      </c>
    </row>
    <row r="135" spans="1:2" ht="45" x14ac:dyDescent="0.25">
      <c r="A135" s="44" t="s">
        <v>2132</v>
      </c>
      <c r="B135" s="35" t="s">
        <v>2133</v>
      </c>
    </row>
    <row r="136" spans="1:2" ht="30" x14ac:dyDescent="0.25">
      <c r="A136" s="44" t="s">
        <v>439</v>
      </c>
      <c r="B136" s="35" t="s">
        <v>2134</v>
      </c>
    </row>
    <row r="137" spans="1:2" x14ac:dyDescent="0.25">
      <c r="A137" s="44" t="s">
        <v>440</v>
      </c>
      <c r="B137" s="35" t="s">
        <v>2135</v>
      </c>
    </row>
    <row r="138" spans="1:2" x14ac:dyDescent="0.25">
      <c r="A138" s="44" t="s">
        <v>2136</v>
      </c>
      <c r="B138" s="35" t="s">
        <v>2137</v>
      </c>
    </row>
    <row r="139" spans="1:2" x14ac:dyDescent="0.25">
      <c r="A139" s="44" t="s">
        <v>441</v>
      </c>
      <c r="B139" s="35" t="s">
        <v>2138</v>
      </c>
    </row>
    <row r="140" spans="1:2" ht="45" x14ac:dyDescent="0.25">
      <c r="A140" s="44" t="s">
        <v>848</v>
      </c>
      <c r="B140" s="35" t="s">
        <v>2139</v>
      </c>
    </row>
    <row r="141" spans="1:2" x14ac:dyDescent="0.25">
      <c r="A141" s="44" t="s">
        <v>442</v>
      </c>
      <c r="B141" s="35" t="s">
        <v>2140</v>
      </c>
    </row>
    <row r="142" spans="1:2" x14ac:dyDescent="0.25">
      <c r="A142" s="44" t="s">
        <v>443</v>
      </c>
      <c r="B142" s="35" t="s">
        <v>2141</v>
      </c>
    </row>
    <row r="143" spans="1:2" x14ac:dyDescent="0.25">
      <c r="A143" s="44" t="s">
        <v>1972</v>
      </c>
      <c r="B143" s="35" t="s">
        <v>2142</v>
      </c>
    </row>
    <row r="144" spans="1:2" x14ac:dyDescent="0.25">
      <c r="A144" s="44" t="s">
        <v>444</v>
      </c>
      <c r="B144" s="35" t="s">
        <v>2143</v>
      </c>
    </row>
    <row r="145" spans="1:2" x14ac:dyDescent="0.25">
      <c r="A145" s="44" t="s">
        <v>445</v>
      </c>
      <c r="B145" s="35" t="s">
        <v>2144</v>
      </c>
    </row>
    <row r="146" spans="1:2" x14ac:dyDescent="0.25">
      <c r="A146" s="44" t="s">
        <v>446</v>
      </c>
      <c r="B146" s="35" t="s">
        <v>2145</v>
      </c>
    </row>
    <row r="147" spans="1:2" x14ac:dyDescent="0.25">
      <c r="A147" s="44" t="s">
        <v>447</v>
      </c>
      <c r="B147" s="35" t="s">
        <v>2146</v>
      </c>
    </row>
    <row r="148" spans="1:2" ht="30" x14ac:dyDescent="0.25">
      <c r="A148" s="44" t="s">
        <v>448</v>
      </c>
      <c r="B148" s="35" t="s">
        <v>2147</v>
      </c>
    </row>
    <row r="149" spans="1:2" x14ac:dyDescent="0.25">
      <c r="A149" s="44" t="s">
        <v>2148</v>
      </c>
      <c r="B149" s="35" t="s">
        <v>2149</v>
      </c>
    </row>
    <row r="150" spans="1:2" x14ac:dyDescent="0.25">
      <c r="A150" s="44" t="s">
        <v>449</v>
      </c>
      <c r="B150" s="35" t="s">
        <v>2150</v>
      </c>
    </row>
    <row r="151" spans="1:2" ht="30" x14ac:dyDescent="0.25">
      <c r="A151" s="44" t="s">
        <v>450</v>
      </c>
      <c r="B151" s="35" t="s">
        <v>2151</v>
      </c>
    </row>
    <row r="152" spans="1:2" ht="30" x14ac:dyDescent="0.25">
      <c r="A152" s="44" t="s">
        <v>451</v>
      </c>
      <c r="B152" s="35" t="s">
        <v>2152</v>
      </c>
    </row>
    <row r="153" spans="1:2" x14ac:dyDescent="0.25">
      <c r="A153" s="44" t="s">
        <v>452</v>
      </c>
      <c r="B153" s="35" t="s">
        <v>2153</v>
      </c>
    </row>
    <row r="154" spans="1:2" x14ac:dyDescent="0.25">
      <c r="A154" s="44" t="s">
        <v>453</v>
      </c>
      <c r="B154" s="35" t="s">
        <v>2154</v>
      </c>
    </row>
    <row r="155" spans="1:2" ht="30" x14ac:dyDescent="0.25">
      <c r="A155" s="44" t="s">
        <v>840</v>
      </c>
      <c r="B155" s="35" t="s">
        <v>2155</v>
      </c>
    </row>
    <row r="156" spans="1:2" ht="45" x14ac:dyDescent="0.25">
      <c r="A156" s="44" t="s">
        <v>885</v>
      </c>
      <c r="B156" s="35" t="s">
        <v>2156</v>
      </c>
    </row>
    <row r="157" spans="1:2" ht="30" x14ac:dyDescent="0.25">
      <c r="A157" s="44" t="s">
        <v>1986</v>
      </c>
      <c r="B157" s="35" t="s">
        <v>2157</v>
      </c>
    </row>
    <row r="158" spans="1:2" x14ac:dyDescent="0.25">
      <c r="A158" s="44" t="s">
        <v>454</v>
      </c>
      <c r="B158" s="35" t="s">
        <v>2158</v>
      </c>
    </row>
    <row r="159" spans="1:2" ht="30" x14ac:dyDescent="0.25">
      <c r="A159" s="44" t="s">
        <v>455</v>
      </c>
      <c r="B159" s="35" t="s">
        <v>2159</v>
      </c>
    </row>
    <row r="160" spans="1:2" ht="30" x14ac:dyDescent="0.25">
      <c r="A160" s="44" t="s">
        <v>456</v>
      </c>
      <c r="B160" s="35" t="s">
        <v>2160</v>
      </c>
    </row>
    <row r="161" spans="1:2" ht="30" x14ac:dyDescent="0.25">
      <c r="A161" s="44" t="s">
        <v>457</v>
      </c>
      <c r="B161" s="35" t="s">
        <v>2161</v>
      </c>
    </row>
    <row r="162" spans="1:2" ht="30" x14ac:dyDescent="0.25">
      <c r="A162" s="44" t="s">
        <v>1975</v>
      </c>
      <c r="B162" s="35" t="s">
        <v>2162</v>
      </c>
    </row>
    <row r="163" spans="1:2" x14ac:dyDescent="0.25">
      <c r="A163" s="44" t="s">
        <v>1977</v>
      </c>
      <c r="B163" s="35" t="s">
        <v>2163</v>
      </c>
    </row>
    <row r="164" spans="1:2" ht="30" x14ac:dyDescent="0.25">
      <c r="A164" s="44" t="s">
        <v>458</v>
      </c>
      <c r="B164" s="35" t="s">
        <v>2164</v>
      </c>
    </row>
    <row r="165" spans="1:2" ht="30" x14ac:dyDescent="0.25">
      <c r="A165" s="44" t="s">
        <v>459</v>
      </c>
      <c r="B165" s="35" t="s">
        <v>2165</v>
      </c>
    </row>
    <row r="166" spans="1:2" x14ac:dyDescent="0.25">
      <c r="A166" s="44" t="s">
        <v>460</v>
      </c>
      <c r="B166" s="35" t="s">
        <v>2166</v>
      </c>
    </row>
    <row r="167" spans="1:2" x14ac:dyDescent="0.25">
      <c r="A167" s="44" t="s">
        <v>2167</v>
      </c>
      <c r="B167" s="35" t="s">
        <v>2168</v>
      </c>
    </row>
    <row r="168" spans="1:2" x14ac:dyDescent="0.25">
      <c r="A168" s="44" t="s">
        <v>461</v>
      </c>
      <c r="B168" s="35" t="s">
        <v>2169</v>
      </c>
    </row>
    <row r="169" spans="1:2" x14ac:dyDescent="0.25">
      <c r="A169" s="44" t="s">
        <v>462</v>
      </c>
      <c r="B169" s="35" t="s">
        <v>2170</v>
      </c>
    </row>
    <row r="170" spans="1:2" x14ac:dyDescent="0.25">
      <c r="A170" s="44" t="s">
        <v>463</v>
      </c>
      <c r="B170" s="35" t="s">
        <v>2171</v>
      </c>
    </row>
    <row r="171" spans="1:2" ht="30" x14ac:dyDescent="0.25">
      <c r="A171" s="44" t="s">
        <v>464</v>
      </c>
      <c r="B171" s="35" t="s">
        <v>2172</v>
      </c>
    </row>
    <row r="172" spans="1:2" ht="30" x14ac:dyDescent="0.25">
      <c r="A172" s="44" t="s">
        <v>2173</v>
      </c>
      <c r="B172" s="35" t="s">
        <v>2174</v>
      </c>
    </row>
    <row r="173" spans="1:2" ht="30" x14ac:dyDescent="0.25">
      <c r="A173" s="44" t="s">
        <v>465</v>
      </c>
      <c r="B173" s="35" t="s">
        <v>2175</v>
      </c>
    </row>
    <row r="174" spans="1:2" x14ac:dyDescent="0.25">
      <c r="A174" s="44" t="s">
        <v>466</v>
      </c>
      <c r="B174" s="35" t="s">
        <v>2176</v>
      </c>
    </row>
    <row r="175" spans="1:2" ht="30" x14ac:dyDescent="0.25">
      <c r="A175" s="44" t="s">
        <v>467</v>
      </c>
      <c r="B175" s="35" t="s">
        <v>2177</v>
      </c>
    </row>
    <row r="176" spans="1:2" x14ac:dyDescent="0.25">
      <c r="A176" s="44" t="s">
        <v>468</v>
      </c>
      <c r="B176" s="35" t="s">
        <v>2178</v>
      </c>
    </row>
    <row r="177" spans="1:2" x14ac:dyDescent="0.25">
      <c r="A177" s="44" t="s">
        <v>2179</v>
      </c>
      <c r="B177" s="35" t="s">
        <v>2180</v>
      </c>
    </row>
    <row r="178" spans="1:2" ht="30" x14ac:dyDescent="0.25">
      <c r="A178" s="44" t="s">
        <v>2181</v>
      </c>
      <c r="B178" s="35" t="s">
        <v>2182</v>
      </c>
    </row>
    <row r="179" spans="1:2" x14ac:dyDescent="0.25">
      <c r="A179" s="44" t="s">
        <v>469</v>
      </c>
      <c r="B179" s="35" t="s">
        <v>2183</v>
      </c>
    </row>
    <row r="180" spans="1:2" ht="45" x14ac:dyDescent="0.25">
      <c r="A180" s="44" t="s">
        <v>470</v>
      </c>
      <c r="B180" s="35" t="s">
        <v>2184</v>
      </c>
    </row>
    <row r="181" spans="1:2" ht="30" x14ac:dyDescent="0.25">
      <c r="A181" s="44" t="s">
        <v>471</v>
      </c>
      <c r="B181" s="35" t="s">
        <v>2185</v>
      </c>
    </row>
    <row r="182" spans="1:2" x14ac:dyDescent="0.25">
      <c r="A182" s="44" t="s">
        <v>472</v>
      </c>
      <c r="B182" s="35" t="s">
        <v>2186</v>
      </c>
    </row>
    <row r="183" spans="1:2" x14ac:dyDescent="0.25">
      <c r="A183" s="44" t="s">
        <v>473</v>
      </c>
      <c r="B183" s="35" t="s">
        <v>2187</v>
      </c>
    </row>
    <row r="184" spans="1:2" ht="30" x14ac:dyDescent="0.25">
      <c r="A184" s="44" t="s">
        <v>474</v>
      </c>
      <c r="B184" s="35" t="s">
        <v>2188</v>
      </c>
    </row>
    <row r="185" spans="1:2" ht="45" x14ac:dyDescent="0.25">
      <c r="A185" s="44" t="s">
        <v>475</v>
      </c>
      <c r="B185" s="35" t="s">
        <v>2189</v>
      </c>
    </row>
    <row r="186" spans="1:2" x14ac:dyDescent="0.25">
      <c r="A186" s="44" t="s">
        <v>476</v>
      </c>
      <c r="B186" s="35" t="s">
        <v>2190</v>
      </c>
    </row>
    <row r="187" spans="1:2" x14ac:dyDescent="0.25">
      <c r="A187" s="44" t="s">
        <v>477</v>
      </c>
      <c r="B187" s="35" t="s">
        <v>2191</v>
      </c>
    </row>
    <row r="188" spans="1:2" ht="30" x14ac:dyDescent="0.25">
      <c r="A188" s="44" t="s">
        <v>2192</v>
      </c>
      <c r="B188" s="35" t="s">
        <v>2193</v>
      </c>
    </row>
    <row r="189" spans="1:2" x14ac:dyDescent="0.25">
      <c r="A189" s="44" t="s">
        <v>478</v>
      </c>
      <c r="B189" s="35" t="s">
        <v>2194</v>
      </c>
    </row>
    <row r="190" spans="1:2" x14ac:dyDescent="0.25">
      <c r="A190" s="44" t="s">
        <v>479</v>
      </c>
      <c r="B190" s="35" t="s">
        <v>2195</v>
      </c>
    </row>
    <row r="191" spans="1:2" x14ac:dyDescent="0.25">
      <c r="A191" s="44" t="s">
        <v>2196</v>
      </c>
      <c r="B191" s="35" t="s">
        <v>2197</v>
      </c>
    </row>
    <row r="192" spans="1:2" x14ac:dyDescent="0.25">
      <c r="A192" s="44" t="s">
        <v>480</v>
      </c>
      <c r="B192" s="35" t="s">
        <v>2198</v>
      </c>
    </row>
    <row r="193" spans="1:2" x14ac:dyDescent="0.25">
      <c r="A193" s="44" t="s">
        <v>481</v>
      </c>
      <c r="B193" s="35" t="s">
        <v>2199</v>
      </c>
    </row>
    <row r="194" spans="1:2" ht="45" x14ac:dyDescent="0.25">
      <c r="A194" s="44" t="s">
        <v>482</v>
      </c>
      <c r="B194" s="35" t="s">
        <v>2200</v>
      </c>
    </row>
    <row r="195" spans="1:2" x14ac:dyDescent="0.25">
      <c r="A195" s="44" t="s">
        <v>483</v>
      </c>
      <c r="B195" s="35" t="s">
        <v>2201</v>
      </c>
    </row>
    <row r="196" spans="1:2" x14ac:dyDescent="0.25">
      <c r="A196" s="44" t="s">
        <v>484</v>
      </c>
      <c r="B196" s="35" t="s">
        <v>2202</v>
      </c>
    </row>
    <row r="197" spans="1:2" ht="30" x14ac:dyDescent="0.25">
      <c r="A197" s="44" t="s">
        <v>1011</v>
      </c>
      <c r="B197" s="35" t="s">
        <v>2203</v>
      </c>
    </row>
    <row r="198" spans="1:2" x14ac:dyDescent="0.25">
      <c r="A198" s="44" t="s">
        <v>2204</v>
      </c>
      <c r="B198" s="35" t="s">
        <v>2205</v>
      </c>
    </row>
    <row r="199" spans="1:2" ht="30" x14ac:dyDescent="0.25">
      <c r="A199" s="44" t="s">
        <v>2206</v>
      </c>
      <c r="B199" s="35" t="s">
        <v>2207</v>
      </c>
    </row>
    <row r="200" spans="1:2" ht="45" x14ac:dyDescent="0.25">
      <c r="A200" s="44" t="s">
        <v>485</v>
      </c>
      <c r="B200" s="35" t="s">
        <v>2208</v>
      </c>
    </row>
    <row r="201" spans="1:2" ht="30" x14ac:dyDescent="0.25">
      <c r="A201" s="44" t="s">
        <v>2209</v>
      </c>
      <c r="B201" s="35" t="s">
        <v>2210</v>
      </c>
    </row>
    <row r="202" spans="1:2" ht="30" x14ac:dyDescent="0.25">
      <c r="A202" s="44" t="s">
        <v>486</v>
      </c>
      <c r="B202" s="35" t="s">
        <v>2211</v>
      </c>
    </row>
    <row r="203" spans="1:2" ht="45" x14ac:dyDescent="0.25">
      <c r="A203" s="44" t="s">
        <v>487</v>
      </c>
      <c r="B203" s="35" t="s">
        <v>2212</v>
      </c>
    </row>
    <row r="204" spans="1:2" x14ac:dyDescent="0.25">
      <c r="A204" s="44" t="s">
        <v>488</v>
      </c>
      <c r="B204" s="35" t="s">
        <v>2213</v>
      </c>
    </row>
    <row r="205" spans="1:2" ht="45" x14ac:dyDescent="0.25">
      <c r="A205" s="44" t="s">
        <v>489</v>
      </c>
      <c r="B205" s="35" t="s">
        <v>2214</v>
      </c>
    </row>
    <row r="206" spans="1:2" x14ac:dyDescent="0.25">
      <c r="A206" s="44" t="s">
        <v>2215</v>
      </c>
      <c r="B206" s="35" t="s">
        <v>2216</v>
      </c>
    </row>
    <row r="207" spans="1:2" x14ac:dyDescent="0.25">
      <c r="A207" s="44" t="s">
        <v>490</v>
      </c>
      <c r="B207" s="35" t="s">
        <v>2217</v>
      </c>
    </row>
    <row r="208" spans="1:2" x14ac:dyDescent="0.25">
      <c r="A208" s="44" t="s">
        <v>491</v>
      </c>
      <c r="B208" s="35" t="s">
        <v>2218</v>
      </c>
    </row>
    <row r="209" spans="1:2" x14ac:dyDescent="0.25">
      <c r="A209" s="44" t="s">
        <v>492</v>
      </c>
      <c r="B209" s="35" t="s">
        <v>2219</v>
      </c>
    </row>
    <row r="210" spans="1:2" x14ac:dyDescent="0.25">
      <c r="A210" s="44" t="s">
        <v>2220</v>
      </c>
      <c r="B210" s="35" t="s">
        <v>2221</v>
      </c>
    </row>
    <row r="211" spans="1:2" x14ac:dyDescent="0.25">
      <c r="A211" s="44" t="s">
        <v>493</v>
      </c>
      <c r="B211" s="35" t="s">
        <v>2222</v>
      </c>
    </row>
    <row r="212" spans="1:2" x14ac:dyDescent="0.25">
      <c r="A212" s="44" t="s">
        <v>2223</v>
      </c>
      <c r="B212" s="35" t="s">
        <v>2224</v>
      </c>
    </row>
    <row r="213" spans="1:2" ht="30" x14ac:dyDescent="0.25">
      <c r="A213" s="44" t="s">
        <v>494</v>
      </c>
      <c r="B213" s="35" t="s">
        <v>2225</v>
      </c>
    </row>
    <row r="214" spans="1:2" x14ac:dyDescent="0.25">
      <c r="A214" s="44" t="s">
        <v>265</v>
      </c>
      <c r="B214" s="35" t="s">
        <v>2226</v>
      </c>
    </row>
    <row r="215" spans="1:2" x14ac:dyDescent="0.25">
      <c r="A215" s="44" t="s">
        <v>495</v>
      </c>
      <c r="B215" s="35" t="s">
        <v>2227</v>
      </c>
    </row>
    <row r="216" spans="1:2" ht="30" x14ac:dyDescent="0.25">
      <c r="A216" s="44" t="s">
        <v>496</v>
      </c>
      <c r="B216" s="35" t="s">
        <v>2228</v>
      </c>
    </row>
    <row r="217" spans="1:2" x14ac:dyDescent="0.25">
      <c r="A217" s="44" t="s">
        <v>497</v>
      </c>
      <c r="B217" s="35" t="s">
        <v>2229</v>
      </c>
    </row>
    <row r="218" spans="1:2" ht="30" x14ac:dyDescent="0.25">
      <c r="A218" s="44" t="s">
        <v>2230</v>
      </c>
      <c r="B218" s="35" t="s">
        <v>2231</v>
      </c>
    </row>
    <row r="219" spans="1:2" ht="45" x14ac:dyDescent="0.25">
      <c r="A219" s="44" t="s">
        <v>498</v>
      </c>
      <c r="B219" s="35" t="s">
        <v>2232</v>
      </c>
    </row>
    <row r="220" spans="1:2" x14ac:dyDescent="0.25">
      <c r="A220" s="44" t="s">
        <v>499</v>
      </c>
      <c r="B220" s="35" t="s">
        <v>2233</v>
      </c>
    </row>
    <row r="221" spans="1:2" x14ac:dyDescent="0.25">
      <c r="A221" s="44" t="s">
        <v>1990</v>
      </c>
      <c r="B221" s="35" t="s">
        <v>2234</v>
      </c>
    </row>
    <row r="222" spans="1:2" x14ac:dyDescent="0.25">
      <c r="A222" s="44" t="s">
        <v>500</v>
      </c>
      <c r="B222" s="35" t="s">
        <v>2235</v>
      </c>
    </row>
    <row r="223" spans="1:2" ht="30" x14ac:dyDescent="0.25">
      <c r="A223" s="44" t="s">
        <v>978</v>
      </c>
      <c r="B223" s="35" t="s">
        <v>2236</v>
      </c>
    </row>
    <row r="224" spans="1:2" x14ac:dyDescent="0.25">
      <c r="A224" s="44" t="s">
        <v>2237</v>
      </c>
      <c r="B224" s="35" t="s">
        <v>2238</v>
      </c>
    </row>
    <row r="225" spans="1:2" x14ac:dyDescent="0.25">
      <c r="A225" s="44" t="s">
        <v>1989</v>
      </c>
      <c r="B225" s="35" t="s">
        <v>2239</v>
      </c>
    </row>
    <row r="226" spans="1:2" x14ac:dyDescent="0.25">
      <c r="A226" s="44" t="s">
        <v>989</v>
      </c>
      <c r="B226" s="35" t="s">
        <v>2240</v>
      </c>
    </row>
    <row r="227" spans="1:2" ht="30" x14ac:dyDescent="0.25">
      <c r="A227" s="44" t="s">
        <v>973</v>
      </c>
      <c r="B227" s="35" t="s">
        <v>2241</v>
      </c>
    </row>
    <row r="228" spans="1:2" x14ac:dyDescent="0.25">
      <c r="A228" s="44" t="s">
        <v>501</v>
      </c>
      <c r="B228" s="35" t="s">
        <v>2242</v>
      </c>
    </row>
    <row r="229" spans="1:2" x14ac:dyDescent="0.25">
      <c r="A229" s="44" t="s">
        <v>2243</v>
      </c>
      <c r="B229" s="35" t="s">
        <v>2244</v>
      </c>
    </row>
    <row r="230" spans="1:2" ht="30" x14ac:dyDescent="0.25">
      <c r="A230" s="44" t="s">
        <v>502</v>
      </c>
      <c r="B230" s="35" t="s">
        <v>2245</v>
      </c>
    </row>
    <row r="231" spans="1:2" x14ac:dyDescent="0.25">
      <c r="A231" s="44" t="s">
        <v>503</v>
      </c>
      <c r="B231" s="35" t="s">
        <v>2246</v>
      </c>
    </row>
    <row r="232" spans="1:2" ht="30" x14ac:dyDescent="0.25">
      <c r="A232" s="44" t="s">
        <v>504</v>
      </c>
      <c r="B232" s="35" t="s">
        <v>2247</v>
      </c>
    </row>
    <row r="233" spans="1:2" x14ac:dyDescent="0.25">
      <c r="A233" s="44" t="s">
        <v>505</v>
      </c>
      <c r="B233" s="35" t="s">
        <v>2248</v>
      </c>
    </row>
    <row r="234" spans="1:2" ht="30" x14ac:dyDescent="0.25">
      <c r="A234" s="44" t="s">
        <v>506</v>
      </c>
      <c r="B234" s="35" t="s">
        <v>2249</v>
      </c>
    </row>
    <row r="235" spans="1:2" x14ac:dyDescent="0.25">
      <c r="A235" s="44" t="s">
        <v>507</v>
      </c>
      <c r="B235" s="35" t="s">
        <v>2250</v>
      </c>
    </row>
    <row r="236" spans="1:2" ht="30" x14ac:dyDescent="0.25">
      <c r="A236" s="44" t="s">
        <v>508</v>
      </c>
      <c r="B236" s="35" t="s">
        <v>2251</v>
      </c>
    </row>
    <row r="237" spans="1:2" x14ac:dyDescent="0.25">
      <c r="A237" s="44" t="s">
        <v>509</v>
      </c>
      <c r="B237" s="35" t="s">
        <v>2252</v>
      </c>
    </row>
    <row r="238" spans="1:2" ht="30" x14ac:dyDescent="0.25">
      <c r="A238" s="44" t="s">
        <v>1016</v>
      </c>
      <c r="B238" s="35" t="s">
        <v>2253</v>
      </c>
    </row>
    <row r="239" spans="1:2" ht="30" x14ac:dyDescent="0.25">
      <c r="A239" s="44" t="s">
        <v>510</v>
      </c>
      <c r="B239" s="35" t="s">
        <v>2254</v>
      </c>
    </row>
    <row r="240" spans="1:2" x14ac:dyDescent="0.25">
      <c r="A240" s="44" t="s">
        <v>511</v>
      </c>
      <c r="B240" s="35" t="s">
        <v>2255</v>
      </c>
    </row>
    <row r="241" spans="1:2" ht="30" x14ac:dyDescent="0.25">
      <c r="A241" s="44" t="s">
        <v>512</v>
      </c>
      <c r="B241" s="35" t="s">
        <v>2256</v>
      </c>
    </row>
    <row r="242" spans="1:2" ht="45" x14ac:dyDescent="0.25">
      <c r="A242" s="44" t="s">
        <v>513</v>
      </c>
      <c r="B242" s="35" t="s">
        <v>2257</v>
      </c>
    </row>
    <row r="243" spans="1:2" ht="45" x14ac:dyDescent="0.25">
      <c r="A243" s="44" t="s">
        <v>514</v>
      </c>
      <c r="B243" s="35" t="s">
        <v>2258</v>
      </c>
    </row>
    <row r="244" spans="1:2" x14ac:dyDescent="0.25">
      <c r="A244" s="44" t="s">
        <v>2259</v>
      </c>
      <c r="B244" s="35" t="s">
        <v>2260</v>
      </c>
    </row>
    <row r="245" spans="1:2" x14ac:dyDescent="0.25">
      <c r="A245" s="44" t="s">
        <v>2261</v>
      </c>
      <c r="B245" s="35" t="s">
        <v>2262</v>
      </c>
    </row>
    <row r="246" spans="1:2" ht="30" x14ac:dyDescent="0.25">
      <c r="A246" s="44" t="s">
        <v>2263</v>
      </c>
      <c r="B246" s="35" t="s">
        <v>2264</v>
      </c>
    </row>
    <row r="247" spans="1:2" x14ac:dyDescent="0.25">
      <c r="A247" s="44" t="s">
        <v>515</v>
      </c>
      <c r="B247" s="35" t="s">
        <v>2265</v>
      </c>
    </row>
    <row r="248" spans="1:2" ht="30" x14ac:dyDescent="0.25">
      <c r="A248" s="44" t="s">
        <v>516</v>
      </c>
      <c r="B248" s="35" t="s">
        <v>2266</v>
      </c>
    </row>
    <row r="249" spans="1:2" x14ac:dyDescent="0.25">
      <c r="A249" s="44" t="s">
        <v>517</v>
      </c>
      <c r="B249" s="35" t="s">
        <v>2267</v>
      </c>
    </row>
    <row r="250" spans="1:2" x14ac:dyDescent="0.25">
      <c r="A250" s="44" t="s">
        <v>518</v>
      </c>
      <c r="B250" s="35" t="s">
        <v>2268</v>
      </c>
    </row>
    <row r="251" spans="1:2" x14ac:dyDescent="0.25">
      <c r="A251" s="44" t="s">
        <v>519</v>
      </c>
      <c r="B251" s="35" t="s">
        <v>2269</v>
      </c>
    </row>
    <row r="252" spans="1:2" x14ac:dyDescent="0.25">
      <c r="A252" s="44" t="s">
        <v>520</v>
      </c>
      <c r="B252" s="35" t="s">
        <v>2270</v>
      </c>
    </row>
    <row r="253" spans="1:2" x14ac:dyDescent="0.25">
      <c r="A253" s="44" t="s">
        <v>521</v>
      </c>
      <c r="B253" s="35" t="s">
        <v>2271</v>
      </c>
    </row>
    <row r="254" spans="1:2" x14ac:dyDescent="0.25">
      <c r="A254" s="44" t="s">
        <v>778</v>
      </c>
      <c r="B254" s="35" t="s">
        <v>2272</v>
      </c>
    </row>
    <row r="255" spans="1:2" x14ac:dyDescent="0.25">
      <c r="A255" s="44" t="s">
        <v>522</v>
      </c>
      <c r="B255" s="35" t="s">
        <v>2273</v>
      </c>
    </row>
    <row r="256" spans="1:2" x14ac:dyDescent="0.25">
      <c r="A256" s="44" t="s">
        <v>523</v>
      </c>
      <c r="B256" s="35" t="s">
        <v>2274</v>
      </c>
    </row>
    <row r="257" spans="1:2" ht="30" x14ac:dyDescent="0.25">
      <c r="A257" s="44" t="s">
        <v>1017</v>
      </c>
      <c r="B257" s="35" t="s">
        <v>2275</v>
      </c>
    </row>
    <row r="258" spans="1:2" ht="30" x14ac:dyDescent="0.25">
      <c r="A258" s="44" t="s">
        <v>524</v>
      </c>
      <c r="B258" s="35" t="s">
        <v>2276</v>
      </c>
    </row>
    <row r="259" spans="1:2" ht="30" x14ac:dyDescent="0.25">
      <c r="A259" s="44" t="s">
        <v>525</v>
      </c>
      <c r="B259" s="35" t="s">
        <v>2277</v>
      </c>
    </row>
    <row r="260" spans="1:2" ht="30" x14ac:dyDescent="0.25">
      <c r="A260" s="44" t="s">
        <v>1018</v>
      </c>
      <c r="B260" s="35" t="s">
        <v>2278</v>
      </c>
    </row>
    <row r="261" spans="1:2" ht="30" x14ac:dyDescent="0.25">
      <c r="A261" s="44" t="s">
        <v>526</v>
      </c>
      <c r="B261" s="35" t="s">
        <v>2279</v>
      </c>
    </row>
    <row r="262" spans="1:2" ht="30" x14ac:dyDescent="0.25">
      <c r="A262" s="44" t="s">
        <v>527</v>
      </c>
      <c r="B262" s="35" t="s">
        <v>2280</v>
      </c>
    </row>
    <row r="263" spans="1:2" ht="30" x14ac:dyDescent="0.25">
      <c r="A263" s="44" t="s">
        <v>1019</v>
      </c>
      <c r="B263" s="35" t="s">
        <v>2281</v>
      </c>
    </row>
    <row r="264" spans="1:2" x14ac:dyDescent="0.25">
      <c r="A264" s="44" t="s">
        <v>528</v>
      </c>
      <c r="B264" s="35" t="s">
        <v>2282</v>
      </c>
    </row>
    <row r="265" spans="1:2" x14ac:dyDescent="0.25">
      <c r="A265" s="44" t="s">
        <v>1012</v>
      </c>
      <c r="B265" s="35" t="s">
        <v>2283</v>
      </c>
    </row>
    <row r="266" spans="1:2" ht="30" x14ac:dyDescent="0.25">
      <c r="A266" s="44" t="s">
        <v>1020</v>
      </c>
      <c r="B266" s="35" t="s">
        <v>2284</v>
      </c>
    </row>
    <row r="267" spans="1:2" x14ac:dyDescent="0.25">
      <c r="A267" s="44" t="s">
        <v>529</v>
      </c>
      <c r="B267" s="35" t="s">
        <v>2285</v>
      </c>
    </row>
    <row r="268" spans="1:2" x14ac:dyDescent="0.25">
      <c r="A268" s="44" t="s">
        <v>530</v>
      </c>
      <c r="B268" s="35" t="s">
        <v>2286</v>
      </c>
    </row>
    <row r="269" spans="1:2" x14ac:dyDescent="0.25">
      <c r="A269" s="44" t="s">
        <v>1034</v>
      </c>
      <c r="B269" s="35" t="s">
        <v>2287</v>
      </c>
    </row>
    <row r="270" spans="1:2" x14ac:dyDescent="0.25">
      <c r="A270" s="44" t="s">
        <v>1035</v>
      </c>
      <c r="B270" s="35" t="s">
        <v>2288</v>
      </c>
    </row>
    <row r="271" spans="1:2" x14ac:dyDescent="0.25">
      <c r="A271" s="44" t="s">
        <v>1057</v>
      </c>
      <c r="B271" s="35" t="s">
        <v>2289</v>
      </c>
    </row>
    <row r="272" spans="1:2" x14ac:dyDescent="0.25">
      <c r="A272" s="44" t="s">
        <v>318</v>
      </c>
      <c r="B272" s="35" t="s">
        <v>2290</v>
      </c>
    </row>
    <row r="273" spans="1:2" ht="30" x14ac:dyDescent="0.25">
      <c r="A273" s="44" t="s">
        <v>319</v>
      </c>
      <c r="B273" s="35" t="s">
        <v>2291</v>
      </c>
    </row>
    <row r="274" spans="1:2" x14ac:dyDescent="0.25">
      <c r="A274" s="44" t="s">
        <v>2292</v>
      </c>
      <c r="B274" s="35" t="s">
        <v>2293</v>
      </c>
    </row>
    <row r="275" spans="1:2" ht="30" x14ac:dyDescent="0.25">
      <c r="A275" s="44" t="s">
        <v>531</v>
      </c>
      <c r="B275" s="35" t="s">
        <v>2294</v>
      </c>
    </row>
    <row r="276" spans="1:2" x14ac:dyDescent="0.25">
      <c r="A276" s="44" t="s">
        <v>532</v>
      </c>
      <c r="B276" s="35" t="s">
        <v>2295</v>
      </c>
    </row>
    <row r="277" spans="1:2" ht="30" x14ac:dyDescent="0.25">
      <c r="A277" s="44" t="s">
        <v>533</v>
      </c>
      <c r="B277" s="35" t="s">
        <v>2296</v>
      </c>
    </row>
    <row r="278" spans="1:2" ht="30" x14ac:dyDescent="0.25">
      <c r="A278" s="44" t="s">
        <v>534</v>
      </c>
      <c r="B278" s="35" t="s">
        <v>2297</v>
      </c>
    </row>
    <row r="279" spans="1:2" ht="30" x14ac:dyDescent="0.25">
      <c r="A279" s="44" t="s">
        <v>535</v>
      </c>
      <c r="B279" s="35" t="s">
        <v>2298</v>
      </c>
    </row>
    <row r="280" spans="1:2" x14ac:dyDescent="0.25">
      <c r="A280" s="44" t="s">
        <v>536</v>
      </c>
      <c r="B280" s="35" t="s">
        <v>2299</v>
      </c>
    </row>
    <row r="281" spans="1:2" ht="30" x14ac:dyDescent="0.25">
      <c r="A281" s="44" t="s">
        <v>537</v>
      </c>
      <c r="B281" s="35" t="s">
        <v>2300</v>
      </c>
    </row>
    <row r="282" spans="1:2" x14ac:dyDescent="0.25">
      <c r="A282" s="44" t="s">
        <v>2301</v>
      </c>
      <c r="B282" s="35" t="s">
        <v>2302</v>
      </c>
    </row>
    <row r="283" spans="1:2" ht="30" x14ac:dyDescent="0.25">
      <c r="A283" s="44" t="s">
        <v>1021</v>
      </c>
      <c r="B283" s="35" t="s">
        <v>2303</v>
      </c>
    </row>
    <row r="284" spans="1:2" ht="30" x14ac:dyDescent="0.25">
      <c r="A284" s="44" t="s">
        <v>849</v>
      </c>
      <c r="B284" s="35" t="s">
        <v>2304</v>
      </c>
    </row>
    <row r="285" spans="1:2" ht="30" x14ac:dyDescent="0.25">
      <c r="A285" s="44" t="s">
        <v>538</v>
      </c>
      <c r="B285" s="35" t="s">
        <v>2305</v>
      </c>
    </row>
    <row r="286" spans="1:2" ht="30" x14ac:dyDescent="0.25">
      <c r="A286" s="44" t="s">
        <v>2306</v>
      </c>
      <c r="B286" s="35" t="s">
        <v>2307</v>
      </c>
    </row>
    <row r="287" spans="1:2" x14ac:dyDescent="0.25">
      <c r="A287" s="44" t="s">
        <v>539</v>
      </c>
      <c r="B287" s="35" t="s">
        <v>2308</v>
      </c>
    </row>
    <row r="288" spans="1:2" ht="30" x14ac:dyDescent="0.25">
      <c r="A288" s="44" t="s">
        <v>2309</v>
      </c>
      <c r="B288" s="35" t="s">
        <v>2310</v>
      </c>
    </row>
    <row r="289" spans="1:2" x14ac:dyDescent="0.25">
      <c r="A289" s="44" t="s">
        <v>540</v>
      </c>
      <c r="B289" s="35" t="s">
        <v>2311</v>
      </c>
    </row>
    <row r="290" spans="1:2" x14ac:dyDescent="0.25">
      <c r="A290" s="44" t="s">
        <v>541</v>
      </c>
      <c r="B290" s="35" t="s">
        <v>2312</v>
      </c>
    </row>
    <row r="291" spans="1:2" x14ac:dyDescent="0.25">
      <c r="A291" s="44" t="s">
        <v>974</v>
      </c>
      <c r="B291" s="35" t="s">
        <v>2313</v>
      </c>
    </row>
    <row r="292" spans="1:2" x14ac:dyDescent="0.25">
      <c r="A292" s="44" t="s">
        <v>542</v>
      </c>
      <c r="B292" s="35" t="s">
        <v>2314</v>
      </c>
    </row>
    <row r="293" spans="1:2" x14ac:dyDescent="0.25">
      <c r="A293" s="44" t="s">
        <v>543</v>
      </c>
      <c r="B293" s="35" t="s">
        <v>2315</v>
      </c>
    </row>
    <row r="294" spans="1:2" x14ac:dyDescent="0.25">
      <c r="A294" s="44" t="s">
        <v>544</v>
      </c>
      <c r="B294" s="35" t="s">
        <v>2316</v>
      </c>
    </row>
    <row r="295" spans="1:2" ht="45" x14ac:dyDescent="0.25">
      <c r="A295" s="44" t="s">
        <v>545</v>
      </c>
      <c r="B295" s="35" t="s">
        <v>2317</v>
      </c>
    </row>
    <row r="296" spans="1:2" x14ac:dyDescent="0.25">
      <c r="A296" s="44" t="s">
        <v>546</v>
      </c>
      <c r="B296" s="35" t="s">
        <v>2318</v>
      </c>
    </row>
    <row r="297" spans="1:2" ht="30" x14ac:dyDescent="0.25">
      <c r="A297" s="44" t="s">
        <v>547</v>
      </c>
      <c r="B297" s="35" t="s">
        <v>2319</v>
      </c>
    </row>
    <row r="298" spans="1:2" x14ac:dyDescent="0.25">
      <c r="A298" s="44" t="s">
        <v>548</v>
      </c>
      <c r="B298" s="35" t="s">
        <v>2320</v>
      </c>
    </row>
    <row r="299" spans="1:2" x14ac:dyDescent="0.25">
      <c r="A299" s="44" t="s">
        <v>549</v>
      </c>
      <c r="B299" s="35" t="s">
        <v>2321</v>
      </c>
    </row>
    <row r="300" spans="1:2" x14ac:dyDescent="0.25">
      <c r="A300" s="44" t="s">
        <v>550</v>
      </c>
      <c r="B300" s="35" t="s">
        <v>2322</v>
      </c>
    </row>
    <row r="301" spans="1:2" x14ac:dyDescent="0.25">
      <c r="A301" s="44" t="s">
        <v>551</v>
      </c>
      <c r="B301" s="35" t="s">
        <v>2323</v>
      </c>
    </row>
    <row r="302" spans="1:2" ht="30" x14ac:dyDescent="0.25">
      <c r="A302" s="44" t="s">
        <v>552</v>
      </c>
      <c r="B302" s="35" t="s">
        <v>2324</v>
      </c>
    </row>
    <row r="303" spans="1:2" x14ac:dyDescent="0.25">
      <c r="A303" s="44" t="s">
        <v>2325</v>
      </c>
      <c r="B303" s="35" t="s">
        <v>2326</v>
      </c>
    </row>
    <row r="304" spans="1:2" ht="45" x14ac:dyDescent="0.25">
      <c r="A304" s="44" t="s">
        <v>316</v>
      </c>
      <c r="B304" s="35" t="s">
        <v>2327</v>
      </c>
    </row>
    <row r="305" spans="1:2" ht="45" x14ac:dyDescent="0.25">
      <c r="A305" s="44" t="s">
        <v>553</v>
      </c>
      <c r="B305" s="35" t="s">
        <v>2328</v>
      </c>
    </row>
    <row r="306" spans="1:2" x14ac:dyDescent="0.25">
      <c r="A306" s="44" t="s">
        <v>554</v>
      </c>
      <c r="B306" s="35" t="s">
        <v>2329</v>
      </c>
    </row>
    <row r="307" spans="1:2" ht="45" x14ac:dyDescent="0.25">
      <c r="A307" s="44" t="s">
        <v>555</v>
      </c>
      <c r="B307" s="35" t="s">
        <v>2330</v>
      </c>
    </row>
    <row r="308" spans="1:2" ht="30" x14ac:dyDescent="0.25">
      <c r="A308" s="44" t="s">
        <v>2331</v>
      </c>
      <c r="B308" s="35" t="s">
        <v>2332</v>
      </c>
    </row>
    <row r="309" spans="1:2" x14ac:dyDescent="0.25">
      <c r="A309" s="44" t="s">
        <v>556</v>
      </c>
      <c r="B309" s="35" t="s">
        <v>2333</v>
      </c>
    </row>
    <row r="310" spans="1:2" x14ac:dyDescent="0.25">
      <c r="A310" s="44" t="s">
        <v>557</v>
      </c>
      <c r="B310" s="35" t="s">
        <v>2334</v>
      </c>
    </row>
    <row r="311" spans="1:2" x14ac:dyDescent="0.25">
      <c r="A311" s="44" t="s">
        <v>2335</v>
      </c>
      <c r="B311" s="35" t="s">
        <v>2336</v>
      </c>
    </row>
    <row r="312" spans="1:2" x14ac:dyDescent="0.25">
      <c r="A312" s="44" t="s">
        <v>2337</v>
      </c>
      <c r="B312" s="35" t="s">
        <v>2338</v>
      </c>
    </row>
    <row r="313" spans="1:2" x14ac:dyDescent="0.25">
      <c r="A313" s="44" t="s">
        <v>558</v>
      </c>
      <c r="B313" s="35" t="s">
        <v>2339</v>
      </c>
    </row>
    <row r="314" spans="1:2" x14ac:dyDescent="0.25">
      <c r="A314" s="44" t="s">
        <v>559</v>
      </c>
      <c r="B314" s="35" t="s">
        <v>2340</v>
      </c>
    </row>
    <row r="315" spans="1:2" x14ac:dyDescent="0.25">
      <c r="A315" s="44" t="s">
        <v>2341</v>
      </c>
      <c r="B315" s="35" t="s">
        <v>2342</v>
      </c>
    </row>
    <row r="316" spans="1:2" ht="30" x14ac:dyDescent="0.25">
      <c r="A316" s="44" t="s">
        <v>560</v>
      </c>
      <c r="B316" s="35" t="s">
        <v>2343</v>
      </c>
    </row>
    <row r="317" spans="1:2" x14ac:dyDescent="0.25">
      <c r="A317" s="44" t="s">
        <v>561</v>
      </c>
      <c r="B317" s="35" t="s">
        <v>2344</v>
      </c>
    </row>
    <row r="318" spans="1:2" x14ac:dyDescent="0.25">
      <c r="A318" s="44" t="s">
        <v>2345</v>
      </c>
      <c r="B318" s="35" t="s">
        <v>2346</v>
      </c>
    </row>
    <row r="319" spans="1:2" x14ac:dyDescent="0.25">
      <c r="A319" s="44" t="s">
        <v>562</v>
      </c>
      <c r="B319" s="35" t="s">
        <v>2347</v>
      </c>
    </row>
    <row r="320" spans="1:2" x14ac:dyDescent="0.25">
      <c r="A320" s="44" t="s">
        <v>563</v>
      </c>
      <c r="B320" s="35" t="s">
        <v>2348</v>
      </c>
    </row>
    <row r="321" spans="1:2" x14ac:dyDescent="0.25">
      <c r="A321" s="44" t="s">
        <v>564</v>
      </c>
      <c r="B321" s="35" t="s">
        <v>2349</v>
      </c>
    </row>
    <row r="322" spans="1:2" x14ac:dyDescent="0.25">
      <c r="A322" s="44" t="s">
        <v>1132</v>
      </c>
      <c r="B322" s="35" t="s">
        <v>2350</v>
      </c>
    </row>
    <row r="323" spans="1:2" ht="30" x14ac:dyDescent="0.25">
      <c r="A323" s="44" t="s">
        <v>565</v>
      </c>
      <c r="B323" s="35" t="s">
        <v>2351</v>
      </c>
    </row>
    <row r="324" spans="1:2" x14ac:dyDescent="0.25">
      <c r="A324" s="44" t="s">
        <v>566</v>
      </c>
      <c r="B324" s="35" t="s">
        <v>2352</v>
      </c>
    </row>
    <row r="325" spans="1:2" x14ac:dyDescent="0.25">
      <c r="A325" s="44" t="s">
        <v>567</v>
      </c>
      <c r="B325" s="35" t="s">
        <v>2353</v>
      </c>
    </row>
    <row r="326" spans="1:2" x14ac:dyDescent="0.25">
      <c r="A326" s="44" t="s">
        <v>568</v>
      </c>
      <c r="B326" s="35" t="s">
        <v>2354</v>
      </c>
    </row>
    <row r="327" spans="1:2" x14ac:dyDescent="0.25">
      <c r="A327" s="44" t="s">
        <v>1062</v>
      </c>
      <c r="B327" s="35" t="s">
        <v>2355</v>
      </c>
    </row>
    <row r="328" spans="1:2" x14ac:dyDescent="0.25">
      <c r="A328" s="44" t="s">
        <v>569</v>
      </c>
      <c r="B328" s="35" t="s">
        <v>2356</v>
      </c>
    </row>
    <row r="329" spans="1:2" x14ac:dyDescent="0.25">
      <c r="A329" s="44" t="s">
        <v>570</v>
      </c>
      <c r="B329" s="35" t="s">
        <v>2357</v>
      </c>
    </row>
    <row r="330" spans="1:2" x14ac:dyDescent="0.25">
      <c r="A330" s="44" t="s">
        <v>571</v>
      </c>
      <c r="B330" s="35" t="s">
        <v>2358</v>
      </c>
    </row>
    <row r="331" spans="1:2" x14ac:dyDescent="0.25">
      <c r="A331" s="44" t="s">
        <v>572</v>
      </c>
      <c r="B331" s="35" t="s">
        <v>2359</v>
      </c>
    </row>
    <row r="332" spans="1:2" x14ac:dyDescent="0.25">
      <c r="A332" s="44" t="s">
        <v>573</v>
      </c>
      <c r="B332" s="35" t="s">
        <v>2360</v>
      </c>
    </row>
    <row r="333" spans="1:2" x14ac:dyDescent="0.25">
      <c r="A333" s="44" t="s">
        <v>574</v>
      </c>
      <c r="B333" s="35" t="s">
        <v>2361</v>
      </c>
    </row>
    <row r="334" spans="1:2" x14ac:dyDescent="0.25">
      <c r="A334" s="44" t="s">
        <v>575</v>
      </c>
      <c r="B334" s="35" t="s">
        <v>2362</v>
      </c>
    </row>
    <row r="335" spans="1:2" x14ac:dyDescent="0.25">
      <c r="A335" s="44" t="s">
        <v>2363</v>
      </c>
      <c r="B335" s="35" t="s">
        <v>2364</v>
      </c>
    </row>
    <row r="336" spans="1:2" ht="30" x14ac:dyDescent="0.25">
      <c r="A336" s="44" t="s">
        <v>576</v>
      </c>
      <c r="B336" s="35" t="s">
        <v>2365</v>
      </c>
    </row>
    <row r="337" spans="1:2" ht="45" x14ac:dyDescent="0.25">
      <c r="A337" s="44" t="s">
        <v>577</v>
      </c>
      <c r="B337" s="35" t="s">
        <v>2366</v>
      </c>
    </row>
    <row r="338" spans="1:2" ht="45" x14ac:dyDescent="0.25">
      <c r="A338" s="44" t="s">
        <v>578</v>
      </c>
      <c r="B338" s="35" t="s">
        <v>2367</v>
      </c>
    </row>
    <row r="339" spans="1:2" x14ac:dyDescent="0.25">
      <c r="A339" s="44" t="s">
        <v>2368</v>
      </c>
      <c r="B339" s="35" t="s">
        <v>2369</v>
      </c>
    </row>
    <row r="340" spans="1:2" x14ac:dyDescent="0.25">
      <c r="A340" s="44" t="s">
        <v>2370</v>
      </c>
      <c r="B340" s="35" t="s">
        <v>2371</v>
      </c>
    </row>
    <row r="341" spans="1:2" x14ac:dyDescent="0.25">
      <c r="A341" s="44" t="s">
        <v>2372</v>
      </c>
      <c r="B341" s="35" t="s">
        <v>2373</v>
      </c>
    </row>
    <row r="342" spans="1:2" x14ac:dyDescent="0.25">
      <c r="A342" s="44" t="s">
        <v>2374</v>
      </c>
      <c r="B342" s="35" t="s">
        <v>2375</v>
      </c>
    </row>
    <row r="343" spans="1:2" x14ac:dyDescent="0.25">
      <c r="A343" s="44" t="s">
        <v>579</v>
      </c>
      <c r="B343" s="35" t="s">
        <v>2376</v>
      </c>
    </row>
    <row r="344" spans="1:2" x14ac:dyDescent="0.25">
      <c r="A344" s="44" t="s">
        <v>1985</v>
      </c>
      <c r="B344" s="35" t="s">
        <v>2377</v>
      </c>
    </row>
    <row r="345" spans="1:2" x14ac:dyDescent="0.25">
      <c r="A345" s="44" t="s">
        <v>580</v>
      </c>
      <c r="B345" s="35" t="s">
        <v>2378</v>
      </c>
    </row>
    <row r="346" spans="1:2" ht="30" x14ac:dyDescent="0.25">
      <c r="A346" s="44" t="s">
        <v>581</v>
      </c>
      <c r="B346" s="35" t="s">
        <v>2379</v>
      </c>
    </row>
    <row r="347" spans="1:2" x14ac:dyDescent="0.25">
      <c r="A347" s="44" t="s">
        <v>2380</v>
      </c>
      <c r="B347" s="35" t="s">
        <v>2381</v>
      </c>
    </row>
    <row r="348" spans="1:2" ht="45" x14ac:dyDescent="0.25">
      <c r="A348" s="44" t="s">
        <v>582</v>
      </c>
      <c r="B348" s="35" t="s">
        <v>2382</v>
      </c>
    </row>
    <row r="349" spans="1:2" x14ac:dyDescent="0.25">
      <c r="A349" s="44" t="s">
        <v>583</v>
      </c>
      <c r="B349" s="35" t="s">
        <v>2383</v>
      </c>
    </row>
    <row r="350" spans="1:2" x14ac:dyDescent="0.25">
      <c r="A350" s="44" t="s">
        <v>584</v>
      </c>
      <c r="B350" s="35" t="s">
        <v>2384</v>
      </c>
    </row>
    <row r="351" spans="1:2" ht="30" x14ac:dyDescent="0.25">
      <c r="A351" s="44" t="s">
        <v>2385</v>
      </c>
      <c r="B351" s="35" t="s">
        <v>2386</v>
      </c>
    </row>
    <row r="352" spans="1:2" x14ac:dyDescent="0.25">
      <c r="A352" s="44" t="s">
        <v>585</v>
      </c>
      <c r="B352" s="35" t="s">
        <v>2387</v>
      </c>
    </row>
    <row r="353" spans="1:2" ht="45" x14ac:dyDescent="0.25">
      <c r="A353" s="44" t="s">
        <v>586</v>
      </c>
      <c r="B353" s="35" t="s">
        <v>2388</v>
      </c>
    </row>
    <row r="354" spans="1:2" ht="30" x14ac:dyDescent="0.25">
      <c r="A354" s="44" t="s">
        <v>2389</v>
      </c>
      <c r="B354" s="35" t="s">
        <v>2390</v>
      </c>
    </row>
    <row r="355" spans="1:2" ht="45" x14ac:dyDescent="0.25">
      <c r="A355" s="44" t="s">
        <v>821</v>
      </c>
      <c r="B355" s="35" t="s">
        <v>2391</v>
      </c>
    </row>
    <row r="356" spans="1:2" ht="45" x14ac:dyDescent="0.25">
      <c r="A356" s="44" t="s">
        <v>587</v>
      </c>
      <c r="B356" s="35" t="s">
        <v>2392</v>
      </c>
    </row>
    <row r="357" spans="1:2" ht="45" x14ac:dyDescent="0.25">
      <c r="A357" s="44" t="s">
        <v>588</v>
      </c>
      <c r="B357" s="35" t="s">
        <v>2393</v>
      </c>
    </row>
    <row r="358" spans="1:2" ht="45" x14ac:dyDescent="0.25">
      <c r="A358" s="44" t="s">
        <v>589</v>
      </c>
      <c r="B358" s="35" t="s">
        <v>2394</v>
      </c>
    </row>
    <row r="359" spans="1:2" ht="30" x14ac:dyDescent="0.25">
      <c r="A359" s="44" t="s">
        <v>590</v>
      </c>
      <c r="B359" s="35" t="s">
        <v>2395</v>
      </c>
    </row>
    <row r="360" spans="1:2" ht="30" x14ac:dyDescent="0.25">
      <c r="A360" s="44" t="s">
        <v>591</v>
      </c>
      <c r="B360" s="35" t="s">
        <v>2396</v>
      </c>
    </row>
    <row r="361" spans="1:2" x14ac:dyDescent="0.25">
      <c r="A361" s="44" t="s">
        <v>592</v>
      </c>
      <c r="B361" s="35" t="s">
        <v>2397</v>
      </c>
    </row>
    <row r="362" spans="1:2" x14ac:dyDescent="0.25">
      <c r="A362" s="44" t="s">
        <v>593</v>
      </c>
      <c r="B362" s="35" t="s">
        <v>2398</v>
      </c>
    </row>
    <row r="363" spans="1:2" x14ac:dyDescent="0.25">
      <c r="A363" s="44" t="s">
        <v>594</v>
      </c>
      <c r="B363" s="35" t="s">
        <v>2399</v>
      </c>
    </row>
    <row r="364" spans="1:2" x14ac:dyDescent="0.25">
      <c r="A364" s="44" t="s">
        <v>595</v>
      </c>
      <c r="B364" s="35" t="s">
        <v>2400</v>
      </c>
    </row>
    <row r="365" spans="1:2" x14ac:dyDescent="0.25">
      <c r="A365" s="44" t="s">
        <v>596</v>
      </c>
      <c r="B365" s="35" t="s">
        <v>2401</v>
      </c>
    </row>
    <row r="366" spans="1:2" x14ac:dyDescent="0.25">
      <c r="A366" s="44" t="s">
        <v>2402</v>
      </c>
      <c r="B366" s="35" t="s">
        <v>2403</v>
      </c>
    </row>
    <row r="367" spans="1:2" ht="45" x14ac:dyDescent="0.25">
      <c r="A367" s="44" t="s">
        <v>597</v>
      </c>
      <c r="B367" s="35" t="s">
        <v>2404</v>
      </c>
    </row>
    <row r="368" spans="1:2" ht="30" x14ac:dyDescent="0.25">
      <c r="A368" s="44" t="s">
        <v>598</v>
      </c>
      <c r="B368" s="35" t="s">
        <v>2405</v>
      </c>
    </row>
    <row r="369" spans="1:2" ht="30" x14ac:dyDescent="0.25">
      <c r="A369" s="44" t="s">
        <v>2406</v>
      </c>
      <c r="B369" s="35" t="s">
        <v>2407</v>
      </c>
    </row>
    <row r="370" spans="1:2" ht="30" x14ac:dyDescent="0.25">
      <c r="A370" s="44" t="s">
        <v>599</v>
      </c>
      <c r="B370" s="35" t="s">
        <v>2408</v>
      </c>
    </row>
    <row r="371" spans="1:2" x14ac:dyDescent="0.25">
      <c r="A371" s="44" t="s">
        <v>832</v>
      </c>
      <c r="B371" s="35" t="s">
        <v>2409</v>
      </c>
    </row>
    <row r="372" spans="1:2" ht="30" x14ac:dyDescent="0.25">
      <c r="A372" s="44" t="s">
        <v>600</v>
      </c>
      <c r="B372" s="35" t="s">
        <v>2410</v>
      </c>
    </row>
    <row r="373" spans="1:2" ht="30" x14ac:dyDescent="0.25">
      <c r="A373" s="44" t="s">
        <v>601</v>
      </c>
      <c r="B373" s="35" t="s">
        <v>2411</v>
      </c>
    </row>
    <row r="374" spans="1:2" x14ac:dyDescent="0.25">
      <c r="A374" s="44" t="s">
        <v>791</v>
      </c>
      <c r="B374" s="35" t="s">
        <v>2412</v>
      </c>
    </row>
    <row r="375" spans="1:2" x14ac:dyDescent="0.25">
      <c r="A375" s="44" t="s">
        <v>792</v>
      </c>
      <c r="B375" s="35" t="s">
        <v>2413</v>
      </c>
    </row>
    <row r="376" spans="1:2" x14ac:dyDescent="0.25">
      <c r="A376" s="44" t="s">
        <v>602</v>
      </c>
      <c r="B376" s="35" t="s">
        <v>2414</v>
      </c>
    </row>
    <row r="377" spans="1:2" x14ac:dyDescent="0.25">
      <c r="A377" s="44" t="s">
        <v>603</v>
      </c>
      <c r="B377" s="35" t="s">
        <v>2415</v>
      </c>
    </row>
    <row r="378" spans="1:2" ht="30" x14ac:dyDescent="0.25">
      <c r="A378" s="44" t="s">
        <v>604</v>
      </c>
      <c r="B378" s="35" t="s">
        <v>2416</v>
      </c>
    </row>
    <row r="379" spans="1:2" x14ac:dyDescent="0.25">
      <c r="A379" s="44" t="s">
        <v>1113</v>
      </c>
      <c r="B379" s="35" t="s">
        <v>2417</v>
      </c>
    </row>
    <row r="380" spans="1:2" x14ac:dyDescent="0.25">
      <c r="A380" s="44" t="s">
        <v>605</v>
      </c>
      <c r="B380" s="35" t="s">
        <v>2418</v>
      </c>
    </row>
    <row r="381" spans="1:2" x14ac:dyDescent="0.25">
      <c r="A381" s="44" t="s">
        <v>606</v>
      </c>
      <c r="B381" s="35" t="s">
        <v>2419</v>
      </c>
    </row>
    <row r="382" spans="1:2" x14ac:dyDescent="0.25">
      <c r="A382" s="44" t="s">
        <v>607</v>
      </c>
      <c r="B382" s="35" t="s">
        <v>2420</v>
      </c>
    </row>
    <row r="383" spans="1:2" x14ac:dyDescent="0.25">
      <c r="A383" s="44" t="s">
        <v>608</v>
      </c>
      <c r="B383" s="35" t="s">
        <v>2421</v>
      </c>
    </row>
    <row r="384" spans="1:2" x14ac:dyDescent="0.25">
      <c r="A384" s="44" t="s">
        <v>609</v>
      </c>
      <c r="B384" s="35" t="s">
        <v>2422</v>
      </c>
    </row>
    <row r="385" spans="1:2" x14ac:dyDescent="0.25">
      <c r="A385" s="44" t="s">
        <v>610</v>
      </c>
      <c r="B385" s="35" t="s">
        <v>2423</v>
      </c>
    </row>
    <row r="386" spans="1:2" x14ac:dyDescent="0.25">
      <c r="A386" s="44" t="s">
        <v>611</v>
      </c>
      <c r="B386" s="35" t="s">
        <v>2424</v>
      </c>
    </row>
    <row r="387" spans="1:2" x14ac:dyDescent="0.25">
      <c r="A387" s="44" t="s">
        <v>612</v>
      </c>
      <c r="B387" s="35" t="s">
        <v>2425</v>
      </c>
    </row>
    <row r="388" spans="1:2" ht="30" x14ac:dyDescent="0.25">
      <c r="A388" s="44" t="s">
        <v>2426</v>
      </c>
      <c r="B388" s="35" t="s">
        <v>2427</v>
      </c>
    </row>
    <row r="389" spans="1:2" ht="30" x14ac:dyDescent="0.25">
      <c r="A389" s="44" t="s">
        <v>613</v>
      </c>
      <c r="B389" s="35" t="s">
        <v>2428</v>
      </c>
    </row>
    <row r="390" spans="1:2" x14ac:dyDescent="0.25">
      <c r="A390" s="44" t="s">
        <v>614</v>
      </c>
      <c r="B390" s="35" t="s">
        <v>2429</v>
      </c>
    </row>
    <row r="391" spans="1:2" x14ac:dyDescent="0.25">
      <c r="A391" s="44" t="s">
        <v>2430</v>
      </c>
      <c r="B391" s="35" t="s">
        <v>2431</v>
      </c>
    </row>
    <row r="392" spans="1:2" x14ac:dyDescent="0.25">
      <c r="A392" s="44" t="s">
        <v>615</v>
      </c>
      <c r="B392" s="35" t="s">
        <v>2432</v>
      </c>
    </row>
    <row r="393" spans="1:2" x14ac:dyDescent="0.25">
      <c r="A393" s="44" t="s">
        <v>616</v>
      </c>
      <c r="B393" s="35" t="s">
        <v>2433</v>
      </c>
    </row>
    <row r="394" spans="1:2" ht="45" x14ac:dyDescent="0.25">
      <c r="A394" s="44" t="s">
        <v>617</v>
      </c>
      <c r="B394" s="35" t="s">
        <v>2434</v>
      </c>
    </row>
    <row r="395" spans="1:2" x14ac:dyDescent="0.25">
      <c r="A395" s="44" t="s">
        <v>618</v>
      </c>
      <c r="B395" s="35" t="s">
        <v>2435</v>
      </c>
    </row>
    <row r="396" spans="1:2" x14ac:dyDescent="0.25">
      <c r="A396" s="44" t="s">
        <v>619</v>
      </c>
      <c r="B396" s="35" t="s">
        <v>2436</v>
      </c>
    </row>
    <row r="397" spans="1:2" x14ac:dyDescent="0.25">
      <c r="A397" s="44" t="s">
        <v>620</v>
      </c>
      <c r="B397" s="35" t="s">
        <v>2437</v>
      </c>
    </row>
    <row r="398" spans="1:2" x14ac:dyDescent="0.25">
      <c r="A398" s="44" t="s">
        <v>621</v>
      </c>
      <c r="B398" s="35" t="s">
        <v>2438</v>
      </c>
    </row>
    <row r="399" spans="1:2" x14ac:dyDescent="0.25">
      <c r="A399" s="44" t="s">
        <v>622</v>
      </c>
      <c r="B399" s="35" t="s">
        <v>2439</v>
      </c>
    </row>
    <row r="400" spans="1:2" x14ac:dyDescent="0.25">
      <c r="A400" s="44" t="s">
        <v>623</v>
      </c>
      <c r="B400" s="35" t="s">
        <v>2440</v>
      </c>
    </row>
    <row r="401" spans="1:2" x14ac:dyDescent="0.25">
      <c r="A401" s="44" t="s">
        <v>624</v>
      </c>
      <c r="B401" s="35" t="s">
        <v>2441</v>
      </c>
    </row>
    <row r="402" spans="1:2" x14ac:dyDescent="0.25">
      <c r="A402" s="44" t="s">
        <v>625</v>
      </c>
      <c r="B402" s="35" t="s">
        <v>2442</v>
      </c>
    </row>
    <row r="403" spans="1:2" ht="30" x14ac:dyDescent="0.25">
      <c r="A403" s="44" t="s">
        <v>626</v>
      </c>
      <c r="B403" s="35" t="s">
        <v>2443</v>
      </c>
    </row>
    <row r="404" spans="1:2" ht="30" x14ac:dyDescent="0.25">
      <c r="A404" s="44" t="s">
        <v>314</v>
      </c>
      <c r="B404" s="35" t="s">
        <v>2444</v>
      </c>
    </row>
    <row r="405" spans="1:2" x14ac:dyDescent="0.25">
      <c r="A405" s="44" t="s">
        <v>1967</v>
      </c>
      <c r="B405" s="35" t="s">
        <v>2445</v>
      </c>
    </row>
    <row r="406" spans="1:2" x14ac:dyDescent="0.25">
      <c r="A406" s="44" t="s">
        <v>2446</v>
      </c>
      <c r="B406" s="35" t="s">
        <v>2447</v>
      </c>
    </row>
    <row r="407" spans="1:2" x14ac:dyDescent="0.25">
      <c r="A407" s="44" t="s">
        <v>627</v>
      </c>
      <c r="B407" s="35" t="s">
        <v>2448</v>
      </c>
    </row>
    <row r="408" spans="1:2" ht="30" x14ac:dyDescent="0.25">
      <c r="A408" s="44" t="s">
        <v>1979</v>
      </c>
      <c r="B408" s="35" t="s">
        <v>2449</v>
      </c>
    </row>
    <row r="409" spans="1:2" x14ac:dyDescent="0.25">
      <c r="A409" s="44" t="s">
        <v>628</v>
      </c>
      <c r="B409" s="35" t="s">
        <v>2450</v>
      </c>
    </row>
    <row r="410" spans="1:2" ht="30" x14ac:dyDescent="0.25">
      <c r="A410" s="44" t="s">
        <v>2451</v>
      </c>
      <c r="B410" s="35" t="s">
        <v>2452</v>
      </c>
    </row>
    <row r="411" spans="1:2" x14ac:dyDescent="0.25">
      <c r="A411" s="44" t="s">
        <v>629</v>
      </c>
      <c r="B411" s="35" t="s">
        <v>2453</v>
      </c>
    </row>
    <row r="412" spans="1:2" ht="30" x14ac:dyDescent="0.25">
      <c r="A412" s="44" t="s">
        <v>2454</v>
      </c>
      <c r="B412" s="35" t="s">
        <v>2455</v>
      </c>
    </row>
    <row r="413" spans="1:2" ht="30" x14ac:dyDescent="0.25">
      <c r="A413" s="44" t="s">
        <v>630</v>
      </c>
      <c r="B413" s="35" t="s">
        <v>2456</v>
      </c>
    </row>
    <row r="414" spans="1:2" x14ac:dyDescent="0.25">
      <c r="A414" s="44" t="s">
        <v>631</v>
      </c>
      <c r="B414" s="35" t="s">
        <v>2457</v>
      </c>
    </row>
    <row r="415" spans="1:2" ht="45" x14ac:dyDescent="0.25">
      <c r="A415" s="44" t="s">
        <v>850</v>
      </c>
      <c r="B415" s="35" t="s">
        <v>2458</v>
      </c>
    </row>
    <row r="416" spans="1:2" ht="30" x14ac:dyDescent="0.25">
      <c r="A416" s="44" t="s">
        <v>632</v>
      </c>
      <c r="B416" s="35" t="s">
        <v>2459</v>
      </c>
    </row>
    <row r="417" spans="1:2" ht="30" x14ac:dyDescent="0.25">
      <c r="A417" s="44" t="s">
        <v>633</v>
      </c>
      <c r="B417" s="35" t="s">
        <v>2460</v>
      </c>
    </row>
    <row r="418" spans="1:2" x14ac:dyDescent="0.25">
      <c r="A418" s="44" t="s">
        <v>737</v>
      </c>
      <c r="B418" s="35" t="s">
        <v>2461</v>
      </c>
    </row>
    <row r="419" spans="1:2" x14ac:dyDescent="0.25">
      <c r="A419" s="44" t="s">
        <v>2462</v>
      </c>
      <c r="B419" s="35" t="s">
        <v>2463</v>
      </c>
    </row>
    <row r="420" spans="1:2" x14ac:dyDescent="0.25">
      <c r="A420" s="44" t="s">
        <v>634</v>
      </c>
      <c r="B420" s="35" t="s">
        <v>2464</v>
      </c>
    </row>
    <row r="421" spans="1:2" ht="30" x14ac:dyDescent="0.25">
      <c r="A421" s="44" t="s">
        <v>2465</v>
      </c>
      <c r="B421" s="35" t="s">
        <v>2466</v>
      </c>
    </row>
    <row r="422" spans="1:2" ht="30" x14ac:dyDescent="0.25">
      <c r="A422" s="44" t="s">
        <v>2467</v>
      </c>
      <c r="B422" s="35" t="s">
        <v>2468</v>
      </c>
    </row>
    <row r="423" spans="1:2" ht="30" x14ac:dyDescent="0.25">
      <c r="A423" s="44" t="s">
        <v>635</v>
      </c>
      <c r="B423" s="35" t="s">
        <v>2469</v>
      </c>
    </row>
    <row r="424" spans="1:2" x14ac:dyDescent="0.25">
      <c r="A424" s="44" t="s">
        <v>636</v>
      </c>
      <c r="B424" s="35" t="s">
        <v>2470</v>
      </c>
    </row>
    <row r="425" spans="1:2" ht="30" x14ac:dyDescent="0.25">
      <c r="A425" s="44" t="s">
        <v>637</v>
      </c>
      <c r="B425" s="35" t="s">
        <v>2471</v>
      </c>
    </row>
    <row r="426" spans="1:2" x14ac:dyDescent="0.25">
      <c r="A426" s="44" t="s">
        <v>638</v>
      </c>
      <c r="B426" s="35" t="s">
        <v>2472</v>
      </c>
    </row>
    <row r="427" spans="1:2" x14ac:dyDescent="0.25">
      <c r="A427" s="44" t="s">
        <v>2473</v>
      </c>
      <c r="B427" s="35" t="s">
        <v>2474</v>
      </c>
    </row>
    <row r="428" spans="1:2" x14ac:dyDescent="0.25">
      <c r="A428" s="44" t="s">
        <v>2475</v>
      </c>
      <c r="B428" s="35" t="s">
        <v>2476</v>
      </c>
    </row>
    <row r="429" spans="1:2" x14ac:dyDescent="0.25">
      <c r="A429" s="44" t="s">
        <v>639</v>
      </c>
      <c r="B429" s="35" t="s">
        <v>2477</v>
      </c>
    </row>
    <row r="430" spans="1:2" x14ac:dyDescent="0.25">
      <c r="A430" s="44" t="s">
        <v>640</v>
      </c>
      <c r="B430" s="35" t="s">
        <v>2478</v>
      </c>
    </row>
    <row r="431" spans="1:2" x14ac:dyDescent="0.25">
      <c r="A431" s="44" t="s">
        <v>641</v>
      </c>
      <c r="B431" s="35" t="s">
        <v>2479</v>
      </c>
    </row>
    <row r="432" spans="1:2" x14ac:dyDescent="0.25">
      <c r="A432" s="44" t="s">
        <v>642</v>
      </c>
      <c r="B432" s="35" t="s">
        <v>2480</v>
      </c>
    </row>
    <row r="433" spans="1:2" x14ac:dyDescent="0.25">
      <c r="A433" s="44" t="s">
        <v>643</v>
      </c>
      <c r="B433" s="35" t="s">
        <v>2481</v>
      </c>
    </row>
    <row r="434" spans="1:2" x14ac:dyDescent="0.25">
      <c r="A434" s="44" t="s">
        <v>2482</v>
      </c>
      <c r="B434" s="35" t="s">
        <v>2483</v>
      </c>
    </row>
    <row r="435" spans="1:2" x14ac:dyDescent="0.25">
      <c r="A435" s="44" t="s">
        <v>2484</v>
      </c>
      <c r="B435" s="35" t="s">
        <v>2485</v>
      </c>
    </row>
    <row r="436" spans="1:2" ht="45" x14ac:dyDescent="0.25">
      <c r="A436" s="44" t="s">
        <v>644</v>
      </c>
      <c r="B436" s="35" t="s">
        <v>2486</v>
      </c>
    </row>
    <row r="437" spans="1:2" x14ac:dyDescent="0.25">
      <c r="A437" s="44" t="s">
        <v>645</v>
      </c>
      <c r="B437" s="35" t="s">
        <v>2487</v>
      </c>
    </row>
    <row r="438" spans="1:2" x14ac:dyDescent="0.25">
      <c r="A438" s="44" t="s">
        <v>646</v>
      </c>
      <c r="B438" s="35" t="s">
        <v>2488</v>
      </c>
    </row>
    <row r="439" spans="1:2" x14ac:dyDescent="0.25">
      <c r="A439" s="44" t="s">
        <v>647</v>
      </c>
      <c r="B439" s="35" t="s">
        <v>2489</v>
      </c>
    </row>
    <row r="440" spans="1:2" ht="30" x14ac:dyDescent="0.25">
      <c r="A440" s="44" t="s">
        <v>648</v>
      </c>
      <c r="B440" s="35" t="s">
        <v>2490</v>
      </c>
    </row>
    <row r="441" spans="1:2" x14ac:dyDescent="0.25">
      <c r="A441" s="44" t="s">
        <v>649</v>
      </c>
      <c r="B441" s="35" t="s">
        <v>2491</v>
      </c>
    </row>
    <row r="442" spans="1:2" ht="45" x14ac:dyDescent="0.25">
      <c r="A442" s="44" t="s">
        <v>650</v>
      </c>
      <c r="B442" s="35" t="s">
        <v>2492</v>
      </c>
    </row>
    <row r="443" spans="1:2" x14ac:dyDescent="0.25">
      <c r="A443" s="44" t="s">
        <v>2493</v>
      </c>
      <c r="B443" s="35" t="s">
        <v>2494</v>
      </c>
    </row>
    <row r="444" spans="1:2" x14ac:dyDescent="0.25">
      <c r="A444" s="44" t="s">
        <v>651</v>
      </c>
      <c r="B444" s="35" t="s">
        <v>2495</v>
      </c>
    </row>
    <row r="445" spans="1:2" x14ac:dyDescent="0.25">
      <c r="A445" s="44" t="s">
        <v>652</v>
      </c>
      <c r="B445" s="35" t="s">
        <v>2496</v>
      </c>
    </row>
    <row r="446" spans="1:2" ht="30" x14ac:dyDescent="0.25">
      <c r="A446" s="44" t="s">
        <v>653</v>
      </c>
      <c r="B446" s="35" t="s">
        <v>2497</v>
      </c>
    </row>
    <row r="447" spans="1:2" ht="45" x14ac:dyDescent="0.25">
      <c r="A447" s="44" t="s">
        <v>654</v>
      </c>
      <c r="B447" s="35" t="s">
        <v>2498</v>
      </c>
    </row>
    <row r="448" spans="1:2" x14ac:dyDescent="0.25">
      <c r="A448" s="44" t="s">
        <v>655</v>
      </c>
      <c r="B448" s="35" t="s">
        <v>2499</v>
      </c>
    </row>
    <row r="449" spans="1:2" x14ac:dyDescent="0.25">
      <c r="A449" s="44" t="s">
        <v>2500</v>
      </c>
      <c r="B449" s="35" t="s">
        <v>2501</v>
      </c>
    </row>
    <row r="450" spans="1:2" x14ac:dyDescent="0.25">
      <c r="A450" s="44" t="s">
        <v>2502</v>
      </c>
      <c r="B450" s="35" t="s">
        <v>2503</v>
      </c>
    </row>
    <row r="451" spans="1:2" ht="30" x14ac:dyDescent="0.25">
      <c r="A451" s="44" t="s">
        <v>656</v>
      </c>
      <c r="B451" s="35" t="s">
        <v>2504</v>
      </c>
    </row>
    <row r="452" spans="1:2" ht="45" x14ac:dyDescent="0.25">
      <c r="A452" s="44" t="s">
        <v>657</v>
      </c>
      <c r="B452" s="35" t="s">
        <v>2505</v>
      </c>
    </row>
    <row r="453" spans="1:2" x14ac:dyDescent="0.25">
      <c r="A453" s="44" t="s">
        <v>658</v>
      </c>
      <c r="B453" s="35" t="s">
        <v>2506</v>
      </c>
    </row>
    <row r="454" spans="1:2" x14ac:dyDescent="0.25">
      <c r="A454" s="44" t="s">
        <v>659</v>
      </c>
      <c r="B454" s="35" t="s">
        <v>2507</v>
      </c>
    </row>
    <row r="455" spans="1:2" ht="45" x14ac:dyDescent="0.25">
      <c r="A455" s="44" t="s">
        <v>660</v>
      </c>
      <c r="B455" s="35" t="s">
        <v>2508</v>
      </c>
    </row>
    <row r="456" spans="1:2" ht="30" x14ac:dyDescent="0.25">
      <c r="A456" s="44" t="s">
        <v>661</v>
      </c>
      <c r="B456" s="35" t="s">
        <v>2509</v>
      </c>
    </row>
    <row r="457" spans="1:2" x14ac:dyDescent="0.25">
      <c r="A457" s="44" t="s">
        <v>662</v>
      </c>
      <c r="B457" s="35" t="s">
        <v>2510</v>
      </c>
    </row>
    <row r="458" spans="1:2" ht="30" x14ac:dyDescent="0.25">
      <c r="A458" s="44" t="s">
        <v>663</v>
      </c>
      <c r="B458" s="35" t="s">
        <v>2511</v>
      </c>
    </row>
    <row r="459" spans="1:2" x14ac:dyDescent="0.25">
      <c r="A459" s="44" t="s">
        <v>664</v>
      </c>
      <c r="B459" s="35" t="s">
        <v>2512</v>
      </c>
    </row>
    <row r="460" spans="1:2" x14ac:dyDescent="0.25">
      <c r="A460" s="44" t="s">
        <v>738</v>
      </c>
      <c r="B460" s="35" t="s">
        <v>2513</v>
      </c>
    </row>
    <row r="461" spans="1:2" x14ac:dyDescent="0.25">
      <c r="A461" s="44" t="s">
        <v>962</v>
      </c>
      <c r="B461" s="35" t="s">
        <v>2514</v>
      </c>
    </row>
    <row r="462" spans="1:2" ht="30" x14ac:dyDescent="0.25">
      <c r="A462" s="44" t="s">
        <v>665</v>
      </c>
      <c r="B462" s="35" t="s">
        <v>2515</v>
      </c>
    </row>
    <row r="463" spans="1:2" x14ac:dyDescent="0.25">
      <c r="A463" s="44" t="s">
        <v>666</v>
      </c>
      <c r="B463" s="35" t="s">
        <v>2516</v>
      </c>
    </row>
    <row r="464" spans="1:2" x14ac:dyDescent="0.25">
      <c r="A464" s="44" t="s">
        <v>739</v>
      </c>
      <c r="B464" s="35" t="s">
        <v>2517</v>
      </c>
    </row>
    <row r="465" spans="1:2" x14ac:dyDescent="0.25">
      <c r="A465" s="44" t="s">
        <v>667</v>
      </c>
      <c r="B465" s="35" t="s">
        <v>2518</v>
      </c>
    </row>
    <row r="466" spans="1:2" ht="30" x14ac:dyDescent="0.25">
      <c r="A466" s="44" t="s">
        <v>668</v>
      </c>
      <c r="B466" s="35" t="s">
        <v>2519</v>
      </c>
    </row>
    <row r="467" spans="1:2" x14ac:dyDescent="0.25">
      <c r="A467" s="44" t="s">
        <v>669</v>
      </c>
      <c r="B467" s="35" t="s">
        <v>2520</v>
      </c>
    </row>
    <row r="468" spans="1:2" ht="30" x14ac:dyDescent="0.25">
      <c r="A468" s="44" t="s">
        <v>670</v>
      </c>
      <c r="B468" s="35" t="s">
        <v>2521</v>
      </c>
    </row>
    <row r="469" spans="1:2" x14ac:dyDescent="0.25">
      <c r="A469" s="44" t="s">
        <v>671</v>
      </c>
      <c r="B469" s="35" t="s">
        <v>2522</v>
      </c>
    </row>
    <row r="470" spans="1:2" x14ac:dyDescent="0.25">
      <c r="A470" s="44" t="s">
        <v>672</v>
      </c>
      <c r="B470" s="35" t="s">
        <v>2523</v>
      </c>
    </row>
    <row r="471" spans="1:2" x14ac:dyDescent="0.25">
      <c r="A471" s="44" t="s">
        <v>2524</v>
      </c>
      <c r="B471" s="35" t="s">
        <v>2525</v>
      </c>
    </row>
    <row r="472" spans="1:2" ht="45" x14ac:dyDescent="0.25">
      <c r="A472" s="44" t="s">
        <v>673</v>
      </c>
      <c r="B472" s="35" t="s">
        <v>2526</v>
      </c>
    </row>
    <row r="473" spans="1:2" x14ac:dyDescent="0.25">
      <c r="A473" s="44" t="s">
        <v>838</v>
      </c>
      <c r="B473" s="35" t="s">
        <v>2527</v>
      </c>
    </row>
    <row r="474" spans="1:2" ht="30" x14ac:dyDescent="0.25">
      <c r="A474" s="44" t="s">
        <v>674</v>
      </c>
      <c r="B474" s="35" t="s">
        <v>2528</v>
      </c>
    </row>
    <row r="475" spans="1:2" x14ac:dyDescent="0.25">
      <c r="A475" s="44" t="s">
        <v>2529</v>
      </c>
      <c r="B475" s="35" t="s">
        <v>2530</v>
      </c>
    </row>
    <row r="476" spans="1:2" ht="30" x14ac:dyDescent="0.25">
      <c r="A476" s="44" t="s">
        <v>752</v>
      </c>
      <c r="B476" s="35" t="s">
        <v>2531</v>
      </c>
    </row>
    <row r="477" spans="1:2" x14ac:dyDescent="0.25">
      <c r="A477" s="44" t="s">
        <v>675</v>
      </c>
      <c r="B477" s="35" t="s">
        <v>2532</v>
      </c>
    </row>
    <row r="478" spans="1:2" ht="30" x14ac:dyDescent="0.25">
      <c r="A478" s="44" t="s">
        <v>975</v>
      </c>
      <c r="B478" s="35" t="s">
        <v>2533</v>
      </c>
    </row>
    <row r="479" spans="1:2" ht="30" x14ac:dyDescent="0.25">
      <c r="A479" s="44" t="s">
        <v>676</v>
      </c>
      <c r="B479" s="35" t="s">
        <v>2534</v>
      </c>
    </row>
    <row r="480" spans="1:2" x14ac:dyDescent="0.25">
      <c r="A480" s="44" t="s">
        <v>677</v>
      </c>
      <c r="B480" s="35" t="s">
        <v>2535</v>
      </c>
    </row>
    <row r="481" spans="1:2" ht="30" x14ac:dyDescent="0.25">
      <c r="A481" s="44" t="s">
        <v>678</v>
      </c>
      <c r="B481" s="35" t="s">
        <v>2536</v>
      </c>
    </row>
    <row r="482" spans="1:2" ht="30" x14ac:dyDescent="0.25">
      <c r="A482" s="44" t="s">
        <v>679</v>
      </c>
      <c r="B482" s="35" t="s">
        <v>2537</v>
      </c>
    </row>
    <row r="483" spans="1:2" x14ac:dyDescent="0.25">
      <c r="A483" s="44" t="s">
        <v>680</v>
      </c>
      <c r="B483" s="35" t="s">
        <v>2538</v>
      </c>
    </row>
    <row r="484" spans="1:2" x14ac:dyDescent="0.25">
      <c r="A484" s="44" t="s">
        <v>681</v>
      </c>
      <c r="B484" s="35" t="s">
        <v>2539</v>
      </c>
    </row>
    <row r="485" spans="1:2" x14ac:dyDescent="0.25">
      <c r="A485" s="44" t="s">
        <v>2540</v>
      </c>
      <c r="B485" s="35" t="s">
        <v>2541</v>
      </c>
    </row>
    <row r="486" spans="1:2" x14ac:dyDescent="0.25">
      <c r="A486" s="44" t="s">
        <v>682</v>
      </c>
      <c r="B486" s="35" t="s">
        <v>2542</v>
      </c>
    </row>
    <row r="487" spans="1:2" x14ac:dyDescent="0.25">
      <c r="A487" s="44" t="s">
        <v>683</v>
      </c>
      <c r="B487" s="35" t="s">
        <v>2543</v>
      </c>
    </row>
    <row r="488" spans="1:2" ht="45" x14ac:dyDescent="0.25">
      <c r="A488" s="44" t="s">
        <v>684</v>
      </c>
      <c r="B488" s="35" t="s">
        <v>2544</v>
      </c>
    </row>
    <row r="489" spans="1:2" x14ac:dyDescent="0.25">
      <c r="A489" s="44" t="s">
        <v>685</v>
      </c>
      <c r="B489" s="35" t="s">
        <v>2545</v>
      </c>
    </row>
    <row r="490" spans="1:2" ht="45" x14ac:dyDescent="0.25">
      <c r="A490" s="44" t="s">
        <v>686</v>
      </c>
      <c r="B490" s="35" t="s">
        <v>2546</v>
      </c>
    </row>
    <row r="491" spans="1:2" x14ac:dyDescent="0.25">
      <c r="A491" s="44" t="s">
        <v>687</v>
      </c>
      <c r="B491" s="35" t="s">
        <v>2547</v>
      </c>
    </row>
    <row r="492" spans="1:2" ht="45" x14ac:dyDescent="0.25">
      <c r="A492" s="44" t="s">
        <v>688</v>
      </c>
      <c r="B492" s="35" t="s">
        <v>2548</v>
      </c>
    </row>
    <row r="493" spans="1:2" ht="30" x14ac:dyDescent="0.25">
      <c r="A493" s="44" t="s">
        <v>986</v>
      </c>
      <c r="B493" s="35" t="s">
        <v>2549</v>
      </c>
    </row>
    <row r="494" spans="1:2" x14ac:dyDescent="0.25">
      <c r="A494" s="44" t="s">
        <v>689</v>
      </c>
      <c r="B494" s="35" t="s">
        <v>2550</v>
      </c>
    </row>
    <row r="495" spans="1:2" x14ac:dyDescent="0.25">
      <c r="A495" s="44" t="s">
        <v>690</v>
      </c>
      <c r="B495" s="35" t="s">
        <v>2551</v>
      </c>
    </row>
    <row r="496" spans="1:2" x14ac:dyDescent="0.25">
      <c r="A496" s="44" t="s">
        <v>691</v>
      </c>
      <c r="B496" s="35" t="s">
        <v>2552</v>
      </c>
    </row>
    <row r="497" spans="1:2" x14ac:dyDescent="0.25">
      <c r="A497" s="44" t="s">
        <v>313</v>
      </c>
      <c r="B497" s="35" t="s">
        <v>2553</v>
      </c>
    </row>
    <row r="498" spans="1:2" x14ac:dyDescent="0.25">
      <c r="A498" s="44" t="s">
        <v>313</v>
      </c>
      <c r="B498" s="35" t="s">
        <v>2554</v>
      </c>
    </row>
    <row r="499" spans="1:2" x14ac:dyDescent="0.25">
      <c r="A499" s="44" t="s">
        <v>313</v>
      </c>
      <c r="B499" s="35" t="s">
        <v>2555</v>
      </c>
    </row>
    <row r="500" spans="1:2" x14ac:dyDescent="0.25">
      <c r="A500" s="44" t="s">
        <v>313</v>
      </c>
      <c r="B500" s="35" t="s">
        <v>2556</v>
      </c>
    </row>
    <row r="501" spans="1:2" x14ac:dyDescent="0.25">
      <c r="A501" s="44" t="s">
        <v>313</v>
      </c>
      <c r="B501" s="35" t="s">
        <v>2557</v>
      </c>
    </row>
    <row r="502" spans="1:2" x14ac:dyDescent="0.25">
      <c r="A502" s="44" t="s">
        <v>313</v>
      </c>
      <c r="B502" s="35" t="s">
        <v>2558</v>
      </c>
    </row>
    <row r="503" spans="1:2" x14ac:dyDescent="0.25">
      <c r="A503" s="44" t="s">
        <v>313</v>
      </c>
      <c r="B503" s="35" t="s">
        <v>2559</v>
      </c>
    </row>
    <row r="504" spans="1:2" x14ac:dyDescent="0.25">
      <c r="A504" s="44" t="s">
        <v>313</v>
      </c>
      <c r="B504" s="35" t="s">
        <v>2560</v>
      </c>
    </row>
    <row r="505" spans="1:2" x14ac:dyDescent="0.25">
      <c r="A505" s="44" t="s">
        <v>313</v>
      </c>
      <c r="B505" s="35" t="s">
        <v>2561</v>
      </c>
    </row>
    <row r="506" spans="1:2" x14ac:dyDescent="0.25">
      <c r="A506" s="44" t="s">
        <v>313</v>
      </c>
      <c r="B506" s="35" t="s">
        <v>2562</v>
      </c>
    </row>
    <row r="507" spans="1:2" x14ac:dyDescent="0.25">
      <c r="A507" s="44" t="s">
        <v>313</v>
      </c>
      <c r="B507" s="35" t="s">
        <v>2563</v>
      </c>
    </row>
    <row r="508" spans="1:2" x14ac:dyDescent="0.25">
      <c r="A508" s="44" t="s">
        <v>313</v>
      </c>
      <c r="B508" s="35" t="s">
        <v>2564</v>
      </c>
    </row>
    <row r="509" spans="1:2" x14ac:dyDescent="0.25">
      <c r="A509" s="44" t="s">
        <v>313</v>
      </c>
      <c r="B509" s="35" t="s">
        <v>2565</v>
      </c>
    </row>
    <row r="510" spans="1:2" x14ac:dyDescent="0.25">
      <c r="A510" s="44" t="s">
        <v>313</v>
      </c>
      <c r="B510" s="35" t="s">
        <v>2566</v>
      </c>
    </row>
    <row r="511" spans="1:2" x14ac:dyDescent="0.25">
      <c r="A511" s="44" t="s">
        <v>313</v>
      </c>
      <c r="B511" s="35" t="s">
        <v>2567</v>
      </c>
    </row>
    <row r="512" spans="1:2" x14ac:dyDescent="0.25">
      <c r="A512" s="44" t="s">
        <v>313</v>
      </c>
      <c r="B512" s="35" t="s">
        <v>2568</v>
      </c>
    </row>
    <row r="513" spans="1:2" x14ac:dyDescent="0.25">
      <c r="A513" s="44" t="s">
        <v>313</v>
      </c>
      <c r="B513" s="35" t="s">
        <v>2569</v>
      </c>
    </row>
    <row r="514" spans="1:2" x14ac:dyDescent="0.25">
      <c r="A514" s="44" t="s">
        <v>313</v>
      </c>
      <c r="B514" s="35" t="s">
        <v>2570</v>
      </c>
    </row>
    <row r="515" spans="1:2" x14ac:dyDescent="0.25">
      <c r="A515" s="44" t="s">
        <v>313</v>
      </c>
      <c r="B515" s="35" t="s">
        <v>2571</v>
      </c>
    </row>
    <row r="516" spans="1:2" x14ac:dyDescent="0.25">
      <c r="A516" s="44" t="s">
        <v>313</v>
      </c>
      <c r="B516" s="35" t="s">
        <v>2572</v>
      </c>
    </row>
    <row r="517" spans="1:2" x14ac:dyDescent="0.25">
      <c r="A517" s="44" t="s">
        <v>692</v>
      </c>
      <c r="B517" s="35" t="s">
        <v>2573</v>
      </c>
    </row>
    <row r="518" spans="1:2" ht="30" x14ac:dyDescent="0.25">
      <c r="A518" s="44" t="s">
        <v>693</v>
      </c>
      <c r="B518" s="35" t="s">
        <v>2574</v>
      </c>
    </row>
    <row r="519" spans="1:2" x14ac:dyDescent="0.25">
      <c r="A519" s="44" t="s">
        <v>694</v>
      </c>
      <c r="B519" s="35" t="s">
        <v>2575</v>
      </c>
    </row>
    <row r="520" spans="1:2" x14ac:dyDescent="0.25">
      <c r="A520" s="44" t="s">
        <v>695</v>
      </c>
      <c r="B520" s="35" t="s">
        <v>2576</v>
      </c>
    </row>
    <row r="521" spans="1:2" x14ac:dyDescent="0.25">
      <c r="A521" s="44" t="s">
        <v>696</v>
      </c>
      <c r="B521" s="35" t="s">
        <v>2577</v>
      </c>
    </row>
    <row r="522" spans="1:2" x14ac:dyDescent="0.25">
      <c r="A522" s="44" t="s">
        <v>697</v>
      </c>
      <c r="B522" s="35" t="s">
        <v>2578</v>
      </c>
    </row>
    <row r="523" spans="1:2" x14ac:dyDescent="0.25">
      <c r="A523" s="44" t="s">
        <v>2579</v>
      </c>
      <c r="B523" s="35" t="s">
        <v>2580</v>
      </c>
    </row>
    <row r="524" spans="1:2" x14ac:dyDescent="0.25">
      <c r="A524" s="44" t="s">
        <v>976</v>
      </c>
      <c r="B524" s="35" t="s">
        <v>2581</v>
      </c>
    </row>
    <row r="525" spans="1:2" x14ac:dyDescent="0.25">
      <c r="A525" s="44" t="s">
        <v>851</v>
      </c>
      <c r="B525" s="35" t="s">
        <v>2582</v>
      </c>
    </row>
    <row r="526" spans="1:2" x14ac:dyDescent="0.25">
      <c r="A526" s="44" t="s">
        <v>852</v>
      </c>
      <c r="B526" s="35" t="s">
        <v>2583</v>
      </c>
    </row>
    <row r="527" spans="1:2" ht="30" x14ac:dyDescent="0.25">
      <c r="A527" s="44" t="s">
        <v>698</v>
      </c>
      <c r="B527" s="35" t="s">
        <v>2584</v>
      </c>
    </row>
    <row r="528" spans="1:2" x14ac:dyDescent="0.25">
      <c r="A528" s="44" t="s">
        <v>699</v>
      </c>
      <c r="B528" s="35" t="s">
        <v>2585</v>
      </c>
    </row>
    <row r="529" spans="1:2" x14ac:dyDescent="0.25">
      <c r="A529" s="44" t="s">
        <v>2586</v>
      </c>
      <c r="B529" s="35" t="s">
        <v>2587</v>
      </c>
    </row>
    <row r="530" spans="1:2" x14ac:dyDescent="0.25">
      <c r="A530" s="44" t="s">
        <v>2588</v>
      </c>
      <c r="B530" s="35" t="s">
        <v>2589</v>
      </c>
    </row>
    <row r="531" spans="1:2" ht="45" x14ac:dyDescent="0.25">
      <c r="A531" s="44" t="s">
        <v>700</v>
      </c>
      <c r="B531" s="35" t="s">
        <v>2590</v>
      </c>
    </row>
    <row r="532" spans="1:2" x14ac:dyDescent="0.25">
      <c r="A532" s="44" t="s">
        <v>2591</v>
      </c>
      <c r="B532" s="35" t="s">
        <v>2592</v>
      </c>
    </row>
    <row r="533" spans="1:2" ht="30" x14ac:dyDescent="0.25">
      <c r="A533" s="44" t="s">
        <v>701</v>
      </c>
      <c r="B533" s="35" t="s">
        <v>2593</v>
      </c>
    </row>
    <row r="534" spans="1:2" ht="30" x14ac:dyDescent="0.25">
      <c r="A534" s="44" t="s">
        <v>702</v>
      </c>
      <c r="B534" s="35" t="s">
        <v>2594</v>
      </c>
    </row>
    <row r="535" spans="1:2" x14ac:dyDescent="0.25">
      <c r="A535" s="44" t="s">
        <v>703</v>
      </c>
      <c r="B535" s="35" t="s">
        <v>2595</v>
      </c>
    </row>
    <row r="536" spans="1:2" ht="30" x14ac:dyDescent="0.25">
      <c r="A536" s="44" t="s">
        <v>704</v>
      </c>
      <c r="B536" s="35" t="s">
        <v>2596</v>
      </c>
    </row>
    <row r="537" spans="1:2" x14ac:dyDescent="0.25">
      <c r="A537" s="44" t="s">
        <v>705</v>
      </c>
      <c r="B537" s="35" t="s">
        <v>2597</v>
      </c>
    </row>
    <row r="538" spans="1:2" ht="30" x14ac:dyDescent="0.25">
      <c r="A538" s="44" t="s">
        <v>706</v>
      </c>
      <c r="B538" s="35" t="s">
        <v>2598</v>
      </c>
    </row>
    <row r="539" spans="1:2" ht="30" x14ac:dyDescent="0.25">
      <c r="A539" s="44" t="s">
        <v>707</v>
      </c>
      <c r="B539" s="35" t="s">
        <v>2599</v>
      </c>
    </row>
    <row r="540" spans="1:2" x14ac:dyDescent="0.25">
      <c r="A540" s="44" t="s">
        <v>708</v>
      </c>
      <c r="B540" s="35" t="s">
        <v>2600</v>
      </c>
    </row>
    <row r="541" spans="1:2" x14ac:dyDescent="0.25">
      <c r="A541" s="44" t="s">
        <v>2601</v>
      </c>
      <c r="B541" s="35" t="s">
        <v>2602</v>
      </c>
    </row>
    <row r="542" spans="1:2" x14ac:dyDescent="0.25">
      <c r="A542" s="44" t="s">
        <v>709</v>
      </c>
      <c r="B542" s="35" t="s">
        <v>2603</v>
      </c>
    </row>
    <row r="543" spans="1:2" x14ac:dyDescent="0.25">
      <c r="A543" s="44" t="s">
        <v>710</v>
      </c>
      <c r="B543" s="35" t="s">
        <v>2604</v>
      </c>
    </row>
    <row r="544" spans="1:2" ht="30" x14ac:dyDescent="0.25">
      <c r="A544" s="44" t="s">
        <v>2605</v>
      </c>
      <c r="B544" s="35" t="s">
        <v>2606</v>
      </c>
    </row>
    <row r="545" spans="1:2" ht="30" x14ac:dyDescent="0.25">
      <c r="A545" s="44" t="s">
        <v>711</v>
      </c>
      <c r="B545" s="35" t="s">
        <v>2607</v>
      </c>
    </row>
    <row r="546" spans="1:2" x14ac:dyDescent="0.25">
      <c r="A546" s="44" t="s">
        <v>983</v>
      </c>
      <c r="B546" s="35" t="s">
        <v>2608</v>
      </c>
    </row>
    <row r="547" spans="1:2" x14ac:dyDescent="0.25">
      <c r="A547" s="44" t="s">
        <v>990</v>
      </c>
      <c r="B547" s="35" t="s">
        <v>2609</v>
      </c>
    </row>
    <row r="548" spans="1:2" ht="45" x14ac:dyDescent="0.25">
      <c r="A548" s="44" t="s">
        <v>712</v>
      </c>
      <c r="B548" s="35" t="s">
        <v>2610</v>
      </c>
    </row>
    <row r="549" spans="1:2" x14ac:dyDescent="0.25">
      <c r="A549" s="44" t="s">
        <v>713</v>
      </c>
      <c r="B549" s="35" t="s">
        <v>2611</v>
      </c>
    </row>
    <row r="550" spans="1:2" x14ac:dyDescent="0.25">
      <c r="A550" s="44" t="s">
        <v>714</v>
      </c>
      <c r="B550" s="35" t="s">
        <v>2612</v>
      </c>
    </row>
    <row r="551" spans="1:2" x14ac:dyDescent="0.25">
      <c r="A551" s="44" t="s">
        <v>715</v>
      </c>
      <c r="B551" s="35" t="s">
        <v>2613</v>
      </c>
    </row>
    <row r="552" spans="1:2" ht="45" x14ac:dyDescent="0.25">
      <c r="A552" s="44" t="s">
        <v>716</v>
      </c>
      <c r="B552" s="35" t="s">
        <v>2614</v>
      </c>
    </row>
    <row r="553" spans="1:2" x14ac:dyDescent="0.25">
      <c r="A553" s="44" t="s">
        <v>717</v>
      </c>
      <c r="B553" s="35" t="s">
        <v>2615</v>
      </c>
    </row>
    <row r="554" spans="1:2" ht="30" x14ac:dyDescent="0.25">
      <c r="A554" s="44" t="s">
        <v>718</v>
      </c>
      <c r="B554" s="35" t="s">
        <v>2616</v>
      </c>
    </row>
    <row r="555" spans="1:2" x14ac:dyDescent="0.25">
      <c r="A555" s="44" t="s">
        <v>719</v>
      </c>
      <c r="B555" s="35" t="s">
        <v>2617</v>
      </c>
    </row>
    <row r="556" spans="1:2" x14ac:dyDescent="0.25">
      <c r="A556" s="44" t="s">
        <v>720</v>
      </c>
      <c r="B556" s="35" t="s">
        <v>2618</v>
      </c>
    </row>
    <row r="557" spans="1:2" ht="30" x14ac:dyDescent="0.25">
      <c r="A557" s="44" t="s">
        <v>2619</v>
      </c>
      <c r="B557" s="35" t="s">
        <v>2620</v>
      </c>
    </row>
    <row r="558" spans="1:2" x14ac:dyDescent="0.25">
      <c r="A558" s="44" t="s">
        <v>2621</v>
      </c>
      <c r="B558" s="35" t="s">
        <v>2622</v>
      </c>
    </row>
    <row r="559" spans="1:2" x14ac:dyDescent="0.25">
      <c r="A559" s="44" t="s">
        <v>721</v>
      </c>
      <c r="B559" s="35" t="s">
        <v>2623</v>
      </c>
    </row>
    <row r="560" spans="1:2" ht="45" x14ac:dyDescent="0.25">
      <c r="A560" s="44" t="s">
        <v>722</v>
      </c>
      <c r="B560" s="35" t="s">
        <v>2624</v>
      </c>
    </row>
    <row r="561" spans="1:2" ht="30" x14ac:dyDescent="0.25">
      <c r="A561" s="44" t="s">
        <v>723</v>
      </c>
      <c r="B561" s="35" t="s">
        <v>2625</v>
      </c>
    </row>
    <row r="562" spans="1:2" ht="45" x14ac:dyDescent="0.25">
      <c r="A562" s="44" t="s">
        <v>724</v>
      </c>
      <c r="B562" s="35" t="s">
        <v>2626</v>
      </c>
    </row>
    <row r="563" spans="1:2" ht="30" x14ac:dyDescent="0.25">
      <c r="A563" s="44" t="s">
        <v>725</v>
      </c>
      <c r="B563" s="35" t="s">
        <v>2627</v>
      </c>
    </row>
    <row r="564" spans="1:2" ht="30" x14ac:dyDescent="0.25">
      <c r="A564" s="44" t="s">
        <v>726</v>
      </c>
      <c r="B564" s="35" t="s">
        <v>2628</v>
      </c>
    </row>
    <row r="565" spans="1:2" ht="30" x14ac:dyDescent="0.25">
      <c r="A565" s="44" t="s">
        <v>727</v>
      </c>
      <c r="B565" s="35" t="s">
        <v>2629</v>
      </c>
    </row>
    <row r="566" spans="1:2" x14ac:dyDescent="0.25">
      <c r="A566" s="44" t="s">
        <v>728</v>
      </c>
      <c r="B566" s="35" t="s">
        <v>2630</v>
      </c>
    </row>
    <row r="567" spans="1:2" ht="30" x14ac:dyDescent="0.25">
      <c r="A567" s="44" t="s">
        <v>729</v>
      </c>
      <c r="B567" s="35" t="s">
        <v>2631</v>
      </c>
    </row>
    <row r="568" spans="1:2" x14ac:dyDescent="0.25">
      <c r="A568" s="44" t="s">
        <v>2632</v>
      </c>
      <c r="B568" s="35" t="s">
        <v>2633</v>
      </c>
    </row>
    <row r="569" spans="1:2" x14ac:dyDescent="0.25">
      <c r="A569" s="44" t="s">
        <v>766</v>
      </c>
      <c r="B569" s="35" t="s">
        <v>2634</v>
      </c>
    </row>
    <row r="570" spans="1:2" x14ac:dyDescent="0.25">
      <c r="A570" s="44" t="s">
        <v>730</v>
      </c>
      <c r="B570" s="35" t="s">
        <v>2635</v>
      </c>
    </row>
    <row r="571" spans="1:2" x14ac:dyDescent="0.25">
      <c r="A571" s="44" t="s">
        <v>731</v>
      </c>
      <c r="B571" s="35" t="s">
        <v>2636</v>
      </c>
    </row>
    <row r="572" spans="1:2" ht="30" x14ac:dyDescent="0.25">
      <c r="A572" s="44" t="s">
        <v>2637</v>
      </c>
      <c r="B572" s="35" t="s">
        <v>2638</v>
      </c>
    </row>
    <row r="573" spans="1:2" ht="30" x14ac:dyDescent="0.25">
      <c r="A573" s="44" t="s">
        <v>732</v>
      </c>
      <c r="B573" s="35" t="s">
        <v>2639</v>
      </c>
    </row>
    <row r="574" spans="1:2" x14ac:dyDescent="0.25">
      <c r="A574" s="44" t="s">
        <v>2640</v>
      </c>
      <c r="B574" s="35" t="s">
        <v>2641</v>
      </c>
    </row>
    <row r="575" spans="1:2" ht="30" x14ac:dyDescent="0.25">
      <c r="A575" s="44" t="s">
        <v>733</v>
      </c>
      <c r="B575" s="35" t="s">
        <v>2642</v>
      </c>
    </row>
    <row r="576" spans="1:2" ht="30" x14ac:dyDescent="0.25">
      <c r="A576" s="44" t="s">
        <v>2643</v>
      </c>
      <c r="B576" s="35" t="s">
        <v>2644</v>
      </c>
    </row>
    <row r="577" spans="1:2" ht="30" x14ac:dyDescent="0.25">
      <c r="A577" s="44" t="s">
        <v>734</v>
      </c>
      <c r="B577" s="35" t="s">
        <v>2645</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20"/>
  <sheetViews>
    <sheetView topLeftCell="A22" workbookViewId="0">
      <selection activeCell="J23" sqref="J23"/>
    </sheetView>
  </sheetViews>
  <sheetFormatPr defaultRowHeight="15" x14ac:dyDescent="0.25"/>
  <cols>
    <col min="1" max="1" width="3.85546875" style="2" bestFit="1" customWidth="1"/>
    <col min="2" max="2" width="100.7109375" style="5" customWidth="1"/>
  </cols>
  <sheetData>
    <row r="1" spans="1:2" x14ac:dyDescent="0.25">
      <c r="A1" s="12">
        <v>2</v>
      </c>
      <c r="B1" s="13" t="s">
        <v>31</v>
      </c>
    </row>
    <row r="2" spans="1:2" x14ac:dyDescent="0.25">
      <c r="A2" s="14">
        <v>201</v>
      </c>
      <c r="B2" s="15" t="s">
        <v>32</v>
      </c>
    </row>
    <row r="3" spans="1:2" x14ac:dyDescent="0.25">
      <c r="A3" s="14">
        <v>202</v>
      </c>
      <c r="B3" s="15" t="s">
        <v>33</v>
      </c>
    </row>
    <row r="4" spans="1:2" x14ac:dyDescent="0.25">
      <c r="A4" s="14">
        <v>203</v>
      </c>
      <c r="B4" s="15" t="s">
        <v>34</v>
      </c>
    </row>
    <row r="5" spans="1:2" x14ac:dyDescent="0.25">
      <c r="A5" s="14">
        <v>204</v>
      </c>
      <c r="B5" s="15" t="s">
        <v>35</v>
      </c>
    </row>
    <row r="6" spans="1:2" x14ac:dyDescent="0.25">
      <c r="A6" s="14">
        <v>205</v>
      </c>
      <c r="B6" s="15" t="s">
        <v>36</v>
      </c>
    </row>
    <row r="7" spans="1:2" x14ac:dyDescent="0.25">
      <c r="A7" s="14">
        <v>206</v>
      </c>
      <c r="B7" s="15" t="s">
        <v>37</v>
      </c>
    </row>
    <row r="8" spans="1:2" x14ac:dyDescent="0.25">
      <c r="A8" s="14">
        <v>207</v>
      </c>
      <c r="B8" s="15" t="s">
        <v>38</v>
      </c>
    </row>
    <row r="9" spans="1:2" x14ac:dyDescent="0.25">
      <c r="A9" s="14">
        <v>208</v>
      </c>
      <c r="B9" s="15" t="s">
        <v>39</v>
      </c>
    </row>
    <row r="10" spans="1:2" x14ac:dyDescent="0.25">
      <c r="A10" s="14">
        <v>209</v>
      </c>
      <c r="B10" s="15" t="s">
        <v>40</v>
      </c>
    </row>
    <row r="11" spans="1:2" x14ac:dyDescent="0.25">
      <c r="A11" s="14">
        <v>210</v>
      </c>
      <c r="B11" s="15" t="s">
        <v>41</v>
      </c>
    </row>
    <row r="13" spans="1:2" x14ac:dyDescent="0.25">
      <c r="A13" s="3">
        <v>3</v>
      </c>
      <c r="B13" s="4" t="s">
        <v>42</v>
      </c>
    </row>
    <row r="14" spans="1:2" x14ac:dyDescent="0.25">
      <c r="A14" s="2">
        <v>301</v>
      </c>
      <c r="B14" s="5" t="s">
        <v>43</v>
      </c>
    </row>
    <row r="15" spans="1:2" x14ac:dyDescent="0.25">
      <c r="A15" s="2">
        <v>302</v>
      </c>
      <c r="B15" s="5" t="s">
        <v>44</v>
      </c>
    </row>
    <row r="16" spans="1:2" x14ac:dyDescent="0.25">
      <c r="A16" s="2">
        <v>303</v>
      </c>
      <c r="B16" s="5" t="s">
        <v>45</v>
      </c>
    </row>
    <row r="17" spans="1:2" x14ac:dyDescent="0.25">
      <c r="A17" s="2">
        <v>304</v>
      </c>
      <c r="B17" s="5" t="s">
        <v>46</v>
      </c>
    </row>
    <row r="18" spans="1:2" ht="24.75" x14ac:dyDescent="0.25">
      <c r="A18" s="2">
        <v>305</v>
      </c>
      <c r="B18" s="5" t="s">
        <v>47</v>
      </c>
    </row>
    <row r="19" spans="1:2" ht="24.75" x14ac:dyDescent="0.25">
      <c r="A19" s="2">
        <v>306</v>
      </c>
      <c r="B19" s="5" t="s">
        <v>48</v>
      </c>
    </row>
    <row r="20" spans="1:2" ht="24.75" x14ac:dyDescent="0.25">
      <c r="A20" s="2">
        <v>307</v>
      </c>
      <c r="B20" s="5" t="s">
        <v>49</v>
      </c>
    </row>
    <row r="21" spans="1:2" ht="24.75" x14ac:dyDescent="0.25">
      <c r="A21" s="2">
        <v>308</v>
      </c>
      <c r="B21" s="5" t="s">
        <v>50</v>
      </c>
    </row>
    <row r="23" spans="1:2" ht="24.75" x14ac:dyDescent="0.25">
      <c r="A23" s="3">
        <v>4</v>
      </c>
      <c r="B23" s="4" t="s">
        <v>51</v>
      </c>
    </row>
    <row r="24" spans="1:2" x14ac:dyDescent="0.25">
      <c r="A24" s="2">
        <v>401</v>
      </c>
      <c r="B24" s="5" t="s">
        <v>52</v>
      </c>
    </row>
    <row r="25" spans="1:2" x14ac:dyDescent="0.25">
      <c r="A25" s="2">
        <v>402</v>
      </c>
      <c r="B25" s="5" t="s">
        <v>53</v>
      </c>
    </row>
    <row r="26" spans="1:2" ht="24.75" x14ac:dyDescent="0.25">
      <c r="A26" s="2">
        <v>403</v>
      </c>
      <c r="B26" s="5" t="s">
        <v>54</v>
      </c>
    </row>
    <row r="27" spans="1:2" ht="24.75" x14ac:dyDescent="0.25">
      <c r="A27" s="2">
        <v>404</v>
      </c>
      <c r="B27" s="5" t="s">
        <v>55</v>
      </c>
    </row>
    <row r="28" spans="1:2" x14ac:dyDescent="0.25">
      <c r="A28" s="2">
        <v>405</v>
      </c>
      <c r="B28" s="5" t="s">
        <v>56</v>
      </c>
    </row>
    <row r="29" spans="1:2" x14ac:dyDescent="0.25">
      <c r="A29" s="2">
        <v>406</v>
      </c>
      <c r="B29" s="5" t="s">
        <v>57</v>
      </c>
    </row>
    <row r="30" spans="1:2" x14ac:dyDescent="0.25">
      <c r="A30" s="2">
        <v>407</v>
      </c>
      <c r="B30" s="5" t="s">
        <v>58</v>
      </c>
    </row>
    <row r="31" spans="1:2" ht="24.75" x14ac:dyDescent="0.25">
      <c r="A31" s="2">
        <v>408</v>
      </c>
      <c r="B31" s="5" t="s">
        <v>59</v>
      </c>
    </row>
    <row r="32" spans="1:2" x14ac:dyDescent="0.25">
      <c r="A32" s="2">
        <v>409</v>
      </c>
      <c r="B32" s="5" t="s">
        <v>60</v>
      </c>
    </row>
    <row r="33" spans="1:2" x14ac:dyDescent="0.25">
      <c r="A33" s="2">
        <v>410</v>
      </c>
      <c r="B33" s="5" t="s">
        <v>61</v>
      </c>
    </row>
    <row r="35" spans="1:2" x14ac:dyDescent="0.25">
      <c r="A35" s="3">
        <v>5</v>
      </c>
      <c r="B35" s="4" t="s">
        <v>62</v>
      </c>
    </row>
    <row r="36" spans="1:2" x14ac:dyDescent="0.25">
      <c r="A36" s="2">
        <v>501</v>
      </c>
      <c r="B36" s="5" t="s">
        <v>63</v>
      </c>
    </row>
    <row r="37" spans="1:2" x14ac:dyDescent="0.25">
      <c r="A37" s="2">
        <v>502</v>
      </c>
      <c r="B37" s="5" t="s">
        <v>64</v>
      </c>
    </row>
    <row r="38" spans="1:2" x14ac:dyDescent="0.25">
      <c r="A38" s="2">
        <v>504</v>
      </c>
      <c r="B38" s="5" t="s">
        <v>65</v>
      </c>
    </row>
    <row r="39" spans="1:2" ht="24.75" x14ac:dyDescent="0.25">
      <c r="A39" s="2">
        <v>505</v>
      </c>
      <c r="B39" s="5" t="s">
        <v>66</v>
      </c>
    </row>
    <row r="40" spans="1:2" ht="24.75" x14ac:dyDescent="0.25">
      <c r="A40" s="2">
        <v>506</v>
      </c>
      <c r="B40" s="5" t="s">
        <v>67</v>
      </c>
    </row>
    <row r="41" spans="1:2" ht="24.75" x14ac:dyDescent="0.25">
      <c r="A41" s="2">
        <v>507</v>
      </c>
      <c r="B41" s="5" t="s">
        <v>68</v>
      </c>
    </row>
    <row r="42" spans="1:2" ht="24.75" x14ac:dyDescent="0.25">
      <c r="A42" s="2">
        <v>508</v>
      </c>
      <c r="B42" s="5" t="s">
        <v>69</v>
      </c>
    </row>
    <row r="43" spans="1:2" ht="24.75" x14ac:dyDescent="0.25">
      <c r="A43" s="2">
        <v>510</v>
      </c>
      <c r="B43" s="5" t="s">
        <v>70</v>
      </c>
    </row>
    <row r="44" spans="1:2" x14ac:dyDescent="0.25">
      <c r="A44" s="2">
        <v>511</v>
      </c>
      <c r="B44" s="5" t="s">
        <v>71</v>
      </c>
    </row>
    <row r="46" spans="1:2" x14ac:dyDescent="0.25">
      <c r="A46" s="3">
        <v>6</v>
      </c>
      <c r="B46" s="4" t="s">
        <v>72</v>
      </c>
    </row>
    <row r="47" spans="1:2" ht="24.75" x14ac:dyDescent="0.25">
      <c r="A47" s="2">
        <v>601</v>
      </c>
      <c r="B47" s="5" t="s">
        <v>73</v>
      </c>
    </row>
    <row r="48" spans="1:2" x14ac:dyDescent="0.25">
      <c r="A48" s="2">
        <v>602</v>
      </c>
      <c r="B48" s="5" t="s">
        <v>74</v>
      </c>
    </row>
    <row r="49" spans="1:2" ht="24.75" x14ac:dyDescent="0.25">
      <c r="A49" s="2">
        <v>603</v>
      </c>
      <c r="B49" s="5" t="s">
        <v>75</v>
      </c>
    </row>
    <row r="50" spans="1:2" ht="24.75" x14ac:dyDescent="0.25">
      <c r="A50" s="2">
        <v>604</v>
      </c>
      <c r="B50" s="5" t="s">
        <v>76</v>
      </c>
    </row>
    <row r="52" spans="1:2" x14ac:dyDescent="0.25">
      <c r="A52" s="3">
        <v>7</v>
      </c>
      <c r="B52" s="4" t="s">
        <v>77</v>
      </c>
    </row>
    <row r="53" spans="1:2" x14ac:dyDescent="0.25">
      <c r="A53" s="2">
        <v>701</v>
      </c>
      <c r="B53" s="5" t="s">
        <v>78</v>
      </c>
    </row>
    <row r="54" spans="1:2" x14ac:dyDescent="0.25">
      <c r="A54" s="2">
        <v>702</v>
      </c>
      <c r="B54" s="5" t="s">
        <v>79</v>
      </c>
    </row>
    <row r="55" spans="1:2" x14ac:dyDescent="0.25">
      <c r="A55" s="2">
        <v>703</v>
      </c>
      <c r="B55" s="5" t="s">
        <v>80</v>
      </c>
    </row>
    <row r="56" spans="1:2" x14ac:dyDescent="0.25">
      <c r="A56" s="2">
        <v>704</v>
      </c>
      <c r="B56" s="5" t="s">
        <v>81</v>
      </c>
    </row>
    <row r="57" spans="1:2" x14ac:dyDescent="0.25">
      <c r="A57" s="2">
        <v>705</v>
      </c>
      <c r="B57" s="5" t="s">
        <v>82</v>
      </c>
    </row>
    <row r="58" spans="1:2" x14ac:dyDescent="0.25">
      <c r="A58" s="2">
        <v>706</v>
      </c>
      <c r="B58" s="5" t="s">
        <v>83</v>
      </c>
    </row>
    <row r="59" spans="1:2" x14ac:dyDescent="0.25">
      <c r="A59" s="2">
        <v>707</v>
      </c>
      <c r="B59" s="5" t="s">
        <v>84</v>
      </c>
    </row>
    <row r="60" spans="1:2" x14ac:dyDescent="0.25">
      <c r="A60" s="2">
        <v>708</v>
      </c>
      <c r="B60" s="5" t="s">
        <v>85</v>
      </c>
    </row>
    <row r="61" spans="1:2" x14ac:dyDescent="0.25">
      <c r="A61" s="2">
        <v>709</v>
      </c>
      <c r="B61" s="5" t="s">
        <v>86</v>
      </c>
    </row>
    <row r="62" spans="1:2" x14ac:dyDescent="0.25">
      <c r="A62" s="2">
        <v>710</v>
      </c>
      <c r="B62" s="5" t="s">
        <v>87</v>
      </c>
    </row>
    <row r="63" spans="1:2" ht="24.75" x14ac:dyDescent="0.25">
      <c r="A63" s="2">
        <v>711</v>
      </c>
      <c r="B63" s="5" t="s">
        <v>88</v>
      </c>
    </row>
    <row r="64" spans="1:2" x14ac:dyDescent="0.25">
      <c r="A64" s="2">
        <v>712</v>
      </c>
      <c r="B64" s="5" t="s">
        <v>89</v>
      </c>
    </row>
    <row r="65" spans="1:2" x14ac:dyDescent="0.25">
      <c r="A65" s="2">
        <v>713</v>
      </c>
      <c r="B65" s="5" t="s">
        <v>90</v>
      </c>
    </row>
    <row r="66" spans="1:2" ht="24.75" x14ac:dyDescent="0.25">
      <c r="A66" s="2">
        <v>714</v>
      </c>
      <c r="B66" s="5" t="s">
        <v>91</v>
      </c>
    </row>
    <row r="68" spans="1:2" x14ac:dyDescent="0.25">
      <c r="A68" s="3">
        <v>8</v>
      </c>
      <c r="B68" s="4" t="s">
        <v>92</v>
      </c>
    </row>
    <row r="69" spans="1:2" x14ac:dyDescent="0.25">
      <c r="A69" s="2">
        <v>801</v>
      </c>
      <c r="B69" s="5" t="s">
        <v>93</v>
      </c>
    </row>
    <row r="70" spans="1:2" x14ac:dyDescent="0.25">
      <c r="A70" s="2">
        <v>802</v>
      </c>
      <c r="B70" s="5" t="s">
        <v>94</v>
      </c>
    </row>
    <row r="71" spans="1:2" x14ac:dyDescent="0.25">
      <c r="A71" s="2">
        <v>803</v>
      </c>
      <c r="B71" s="5" t="s">
        <v>95</v>
      </c>
    </row>
    <row r="72" spans="1:2" x14ac:dyDescent="0.25">
      <c r="A72" s="2">
        <v>804</v>
      </c>
      <c r="B72" s="5" t="s">
        <v>96</v>
      </c>
    </row>
    <row r="73" spans="1:2" x14ac:dyDescent="0.25">
      <c r="A73" s="2">
        <v>805</v>
      </c>
      <c r="B73" s="5" t="s">
        <v>97</v>
      </c>
    </row>
    <row r="74" spans="1:2" x14ac:dyDescent="0.25">
      <c r="A74" s="2">
        <v>806</v>
      </c>
      <c r="B74" s="5" t="s">
        <v>98</v>
      </c>
    </row>
    <row r="75" spans="1:2" x14ac:dyDescent="0.25">
      <c r="A75" s="2">
        <v>807</v>
      </c>
      <c r="B75" s="5" t="s">
        <v>99</v>
      </c>
    </row>
    <row r="76" spans="1:2" x14ac:dyDescent="0.25">
      <c r="A76" s="2">
        <v>808</v>
      </c>
      <c r="B76" s="5" t="s">
        <v>100</v>
      </c>
    </row>
    <row r="77" spans="1:2" x14ac:dyDescent="0.25">
      <c r="A77" s="2">
        <v>809</v>
      </c>
      <c r="B77" s="5" t="s">
        <v>101</v>
      </c>
    </row>
    <row r="78" spans="1:2" x14ac:dyDescent="0.25">
      <c r="A78" s="2">
        <v>810</v>
      </c>
      <c r="B78" s="5" t="s">
        <v>102</v>
      </c>
    </row>
    <row r="79" spans="1:2" ht="24.75" x14ac:dyDescent="0.25">
      <c r="A79" s="2">
        <v>811</v>
      </c>
      <c r="B79" s="5" t="s">
        <v>103</v>
      </c>
    </row>
    <row r="80" spans="1:2" ht="24.75" x14ac:dyDescent="0.25">
      <c r="A80" s="2">
        <v>812</v>
      </c>
      <c r="B80" s="5" t="s">
        <v>104</v>
      </c>
    </row>
    <row r="81" spans="1:2" x14ac:dyDescent="0.25">
      <c r="A81" s="2">
        <v>813</v>
      </c>
      <c r="B81" s="5" t="s">
        <v>105</v>
      </c>
    </row>
    <row r="82" spans="1:2" ht="24.75" x14ac:dyDescent="0.25">
      <c r="A82" s="2">
        <v>814</v>
      </c>
      <c r="B82" s="5" t="s">
        <v>106</v>
      </c>
    </row>
    <row r="84" spans="1:2" x14ac:dyDescent="0.25">
      <c r="A84" s="3">
        <v>9</v>
      </c>
      <c r="B84" s="4" t="s">
        <v>107</v>
      </c>
    </row>
    <row r="85" spans="1:2" x14ac:dyDescent="0.25">
      <c r="A85" s="2">
        <v>901</v>
      </c>
      <c r="B85" s="5" t="s">
        <v>108</v>
      </c>
    </row>
    <row r="86" spans="1:2" x14ac:dyDescent="0.25">
      <c r="A86" s="2">
        <v>902</v>
      </c>
      <c r="B86" s="5" t="s">
        <v>109</v>
      </c>
    </row>
    <row r="87" spans="1:2" x14ac:dyDescent="0.25">
      <c r="A87" s="2">
        <v>903</v>
      </c>
      <c r="B87" s="5" t="s">
        <v>110</v>
      </c>
    </row>
    <row r="88" spans="1:2" x14ac:dyDescent="0.25">
      <c r="A88" s="2">
        <v>904</v>
      </c>
      <c r="B88" s="5" t="s">
        <v>111</v>
      </c>
    </row>
    <row r="89" spans="1:2" x14ac:dyDescent="0.25">
      <c r="A89" s="2">
        <v>905</v>
      </c>
      <c r="B89" s="5" t="s">
        <v>112</v>
      </c>
    </row>
    <row r="90" spans="1:2" x14ac:dyDescent="0.25">
      <c r="A90" s="2">
        <v>906</v>
      </c>
      <c r="B90" s="5" t="s">
        <v>113</v>
      </c>
    </row>
    <row r="91" spans="1:2" x14ac:dyDescent="0.25">
      <c r="A91" s="2">
        <v>907</v>
      </c>
      <c r="B91" s="5" t="s">
        <v>114</v>
      </c>
    </row>
    <row r="92" spans="1:2" x14ac:dyDescent="0.25">
      <c r="A92" s="2">
        <v>908</v>
      </c>
      <c r="B92" s="5" t="s">
        <v>115</v>
      </c>
    </row>
    <row r="93" spans="1:2" x14ac:dyDescent="0.25">
      <c r="A93" s="2">
        <v>909</v>
      </c>
      <c r="B93" s="5" t="s">
        <v>116</v>
      </c>
    </row>
    <row r="94" spans="1:2" x14ac:dyDescent="0.25">
      <c r="A94" s="2">
        <v>910</v>
      </c>
      <c r="B94" s="5" t="s">
        <v>117</v>
      </c>
    </row>
    <row r="96" spans="1:2" x14ac:dyDescent="0.25">
      <c r="A96" s="3">
        <v>10</v>
      </c>
      <c r="B96" s="4" t="s">
        <v>118</v>
      </c>
    </row>
    <row r="97" spans="1:2" x14ac:dyDescent="0.25">
      <c r="A97" s="2">
        <v>1001</v>
      </c>
      <c r="B97" s="5" t="s">
        <v>119</v>
      </c>
    </row>
    <row r="98" spans="1:2" x14ac:dyDescent="0.25">
      <c r="A98" s="2">
        <v>1002</v>
      </c>
      <c r="B98" s="5" t="s">
        <v>120</v>
      </c>
    </row>
    <row r="99" spans="1:2" x14ac:dyDescent="0.25">
      <c r="A99" s="2">
        <v>1003</v>
      </c>
      <c r="B99" s="5" t="s">
        <v>121</v>
      </c>
    </row>
    <row r="100" spans="1:2" x14ac:dyDescent="0.25">
      <c r="A100" s="2">
        <v>1004</v>
      </c>
      <c r="B100" s="5" t="s">
        <v>122</v>
      </c>
    </row>
    <row r="101" spans="1:2" x14ac:dyDescent="0.25">
      <c r="A101" s="2">
        <v>1005</v>
      </c>
      <c r="B101" s="5" t="s">
        <v>123</v>
      </c>
    </row>
    <row r="102" spans="1:2" x14ac:dyDescent="0.25">
      <c r="A102" s="2">
        <v>1006</v>
      </c>
      <c r="B102" s="5" t="s">
        <v>124</v>
      </c>
    </row>
    <row r="103" spans="1:2" x14ac:dyDescent="0.25">
      <c r="A103" s="2">
        <v>1007</v>
      </c>
      <c r="B103" s="5" t="s">
        <v>125</v>
      </c>
    </row>
    <row r="104" spans="1:2" x14ac:dyDescent="0.25">
      <c r="A104" s="2">
        <v>1008</v>
      </c>
      <c r="B104" s="5" t="s">
        <v>126</v>
      </c>
    </row>
    <row r="106" spans="1:2" x14ac:dyDescent="0.25">
      <c r="A106" s="3">
        <v>11</v>
      </c>
      <c r="B106" s="4" t="s">
        <v>127</v>
      </c>
    </row>
    <row r="107" spans="1:2" x14ac:dyDescent="0.25">
      <c r="A107" s="2">
        <v>1101</v>
      </c>
      <c r="B107" s="5" t="s">
        <v>128</v>
      </c>
    </row>
    <row r="108" spans="1:2" x14ac:dyDescent="0.25">
      <c r="A108" s="2">
        <v>1102</v>
      </c>
      <c r="B108" s="5" t="s">
        <v>129</v>
      </c>
    </row>
    <row r="109" spans="1:2" x14ac:dyDescent="0.25">
      <c r="A109" s="2">
        <v>1103</v>
      </c>
      <c r="B109" s="5" t="s">
        <v>130</v>
      </c>
    </row>
    <row r="110" spans="1:2" ht="24.75" x14ac:dyDescent="0.25">
      <c r="A110" s="2">
        <v>1104</v>
      </c>
      <c r="B110" s="5" t="s">
        <v>131</v>
      </c>
    </row>
    <row r="111" spans="1:2" x14ac:dyDescent="0.25">
      <c r="A111" s="2">
        <v>1105</v>
      </c>
      <c r="B111" s="5" t="s">
        <v>132</v>
      </c>
    </row>
    <row r="112" spans="1:2" ht="24.75" x14ac:dyDescent="0.25">
      <c r="A112" s="2">
        <v>1106</v>
      </c>
      <c r="B112" s="5" t="s">
        <v>133</v>
      </c>
    </row>
    <row r="113" spans="1:2" x14ac:dyDescent="0.25">
      <c r="A113" s="2">
        <v>1107</v>
      </c>
      <c r="B113" s="5" t="s">
        <v>134</v>
      </c>
    </row>
    <row r="114" spans="1:2" x14ac:dyDescent="0.25">
      <c r="A114" s="2">
        <v>1108</v>
      </c>
      <c r="B114" s="5" t="s">
        <v>135</v>
      </c>
    </row>
    <row r="115" spans="1:2" x14ac:dyDescent="0.25">
      <c r="A115" s="2">
        <v>1109</v>
      </c>
      <c r="B115" s="5" t="s">
        <v>136</v>
      </c>
    </row>
    <row r="117" spans="1:2" ht="24.75" x14ac:dyDescent="0.25">
      <c r="A117" s="3">
        <v>12</v>
      </c>
      <c r="B117" s="4" t="s">
        <v>137</v>
      </c>
    </row>
    <row r="118" spans="1:2" x14ac:dyDescent="0.25">
      <c r="A118" s="2">
        <v>1201</v>
      </c>
      <c r="B118" s="5" t="s">
        <v>138</v>
      </c>
    </row>
    <row r="119" spans="1:2" x14ac:dyDescent="0.25">
      <c r="A119" s="2">
        <v>1202</v>
      </c>
      <c r="B119" s="5" t="s">
        <v>139</v>
      </c>
    </row>
    <row r="120" spans="1:2" x14ac:dyDescent="0.25">
      <c r="A120" s="2">
        <v>1203</v>
      </c>
      <c r="B120" s="5" t="s">
        <v>140</v>
      </c>
    </row>
    <row r="121" spans="1:2" x14ac:dyDescent="0.25">
      <c r="A121" s="2">
        <v>1204</v>
      </c>
      <c r="B121" s="5" t="s">
        <v>141</v>
      </c>
    </row>
    <row r="122" spans="1:2" x14ac:dyDescent="0.25">
      <c r="A122" s="2">
        <v>1205</v>
      </c>
      <c r="B122" s="5" t="s">
        <v>142</v>
      </c>
    </row>
    <row r="123" spans="1:2" x14ac:dyDescent="0.25">
      <c r="A123" s="2">
        <v>1206</v>
      </c>
      <c r="B123" s="5" t="s">
        <v>143</v>
      </c>
    </row>
    <row r="124" spans="1:2" x14ac:dyDescent="0.25">
      <c r="A124" s="2">
        <v>1207</v>
      </c>
      <c r="B124" s="5" t="s">
        <v>144</v>
      </c>
    </row>
    <row r="125" spans="1:2" x14ac:dyDescent="0.25">
      <c r="A125" s="2">
        <v>1208</v>
      </c>
      <c r="B125" s="5" t="s">
        <v>145</v>
      </c>
    </row>
    <row r="126" spans="1:2" x14ac:dyDescent="0.25">
      <c r="A126" s="2">
        <v>1209</v>
      </c>
      <c r="B126" s="5" t="s">
        <v>146</v>
      </c>
    </row>
    <row r="127" spans="1:2" x14ac:dyDescent="0.25">
      <c r="A127" s="2">
        <v>1210</v>
      </c>
      <c r="B127" s="5" t="s">
        <v>147</v>
      </c>
    </row>
    <row r="128" spans="1:2" ht="24.75" x14ac:dyDescent="0.25">
      <c r="A128" s="2">
        <v>1211</v>
      </c>
      <c r="B128" s="5" t="s">
        <v>148</v>
      </c>
    </row>
    <row r="129" spans="1:2" ht="24.75" x14ac:dyDescent="0.25">
      <c r="A129" s="2">
        <v>1212</v>
      </c>
      <c r="B129" s="5" t="s">
        <v>149</v>
      </c>
    </row>
    <row r="130" spans="1:2" x14ac:dyDescent="0.25">
      <c r="A130" s="2">
        <v>1213</v>
      </c>
      <c r="B130" s="5" t="s">
        <v>150</v>
      </c>
    </row>
    <row r="131" spans="1:2" ht="24.75" x14ac:dyDescent="0.25">
      <c r="A131" s="2">
        <v>1214</v>
      </c>
      <c r="B131" s="5" t="s">
        <v>151</v>
      </c>
    </row>
    <row r="133" spans="1:2" x14ac:dyDescent="0.25">
      <c r="A133" s="3">
        <v>13</v>
      </c>
      <c r="B133" s="4" t="s">
        <v>152</v>
      </c>
    </row>
    <row r="134" spans="1:2" x14ac:dyDescent="0.25">
      <c r="A134" s="2">
        <v>1301</v>
      </c>
      <c r="B134" s="5" t="s">
        <v>153</v>
      </c>
    </row>
    <row r="135" spans="1:2" ht="24.75" x14ac:dyDescent="0.25">
      <c r="A135" s="2">
        <v>1302</v>
      </c>
      <c r="B135" s="5" t="s">
        <v>154</v>
      </c>
    </row>
    <row r="137" spans="1:2" x14ac:dyDescent="0.25">
      <c r="A137" s="3">
        <v>14</v>
      </c>
      <c r="B137" s="4" t="s">
        <v>155</v>
      </c>
    </row>
    <row r="138" spans="1:2" ht="24.75" x14ac:dyDescent="0.25">
      <c r="A138" s="2">
        <v>1401</v>
      </c>
      <c r="B138" s="5" t="s">
        <v>156</v>
      </c>
    </row>
    <row r="139" spans="1:2" x14ac:dyDescent="0.25">
      <c r="A139" s="2">
        <v>1404</v>
      </c>
      <c r="B139" s="5" t="s">
        <v>157</v>
      </c>
    </row>
    <row r="141" spans="1:2" ht="24.75" x14ac:dyDescent="0.25">
      <c r="A141" s="3">
        <v>15</v>
      </c>
      <c r="B141" s="4" t="s">
        <v>158</v>
      </c>
    </row>
    <row r="142" spans="1:2" x14ac:dyDescent="0.25">
      <c r="A142" s="2">
        <v>1501</v>
      </c>
      <c r="B142" s="5" t="s">
        <v>159</v>
      </c>
    </row>
    <row r="143" spans="1:2" x14ac:dyDescent="0.25">
      <c r="A143" s="2">
        <v>1502</v>
      </c>
      <c r="B143" s="5" t="s">
        <v>160</v>
      </c>
    </row>
    <row r="144" spans="1:2" x14ac:dyDescent="0.25">
      <c r="A144" s="2">
        <v>1503</v>
      </c>
      <c r="B144" s="5" t="s">
        <v>161</v>
      </c>
    </row>
    <row r="145" spans="1:2" x14ac:dyDescent="0.25">
      <c r="A145" s="2">
        <v>1504</v>
      </c>
      <c r="B145" s="5" t="s">
        <v>162</v>
      </c>
    </row>
    <row r="146" spans="1:2" x14ac:dyDescent="0.25">
      <c r="A146" s="2">
        <v>1505</v>
      </c>
      <c r="B146" s="5" t="s">
        <v>163</v>
      </c>
    </row>
    <row r="147" spans="1:2" x14ac:dyDescent="0.25">
      <c r="A147" s="2">
        <v>1506</v>
      </c>
      <c r="B147" s="5" t="s">
        <v>164</v>
      </c>
    </row>
    <row r="148" spans="1:2" x14ac:dyDescent="0.25">
      <c r="A148" s="2">
        <v>1507</v>
      </c>
      <c r="B148" s="5" t="s">
        <v>165</v>
      </c>
    </row>
    <row r="149" spans="1:2" x14ac:dyDescent="0.25">
      <c r="A149" s="2">
        <v>1508</v>
      </c>
      <c r="B149" s="5" t="s">
        <v>166</v>
      </c>
    </row>
    <row r="150" spans="1:2" x14ac:dyDescent="0.25">
      <c r="A150" s="2">
        <v>1509</v>
      </c>
      <c r="B150" s="5" t="s">
        <v>167</v>
      </c>
    </row>
    <row r="151" spans="1:2" ht="24.75" x14ac:dyDescent="0.25">
      <c r="A151" s="2">
        <v>1510</v>
      </c>
      <c r="B151" s="5" t="s">
        <v>168</v>
      </c>
    </row>
    <row r="152" spans="1:2" x14ac:dyDescent="0.25">
      <c r="A152" s="2">
        <v>1511</v>
      </c>
      <c r="B152" s="5" t="s">
        <v>169</v>
      </c>
    </row>
    <row r="153" spans="1:2" x14ac:dyDescent="0.25">
      <c r="A153" s="2">
        <v>1512</v>
      </c>
      <c r="B153" s="5" t="s">
        <v>170</v>
      </c>
    </row>
    <row r="154" spans="1:2" x14ac:dyDescent="0.25">
      <c r="A154" s="2">
        <v>1513</v>
      </c>
      <c r="B154" s="5" t="s">
        <v>171</v>
      </c>
    </row>
    <row r="155" spans="1:2" x14ac:dyDescent="0.25">
      <c r="A155" s="2">
        <v>1514</v>
      </c>
      <c r="B155" s="5" t="s">
        <v>172</v>
      </c>
    </row>
    <row r="156" spans="1:2" x14ac:dyDescent="0.25">
      <c r="A156" s="2">
        <v>1515</v>
      </c>
      <c r="B156" s="5" t="s">
        <v>173</v>
      </c>
    </row>
    <row r="157" spans="1:2" ht="24.75" x14ac:dyDescent="0.25">
      <c r="A157" s="2">
        <v>1516</v>
      </c>
      <c r="B157" s="5" t="s">
        <v>174</v>
      </c>
    </row>
    <row r="158" spans="1:2" ht="24.75" x14ac:dyDescent="0.25">
      <c r="A158" s="2">
        <v>1517</v>
      </c>
      <c r="B158" s="5" t="s">
        <v>175</v>
      </c>
    </row>
    <row r="159" spans="1:2" ht="24.75" x14ac:dyDescent="0.25">
      <c r="A159" s="2">
        <v>1518</v>
      </c>
      <c r="B159" s="5" t="s">
        <v>176</v>
      </c>
    </row>
    <row r="160" spans="1:2" x14ac:dyDescent="0.25">
      <c r="A160" s="2">
        <v>1520</v>
      </c>
      <c r="B160" s="5" t="s">
        <v>177</v>
      </c>
    </row>
    <row r="161" spans="1:2" x14ac:dyDescent="0.25">
      <c r="A161" s="2">
        <v>1521</v>
      </c>
      <c r="B161" s="5" t="s">
        <v>178</v>
      </c>
    </row>
    <row r="162" spans="1:2" x14ac:dyDescent="0.25">
      <c r="A162" s="2">
        <v>1522</v>
      </c>
      <c r="B162" s="5" t="s">
        <v>179</v>
      </c>
    </row>
    <row r="164" spans="1:2" x14ac:dyDescent="0.25">
      <c r="A164" s="3">
        <v>16</v>
      </c>
      <c r="B164" s="4" t="s">
        <v>180</v>
      </c>
    </row>
    <row r="165" spans="1:2" x14ac:dyDescent="0.25">
      <c r="A165" s="2">
        <v>1601</v>
      </c>
      <c r="B165" s="5" t="s">
        <v>181</v>
      </c>
    </row>
    <row r="166" spans="1:2" x14ac:dyDescent="0.25">
      <c r="A166" s="2">
        <v>1602</v>
      </c>
      <c r="B166" s="5" t="s">
        <v>182</v>
      </c>
    </row>
    <row r="167" spans="1:2" x14ac:dyDescent="0.25">
      <c r="A167" s="2">
        <v>1603</v>
      </c>
      <c r="B167" s="5" t="s">
        <v>183</v>
      </c>
    </row>
    <row r="168" spans="1:2" x14ac:dyDescent="0.25">
      <c r="A168" s="2">
        <v>1604</v>
      </c>
      <c r="B168" s="5" t="s">
        <v>184</v>
      </c>
    </row>
    <row r="169" spans="1:2" x14ac:dyDescent="0.25">
      <c r="A169" s="2">
        <v>1605</v>
      </c>
      <c r="B169" s="5" t="s">
        <v>185</v>
      </c>
    </row>
    <row r="171" spans="1:2" x14ac:dyDescent="0.25">
      <c r="A171" s="3">
        <v>17</v>
      </c>
      <c r="B171" s="4" t="s">
        <v>186</v>
      </c>
    </row>
    <row r="172" spans="1:2" x14ac:dyDescent="0.25">
      <c r="A172" s="2">
        <v>1701</v>
      </c>
      <c r="B172" s="5" t="s">
        <v>187</v>
      </c>
    </row>
    <row r="173" spans="1:2" ht="24.75" x14ac:dyDescent="0.25">
      <c r="A173" s="2">
        <v>1702</v>
      </c>
      <c r="B173" s="5" t="s">
        <v>188</v>
      </c>
    </row>
    <row r="174" spans="1:2" x14ac:dyDescent="0.25">
      <c r="A174" s="2">
        <v>1703</v>
      </c>
      <c r="B174" s="5" t="s">
        <v>189</v>
      </c>
    </row>
    <row r="175" spans="1:2" x14ac:dyDescent="0.25">
      <c r="A175" s="2">
        <v>1704</v>
      </c>
      <c r="B175" s="5" t="s">
        <v>190</v>
      </c>
    </row>
    <row r="177" spans="1:2" x14ac:dyDescent="0.25">
      <c r="A177" s="3">
        <v>18</v>
      </c>
      <c r="B177" s="4" t="s">
        <v>191</v>
      </c>
    </row>
    <row r="178" spans="1:2" x14ac:dyDescent="0.25">
      <c r="A178" s="2">
        <v>1801</v>
      </c>
      <c r="B178" s="5" t="s">
        <v>192</v>
      </c>
    </row>
    <row r="179" spans="1:2" x14ac:dyDescent="0.25">
      <c r="A179" s="2">
        <v>1802</v>
      </c>
      <c r="B179" s="5" t="s">
        <v>193</v>
      </c>
    </row>
    <row r="180" spans="1:2" x14ac:dyDescent="0.25">
      <c r="A180" s="2">
        <v>1803</v>
      </c>
      <c r="B180" s="5" t="s">
        <v>194</v>
      </c>
    </row>
    <row r="181" spans="1:2" x14ac:dyDescent="0.25">
      <c r="A181" s="2">
        <v>1804</v>
      </c>
      <c r="B181" s="5" t="s">
        <v>195</v>
      </c>
    </row>
    <row r="182" spans="1:2" x14ac:dyDescent="0.25">
      <c r="A182" s="2">
        <v>1805</v>
      </c>
      <c r="B182" s="5" t="s">
        <v>196</v>
      </c>
    </row>
    <row r="183" spans="1:2" x14ac:dyDescent="0.25">
      <c r="A183" s="2">
        <v>1806</v>
      </c>
      <c r="B183" s="5" t="s">
        <v>197</v>
      </c>
    </row>
    <row r="185" spans="1:2" x14ac:dyDescent="0.25">
      <c r="A185" s="3">
        <v>19</v>
      </c>
      <c r="B185" s="4" t="s">
        <v>198</v>
      </c>
    </row>
    <row r="186" spans="1:2" ht="24.75" x14ac:dyDescent="0.25">
      <c r="A186" s="2">
        <v>1901</v>
      </c>
      <c r="B186" s="5" t="s">
        <v>199</v>
      </c>
    </row>
    <row r="187" spans="1:2" ht="24.75" x14ac:dyDescent="0.25">
      <c r="A187" s="2">
        <v>1902</v>
      </c>
      <c r="B187" s="5" t="s">
        <v>200</v>
      </c>
    </row>
    <row r="188" spans="1:2" x14ac:dyDescent="0.25">
      <c r="A188" s="2">
        <v>1903</v>
      </c>
      <c r="B188" s="5" t="s">
        <v>201</v>
      </c>
    </row>
    <row r="189" spans="1:2" ht="24.75" x14ac:dyDescent="0.25">
      <c r="A189" s="2">
        <v>1904</v>
      </c>
      <c r="B189" s="5" t="s">
        <v>202</v>
      </c>
    </row>
    <row r="190" spans="1:2" ht="24.75" x14ac:dyDescent="0.25">
      <c r="A190" s="2">
        <v>1905</v>
      </c>
      <c r="B190" s="5" t="s">
        <v>203</v>
      </c>
    </row>
    <row r="192" spans="1:2" x14ac:dyDescent="0.25">
      <c r="A192" s="3">
        <v>20</v>
      </c>
      <c r="B192" s="4" t="s">
        <v>204</v>
      </c>
    </row>
    <row r="193" spans="1:2" x14ac:dyDescent="0.25">
      <c r="A193" s="2">
        <v>2001</v>
      </c>
      <c r="B193" s="5" t="s">
        <v>205</v>
      </c>
    </row>
    <row r="194" spans="1:2" x14ac:dyDescent="0.25">
      <c r="A194" s="2">
        <v>2002</v>
      </c>
      <c r="B194" s="5" t="s">
        <v>206</v>
      </c>
    </row>
    <row r="195" spans="1:2" x14ac:dyDescent="0.25">
      <c r="A195" s="2">
        <v>2003</v>
      </c>
      <c r="B195" s="5" t="s">
        <v>207</v>
      </c>
    </row>
    <row r="196" spans="1:2" ht="24.75" x14ac:dyDescent="0.25">
      <c r="A196" s="2">
        <v>2004</v>
      </c>
      <c r="B196" s="5" t="s">
        <v>208</v>
      </c>
    </row>
    <row r="197" spans="1:2" ht="24.75" x14ac:dyDescent="0.25">
      <c r="A197" s="2">
        <v>2005</v>
      </c>
      <c r="B197" s="5" t="s">
        <v>209</v>
      </c>
    </row>
    <row r="198" spans="1:2" x14ac:dyDescent="0.25">
      <c r="A198" s="2">
        <v>2006</v>
      </c>
      <c r="B198" s="5" t="s">
        <v>210</v>
      </c>
    </row>
    <row r="199" spans="1:2" ht="24.75" x14ac:dyDescent="0.25">
      <c r="A199" s="2">
        <v>2007</v>
      </c>
      <c r="B199" s="5" t="s">
        <v>211</v>
      </c>
    </row>
    <row r="200" spans="1:2" ht="24.75" x14ac:dyDescent="0.25">
      <c r="A200" s="2">
        <v>2008</v>
      </c>
      <c r="B200" s="5" t="s">
        <v>212</v>
      </c>
    </row>
    <row r="201" spans="1:2" ht="24.75" x14ac:dyDescent="0.25">
      <c r="A201" s="2">
        <v>2009</v>
      </c>
      <c r="B201" s="5" t="s">
        <v>213</v>
      </c>
    </row>
    <row r="203" spans="1:2" x14ac:dyDescent="0.25">
      <c r="A203" s="3">
        <v>21</v>
      </c>
      <c r="B203" s="4" t="s">
        <v>214</v>
      </c>
    </row>
    <row r="204" spans="1:2" ht="24.75" x14ac:dyDescent="0.25">
      <c r="A204" s="2">
        <v>2101</v>
      </c>
      <c r="B204" s="5" t="s">
        <v>215</v>
      </c>
    </row>
    <row r="205" spans="1:2" x14ac:dyDescent="0.25">
      <c r="A205" s="2">
        <v>2102</v>
      </c>
      <c r="B205" s="5" t="s">
        <v>216</v>
      </c>
    </row>
    <row r="206" spans="1:2" x14ac:dyDescent="0.25">
      <c r="A206" s="2">
        <v>2103</v>
      </c>
      <c r="B206" s="5" t="s">
        <v>217</v>
      </c>
    </row>
    <row r="207" spans="1:2" x14ac:dyDescent="0.25">
      <c r="A207" s="2">
        <v>2104</v>
      </c>
      <c r="B207" s="5" t="s">
        <v>218</v>
      </c>
    </row>
    <row r="208" spans="1:2" x14ac:dyDescent="0.25">
      <c r="A208" s="2">
        <v>2105</v>
      </c>
      <c r="B208" s="5" t="s">
        <v>219</v>
      </c>
    </row>
    <row r="209" spans="1:2" x14ac:dyDescent="0.25">
      <c r="A209" s="2">
        <v>2106</v>
      </c>
      <c r="B209" s="5" t="s">
        <v>220</v>
      </c>
    </row>
    <row r="211" spans="1:2" x14ac:dyDescent="0.25">
      <c r="A211" s="3">
        <v>22</v>
      </c>
      <c r="B211" s="4" t="s">
        <v>221</v>
      </c>
    </row>
    <row r="212" spans="1:2" ht="24.75" x14ac:dyDescent="0.25">
      <c r="A212" s="2">
        <v>2201</v>
      </c>
      <c r="B212" s="5" t="s">
        <v>222</v>
      </c>
    </row>
    <row r="213" spans="1:2" ht="24.75" x14ac:dyDescent="0.25">
      <c r="A213" s="2">
        <v>2202</v>
      </c>
      <c r="B213" s="5" t="s">
        <v>223</v>
      </c>
    </row>
    <row r="214" spans="1:2" x14ac:dyDescent="0.25">
      <c r="A214" s="2">
        <v>2203</v>
      </c>
      <c r="B214" s="5" t="s">
        <v>224</v>
      </c>
    </row>
    <row r="215" spans="1:2" x14ac:dyDescent="0.25">
      <c r="A215" s="2">
        <v>2204</v>
      </c>
      <c r="B215" s="5" t="s">
        <v>225</v>
      </c>
    </row>
    <row r="216" spans="1:2" x14ac:dyDescent="0.25">
      <c r="A216" s="2">
        <v>2205</v>
      </c>
      <c r="B216" s="5" t="s">
        <v>226</v>
      </c>
    </row>
    <row r="217" spans="1:2" x14ac:dyDescent="0.25">
      <c r="A217" s="2">
        <v>2206</v>
      </c>
      <c r="B217" s="5" t="s">
        <v>227</v>
      </c>
    </row>
    <row r="218" spans="1:2" ht="24.75" x14ac:dyDescent="0.25">
      <c r="A218" s="2">
        <v>2207</v>
      </c>
      <c r="B218" s="5" t="s">
        <v>228</v>
      </c>
    </row>
    <row r="219" spans="1:2" x14ac:dyDescent="0.25">
      <c r="A219" s="2">
        <v>2208</v>
      </c>
      <c r="B219" s="5" t="s">
        <v>229</v>
      </c>
    </row>
    <row r="220" spans="1:2" x14ac:dyDescent="0.25">
      <c r="A220" s="2">
        <v>2209</v>
      </c>
      <c r="B220" s="5" t="s">
        <v>230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Notas_2018</vt:lpstr>
      <vt:lpstr>Tab_Preparacoes_100g_2018</vt:lpstr>
      <vt:lpstr>Tab_PT_Ingredientes_1kg_2018</vt:lpstr>
      <vt:lpstr>GAS_gCO2eq_100g_2018</vt:lpstr>
      <vt:lpstr>Base_Pegadas_2018</vt:lpstr>
      <vt:lpstr>Dados_Referencias_2018</vt:lpstr>
      <vt:lpstr>Harmonized_System_Codes_EN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Josefa Maria Fellegger Garzillo</dc:creator>
  <cp:lastModifiedBy>Josefa Garzillo</cp:lastModifiedBy>
  <dcterms:created xsi:type="dcterms:W3CDTF">2018-10-30T16:23:03Z</dcterms:created>
  <dcterms:modified xsi:type="dcterms:W3CDTF">2023-11-23T17:26:46Z</dcterms:modified>
</cp:coreProperties>
</file>